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801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ckup\ondrive\Desktop\WILLIAM\TRAB NBT\NB_\REMUNERACION\REMUNERACION 2026072\"/>
    </mc:Choice>
  </mc:AlternateContent>
  <xr:revisionPtr revIDLastSave="0" documentId="13_ncr:1_{5D2C18D4-83B1-43CD-9FDD-CBF11A1D83F4}" xr6:coauthVersionLast="46" xr6:coauthVersionMax="47" xr10:uidLastSave="{00000000-0000-0000-0000-000000000000}"/>
  <x:bookViews>
    <x:workbookView xWindow="-120" yWindow="-120" windowWidth="20730" windowHeight="11160" tabRatio="780" firstSheet="16" activeTab="17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7-2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72" sheetId="93" r:id="rId36"/>
    <x:sheet name="DetValiRetri2026072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R1'!$A$5:$X$30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81029" fullCalcOnLoad="1"/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<x:sst xmlns:x="http://schemas.openxmlformats.org/spreadsheetml/2006/main" count="7547" uniqueCount="345">
  <x:si>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</x:si>
  <x:si>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</x:si>
  <x:si>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</x:si>
  <x:si>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</x:si>
  <x:si>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</x:si>
  <x:si>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</x:si>
  <x:si>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</x:si>
  <x:si>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</x:si>
  <x:si>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</x:si>
  <x:si>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</x:si>
  <x:si>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</x:si>
  <x:si>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</x:si>
  <x:si>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</x:si>
  <x:si>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</x:si>
  <x:si>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</x:si>
  <x:si>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</x:si>
  <x:si>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</x:si>
  <x:si>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</x:si>
  <x:si>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</x:si>
  <x:si>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</x:si>
  <x:si>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</x:si>
  <x:si>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</x:si>
  <x:si>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</x:si>
  <x:si>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</x:si>
  <x:si>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</x:si>
  <x:si>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</x:si>
  <x:si>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</x:si>
  <x:si>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</x:si>
  <x:si>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</x:si>
  <x:si>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</x:si>
  <x:si>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</x:si>
  <x:si>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</x:si>
  <x:si>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</x:si>
  <x:si>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</x:si>
  <x:si>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</x:si>
  <x:si>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</x:si>
  <x:si>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</x:si>
  <x:si>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</x:si>
  <x:si>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</x:si>
  <x:si>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</x:si>
  <x:si>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</x:si>
  <x:si>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</x:si>
  <x:si>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</x:si>
  <x:si>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</x:si>
  <x:si>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</x:si>
  <x:si>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</x:si>
  <x:si>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</x:si>
  <x:si>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</x:si>
  <x:si>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</x:si>
  <x:si>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</x:si>
  <x:si>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</x:si>
  <x:si>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</x:si>
  <x:si>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</x:si>
  <x:si>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</x:si>
  <x:si>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</x:si>
  <x:si>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</x:si>
  <x:si>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</x:si>
  <x:si>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</x:si>
  <x:si>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</x:si>
  <x:si>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</x:si>
  <x:si>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</x:si>
  <x:si>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</x:si>
  <x:si>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</x:si>
  <x:si>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</x:si>
  <x:si>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</x:si>
  <x:si>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</x:si>
  <x:si>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</x:si>
  <x:si>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</x:si>
  <x:si>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</x:si>
  <x:si>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</x:si>
  <x:si>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</x:si>
  <x:si>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</x:si>
  <x:si>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</x:si>
  <x:si>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</x:si>
  <x:si>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</x:si>
  <x:si>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</x:si>
  <x:si>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</x:si>
  <x:si>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</x:si>
  <x:si>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</x:si>
  <x:si>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</x:si>
  <x:si>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</x:si>
  <x:si>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</x:si>
  <x:si>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</x:si>
  <x:si>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</x:si>
  <x:si>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</x:si>
  <x:si>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</x:si>
  <x:si>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</x:si>
  <x:si>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</x:si>
  <x:si>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</x:si>
  <x:si>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</x:si>
  <x:si>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</x:si>
  <x:si>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</x:si>
  <x:si>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</x:si>
  <x:si>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</x:si>
  <x:si>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</x:si>
  <x:si>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</x:si>
  <x:si>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</x:si>
  <x:si>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</x:si>
  <x:si>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</x:si>
  <x:si>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</x:si>
  <x:si>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</x:si>
  <x:si>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</x:si>
  <x:si>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</x:si>
  <x:si>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</x:si>
  <x:si>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</x:si>
  <x:si>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</x:si>
  <x:si>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</x:si>
  <x:si>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</x:si>
  <x:si>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</x:si>
  <x:si>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</x:si>
  <x:si>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</x:si>
  <x:si>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</x:si>
  <x:si>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</x:si>
  <x:si>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</x:si>
  <x:si>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</x:si>
  <x:si>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</x:si>
  <x:si>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</x:si>
  <x:si>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</x:si>
  <x:si>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</x:si>
  <x:si>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</x:si>
  <x:si>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</x:si>
  <x:si>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</x:si>
  <x:si>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</x:si>
  <x:si>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</x:si>
  <x:si>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</x:si>
  <x:si>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</x:si>
  <x:si>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</x:si>
  <x:si>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</x:si>
  <x:si>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</x:si>
  <x:si>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</x:si>
  <x:si>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</x:si>
  <x:si>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</x:si>
  <x:si>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</x:si>
  <x:si>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</x:si>
  <x:si>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</x:si>
  <x:si>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</x:si>
  <x:si>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</x:si>
  <x:si>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</x:si>
  <x:si>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</x:si>
  <x:si>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</x:si>
  <x:si>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</x:si>
  <x:si>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</x:si>
  <x:si>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</x:si>
  <x:si>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</x:si>
  <x:si>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</x:si>
  <x:si>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</x:si>
  <x:si>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</x:si>
  <x:si>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</x:si>
  <x:si>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</x:si>
  <x:si>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</x:si>
  <x:si>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</x:si>
  <x:si>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</x:si>
  <x:si>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</x:si>
  <x:si>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</x:si>
  <x:si>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</x:si>
  <x:si>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</x:si>
  <x:si>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</x:si>
  <x:si>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</x:si>
  <x:si>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</x:si>
  <x:si>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</x:si>
  <x:si>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</x:si>
  <x:si>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</x:si>
  <x:si>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</x:si>
  <x:si>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</x:si>
  <x:si>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</x:si>
  <x:si>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</x:si>
  <x:si>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</x:si>
  <x:si>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</x:si>
  <x:si>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</x:si>
  <x:si>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</x:si>
  <x:si>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</x:si>
  <x:si>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</x:si>
  <x:si>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</x:si>
  <x:si>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</x:si>
  <x:si>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</x:si>
  <x:si>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</x:si>
  <x:si>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</x:si>
  <x:si>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</x:si>
  <x:si>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</x:si>
  <x:si>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</x:si>
  <x:si>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</x:si>
  <x:si>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</x:si>
  <x:si>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</x:si>
  <x:si>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</x:si>
  <x:si>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</x:si>
  <x:si>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</x:si>
  <x:si>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</x:si>
  <x:si>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</x:si>
  <x:si>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</x:si>
  <x:si>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</x:si>
  <x:si>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</x:si>
  <x:si>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</x:si>
  <x:si>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</x:si>
  <x:si>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</x:si>
  <x:si>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</x:si>
  <x:si>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</x:si>
  <x:si>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</x:si>
  <x:si>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</x:si>
  <x:si>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</x:si>
  <x:si>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</x:si>
  <x:si>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</x:si>
  <x:si>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</x:si>
  <x:si>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</x:si>
  <x:si>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</x:si>
  <x:si>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ENEL / RECIP.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</x:si>
  <x:si>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</x:si>
  <x:si>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</x:si>
  <x:si>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</x:si>
  <x:si>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</x:si>
  <x:si>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</x:si>
  <x:si>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</x:si>
  <x:si>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</x:si>
  <x:si>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</x:si>
  <x:si>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</x:si>
  <x:si>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</x:si>
  <x:si>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</x:si>
  <x:si>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</x:si>
  <x:si>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</x:si>
  <x:si>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</x:si>
  <x:si>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</x:si>
  <x:si>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</x:si>
  <x:si>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</x:si>
  <x:si>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 Rec.Intereses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</x:si>
  <x:si>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</x:si>
  <x:si>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</x:si>
  <x:si>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</x:si>
  <x:si>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</x:si>
  <x:si>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</x:si>
  <x:si>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</x:si>
  <x:si>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</x:si>
  <x:si>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</x:si>
  <x:si>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</x:si>
  <x:si>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</x:si>
  <x:si>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</x:si>
  <x:si>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</x:si>
  <x:si>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</x:si>
  <x:si>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</x:si>
  <x:si>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</x:si>
  <x:si>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</x:si>
  <x:si>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</x:si>
  <x:si>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</x:si>
  <x:si>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</x:si>
  <x:si>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</x:si>
  <x:si>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</x:si>
  <x:si>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</x:si>
  <x:si>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</x:si>
  <x:si>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</x:si>
  <x:si>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</x:si>
  <x:si>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</x:si>
  <x:si>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</x:si>
  <x:si>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</x:si>
  <x:si>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</x:si>
  <x:si>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</x:si>
  <x:si>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</x:si>
  <x:si>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</x:si>
  <x:si>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</x:si>
  <x:si>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</x:si>
  <x:si>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</x:si>
  <x:si>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</x:si>
  <x:si>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</x:si>
  <x:si>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</x:si>
  <x:si>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</x:si>
  <x:si>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</x:si>
  <x:si>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</x:si>
  <x:si>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</x:si>
  <x:si>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</x:si>
  <x:si>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</x:si>
  <x:si>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</x:si>
  <x:si>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</x:si>
  <x:si>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</x:si>
  <x:si>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</x:si>
  <x:si>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</x:si>
  <x:si>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</x:si>
  <x:si>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</x:si>
  <x:si>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</x:si>
  <x:si>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</x:si>
  <x:si>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</x:si>
  <x:si>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</x:si>
  <x:si>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</x:si>
  <x:si>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</x:si>
  <x:si>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</x:si>
  <x:si>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</x:si>
  <x:si>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</x:si>
  <x:si>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</x:si>
  <x:si>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</x:si>
  <x:si>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</x:si>
  <x:si>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</x:si>
  <x:si>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</x:si>
  <x:si>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</x:si>
  <x:si>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</x:si>
  <x:si>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</x:si>
  <x:si>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</x:si>
  <x:si>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</x:si>
  <x:si>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</x:si>
  <x:si>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</x:si>
  <x:si>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</x:si>
  <x:si>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</x:si>
  <x:si>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</x:si>
  <x:si>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</x:si>
  <x:si>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</x:si>
  <x:si>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</x:si>
  <x:si>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</x:si>
  <x:si>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</x:si>
  <x:si>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</x:si>
  <x:si>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</x:si>
  <x:si>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</x:si>
  <x:si>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</x:si>
  <x:si>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</x:si>
  <x:si>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</x:si>
  <x:si>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</x:si>
  <x:si>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</x:si>
  <x:si>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</x:si>
  <x:si>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</x:si>
  <x:si>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</x:si>
  <x:si>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</x:si>
  <x:si>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</x:si>
  <x:si>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</x:si>
  <x:si>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</x:si>
  <x:si>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</x:si>
  <x:si>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</x:si>
  <x:si>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</x:si>
  <x:si>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</x:si>
  <x:si>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</x:si>
  <x:si>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</x:si>
  <x:si>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</x:si>
  <x:si>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</x:si>
  <x:si>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</x:si>
  <x:si>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</x:si>
  <x:si>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</x:si>
  <x:si>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</x:si>
  <x:si>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</x:si>
  <x:si>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</x:si>
  <x:si>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9</x:t>
  </x:si>
  <x:si>
    <x:t>A</x:t>
  </x:si>
  <x:si>
    <x:t>QUINCENA</x:t>
  </x:si>
  <x:si>
    <x:t>Recaudo ENERBIT - ASE 1</x:t>
  </x:si>
  <x:si>
    <x:t>Recaudo ENERBIT - ASE 2</x:t>
  </x:si>
  <x:si>
    <x:t>Recaudo ENERBIT - ASE 3</x:t>
  </x:si>
  <x:si>
    <x:t>Recaudo ENERBIT - ASE 4</x:t>
  </x:si>
  <x:si>
    <x:t>2026072</x:t>
  </x:si>
  <x:si>
    <x:t>04/08/2026</x:t>
  </x:si>
  <x:si>
    <x:t>10:15 AM</x:t>
  </x:si>
  <x:si>
    <x:t>16/07/2026</x:t>
  </x:si>
  <x:si>
    <x:t>31/07/2026</x:t>
  </x:si>
  <x:si>
    <x:t>OJO/// PRIMERA QUINCENA SELECCIONAR 1; SEGUNDA QUINCENA SELECCIONAR 2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</x:si>
</x:sst>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-* #,##0_-;\-* #,##0_-;_-* &quot;-&quot;??_-;_-@_-"/>
    <numFmt numFmtId="168" formatCode="_([$€]* #,##0.00_);_([$€]* \(#,##0.00\);_([$€]* &quot;-&quot;??_);_(@_)"/>
    <numFmt numFmtId="169" formatCode="_ &quot;$&quot;\ * #,##0.00_ ;_ &quot;$&quot;\ * \-#,##0.00_ ;_ &quot;$&quot;\ * &quot;-&quot;??_ ;_ @_ "/>
    <numFmt numFmtId="170" formatCode="_(&quot;$&quot;* #,##0.00_);_(&quot;$&quot;* \(#,##0.00\);_(&quot;$&quot;* &quot;-&quot;??_);_(@_)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  <numFmt numFmtId="195" formatCode="#,##0.00_ ;\-#,##0.00\ 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8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8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8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8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70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2" fillId="0" borderId="0"/>
    <xf numFmtId="43" fontId="63" fillId="0" borderId="0" applyFont="0" applyFill="0" applyBorder="0" applyAlignment="0" applyProtection="0"/>
    <xf numFmtId="0" fontId="19" fillId="0" borderId="0"/>
    <xf numFmtId="0" fontId="65" fillId="0" borderId="0"/>
  </cellStyleXfs>
  <cellXfs count="778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7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7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7" fontId="20" fillId="0" borderId="14" xfId="2599" applyNumberFormat="1" applyFont="1" applyBorder="1"/>
    <xf numFmtId="167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7" fontId="20" fillId="35" borderId="21" xfId="2599" applyNumberFormat="1" applyFont="1" applyFill="1" applyBorder="1"/>
    <xf numFmtId="167" fontId="20" fillId="35" borderId="22" xfId="2599" applyNumberFormat="1" applyFont="1" applyFill="1" applyBorder="1"/>
    <xf numFmtId="167" fontId="20" fillId="35" borderId="11" xfId="2599" applyNumberFormat="1" applyFont="1" applyFill="1" applyBorder="1"/>
    <xf numFmtId="167" fontId="25" fillId="0" borderId="2" xfId="2599" applyNumberFormat="1" applyFont="1" applyBorder="1"/>
    <xf numFmtId="0" fontId="20" fillId="33" borderId="0" xfId="0" applyFont="1" applyFill="1"/>
    <xf numFmtId="167" fontId="25" fillId="33" borderId="0" xfId="2599" applyNumberFormat="1" applyFont="1" applyFill="1"/>
    <xf numFmtId="0" fontId="23" fillId="0" borderId="0" xfId="0" applyFont="1"/>
    <xf numFmtId="167" fontId="25" fillId="0" borderId="37" xfId="2599" applyNumberFormat="1" applyFont="1" applyBorder="1"/>
    <xf numFmtId="167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7" fontId="20" fillId="35" borderId="23" xfId="2599" applyNumberFormat="1" applyFont="1" applyFill="1" applyBorder="1"/>
    <xf numFmtId="0" fontId="49" fillId="0" borderId="0" xfId="0" applyFont="1"/>
    <xf numFmtId="167" fontId="20" fillId="0" borderId="0" xfId="2599" applyNumberFormat="1" applyFont="1"/>
    <xf numFmtId="167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7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7" fontId="25" fillId="37" borderId="0" xfId="2599" applyNumberFormat="1" applyFont="1" applyFill="1"/>
    <xf numFmtId="167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7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7" fontId="25" fillId="0" borderId="15" xfId="2599" applyNumberFormat="1" applyFont="1" applyBorder="1"/>
    <xf numFmtId="167" fontId="25" fillId="0" borderId="22" xfId="2599" applyNumberFormat="1" applyFont="1" applyBorder="1"/>
    <xf numFmtId="167" fontId="20" fillId="38" borderId="11" xfId="2599" applyNumberFormat="1" applyFont="1" applyFill="1" applyBorder="1"/>
    <xf numFmtId="167" fontId="20" fillId="38" borderId="21" xfId="2599" applyNumberFormat="1" applyFont="1" applyFill="1" applyBorder="1"/>
    <xf numFmtId="167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3" xfId="2601" applyNumberFormat="1" applyFont="1" applyBorder="1"/>
    <xf numFmtId="0" fontId="20" fillId="0" borderId="44" xfId="0" applyFont="1" applyBorder="1" applyAlignment="1">
      <alignment horizontal="center" vertical="center" wrapText="1"/>
    </xf>
    <xf numFmtId="167" fontId="25" fillId="0" borderId="41" xfId="2599" applyNumberFormat="1" applyFont="1" applyBorder="1"/>
    <xf numFmtId="43" fontId="25" fillId="0" borderId="21" xfId="2599" applyFont="1" applyBorder="1"/>
    <xf numFmtId="167" fontId="22" fillId="35" borderId="11" xfId="2599" applyNumberFormat="1" applyFont="1" applyFill="1" applyBorder="1"/>
    <xf numFmtId="167" fontId="25" fillId="0" borderId="17" xfId="2599" applyNumberFormat="1" applyFont="1" applyBorder="1"/>
    <xf numFmtId="167" fontId="25" fillId="0" borderId="18" xfId="2599" applyNumberFormat="1" applyFont="1" applyBorder="1"/>
    <xf numFmtId="167" fontId="25" fillId="0" borderId="45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4" xfId="0" applyFont="1" applyFill="1" applyBorder="1" applyAlignment="1">
      <alignment horizontal="center" vertical="center" wrapText="1"/>
    </xf>
    <xf numFmtId="167" fontId="25" fillId="0" borderId="16" xfId="2599" applyNumberFormat="1" applyFont="1" applyBorder="1"/>
    <xf numFmtId="167" fontId="25" fillId="0" borderId="48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7" fontId="20" fillId="39" borderId="11" xfId="2599" applyNumberFormat="1" applyFont="1" applyFill="1" applyBorder="1"/>
    <xf numFmtId="167" fontId="25" fillId="0" borderId="46" xfId="2599" applyNumberFormat="1" applyFont="1" applyBorder="1"/>
    <xf numFmtId="167" fontId="25" fillId="0" borderId="47" xfId="2599" applyNumberFormat="1" applyFont="1" applyBorder="1"/>
    <xf numFmtId="0" fontId="0" fillId="0" borderId="0" xfId="0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0" fillId="0" borderId="49" xfId="0" applyFont="1" applyBorder="1"/>
    <xf numFmtId="41" fontId="25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center"/>
    </xf>
    <xf numFmtId="167" fontId="19" fillId="0" borderId="0" xfId="0" applyNumberFormat="1" applyFont="1"/>
    <xf numFmtId="0" fontId="20" fillId="0" borderId="55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7" fontId="20" fillId="34" borderId="13" xfId="2599" applyNumberFormat="1" applyFont="1" applyFill="1" applyBorder="1"/>
    <xf numFmtId="0" fontId="20" fillId="0" borderId="50" xfId="0" applyFont="1" applyBorder="1" applyAlignment="1">
      <alignment horizontal="center"/>
    </xf>
    <xf numFmtId="0" fontId="20" fillId="0" borderId="40" xfId="0" applyFont="1" applyBorder="1"/>
    <xf numFmtId="167" fontId="25" fillId="0" borderId="40" xfId="2599" applyNumberFormat="1" applyFont="1" applyBorder="1"/>
    <xf numFmtId="167" fontId="25" fillId="0" borderId="51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7" fontId="20" fillId="38" borderId="53" xfId="2599" applyNumberFormat="1" applyFont="1" applyFill="1" applyBorder="1"/>
    <xf numFmtId="167" fontId="20" fillId="38" borderId="54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44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2" xfId="0" applyFont="1" applyFill="1" applyBorder="1" applyAlignment="1">
      <alignment horizontal="center" vertical="center" wrapText="1"/>
    </xf>
    <xf numFmtId="0" fontId="20" fillId="0" borderId="58" xfId="0" applyFont="1" applyBorder="1" applyAlignment="1">
      <alignment horizontal="center"/>
    </xf>
    <xf numFmtId="167" fontId="25" fillId="0" borderId="57" xfId="2599" applyNumberFormat="1" applyFont="1" applyBorder="1"/>
    <xf numFmtId="167" fontId="25" fillId="0" borderId="62" xfId="2599" applyNumberFormat="1" applyFont="1" applyBorder="1"/>
    <xf numFmtId="167" fontId="25" fillId="0" borderId="59" xfId="2599" applyNumberFormat="1" applyFont="1" applyBorder="1"/>
    <xf numFmtId="43" fontId="0" fillId="0" borderId="0" xfId="0" applyNumberFormat="1"/>
    <xf numFmtId="0" fontId="20" fillId="0" borderId="57" xfId="0" applyFont="1" applyBorder="1"/>
    <xf numFmtId="167" fontId="25" fillId="0" borderId="63" xfId="2599" applyNumberFormat="1" applyFont="1" applyBorder="1"/>
    <xf numFmtId="167" fontId="25" fillId="0" borderId="50" xfId="2599" applyNumberFormat="1" applyFont="1" applyBorder="1"/>
    <xf numFmtId="167" fontId="0" fillId="0" borderId="0" xfId="0" applyNumberFormat="1"/>
    <xf numFmtId="0" fontId="19" fillId="0" borderId="0" xfId="0" applyFont="1"/>
    <xf numFmtId="41" fontId="0" fillId="0" borderId="0" xfId="2601" applyFont="1"/>
    <xf numFmtId="173" fontId="0" fillId="0" borderId="0" xfId="2601" applyNumberFormat="1" applyFont="1"/>
    <xf numFmtId="0" fontId="20" fillId="0" borderId="64" xfId="0" applyFont="1" applyBorder="1" applyAlignment="1">
      <alignment horizontal="center" vertical="center" wrapText="1"/>
    </xf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5" xfId="0" applyFont="1" applyFill="1" applyBorder="1" applyAlignment="1">
      <alignment horizontal="center" vertical="center" wrapText="1"/>
    </xf>
    <xf numFmtId="0" fontId="20" fillId="35" borderId="56" xfId="0" applyFont="1" applyFill="1" applyBorder="1" applyAlignment="1">
      <alignment horizontal="center" vertical="center" wrapText="1"/>
    </xf>
    <xf numFmtId="0" fontId="20" fillId="35" borderId="64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4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8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5" xfId="2604" applyFont="1" applyBorder="1"/>
    <xf numFmtId="41" fontId="22" fillId="40" borderId="11" xfId="2604" applyFont="1" applyFill="1" applyBorder="1"/>
    <xf numFmtId="41" fontId="22" fillId="40" borderId="56" xfId="2604" applyFont="1" applyFill="1" applyBorder="1" applyAlignment="1">
      <alignment horizontal="center"/>
    </xf>
    <xf numFmtId="41" fontId="22" fillId="40" borderId="64" xfId="2604" applyFont="1" applyFill="1" applyBorder="1" applyAlignment="1">
      <alignment horizontal="center"/>
    </xf>
    <xf numFmtId="0" fontId="22" fillId="0" borderId="0" xfId="2" applyFont="1"/>
    <xf numFmtId="41" fontId="0" fillId="0" borderId="53" xfId="2604" applyFont="1" applyBorder="1"/>
    <xf numFmtId="41" fontId="0" fillId="0" borderId="54" xfId="2604" applyFont="1" applyBorder="1"/>
    <xf numFmtId="41" fontId="0" fillId="0" borderId="67" xfId="2604" applyFont="1" applyBorder="1" applyAlignment="1">
      <alignment horizontal="right"/>
    </xf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4" xfId="2604" applyFont="1" applyFill="1" applyBorder="1" applyAlignment="1">
      <alignment horizontal="center"/>
    </xf>
    <xf numFmtId="0" fontId="22" fillId="34" borderId="0" xfId="2" applyFont="1" applyFill="1"/>
    <xf numFmtId="41" fontId="0" fillId="0" borderId="58" xfId="2604" applyFont="1" applyBorder="1"/>
    <xf numFmtId="41" fontId="0" fillId="0" borderId="59" xfId="2604" applyFont="1" applyBorder="1"/>
    <xf numFmtId="41" fontId="22" fillId="39" borderId="19" xfId="2604" applyFont="1" applyFill="1" applyBorder="1"/>
    <xf numFmtId="41" fontId="22" fillId="39" borderId="44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0" fillId="37" borderId="0" xfId="0" applyFill="1"/>
    <xf numFmtId="174" fontId="20" fillId="0" borderId="0" xfId="0" applyNumberFormat="1" applyFont="1" applyAlignment="1">
      <alignment horizontal="right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0" fillId="34" borderId="0" xfId="0" applyNumberFormat="1" applyFill="1"/>
    <xf numFmtId="0" fontId="56" fillId="0" borderId="7" xfId="0" applyFont="1" applyBorder="1"/>
    <xf numFmtId="0" fontId="56" fillId="0" borderId="8" xfId="0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45" borderId="23" xfId="2604" applyFont="1" applyFill="1" applyBorder="1" applyAlignment="1">
      <alignment horizontal="right"/>
    </xf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5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0" xfId="2599" applyNumberFormat="1" applyFont="1" applyBorder="1"/>
    <xf numFmtId="175" fontId="25" fillId="0" borderId="40" xfId="2599" applyNumberFormat="1" applyFont="1" applyBorder="1"/>
    <xf numFmtId="175" fontId="25" fillId="0" borderId="51" xfId="2599" applyNumberFormat="1" applyFont="1" applyBorder="1"/>
    <xf numFmtId="175" fontId="25" fillId="0" borderId="46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3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8" xfId="2599" applyNumberFormat="1" applyFont="1" applyBorder="1"/>
    <xf numFmtId="175" fontId="25" fillId="0" borderId="47" xfId="2599" applyNumberFormat="1" applyFont="1" applyBorder="1"/>
    <xf numFmtId="175" fontId="25" fillId="0" borderId="22" xfId="2599" applyNumberFormat="1" applyFont="1" applyBorder="1"/>
    <xf numFmtId="175" fontId="25" fillId="0" borderId="42" xfId="2599" applyNumberFormat="1" applyFont="1" applyBorder="1"/>
    <xf numFmtId="175" fontId="20" fillId="38" borderId="54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0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0" xfId="2599" applyNumberFormat="1" applyFont="1" applyBorder="1"/>
    <xf numFmtId="175" fontId="20" fillId="0" borderId="58" xfId="0" applyNumberFormat="1" applyFont="1" applyBorder="1" applyAlignment="1">
      <alignment horizontal="center"/>
    </xf>
    <xf numFmtId="175" fontId="20" fillId="0" borderId="57" xfId="0" applyNumberFormat="1" applyFont="1" applyBorder="1"/>
    <xf numFmtId="175" fontId="25" fillId="0" borderId="62" xfId="2599" applyNumberFormat="1" applyFont="1" applyBorder="1"/>
    <xf numFmtId="175" fontId="25" fillId="0" borderId="63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5" xfId="2599" applyNumberFormat="1" applyFont="1" applyBorder="1"/>
    <xf numFmtId="175" fontId="20" fillId="0" borderId="49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7" xfId="2599" applyNumberFormat="1" applyFont="1" applyBorder="1"/>
    <xf numFmtId="175" fontId="25" fillId="0" borderId="61" xfId="2599" applyNumberFormat="1" applyFont="1" applyBorder="1"/>
    <xf numFmtId="175" fontId="25" fillId="0" borderId="59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3" xfId="2601" applyNumberFormat="1" applyFont="1" applyBorder="1"/>
    <xf numFmtId="175" fontId="20" fillId="0" borderId="69" xfId="0" applyNumberFormat="1" applyFont="1" applyBorder="1"/>
    <xf numFmtId="175" fontId="20" fillId="0" borderId="68" xfId="0" applyNumberFormat="1" applyFont="1" applyBorder="1"/>
    <xf numFmtId="41" fontId="25" fillId="0" borderId="43" xfId="2601" applyFont="1" applyBorder="1"/>
    <xf numFmtId="0" fontId="20" fillId="0" borderId="52" xfId="0" applyFont="1" applyBorder="1" applyAlignment="1">
      <alignment horizontal="center" vertical="center" wrapText="1"/>
    </xf>
    <xf numFmtId="167" fontId="25" fillId="0" borderId="70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7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7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5" xfId="2611" applyFont="1" applyFill="1" applyBorder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64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0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7" fontId="25" fillId="0" borderId="0" xfId="2602" applyNumberFormat="1" applyFont="1"/>
    <xf numFmtId="167" fontId="20" fillId="39" borderId="11" xfId="2602" applyNumberFormat="1" applyFont="1" applyFill="1" applyBorder="1"/>
    <xf numFmtId="167" fontId="25" fillId="0" borderId="2" xfId="2602" applyNumberFormat="1" applyFont="1" applyBorder="1"/>
    <xf numFmtId="167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7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1" xfId="2612" applyNumberFormat="1" applyFont="1" applyBorder="1"/>
    <xf numFmtId="175" fontId="25" fillId="0" borderId="48" xfId="2612" applyNumberFormat="1" applyFont="1" applyBorder="1"/>
    <xf numFmtId="175" fontId="20" fillId="34" borderId="18" xfId="2602" applyNumberFormat="1" applyFont="1" applyFill="1" applyBorder="1"/>
    <xf numFmtId="175" fontId="25" fillId="0" borderId="45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7" fontId="25" fillId="33" borderId="0" xfId="2602" applyNumberFormat="1" applyFont="1" applyFill="1"/>
    <xf numFmtId="0" fontId="49" fillId="33" borderId="0" xfId="0" applyFont="1" applyFill="1"/>
    <xf numFmtId="0" fontId="58" fillId="58" borderId="0" xfId="0" applyFont="1" applyFill="1"/>
    <xf numFmtId="0" fontId="59" fillId="58" borderId="0" xfId="0" applyFont="1" applyFill="1"/>
    <xf numFmtId="0" fontId="60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8" fillId="37" borderId="0" xfId="0" applyFont="1" applyFill="1"/>
    <xf numFmtId="0" fontId="59" fillId="37" borderId="0" xfId="0" applyFont="1" applyFill="1"/>
    <xf numFmtId="0" fontId="60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41" fontId="41" fillId="34" borderId="44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4" xfId="0" applyFont="1" applyBorder="1"/>
    <xf numFmtId="41" fontId="41" fillId="38" borderId="19" xfId="2601" applyFont="1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40" xfId="0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4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3" xfId="2601" applyFont="1" applyBorder="1"/>
    <xf numFmtId="41" fontId="0" fillId="0" borderId="57" xfId="2601" applyFont="1" applyBorder="1"/>
    <xf numFmtId="41" fontId="41" fillId="34" borderId="63" xfId="2601" applyFont="1" applyFill="1" applyBorder="1"/>
    <xf numFmtId="41" fontId="0" fillId="55" borderId="18" xfId="2601" applyFont="1" applyFill="1" applyBorder="1"/>
    <xf numFmtId="41" fontId="41" fillId="34" borderId="72" xfId="2601" applyFont="1" applyFill="1" applyBorder="1"/>
    <xf numFmtId="41" fontId="41" fillId="55" borderId="50" xfId="2601" applyFont="1" applyFill="1" applyBorder="1" applyAlignment="1">
      <alignment horizontal="left"/>
    </xf>
    <xf numFmtId="41" fontId="0" fillId="55" borderId="56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7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7" fontId="25" fillId="0" borderId="0" xfId="2602" applyNumberFormat="1" applyFont="1" applyFill="1"/>
    <xf numFmtId="0" fontId="20" fillId="0" borderId="73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 wrapText="1"/>
    </xf>
    <xf numFmtId="172" fontId="25" fillId="0" borderId="50" xfId="2604" applyNumberFormat="1" applyFont="1" applyBorder="1"/>
    <xf numFmtId="172" fontId="25" fillId="0" borderId="74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1" fillId="0" borderId="33" xfId="0" applyFont="1" applyBorder="1" applyAlignment="1">
      <alignment horizontal="center" vertical="center" wrapText="1"/>
    </xf>
    <xf numFmtId="0" fontId="22" fillId="0" borderId="75" xfId="0" applyFont="1" applyBorder="1" applyAlignment="1">
      <alignment horizontal="center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9" fontId="61" fillId="0" borderId="5" xfId="0" applyNumberFormat="1" applyFont="1" applyBorder="1" applyAlignment="1">
      <alignment horizontal="center"/>
    </xf>
    <xf numFmtId="9" fontId="61" fillId="0" borderId="11" xfId="0" applyNumberFormat="1" applyFont="1" applyBorder="1" applyAlignment="1">
      <alignment horizontal="center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6" xfId="2601" applyNumberFormat="1" applyFont="1" applyBorder="1"/>
    <xf numFmtId="175" fontId="25" fillId="0" borderId="76" xfId="2601" applyNumberFormat="1" applyFont="1" applyBorder="1"/>
    <xf numFmtId="175" fontId="25" fillId="0" borderId="70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5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6" xfId="0" applyFont="1" applyFill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0" fontId="61" fillId="0" borderId="52" xfId="0" applyFont="1" applyBorder="1" applyAlignment="1">
      <alignment horizontal="center" vertical="center"/>
    </xf>
    <xf numFmtId="17" fontId="61" fillId="59" borderId="5" xfId="0" applyNumberFormat="1" applyFont="1" applyFill="1" applyBorder="1" applyAlignment="1">
      <alignment horizontal="center" vertical="center" wrapText="1"/>
    </xf>
    <xf numFmtId="17" fontId="61" fillId="59" borderId="11" xfId="0" applyNumberFormat="1" applyFont="1" applyFill="1" applyBorder="1" applyAlignment="1">
      <alignment horizontal="center" vertical="center" wrapText="1"/>
    </xf>
    <xf numFmtId="17" fontId="61" fillId="0" borderId="11" xfId="0" applyNumberFormat="1" applyFont="1" applyBorder="1" applyAlignment="1">
      <alignment horizontal="center" vertical="center" wrapText="1"/>
    </xf>
    <xf numFmtId="17" fontId="61" fillId="0" borderId="52" xfId="0" applyNumberFormat="1" applyFont="1" applyBorder="1" applyAlignment="1">
      <alignment horizontal="center" vertical="center" wrapText="1"/>
    </xf>
    <xf numFmtId="41" fontId="25" fillId="0" borderId="0" xfId="2601" applyFont="1"/>
    <xf numFmtId="179" fontId="25" fillId="0" borderId="0" xfId="0" applyNumberFormat="1" applyFont="1"/>
    <xf numFmtId="43" fontId="25" fillId="0" borderId="0" xfId="2615" applyFont="1"/>
    <xf numFmtId="181" fontId="0" fillId="34" borderId="0" xfId="2601" applyNumberFormat="1" applyFont="1" applyFill="1"/>
    <xf numFmtId="180" fontId="64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7" fontId="0" fillId="0" borderId="0" xfId="2615" applyNumberFormat="1" applyFont="1"/>
    <xf numFmtId="175" fontId="25" fillId="0" borderId="75" xfId="2599" applyNumberFormat="1" applyFont="1" applyBorder="1"/>
    <xf numFmtId="175" fontId="25" fillId="0" borderId="80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2" xfId="2599" applyNumberFormat="1" applyFont="1" applyBorder="1"/>
    <xf numFmtId="175" fontId="25" fillId="0" borderId="10" xfId="2599" applyNumberFormat="1" applyFont="1" applyBorder="1"/>
    <xf numFmtId="0" fontId="65" fillId="0" borderId="0" xfId="2617"/>
    <xf numFmtId="49" fontId="65" fillId="0" borderId="3" xfId="2617" applyNumberFormat="1" applyBorder="1"/>
    <xf numFmtId="183" fontId="65" fillId="0" borderId="0" xfId="2617" applyNumberFormat="1"/>
    <xf numFmtId="167" fontId="25" fillId="0" borderId="0" xfId="2599" applyNumberFormat="1" applyFont="1" applyAlignment="1"/>
    <xf numFmtId="167" fontId="25" fillId="0" borderId="0" xfId="2602" applyNumberFormat="1" applyFont="1" applyBorder="1"/>
    <xf numFmtId="49" fontId="0" fillId="0" borderId="3" xfId="0" applyNumberFormat="1" applyBorder="1"/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5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6" fillId="0" borderId="3" xfId="2617" quotePrefix="1" applyNumberFormat="1" applyFont="1" applyBorder="1"/>
    <xf numFmtId="4" fontId="65" fillId="0" borderId="3" xfId="2617" quotePrefix="1" applyNumberFormat="1" applyBorder="1"/>
    <xf numFmtId="4" fontId="65" fillId="0" borderId="0" xfId="2617" applyNumberFormat="1"/>
    <xf numFmtId="164" fontId="65" fillId="0" borderId="0" xfId="2617" applyNumberFormat="1"/>
    <xf numFmtId="4" fontId="66" fillId="0" borderId="3" xfId="2617" applyNumberFormat="1" applyFont="1" applyBorder="1"/>
    <xf numFmtId="0" fontId="66" fillId="0" borderId="0" xfId="2617" applyFont="1"/>
    <xf numFmtId="167" fontId="25" fillId="0" borderId="0" xfId="2615" applyNumberFormat="1" applyFont="1"/>
    <xf numFmtId="49" fontId="67" fillId="0" borderId="3" xfId="0" applyNumberFormat="1" applyFont="1" applyBorder="1" applyAlignment="1">
      <alignment horizontal="center" vertical="center"/>
    </xf>
    <xf numFmtId="49" fontId="67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5" fillId="0" borderId="3" xfId="2617" applyNumberFormat="1" applyBorder="1"/>
    <xf numFmtId="173" fontId="55" fillId="0" borderId="0" xfId="2604" applyNumberFormat="1" applyFont="1"/>
    <xf numFmtId="173" fontId="61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3" xfId="2603" applyFont="1" applyBorder="1" applyAlignment="1">
      <alignment horizontal="center"/>
    </xf>
    <xf numFmtId="41" fontId="55" fillId="59" borderId="71" xfId="2604" applyFont="1" applyFill="1" applyBorder="1"/>
    <xf numFmtId="41" fontId="55" fillId="59" borderId="42" xfId="2604" applyFont="1" applyFill="1" applyBorder="1"/>
    <xf numFmtId="41" fontId="55" fillId="0" borderId="42" xfId="2604" applyFont="1" applyFill="1" applyBorder="1"/>
    <xf numFmtId="41" fontId="55" fillId="0" borderId="47" xfId="2604" applyFont="1" applyFill="1" applyBorder="1"/>
    <xf numFmtId="9" fontId="55" fillId="0" borderId="54" xfId="2603" applyFont="1" applyBorder="1" applyAlignment="1">
      <alignment horizontal="center"/>
    </xf>
    <xf numFmtId="41" fontId="55" fillId="59" borderId="54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7" xfId="2603" applyFont="1" applyBorder="1" applyAlignment="1">
      <alignment horizontal="center"/>
    </xf>
    <xf numFmtId="41" fontId="55" fillId="59" borderId="78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79" xfId="2604" applyFont="1" applyFill="1" applyBorder="1"/>
    <xf numFmtId="172" fontId="61" fillId="36" borderId="11" xfId="2604" applyNumberFormat="1" applyFont="1" applyFill="1" applyBorder="1"/>
    <xf numFmtId="41" fontId="61" fillId="59" borderId="11" xfId="2604" applyFont="1" applyFill="1" applyBorder="1"/>
    <xf numFmtId="41" fontId="61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8" xfId="2604" applyFont="1" applyFill="1" applyBorder="1"/>
    <xf numFmtId="41" fontId="19" fillId="0" borderId="3" xfId="2604" applyFont="1" applyBorder="1"/>
    <xf numFmtId="41" fontId="55" fillId="36" borderId="45" xfId="2604" applyFont="1" applyFill="1" applyBorder="1"/>
    <xf numFmtId="41" fontId="19" fillId="0" borderId="3" xfId="2604" applyFont="1" applyFill="1" applyBorder="1"/>
    <xf numFmtId="41" fontId="61" fillId="36" borderId="11" xfId="2604" applyFont="1" applyFill="1" applyBorder="1"/>
    <xf numFmtId="41" fontId="22" fillId="0" borderId="3" xfId="2604" applyFont="1" applyBorder="1"/>
    <xf numFmtId="167" fontId="0" fillId="0" borderId="0" xfId="2598" applyNumberFormat="1" applyFont="1"/>
    <xf numFmtId="41" fontId="0" fillId="34" borderId="3" xfId="0" applyNumberFormat="1" applyFill="1" applyBorder="1"/>
    <xf numFmtId="41" fontId="65" fillId="0" borderId="0" xfId="2617" applyNumberFormat="1"/>
    <xf numFmtId="41" fontId="65" fillId="0" borderId="3" xfId="2617" applyNumberFormat="1" applyBorder="1"/>
    <xf numFmtId="165" fontId="65" fillId="0" borderId="0" xfId="2617" applyNumberFormat="1"/>
    <xf numFmtId="187" fontId="65" fillId="0" borderId="0" xfId="0" applyNumberFormat="1" applyFont="1" applyAlignment="1">
      <alignment vertical="center"/>
    </xf>
    <xf numFmtId="0" fontId="22" fillId="36" borderId="0" xfId="0" applyFont="1" applyFill="1"/>
    <xf numFmtId="0" fontId="20" fillId="34" borderId="3" xfId="0" applyFont="1" applyFill="1" applyBorder="1" applyAlignment="1">
      <alignment horizontal="center" vertical="center" wrapText="1"/>
    </xf>
    <xf numFmtId="190" fontId="65" fillId="0" borderId="3" xfId="2617" applyNumberFormat="1" applyBorder="1"/>
    <xf numFmtId="191" fontId="65" fillId="0" borderId="3" xfId="2617" applyNumberFormat="1" applyBorder="1"/>
    <xf numFmtId="192" fontId="25" fillId="0" borderId="0" xfId="2599" applyNumberFormat="1" applyFont="1"/>
    <xf numFmtId="193" fontId="65" fillId="0" borderId="3" xfId="2617" applyNumberFormat="1" applyBorder="1"/>
    <xf numFmtId="194" fontId="0" fillId="0" borderId="3" xfId="0" applyNumberFormat="1" applyBorder="1"/>
    <xf numFmtId="41" fontId="0" fillId="0" borderId="71" xfId="2604" applyFont="1" applyBorder="1"/>
    <xf numFmtId="173" fontId="61" fillId="34" borderId="11" xfId="2601" applyNumberFormat="1" applyFont="1" applyFill="1" applyBorder="1" applyAlignment="1">
      <alignment horizontal="center" vertical="center" wrapText="1"/>
    </xf>
    <xf numFmtId="43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0" fontId="56" fillId="0" borderId="1" xfId="0" applyFont="1" applyBorder="1"/>
    <xf numFmtId="0" fontId="0" fillId="34" borderId="0" xfId="0" applyFill="1" applyAlignment="1">
      <alignment horizontal="right"/>
    </xf>
    <xf numFmtId="0" fontId="70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41" fontId="0" fillId="0" borderId="62" xfId="2601" applyFont="1" applyBorder="1"/>
    <xf numFmtId="41" fontId="19" fillId="51" borderId="0" xfId="2604" applyFont="1" applyFill="1"/>
    <xf numFmtId="167" fontId="19" fillId="0" borderId="0" xfId="2615" applyNumberFormat="1" applyFont="1"/>
    <xf numFmtId="0" fontId="61" fillId="50" borderId="11" xfId="0" applyFont="1" applyFill="1" applyBorder="1" applyAlignment="1">
      <alignment horizontal="center" vertical="center"/>
    </xf>
    <xf numFmtId="41" fontId="55" fillId="0" borderId="0" xfId="2601" applyFont="1"/>
    <xf numFmtId="0" fontId="61" fillId="34" borderId="5" xfId="0" applyFont="1" applyFill="1" applyBorder="1" applyAlignment="1">
      <alignment horizontal="center" vertical="center"/>
    </xf>
    <xf numFmtId="41" fontId="0" fillId="0" borderId="57" xfId="2601" applyFont="1" applyBorder="1" applyAlignment="1">
      <alignment vertical="top"/>
    </xf>
    <xf numFmtId="41" fontId="22" fillId="40" borderId="44" xfId="2601" applyFont="1" applyFill="1" applyBorder="1" applyAlignment="1">
      <alignment vertical="top"/>
    </xf>
    <xf numFmtId="41" fontId="22" fillId="40" borderId="3" xfId="2601" applyFont="1" applyFill="1" applyBorder="1" applyAlignment="1">
      <alignment vertical="top"/>
    </xf>
    <xf numFmtId="41" fontId="22" fillId="40" borderId="57" xfId="2601" applyFont="1" applyFill="1" applyBorder="1" applyAlignment="1">
      <alignment vertical="top"/>
    </xf>
    <xf numFmtId="0" fontId="71" fillId="36" borderId="11" xfId="0" applyFont="1" applyFill="1" applyBorder="1"/>
    <xf numFmtId="41" fontId="22" fillId="62" borderId="3" xfId="0" applyNumberFormat="1" applyFont="1" applyFill="1" applyBorder="1"/>
    <xf numFmtId="41" fontId="22" fillId="62" borderId="3" xfId="2601" applyFont="1" applyFill="1" applyBorder="1"/>
    <xf numFmtId="0" fontId="62" fillId="0" borderId="0" xfId="0" applyFont="1"/>
    <xf numFmtId="0" fontId="51" fillId="37" borderId="0" xfId="0" applyFont="1" applyFill="1"/>
    <xf numFmtId="0" fontId="51" fillId="52" borderId="0" xfId="0" applyFont="1" applyFill="1"/>
    <xf numFmtId="41" fontId="41" fillId="38" borderId="56" xfId="2601" applyFont="1" applyFill="1" applyBorder="1" applyAlignment="1">
      <alignment horizontal="center"/>
    </xf>
    <xf numFmtId="41" fontId="41" fillId="34" borderId="64" xfId="2601" applyFont="1" applyFill="1" applyBorder="1" applyAlignment="1">
      <alignment horizontal="center"/>
    </xf>
    <xf numFmtId="41" fontId="41" fillId="34" borderId="11" xfId="2601" applyFont="1" applyFill="1" applyBorder="1" applyAlignment="1">
      <alignment horizontal="center"/>
    </xf>
    <xf numFmtId="4" fontId="72" fillId="0" borderId="0" xfId="0" applyNumberFormat="1" applyFont="1"/>
    <xf numFmtId="0" fontId="24" fillId="37" borderId="0" xfId="0" applyFont="1" applyFill="1"/>
    <xf numFmtId="0" fontId="24" fillId="0" borderId="0" xfId="0" applyFont="1" applyAlignment="1">
      <alignment vertical="top"/>
    </xf>
    <xf numFmtId="0" fontId="73" fillId="36" borderId="0" xfId="0" applyFont="1" applyFill="1" applyAlignment="1">
      <alignment wrapText="1"/>
    </xf>
    <xf numFmtId="4" fontId="24" fillId="0" borderId="0" xfId="0" applyNumberFormat="1" applyFont="1" applyAlignment="1">
      <alignment vertical="top"/>
    </xf>
    <xf numFmtId="0" fontId="24" fillId="35" borderId="0" xfId="0" applyFont="1" applyFill="1"/>
    <xf numFmtId="0" fontId="24" fillId="35" borderId="0" xfId="0" applyFont="1" applyFill="1" applyAlignment="1">
      <alignment vertical="top"/>
    </xf>
    <xf numFmtId="4" fontId="24" fillId="35" borderId="0" xfId="0" applyNumberFormat="1" applyFont="1" applyFill="1" applyAlignment="1">
      <alignment vertical="top"/>
    </xf>
    <xf numFmtId="0" fontId="24" fillId="33" borderId="0" xfId="0" applyFont="1" applyFill="1"/>
    <xf numFmtId="0" fontId="24" fillId="33" borderId="0" xfId="0" applyFont="1" applyFill="1" applyAlignment="1">
      <alignment vertical="top"/>
    </xf>
    <xf numFmtId="4" fontId="24" fillId="33" borderId="0" xfId="0" applyNumberFormat="1" applyFont="1" applyFill="1" applyAlignment="1">
      <alignment vertical="top"/>
    </xf>
    <xf numFmtId="0" fontId="24" fillId="57" borderId="0" xfId="0" applyFont="1" applyFill="1"/>
    <xf numFmtId="0" fontId="24" fillId="54" borderId="0" xfId="0" applyFont="1" applyFill="1"/>
    <xf numFmtId="0" fontId="24" fillId="54" borderId="0" xfId="0" applyFont="1" applyFill="1" applyAlignment="1">
      <alignment vertical="top"/>
    </xf>
    <xf numFmtId="4" fontId="24" fillId="54" borderId="0" xfId="0" applyNumberFormat="1" applyFont="1" applyFill="1" applyAlignment="1">
      <alignment vertical="top"/>
    </xf>
    <xf numFmtId="0" fontId="24" fillId="41" borderId="0" xfId="0" applyFont="1" applyFill="1"/>
    <xf numFmtId="0" fontId="24" fillId="41" borderId="0" xfId="0" applyFont="1" applyFill="1" applyAlignment="1">
      <alignment vertical="top"/>
    </xf>
    <xf numFmtId="4" fontId="24" fillId="41" borderId="0" xfId="0" applyNumberFormat="1" applyFont="1" applyFill="1" applyAlignment="1">
      <alignment vertical="top"/>
    </xf>
    <xf numFmtId="41" fontId="24" fillId="0" borderId="0" xfId="2601" applyFont="1"/>
    <xf numFmtId="43" fontId="24" fillId="0" borderId="0" xfId="0" applyNumberFormat="1" applyFont="1"/>
    <xf numFmtId="0" fontId="5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49" borderId="0" xfId="0" applyFont="1" applyFill="1" applyAlignment="1">
      <alignment vertical="top"/>
    </xf>
    <xf numFmtId="4" fontId="24" fillId="49" borderId="0" xfId="0" applyNumberFormat="1" applyFont="1" applyFill="1" applyAlignment="1">
      <alignment vertical="top"/>
    </xf>
    <xf numFmtId="0" fontId="24" fillId="46" borderId="0" xfId="0" applyFont="1" applyFill="1" applyAlignment="1">
      <alignment vertical="top"/>
    </xf>
    <xf numFmtId="4" fontId="24" fillId="46" borderId="0" xfId="0" applyNumberFormat="1" applyFont="1" applyFill="1" applyAlignment="1">
      <alignment vertical="top"/>
    </xf>
    <xf numFmtId="0" fontId="24" fillId="47" borderId="0" xfId="0" applyFont="1" applyFill="1" applyAlignment="1">
      <alignment vertical="top"/>
    </xf>
    <xf numFmtId="4" fontId="24" fillId="47" borderId="0" xfId="0" applyNumberFormat="1" applyFont="1" applyFill="1" applyAlignment="1">
      <alignment vertical="top"/>
    </xf>
    <xf numFmtId="0" fontId="24" fillId="39" borderId="0" xfId="0" applyFont="1" applyFill="1" applyAlignment="1">
      <alignment vertical="top"/>
    </xf>
    <xf numFmtId="4" fontId="24" fillId="39" borderId="0" xfId="0" applyNumberFormat="1" applyFont="1" applyFill="1" applyAlignment="1">
      <alignment vertical="top"/>
    </xf>
    <xf numFmtId="4" fontId="24" fillId="0" borderId="0" xfId="0" applyNumberFormat="1" applyFont="1"/>
    <xf numFmtId="0" fontId="24" fillId="53" borderId="0" xfId="0" applyFont="1" applyFill="1" applyAlignment="1">
      <alignment vertical="top"/>
    </xf>
    <xf numFmtId="4" fontId="24" fillId="53" borderId="0" xfId="0" applyNumberFormat="1" applyFont="1" applyFill="1" applyAlignment="1">
      <alignment vertical="top"/>
    </xf>
    <xf numFmtId="0" fontId="24" fillId="43" borderId="0" xfId="0" applyFont="1" applyFill="1" applyAlignment="1">
      <alignment vertical="top"/>
    </xf>
    <xf numFmtId="4" fontId="24" fillId="43" borderId="0" xfId="0" applyNumberFormat="1" applyFont="1" applyFill="1" applyAlignment="1">
      <alignment vertical="top"/>
    </xf>
    <xf numFmtId="0" fontId="24" fillId="50" borderId="0" xfId="0" applyFont="1" applyFill="1" applyAlignment="1">
      <alignment vertical="top"/>
    </xf>
    <xf numFmtId="4" fontId="24" fillId="50" borderId="0" xfId="0" applyNumberFormat="1" applyFont="1" applyFill="1" applyAlignment="1">
      <alignment vertical="top"/>
    </xf>
    <xf numFmtId="0" fontId="51" fillId="0" borderId="0" xfId="0" applyFont="1" applyAlignment="1">
      <alignment horizontal="center" vertical="center" wrapText="1"/>
    </xf>
    <xf numFmtId="0" fontId="24" fillId="48" borderId="0" xfId="0" applyFont="1" applyFill="1" applyAlignment="1">
      <alignment vertical="top"/>
    </xf>
    <xf numFmtId="4" fontId="24" fillId="48" borderId="0" xfId="0" applyNumberFormat="1" applyFont="1" applyFill="1" applyAlignment="1">
      <alignment vertical="top"/>
    </xf>
    <xf numFmtId="0" fontId="24" fillId="44" borderId="0" xfId="0" applyFont="1" applyFill="1" applyAlignment="1">
      <alignment vertical="top"/>
    </xf>
    <xf numFmtId="4" fontId="24" fillId="44" borderId="0" xfId="0" applyNumberFormat="1" applyFont="1" applyFill="1" applyAlignment="1">
      <alignment vertical="top"/>
    </xf>
    <xf numFmtId="0" fontId="24" fillId="57" borderId="0" xfId="0" applyFont="1" applyFill="1" applyAlignment="1">
      <alignment vertical="top"/>
    </xf>
    <xf numFmtId="4" fontId="24" fillId="57" borderId="0" xfId="0" applyNumberFormat="1" applyFont="1" applyFill="1" applyAlignment="1">
      <alignment vertical="top"/>
    </xf>
    <xf numFmtId="0" fontId="24" fillId="46" borderId="0" xfId="0" applyFont="1" applyFill="1"/>
    <xf numFmtId="0" fontId="24" fillId="48" borderId="0" xfId="0" applyFont="1" applyFill="1"/>
    <xf numFmtId="0" fontId="51" fillId="0" borderId="0" xfId="0" applyFont="1" applyAlignment="1">
      <alignment vertical="top"/>
    </xf>
    <xf numFmtId="4" fontId="24" fillId="57" borderId="0" xfId="0" applyNumberFormat="1" applyFont="1" applyFill="1"/>
    <xf numFmtId="4" fontId="74" fillId="0" borderId="0" xfId="0" applyNumberFormat="1" applyFont="1" applyAlignment="1">
      <alignment wrapText="1"/>
    </xf>
    <xf numFmtId="4" fontId="24" fillId="46" borderId="0" xfId="0" applyNumberFormat="1" applyFont="1" applyFill="1"/>
    <xf numFmtId="4" fontId="24" fillId="48" borderId="0" xfId="0" applyNumberFormat="1" applyFont="1" applyFill="1"/>
    <xf numFmtId="0" fontId="51" fillId="36" borderId="0" xfId="0" applyFont="1" applyFill="1" applyAlignment="1">
      <alignment vertical="top"/>
    </xf>
    <xf numFmtId="173" fontId="24" fillId="0" borderId="0" xfId="2601" applyNumberFormat="1" applyFont="1"/>
    <xf numFmtId="0" fontId="51" fillId="34" borderId="0" xfId="0" applyFont="1" applyFill="1"/>
    <xf numFmtId="4" fontId="24" fillId="35" borderId="0" xfId="0" applyNumberFormat="1" applyFont="1" applyFill="1"/>
    <xf numFmtId="4" fontId="24" fillId="33" borderId="0" xfId="0" applyNumberFormat="1" applyFont="1" applyFill="1"/>
    <xf numFmtId="4" fontId="24" fillId="41" borderId="0" xfId="0" applyNumberFormat="1" applyFont="1" applyFill="1"/>
    <xf numFmtId="4" fontId="24" fillId="0" borderId="0" xfId="2601" applyNumberFormat="1" applyFont="1"/>
    <xf numFmtId="184" fontId="24" fillId="0" borderId="0" xfId="0" applyNumberFormat="1" applyFont="1"/>
    <xf numFmtId="184" fontId="51" fillId="0" borderId="0" xfId="0" applyNumberFormat="1" applyFont="1"/>
    <xf numFmtId="184" fontId="24" fillId="0" borderId="0" xfId="0" applyNumberFormat="1" applyFont="1" applyAlignment="1">
      <alignment vertical="top"/>
    </xf>
    <xf numFmtId="184" fontId="24" fillId="55" borderId="0" xfId="0" applyNumberFormat="1" applyFont="1" applyFill="1"/>
    <xf numFmtId="184" fontId="24" fillId="55" borderId="0" xfId="0" applyNumberFormat="1" applyFont="1" applyFill="1" applyAlignment="1">
      <alignment vertical="top"/>
    </xf>
    <xf numFmtId="184" fontId="24" fillId="54" borderId="0" xfId="0" applyNumberFormat="1" applyFont="1" applyFill="1"/>
    <xf numFmtId="184" fontId="24" fillId="54" borderId="0" xfId="0" applyNumberFormat="1" applyFont="1" applyFill="1" applyAlignment="1">
      <alignment vertical="top"/>
    </xf>
    <xf numFmtId="184" fontId="24" fillId="38" borderId="0" xfId="0" applyNumberFormat="1" applyFont="1" applyFill="1"/>
    <xf numFmtId="184" fontId="24" fillId="38" borderId="0" xfId="0" applyNumberFormat="1" applyFont="1" applyFill="1" applyAlignment="1">
      <alignment vertical="top"/>
    </xf>
    <xf numFmtId="184" fontId="24" fillId="33" borderId="0" xfId="0" applyNumberFormat="1" applyFont="1" applyFill="1"/>
    <xf numFmtId="184" fontId="24" fillId="33" borderId="0" xfId="0" applyNumberFormat="1" applyFont="1" applyFill="1" applyAlignment="1">
      <alignment vertical="top"/>
    </xf>
    <xf numFmtId="184" fontId="24" fillId="41" borderId="0" xfId="0" applyNumberFormat="1" applyFont="1" applyFill="1" applyAlignment="1">
      <alignment vertical="top"/>
    </xf>
    <xf numFmtId="184" fontId="24" fillId="41" borderId="0" xfId="0" applyNumberFormat="1" applyFont="1" applyFill="1"/>
    <xf numFmtId="184" fontId="51" fillId="0" borderId="0" xfId="0" applyNumberFormat="1" applyFont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24" fillId="42" borderId="0" xfId="0" applyNumberFormat="1" applyFont="1" applyFill="1" applyAlignment="1">
      <alignment vertical="top"/>
    </xf>
    <xf numFmtId="184" fontId="24" fillId="46" borderId="0" xfId="0" applyNumberFormat="1" applyFont="1" applyFill="1" applyAlignment="1">
      <alignment vertical="top"/>
    </xf>
    <xf numFmtId="184" fontId="24" fillId="39" borderId="0" xfId="0" applyNumberFormat="1" applyFont="1" applyFill="1" applyAlignment="1">
      <alignment vertical="top"/>
    </xf>
    <xf numFmtId="184" fontId="24" fillId="53" borderId="0" xfId="0" applyNumberFormat="1" applyFont="1" applyFill="1" applyAlignment="1">
      <alignment vertical="top"/>
    </xf>
    <xf numFmtId="184" fontId="24" fillId="48" borderId="0" xfId="0" applyNumberFormat="1" applyFont="1" applyFill="1" applyAlignment="1">
      <alignment vertical="top"/>
    </xf>
    <xf numFmtId="184" fontId="24" fillId="37" borderId="0" xfId="0" applyNumberFormat="1" applyFont="1" applyFill="1"/>
    <xf numFmtId="184" fontId="24" fillId="47" borderId="0" xfId="0" applyNumberFormat="1" applyFont="1" applyFill="1"/>
    <xf numFmtId="184" fontId="24" fillId="47" borderId="0" xfId="0" applyNumberFormat="1" applyFont="1" applyFill="1" applyAlignment="1">
      <alignment vertical="top"/>
    </xf>
    <xf numFmtId="184" fontId="51" fillId="0" borderId="0" xfId="0" applyNumberFormat="1" applyFont="1" applyAlignment="1">
      <alignment vertical="top"/>
    </xf>
    <xf numFmtId="184" fontId="51" fillId="36" borderId="0" xfId="0" applyNumberFormat="1" applyFont="1" applyFill="1" applyAlignment="1">
      <alignment vertical="top"/>
    </xf>
    <xf numFmtId="184" fontId="51" fillId="37" borderId="0" xfId="0" applyNumberFormat="1" applyFont="1" applyFill="1"/>
    <xf numFmtId="184" fontId="51" fillId="34" borderId="0" xfId="0" applyNumberFormat="1" applyFont="1" applyFill="1"/>
    <xf numFmtId="0" fontId="24" fillId="53" borderId="0" xfId="0" applyFont="1" applyFill="1"/>
    <xf numFmtId="173" fontId="24" fillId="41" borderId="0" xfId="2601" applyNumberFormat="1" applyFont="1" applyFill="1" applyAlignment="1">
      <alignment vertical="top"/>
    </xf>
    <xf numFmtId="173" fontId="24" fillId="33" borderId="0" xfId="2601" applyNumberFormat="1" applyFont="1" applyFill="1"/>
    <xf numFmtId="173" fontId="24" fillId="37" borderId="0" xfId="2601" applyNumberFormat="1" applyFont="1" applyFill="1"/>
    <xf numFmtId="4" fontId="24" fillId="54" borderId="0" xfId="0" applyNumberFormat="1" applyFont="1" applyFill="1"/>
    <xf numFmtId="4" fontId="24" fillId="53" borderId="0" xfId="0" applyNumberFormat="1" applyFont="1" applyFill="1"/>
    <xf numFmtId="0" fontId="20" fillId="36" borderId="66" xfId="0" applyFont="1" applyFill="1" applyBorder="1" applyAlignment="1">
      <alignment horizontal="center" vertical="center" wrapText="1"/>
    </xf>
    <xf numFmtId="0" fontId="20" fillId="36" borderId="8" xfId="0" applyFont="1" applyFill="1" applyBorder="1" applyAlignment="1">
      <alignment horizontal="center" vertical="center" wrapText="1"/>
    </xf>
    <xf numFmtId="167" fontId="0" fillId="0" borderId="3" xfId="2598" applyNumberFormat="1" applyFont="1" applyBorder="1"/>
    <xf numFmtId="167" fontId="0" fillId="42" borderId="3" xfId="0" applyNumberFormat="1" applyFill="1" applyBorder="1"/>
    <xf numFmtId="167" fontId="0" fillId="0" borderId="3" xfId="0" applyNumberFormat="1" applyBorder="1"/>
    <xf numFmtId="188" fontId="0" fillId="0" borderId="3" xfId="2598" applyNumberFormat="1" applyFont="1" applyBorder="1"/>
    <xf numFmtId="189" fontId="0" fillId="0" borderId="3" xfId="2598" applyNumberFormat="1" applyFont="1" applyBorder="1"/>
    <xf numFmtId="167" fontId="0" fillId="42" borderId="3" xfId="2598" applyNumberFormat="1" applyFont="1" applyFill="1" applyBorder="1"/>
    <xf numFmtId="189" fontId="0" fillId="53" borderId="3" xfId="2598" applyNumberFormat="1" applyFont="1" applyFill="1" applyBorder="1"/>
    <xf numFmtId="188" fontId="0" fillId="0" borderId="3" xfId="0" applyNumberFormat="1" applyBorder="1"/>
    <xf numFmtId="167" fontId="0" fillId="0" borderId="4" xfId="2598" applyNumberFormat="1" applyFont="1" applyBorder="1"/>
    <xf numFmtId="188" fontId="0" fillId="0" borderId="4" xfId="2598" applyNumberFormat="1" applyFont="1" applyBorder="1"/>
    <xf numFmtId="188" fontId="0" fillId="0" borderId="4" xfId="0" applyNumberFormat="1" applyBorder="1"/>
    <xf numFmtId="171" fontId="0" fillId="34" borderId="0" xfId="0" applyNumberFormat="1" applyFill="1"/>
    <xf numFmtId="49" fontId="0" fillId="0" borderId="36" xfId="0" applyNumberFormat="1" applyBorder="1"/>
    <xf numFmtId="49" fontId="0" fillId="0" borderId="57" xfId="0" applyNumberFormat="1" applyBorder="1"/>
    <xf numFmtId="49" fontId="0" fillId="42" borderId="19" xfId="0" applyNumberFormat="1" applyFill="1" applyBorder="1"/>
    <xf numFmtId="184" fontId="0" fillId="0" borderId="3" xfId="0" applyNumberFormat="1" applyBorder="1" applyAlignment="1">
      <alignment horizontal="center" vertical="center"/>
    </xf>
    <xf numFmtId="184" fontId="0" fillId="0" borderId="57" xfId="0" applyNumberFormat="1" applyBorder="1" applyAlignment="1">
      <alignment horizontal="center" vertical="center"/>
    </xf>
    <xf numFmtId="184" fontId="0" fillId="42" borderId="20" xfId="0" applyNumberFormat="1" applyFill="1" applyBorder="1" applyAlignment="1">
      <alignment horizontal="center" vertical="center"/>
    </xf>
    <xf numFmtId="184" fontId="0" fillId="42" borderId="44" xfId="0" applyNumberFormat="1" applyFill="1" applyBorder="1" applyAlignment="1">
      <alignment horizontal="center" vertical="center"/>
    </xf>
    <xf numFmtId="4" fontId="0" fillId="42" borderId="20" xfId="0" applyNumberFormat="1" applyFill="1" applyBorder="1" applyAlignment="1">
      <alignment horizontal="center" vertical="center"/>
    </xf>
    <xf numFmtId="4" fontId="0" fillId="42" borderId="44" xfId="0" applyNumberFormat="1" applyFill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95" fontId="0" fillId="0" borderId="16" xfId="0" applyNumberFormat="1" applyBorder="1"/>
    <xf numFmtId="195" fontId="0" fillId="0" borderId="3" xfId="0" applyNumberFormat="1" applyBorder="1"/>
    <xf numFmtId="195" fontId="22" fillId="0" borderId="16" xfId="0" applyNumberFormat="1" applyFont="1" applyBorder="1"/>
    <xf numFmtId="195" fontId="22" fillId="0" borderId="48" xfId="0" applyNumberFormat="1" applyFont="1" applyBorder="1"/>
    <xf numFmtId="195" fontId="0" fillId="0" borderId="17" xfId="0" applyNumberFormat="1" applyBorder="1"/>
    <xf numFmtId="195" fontId="0" fillId="0" borderId="18" xfId="0" applyNumberFormat="1" applyBorder="1"/>
    <xf numFmtId="195" fontId="22" fillId="0" borderId="17" xfId="0" applyNumberFormat="1" applyFont="1" applyBorder="1"/>
    <xf numFmtId="195" fontId="22" fillId="0" borderId="45" xfId="0" applyNumberFormat="1" applyFont="1" applyBorder="1"/>
    <xf numFmtId="195" fontId="22" fillId="40" borderId="11" xfId="2604" applyNumberFormat="1" applyFont="1" applyFill="1" applyBorder="1"/>
    <xf numFmtId="4" fontId="25" fillId="0" borderId="4" xfId="2599" applyNumberFormat="1" applyFont="1" applyBorder="1"/>
    <xf numFmtId="4" fontId="22" fillId="40" borderId="11" xfId="2604" applyNumberFormat="1" applyFont="1" applyFill="1" applyBorder="1"/>
    <xf numFmtId="4" fontId="0" fillId="0" borderId="50" xfId="2604" applyNumberFormat="1" applyFont="1" applyBorder="1" applyAlignment="1">
      <alignment vertical="top"/>
    </xf>
    <xf numFmtId="4" fontId="0" fillId="0" borderId="51" xfId="2604" applyNumberFormat="1" applyFont="1" applyBorder="1" applyAlignment="1">
      <alignment vertical="top"/>
    </xf>
    <xf numFmtId="4" fontId="22" fillId="40" borderId="52" xfId="2604" applyNumberFormat="1" applyFont="1" applyFill="1" applyBorder="1"/>
    <xf numFmtId="4" fontId="0" fillId="0" borderId="16" xfId="2604" applyNumberFormat="1" applyFont="1" applyFill="1" applyBorder="1" applyAlignment="1">
      <alignment vertical="top"/>
    </xf>
    <xf numFmtId="4" fontId="0" fillId="0" borderId="48" xfId="2604" applyNumberFormat="1" applyFont="1" applyFill="1" applyBorder="1" applyAlignment="1">
      <alignment vertical="top"/>
    </xf>
    <xf numFmtId="4" fontId="0" fillId="0" borderId="17" xfId="2604" applyNumberFormat="1" applyFont="1" applyFill="1" applyBorder="1" applyAlignment="1">
      <alignment vertical="top"/>
    </xf>
    <xf numFmtId="4" fontId="0" fillId="0" borderId="45" xfId="2604" applyNumberFormat="1" applyFont="1" applyFill="1" applyBorder="1" applyAlignment="1">
      <alignment vertical="top"/>
    </xf>
    <xf numFmtId="4" fontId="22" fillId="40" borderId="53" xfId="2604" applyNumberFormat="1" applyFont="1" applyFill="1" applyBorder="1"/>
    <xf numFmtId="4" fontId="0" fillId="0" borderId="3" xfId="0" applyNumberFormat="1" applyBorder="1"/>
    <xf numFmtId="4" fontId="22" fillId="40" borderId="54" xfId="2604" applyNumberFormat="1" applyFont="1" applyFill="1" applyBorder="1"/>
    <xf numFmtId="4" fontId="22" fillId="40" borderId="67" xfId="2604" applyNumberFormat="1" applyFont="1" applyFill="1" applyBorder="1"/>
    <xf numFmtId="195" fontId="0" fillId="0" borderId="53" xfId="2601" applyNumberFormat="1" applyFont="1" applyBorder="1"/>
    <xf numFmtId="195" fontId="0" fillId="0" borderId="54" xfId="2601" applyNumberFormat="1" applyFont="1" applyBorder="1"/>
    <xf numFmtId="195" fontId="0" fillId="0" borderId="67" xfId="2601" applyNumberFormat="1" applyFont="1" applyBorder="1"/>
    <xf numFmtId="195" fontId="22" fillId="0" borderId="11" xfId="2601" applyNumberFormat="1" applyFont="1" applyBorder="1"/>
    <xf numFmtId="195" fontId="22" fillId="40" borderId="21" xfId="2604" applyNumberFormat="1" applyFont="1" applyFill="1" applyBorder="1"/>
    <xf numFmtId="195" fontId="22" fillId="40" borderId="22" xfId="2604" applyNumberFormat="1" applyFont="1" applyFill="1" applyBorder="1"/>
    <xf numFmtId="195" fontId="22" fillId="40" borderId="23" xfId="2604" applyNumberFormat="1" applyFont="1" applyFill="1" applyBorder="1"/>
    <xf numFmtId="0" fontId="56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51" fillId="34" borderId="0" xfId="0" applyFont="1" applyFill="1" applyAlignment="1">
      <alignment horizontal="center" vertical="center"/>
    </xf>
    <xf numFmtId="184" fontId="51" fillId="0" borderId="0" xfId="0" applyNumberFormat="1" applyFont="1" applyAlignment="1">
      <alignment horizontal="center" vertical="center" wrapText="1"/>
    </xf>
    <xf numFmtId="184" fontId="24" fillId="0" borderId="0" xfId="0" applyNumberFormat="1" applyFont="1" applyAlignment="1">
      <alignment horizontal="center" vertical="center"/>
    </xf>
    <xf numFmtId="184" fontId="51" fillId="0" borderId="0" xfId="0" applyNumberFormat="1" applyFont="1" applyAlignment="1">
      <alignment horizontal="center" vertical="center"/>
    </xf>
    <xf numFmtId="184" fontId="51" fillId="34" borderId="0" xfId="0" applyNumberFormat="1" applyFont="1" applyFill="1" applyAlignment="1">
      <alignment horizontal="center" vertical="center"/>
    </xf>
    <xf numFmtId="41" fontId="61" fillId="0" borderId="5" xfId="0" applyNumberFormat="1" applyFont="1" applyBorder="1" applyAlignment="1">
      <alignment horizontal="center"/>
    </xf>
    <xf numFmtId="41" fontId="61" fillId="0" borderId="52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00FF00"/>
      <color rgb="FF9ACDD4"/>
      <color rgb="FFCCFFCC"/>
      <color rgb="FFFFFF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3.xml" Id="rId3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29.xml" Id="rId29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67238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1456267</xdr:colOff>
      <xdr:row>25</xdr:row>
      <xdr:rowOff>29021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67237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1285875</xdr:colOff>
      <xdr:row>101</xdr:row>
      <xdr:rowOff>102162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140262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257175</xdr:colOff>
      <xdr:row>1</xdr:row>
      <xdr:rowOff>66675</xdr:rowOff>
    </xdr:from>
    <xdr:to>
      <xdr:col>19</xdr:col>
      <xdr:colOff>1006475</xdr:colOff>
      <xdr:row>6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228600"/>
          <a:ext cx="150177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45012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828675</xdr:colOff>
      <xdr:row>44</xdr:row>
      <xdr:rowOff>10087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83112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86287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790575</xdr:colOff>
      <xdr:row>101</xdr:row>
      <xdr:rowOff>124387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0</xdr:rowOff>
    </xdr:from>
    <xdr:to>
      <xdr:col>2</xdr:col>
      <xdr:colOff>1142586</xdr:colOff>
      <xdr:row>4</xdr:row>
      <xdr:rowOff>158845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706DFE-B097-49A3-8854-3F5981BF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0"/>
          <a:ext cx="1508346" cy="85988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243840</xdr:colOff>
      <xdr:row>0</xdr:row>
      <xdr:rowOff>30480</xdr:rowOff>
    </xdr:from>
    <xdr:to>
      <xdr:col>2</xdr:col>
      <xdr:colOff>1256886</xdr:colOff>
      <xdr:row>5</xdr:row>
      <xdr:rowOff>6445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DC3445-D8CD-49FC-A4EE-92FA835E0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30480"/>
          <a:ext cx="1508346" cy="859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topLeftCell="A21" zoomScale="94" zoomScaleNormal="94" workbookViewId="0">
      <x:selection activeCell="D31" sqref="D31"/>
    </x:sheetView>
  </x:sheetViews>
  <x:sheetFormatPr baseColWidth="10" defaultRowHeight="12.75" x14ac:dyDescent="0.2"/>
  <x:cols>
    <x:col min="1" max="1" width="2.28515625" customWidth="1"/>
    <x:col min="2" max="2" width="12.7109375" bestFit="1" customWidth="1"/>
    <x:col min="3" max="3" width="7.28515625" customWidth="1"/>
    <x:col min="4" max="4" width="15.28515625" style="151" customWidth="1"/>
    <x:col min="5" max="5" width="20.42578125" style="151" customWidth="1"/>
    <x:col min="6" max="6" width="15.28515625" style="15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</x:cols>
  <x:sheetData>
    <x:row r="1" spans="2:13" ht="13.5" thickBot="1" x14ac:dyDescent="0.25"/>
    <x:row r="2" spans="2:13" s="95" customFormat="1" ht="13.5" thickBot="1" x14ac:dyDescent="0.25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x14ac:dyDescent="0.2">
      <x:c r="C3" s="158">
        <x:v>1</x:v>
      </x:c>
      <x:c r="D3" s="159">
        <x:v>0</x:v>
      </x:c>
      <x:c r="E3" s="159">
        <x:v>0</x:v>
      </x:c>
      <x:c r="F3" s="159" t="n">
        <x:v>0</x:v>
      </x:c>
      <x:c r="G3" s="159" t="n">
        <x:v>0</x:v>
      </x:c>
      <x:c r="J3" s="593"/>
    </x:row>
    <x:row r="4" spans="2:13" x14ac:dyDescent="0.2">
      <x:c r="C4" s="162">
        <x:v>2</x:v>
      </x:c>
      <x:c r="D4" s="159">
        <x:v>0</x:v>
      </x:c>
      <x:c r="E4" s="159">
        <x:v>0</x:v>
      </x:c>
      <x:c r="F4" s="159" t="n">
        <x:v>24173030</x:v>
      </x:c>
      <x:c r="G4" s="159" t="n">
        <x:v>330</x:v>
      </x:c>
      <x:c r="J4" s="593"/>
    </x:row>
    <x:row r="5" spans="2:13" x14ac:dyDescent="0.2">
      <x:c r="C5" s="162">
        <x:v>3</x:v>
      </x:c>
      <x:c r="D5" s="159">
        <x:v>0</x:v>
      </x:c>
      <x:c r="E5" s="159">
        <x:v>0</x:v>
      </x:c>
      <x:c r="F5" s="159" t="n">
        <x:v>0</x:v>
      </x:c>
      <x:c r="G5" s="159" t="n">
        <x:v>0</x:v>
      </x:c>
      <x:c r="J5" s="593"/>
    </x:row>
    <x:row r="6" spans="2:13" ht="13.5" customHeight="1" x14ac:dyDescent="0.2">
      <x:c r="C6" s="162">
        <x:v>4</x:v>
      </x:c>
      <x:c r="D6" s="159">
        <x:v>0</x:v>
      </x:c>
      <x:c r="E6" s="159">
        <x:v>0</x:v>
      </x:c>
      <x:c r="F6" s="159" t="n">
        <x:v>15822520</x:v>
      </x:c>
      <x:c r="G6" s="159" t="n">
        <x:v>133</x:v>
      </x:c>
      <x:c r="J6" s="593"/>
    </x:row>
    <x:row r="7" spans="2:13" ht="13.5" customHeight="1" x14ac:dyDescent="0.2">
      <x:c r="C7" s="162">
        <x:v>5</x:v>
      </x:c>
      <x:c r="D7" s="159">
        <x:v>0</x:v>
      </x:c>
      <x:c r="E7" s="159">
        <x:v>0</x:v>
      </x:c>
      <x:c r="F7" s="159" t="n">
        <x:v>0</x:v>
      </x:c>
      <x:c r="G7" s="159" t="n">
        <x:v>0</x:v>
      </x:c>
      <x:c r="J7" s="593"/>
    </x:row>
    <x:row r="8" spans="2:13" ht="13.5" thickBot="1" x14ac:dyDescent="0.25">
      <x:c r="C8" s="166" t="s">
        <x:v>89</x:v>
      </x:c>
      <x:c r="D8" s="167"/>
      <x:c r="E8" s="168"/>
      <x:c r="F8" s="168"/>
      <x:c r="G8" s="169"/>
      <x:c r="J8" s="593"/>
    </x:row>
    <x:row r="9" spans="2:13" ht="13.5" thickBot="1" x14ac:dyDescent="0.25">
      <x:c r="D9" s="170">
        <x:v>0</x:v>
      </x:c>
      <x:c r="E9" s="170">
        <x:v>0</x:v>
      </x:c>
      <x:c r="F9" s="170" t="n">
        <x:v>39995550</x:v>
      </x:c>
      <x:c r="G9" s="170" t="n">
        <x:v>463</x:v>
      </x:c>
      <x:c r="J9" s="593"/>
    </x:row>
    <x:row r="10" spans="2:13" ht="13.5" thickBot="1" x14ac:dyDescent="0.25"/>
    <x:row r="11" spans="2:13" s="95" customFormat="1" ht="13.5" thickBot="1" x14ac:dyDescent="0.25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">
      <x:c r="B12" s="94" t="s">
        <x:v>140</x:v>
      </x:c>
      <x:c r="C12" s="158">
        <x:v>1</x:v>
      </x:c>
      <x:c r="D12" s="159">
        <x:v>0</x:v>
      </x:c>
      <x:c r="E12" s="160">
        <x:v>0</x:v>
      </x:c>
      <x:c r="F12" s="160" t="n">
        <x:v>0</x:v>
      </x:c>
      <x:c r="G12" s="161" t="n">
        <x:v>0</x:v>
      </x:c>
    </x:row>
    <x:row r="13" spans="2:13" x14ac:dyDescent="0.2">
      <x:c r="C13" s="162">
        <x:v>2</x:v>
      </x:c>
      <x:c r="D13" s="163">
        <x:v>0</x:v>
      </x:c>
      <x:c r="E13" s="164">
        <x:v>0</x:v>
      </x:c>
      <x:c r="F13" s="164" t="n">
        <x:v>58730</x:v>
      </x:c>
      <x:c r="G13" s="165" t="n">
        <x:v>1</x:v>
      </x:c>
    </x:row>
    <x:row r="14" spans="2:13" x14ac:dyDescent="0.2">
      <x:c r="C14" s="162">
        <x:v>3</x:v>
      </x:c>
      <x:c r="D14" s="163">
        <x:v>0</x:v>
      </x:c>
      <x:c r="E14" s="164">
        <x:v>0</x:v>
      </x:c>
      <x:c r="F14" s="164" t="n">
        <x:v>0</x:v>
      </x:c>
      <x:c r="G14" s="165" t="n">
        <x:v>0</x:v>
      </x:c>
    </x:row>
    <x:row r="15" spans="2:13" x14ac:dyDescent="0.2">
      <x:c r="C15" s="162">
        <x:v>4</x:v>
      </x:c>
      <x:c r="D15" s="163">
        <x:v>0</x:v>
      </x:c>
      <x:c r="E15" s="164">
        <x:v>0</x:v>
      </x:c>
      <x:c r="F15" s="164" t="n">
        <x:v>63120</x:v>
      </x:c>
      <x:c r="G15" s="165" t="n">
        <x:v>1</x:v>
      </x:c>
    </x:row>
    <x:row r="16" spans="2:13" x14ac:dyDescent="0.2">
      <x:c r="C16" s="162">
        <x:v>5</x:v>
      </x:c>
      <x:c r="D16" s="163">
        <x:v>0</x:v>
      </x:c>
      <x:c r="E16" s="164">
        <x:v>0</x:v>
      </x:c>
      <x:c r="F16" s="164" t="n">
        <x:v>0</x:v>
      </x:c>
      <x:c r="G16" s="165" t="n">
        <x:v>0</x:v>
      </x:c>
    </x:row>
    <x:row r="17" spans="1:11" ht="13.5" thickBot="1" x14ac:dyDescent="0.25">
      <x:c r="C17" s="166" t="s">
        <x:v>89</x:v>
      </x:c>
      <x:c r="D17" s="167"/>
      <x:c r="E17" s="168"/>
      <x:c r="F17" s="168"/>
      <x:c r="G17" s="169"/>
    </x:row>
    <x:row r="18" spans="1:11" ht="13.5" thickBot="1" x14ac:dyDescent="0.25">
      <x:c r="D18" s="170">
        <x:v>0</x:v>
      </x:c>
      <x:c r="E18" s="170">
        <x:v>0</x:v>
      </x:c>
      <x:c r="F18" s="170" t="n">
        <x:v>121850</x:v>
      </x:c>
      <x:c r="G18" s="170" t="n">
        <x:v>2</x:v>
      </x:c>
    </x:row>
    <x:row r="19" spans="1:11" ht="13.5" thickBot="1" x14ac:dyDescent="0.25"/>
    <x:row r="20" spans="1:11" ht="13.5" thickBot="1" x14ac:dyDescent="0.25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x14ac:dyDescent="0.2">
      <x:c r="B21" s="18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1" s="151" customFormat="1" x14ac:dyDescent="0.2">
      <x:c r="B22"/>
      <x:c r="C22" s="162">
        <x:v>2</x:v>
      </x:c>
      <x:c r="D22" s="163">
        <x:v>0</x:v>
      </x:c>
      <x:c r="E22" s="164">
        <x:v>0</x:v>
      </x:c>
      <x:c r="F22" s="164" t="n">
        <x:v>24231760</x:v>
      </x:c>
      <x:c r="G22" s="165" t="n">
        <x:v>331</x:v>
      </x:c>
      <x:c r="I22" s="163">
        <x:v>0</x:v>
      </x:c>
      <x:c r="J22" s="165">
        <x:v>0</x:v>
      </x:c>
    </x:row>
    <x:row r="23" spans="1:11" s="151" customFormat="1" x14ac:dyDescent="0.2">
      <x:c r="B23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1" s="151" customFormat="1" x14ac:dyDescent="0.2">
      <x:c r="B24"/>
      <x:c r="C24" s="162">
        <x:v>4</x:v>
      </x:c>
      <x:c r="D24" s="163">
        <x:v>0</x:v>
      </x:c>
      <x:c r="E24" s="164">
        <x:v>0</x:v>
      </x:c>
      <x:c r="F24" s="164" t="n">
        <x:v>15885640</x:v>
      </x:c>
      <x:c r="G24" s="165" t="n">
        <x:v>134</x:v>
      </x:c>
      <x:c r="I24" s="163">
        <x:v>0</x:v>
      </x:c>
      <x:c r="J24" s="165">
        <x:v>0</x:v>
      </x:c>
    </x:row>
    <x:row r="25" spans="1:11" s="151" customFormat="1" x14ac:dyDescent="0.2">
      <x:c r="B25"/>
      <x:c r="C25" s="162">
        <x:v>5</x:v>
      </x:c>
      <x:c r="D25" s="163">
        <x:v>0</x:v>
      </x:c>
      <x:c r="E25" s="164">
        <x:v>0</x:v>
      </x:c>
      <x:c r="F25" s="164" t="n">
        <x:v>0</x:v>
      </x:c>
      <x:c r="G25" s="165" t="n">
        <x:v>0</x:v>
      </x:c>
      <x:c r="I25" s="163">
        <x:v>0</x:v>
      </x:c>
      <x:c r="J25" s="165">
        <x:v>0</x:v>
      </x:c>
    </x:row>
    <x:row r="26" spans="1:11" ht="13.5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3.5" thickBot="1" x14ac:dyDescent="0.25">
      <x:c r="D27" s="170">
        <x:v>0</x:v>
      </x:c>
      <x:c r="E27" s="170">
        <x:v>0</x:v>
      </x:c>
      <x:c r="F27" s="170" t="n">
        <x:v>40117400</x:v>
      </x:c>
      <x:c r="G27" s="170" t="n">
        <x:v>465</x:v>
      </x:c>
      <x:c r="I27" s="183">
        <x:v>0</x:v>
      </x:c>
      <x:c r="J27" s="184">
        <x:v>0</x:v>
      </x:c>
    </x:row>
    <x:row r="29" spans="1:1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">
      <x:c r="B31" s="95" t="s">
        <x:v>132</x:v>
      </x:c>
      <x:c r="D31" s="151" t="b">
        <x:v>1</x:v>
      </x:c>
      <x:c r="E31" s="151" t="b">
        <x:f t="shared" ref="E31:F31" si="0">E9=SUM(E3:E8)</x:f>
        <x:v>1</x:v>
      </x:c>
      <x:c r="F31" s="151" t="b">
        <x:f t="shared" si="0"/>
        <x:v>1</x:v>
      </x:c>
      <x:c r="G31" s="151" t="b">
        <x:f>G9=SUM(G3:G8)</x:f>
        <x:v>1</x:v>
      </x:c>
    </x:row>
    <x:row r="33" spans="2:10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 t="shared" si="2"/>
        <x:v>1</x:v>
      </x:c>
      <x:c r="G35" s="151" t="b">
        <x:f t="shared" si="2"/>
        <x:v>1</x:v>
      </x:c>
      <x:c r="I35" s="151" t="b">
        <x:f t="shared" si="2"/>
        <x:v>1</x:v>
      </x:c>
      <x:c r="J35" s="151" t="b">
        <x:f t="shared" si="2"/>
        <x:v>1</x:v>
      </x:c>
    </x:row>
    <x:row r="69" spans="5:5" x14ac:dyDescent="0.2">
      <x:c r="E69" s="151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="88" zoomScaleNormal="88" workbookViewId="0">
      <x:selection activeCell="D31" sqref="D31"/>
    </x:sheetView>
  </x:sheetViews>
  <x:sheetFormatPr baseColWidth="10" defaultRowHeight="12.75" x14ac:dyDescent="0.2"/>
  <x:cols>
    <x:col min="1" max="1" width="2.28515625" customWidth="1"/>
    <x:col min="2" max="2" width="12.7109375" bestFit="1" customWidth="1"/>
    <x:col min="3" max="3" width="7.28515625" customWidth="1"/>
    <x:col min="4" max="4" width="16" style="151" bestFit="1" customWidth="1"/>
    <x:col min="5" max="5" width="20.42578125" style="151" customWidth="1"/>
    <x:col min="6" max="6" width="16" style="151" bestFit="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</x:cols>
  <x:sheetData>
    <x:row r="1" spans="2:13" ht="14.65" customHeight="1" thickBot="1" x14ac:dyDescent="0.25"/>
    <x:row r="2" spans="2:13" s="95" customFormat="1" ht="12.6" customHeight="1" thickBot="1" x14ac:dyDescent="0.25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ht="12.6" customHeight="1" x14ac:dyDescent="0.2">
      <x:c r="C3" s="158">
        <x:v>1</x:v>
      </x:c>
      <x:c r="D3" s="159">
        <x:v>0</x:v>
      </x:c>
      <x:c r="E3" s="160">
        <x:v>0</x:v>
      </x:c>
      <x:c r="F3" s="160" t="n">
        <x:v>16467129562</x:v>
      </x:c>
      <x:c r="G3" s="161" t="n">
        <x:v>273797</x:v>
      </x:c>
      <x:c r="J3" s="593"/>
    </x:row>
    <x:row r="4" spans="2:13" ht="12.6" customHeight="1" x14ac:dyDescent="0.2">
      <x:c r="C4" s="162">
        <x:v>2</x:v>
      </x:c>
      <x:c r="D4" s="163">
        <x:v>0</x:v>
      </x:c>
      <x:c r="E4" s="164">
        <x:v>0</x:v>
      </x:c>
      <x:c r="F4" s="164" t="n">
        <x:v>19037496395</x:v>
      </x:c>
      <x:c r="G4" s="165" t="n">
        <x:v>406215</x:v>
      </x:c>
      <x:c r="J4" s="593"/>
    </x:row>
    <x:row r="5" spans="2:13" ht="12.6" customHeight="1" x14ac:dyDescent="0.2">
      <x:c r="C5" s="162">
        <x:v>3</x:v>
      </x:c>
      <x:c r="D5" s="163">
        <x:v>0</x:v>
      </x:c>
      <x:c r="E5" s="164">
        <x:v>0</x:v>
      </x:c>
      <x:c r="F5" s="164" t="n">
        <x:v>13952517350</x:v>
      </x:c>
      <x:c r="G5" s="165" t="n">
        <x:v>269668</x:v>
      </x:c>
      <x:c r="J5" s="593"/>
    </x:row>
    <x:row r="6" spans="2:13" ht="12.6" customHeight="1" x14ac:dyDescent="0.2">
      <x:c r="C6" s="162">
        <x:v>4</x:v>
      </x:c>
      <x:c r="D6" s="163">
        <x:v>0</x:v>
      </x:c>
      <x:c r="E6" s="164">
        <x:v>0</x:v>
      </x:c>
      <x:c r="F6" s="164" t="n">
        <x:v>6579568126</x:v>
      </x:c>
      <x:c r="G6" s="165" t="n">
        <x:v>120492</x:v>
      </x:c>
    </x:row>
    <x:row r="7" spans="2:13" ht="12.6" customHeight="1" x14ac:dyDescent="0.2">
      <x:c r="C7" s="162">
        <x:v>5</x:v>
      </x:c>
      <x:c r="D7" s="163">
        <x:v>0</x:v>
      </x:c>
      <x:c r="E7" s="164">
        <x:v>0</x:v>
      </x:c>
      <x:c r="F7" s="164" t="n">
        <x:v>11684535987</x:v>
      </x:c>
      <x:c r="G7" s="165" t="n">
        <x:v>242618</x:v>
      </x:c>
    </x:row>
    <x:row r="8" spans="2:13" ht="12.6" customHeight="1" thickBot="1" x14ac:dyDescent="0.25">
      <x:c r="C8" s="166" t="s">
        <x:v>89</x:v>
      </x:c>
      <x:c r="D8" s="167"/>
      <x:c r="E8" s="168"/>
      <x:c r="F8" s="168"/>
      <x:c r="G8" s="169"/>
    </x:row>
    <x:row r="9" spans="2:13" ht="12.6" customHeight="1" thickBot="1" x14ac:dyDescent="0.25">
      <x:c r="D9" s="170">
        <x:v>0</x:v>
      </x:c>
      <x:c r="E9" s="170">
        <x:v>0</x:v>
      </x:c>
      <x:c r="F9" s="170" t="n">
        <x:v>67721247420</x:v>
      </x:c>
      <x:c r="G9" s="170" t="n">
        <x:v>1312790</x:v>
      </x:c>
    </x:row>
    <x:row r="10" spans="2:13" ht="12.6" customHeight="1" thickBot="1" x14ac:dyDescent="0.25"/>
    <x:row r="11" spans="2:13" s="95" customFormat="1" ht="12.6" customHeight="1" thickBot="1" x14ac:dyDescent="0.25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ht="12.6" customHeight="1" x14ac:dyDescent="0.2">
      <x:c r="B12" s="94" t="s">
        <x:v>140</x:v>
      </x:c>
      <x:c r="C12" s="158">
        <x:v>1</x:v>
      </x:c>
      <x:c r="D12" s="159">
        <x:v>0</x:v>
      </x:c>
      <x:c r="E12" s="160">
        <x:v>0</x:v>
      </x:c>
      <x:c r="F12" s="160" t="n">
        <x:v>193558629</x:v>
      </x:c>
      <x:c r="G12" s="161" t="n">
        <x:v>3299</x:v>
      </x:c>
    </x:row>
    <x:row r="13" spans="2:13" ht="12.6" customHeight="1" x14ac:dyDescent="0.2">
      <x:c r="C13" s="162">
        <x:v>2</x:v>
      </x:c>
      <x:c r="D13" s="163">
        <x:v>0</x:v>
      </x:c>
      <x:c r="E13" s="164">
        <x:v>0</x:v>
      </x:c>
      <x:c r="F13" s="164" t="n">
        <x:v>53213747</x:v>
      </x:c>
      <x:c r="G13" s="165" t="n">
        <x:v>918</x:v>
      </x:c>
    </x:row>
    <x:row r="14" spans="2:13" ht="12.6" customHeight="1" x14ac:dyDescent="0.2">
      <x:c r="C14" s="162">
        <x:v>3</x:v>
      </x:c>
      <x:c r="D14" s="163">
        <x:v>0</x:v>
      </x:c>
      <x:c r="E14" s="164">
        <x:v>0</x:v>
      </x:c>
      <x:c r="F14" s="164" t="n">
        <x:v>74684472</x:v>
      </x:c>
      <x:c r="G14" s="165" t="n">
        <x:v>1206</x:v>
      </x:c>
    </x:row>
    <x:row r="15" spans="2:13" ht="12.6" customHeight="1" x14ac:dyDescent="0.2">
      <x:c r="C15" s="162">
        <x:v>4</x:v>
      </x:c>
      <x:c r="D15" s="163">
        <x:v>0</x:v>
      </x:c>
      <x:c r="E15" s="164">
        <x:v>0</x:v>
      </x:c>
      <x:c r="F15" s="164" t="n">
        <x:v>60823284</x:v>
      </x:c>
      <x:c r="G15" s="165" t="n">
        <x:v>1331</x:v>
      </x:c>
    </x:row>
    <x:row r="16" spans="2:13" ht="12.6" customHeight="1" x14ac:dyDescent="0.2">
      <x:c r="C16" s="162">
        <x:v>5</x:v>
      </x:c>
      <x:c r="D16" s="163">
        <x:v>0</x:v>
      </x:c>
      <x:c r="E16" s="164">
        <x:v>0</x:v>
      </x:c>
      <x:c r="F16" s="164" t="n">
        <x:v>41090640</x:v>
      </x:c>
      <x:c r="G16" s="165" t="n">
        <x:v>830</x:v>
      </x:c>
    </x:row>
    <x:row r="17" spans="1:11" ht="12.6" customHeight="1" thickBot="1" x14ac:dyDescent="0.25">
      <x:c r="C17" s="166" t="s">
        <x:v>89</x:v>
      </x:c>
      <x:c r="D17" s="167"/>
      <x:c r="E17" s="168"/>
      <x:c r="F17" s="168"/>
      <x:c r="G17" s="169"/>
    </x:row>
    <x:row r="18" spans="1:11" ht="12.6" customHeight="1" thickBot="1" x14ac:dyDescent="0.25">
      <x:c r="D18" s="170">
        <x:v>0</x:v>
      </x:c>
      <x:c r="E18" s="170">
        <x:v>0</x:v>
      </x:c>
      <x:c r="F18" s="170" t="n">
        <x:v>423370772</x:v>
      </x:c>
      <x:c r="G18" s="170" t="n">
        <x:v>7584</x:v>
      </x:c>
    </x:row>
    <x:row r="19" spans="1:11" ht="12.6" customHeight="1" thickBot="1" x14ac:dyDescent="0.25"/>
    <x:row r="20" spans="1:11" ht="12.6" customHeight="1" thickBot="1" x14ac:dyDescent="0.25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ht="12.6" customHeight="1" x14ac:dyDescent="0.2">
      <x:c r="B21" s="186" t="s">
        <x:v>2</x:v>
      </x:c>
      <x:c r="C21" s="158">
        <x:v>1</x:v>
      </x:c>
      <x:c r="D21" s="159">
        <x:v>0</x:v>
      </x:c>
      <x:c r="E21" s="160">
        <x:v>0</x:v>
      </x:c>
      <x:c r="F21" s="160" t="n">
        <x:v>16660688191</x:v>
      </x:c>
      <x:c r="G21" s="161" t="n">
        <x:v>277096</x:v>
      </x:c>
      <x:c r="I21" s="159">
        <x:v>0</x:v>
      </x:c>
      <x:c r="J21" s="161">
        <x:v>0</x:v>
      </x:c>
    </x:row>
    <x:row r="22" spans="1:11" s="151" customFormat="1" ht="12.6" customHeight="1" x14ac:dyDescent="0.2">
      <x:c r="B22"/>
      <x:c r="C22" s="162">
        <x:v>2</x:v>
      </x:c>
      <x:c r="D22" s="163">
        <x:v>0</x:v>
      </x:c>
      <x:c r="E22" s="164">
        <x:v>0</x:v>
      </x:c>
      <x:c r="F22" s="164" t="n">
        <x:v>19090710142</x:v>
      </x:c>
      <x:c r="G22" s="165" t="n">
        <x:v>407133</x:v>
      </x:c>
      <x:c r="I22" s="163">
        <x:v>0</x:v>
      </x:c>
      <x:c r="J22" s="165">
        <x:v>0</x:v>
      </x:c>
    </x:row>
    <x:row r="23" spans="1:11" s="151" customFormat="1" ht="12.6" customHeight="1" x14ac:dyDescent="0.2">
      <x:c r="B23"/>
      <x:c r="C23" s="162">
        <x:v>3</x:v>
      </x:c>
      <x:c r="D23" s="163">
        <x:v>0</x:v>
      </x:c>
      <x:c r="E23" s="164">
        <x:v>0</x:v>
      </x:c>
      <x:c r="F23" s="164" t="n">
        <x:v>14027201822</x:v>
      </x:c>
      <x:c r="G23" s="165" t="n">
        <x:v>270874</x:v>
      </x:c>
      <x:c r="I23" s="163">
        <x:v>0</x:v>
      </x:c>
      <x:c r="J23" s="165">
        <x:v>0</x:v>
      </x:c>
    </x:row>
    <x:row r="24" spans="1:11" s="151" customFormat="1" ht="12.6" customHeight="1" x14ac:dyDescent="0.2">
      <x:c r="B24"/>
      <x:c r="C24" s="162">
        <x:v>4</x:v>
      </x:c>
      <x:c r="D24" s="163">
        <x:v>0</x:v>
      </x:c>
      <x:c r="E24" s="164">
        <x:v>0</x:v>
      </x:c>
      <x:c r="F24" s="164" t="n">
        <x:v>6640391410</x:v>
      </x:c>
      <x:c r="G24" s="165" t="n">
        <x:v>121823</x:v>
      </x:c>
      <x:c r="I24" s="163">
        <x:v>0</x:v>
      </x:c>
      <x:c r="J24" s="165">
        <x:v>0</x:v>
      </x:c>
    </x:row>
    <x:row r="25" spans="1:11" s="151" customFormat="1" ht="12.6" customHeight="1" x14ac:dyDescent="0.2">
      <x:c r="B25"/>
      <x:c r="C25" s="162">
        <x:v>5</x:v>
      </x:c>
      <x:c r="D25" s="163">
        <x:v>0</x:v>
      </x:c>
      <x:c r="E25" s="164">
        <x:v>0</x:v>
      </x:c>
      <x:c r="F25" s="164" t="n">
        <x:v>11725626627</x:v>
      </x:c>
      <x:c r="G25" s="165" t="n">
        <x:v>243448</x:v>
      </x:c>
      <x:c r="I25" s="163">
        <x:v>0</x:v>
      </x:c>
      <x:c r="J25" s="165">
        <x:v>0</x:v>
      </x:c>
    </x:row>
    <x:row r="26" spans="1:11" ht="12.6" customHeight="1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2.6" customHeight="1" thickBot="1" x14ac:dyDescent="0.25">
      <x:c r="D27" s="170">
        <x:v>0</x:v>
      </x:c>
      <x:c r="E27" s="170">
        <x:v>0</x:v>
      </x:c>
      <x:c r="F27" s="170" t="n">
        <x:v>68144618192</x:v>
      </x:c>
      <x:c r="G27" s="170" t="n">
        <x:v>1320374</x:v>
      </x:c>
      <x:c r="I27" s="183">
        <x:v>0</x:v>
      </x:c>
      <x:c r="J27" s="184">
        <x:v>0</x:v>
      </x:c>
    </x:row>
    <x:row r="29" spans="1:1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">
      <x:c r="B31" s="95" t="s">
        <x:v>132</x:v>
      </x:c>
      <x:c r="D31" s="151" t="b"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</x:row>
    <x:row r="33" spans="2:10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I35" s="151" t="b">
        <x:f t="shared" si="2"/>
        <x:v>1</x:v>
      </x:c>
      <x:c r="J35" s="151" t="b">
        <x:f t="shared" si="2"/>
        <x:v>1</x:v>
      </x:c>
    </x:row>
    <x:row r="69" spans="5:5" x14ac:dyDescent="0.2">
      <x:c r="E69" s="151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I11" sqref="I11"/>
    </x:sheetView>
  </x:sheetViews>
  <x:sheetFormatPr baseColWidth="10" defaultRowHeight="12.75" x14ac:dyDescent="0.2"/>
  <x:cols>
    <x:col min="1" max="1" width="2.28515625" customWidth="1"/>
    <x:col min="2" max="2" width="12.7109375" bestFit="1" customWidth="1"/>
    <x:col min="3" max="3" width="7.28515625" customWidth="1"/>
    <x:col min="4" max="4" width="16" style="151" bestFit="1" customWidth="1"/>
    <x:col min="5" max="5" width="20.42578125" style="151" customWidth="1"/>
    <x:col min="6" max="6" width="16" style="151" bestFit="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</x:cols>
  <x:sheetData>
    <x:row r="1" spans="2:13" ht="14.65" customHeight="1" thickBot="1" x14ac:dyDescent="0.25"/>
    <x:row r="2" spans="2:13" s="95" customFormat="1" ht="12.6" customHeight="1" thickBot="1" x14ac:dyDescent="0.25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ht="12.6" customHeight="1" x14ac:dyDescent="0.2">
      <x:c r="C3" s="158">
        <x:v>1</x:v>
      </x:c>
      <x:c r="D3" s="159">
        <x:v>0</x:v>
      </x:c>
      <x:c r="E3" s="160">
        <x:v>0</x:v>
      </x:c>
      <x:c r="F3" s="160" t="n">
        <x:v>0</x:v>
      </x:c>
      <x:c r="G3" s="161" t="n">
        <x:v>0</x:v>
      </x:c>
      <x:c r="J3" s="593"/>
    </x:row>
    <x:row r="4" spans="2:13" ht="12.6" customHeight="1" x14ac:dyDescent="0.2">
      <x:c r="C4" s="162">
        <x:v>2</x:v>
      </x:c>
      <x:c r="D4" s="163">
        <x:v>0</x:v>
      </x:c>
      <x:c r="E4" s="164">
        <x:v>0</x:v>
      </x:c>
      <x:c r="F4" s="164" t="n">
        <x:v>0</x:v>
      </x:c>
      <x:c r="G4" s="165" t="n">
        <x:v>0</x:v>
      </x:c>
      <x:c r="J4" s="593"/>
    </x:row>
    <x:row r="5" spans="2:13" ht="12.6" customHeight="1" x14ac:dyDescent="0.2">
      <x:c r="C5" s="162">
        <x:v>3</x:v>
      </x:c>
      <x:c r="D5" s="163">
        <x:v>0</x:v>
      </x:c>
      <x:c r="E5" s="164">
        <x:v>0</x:v>
      </x:c>
      <x:c r="F5" s="164" t="n">
        <x:v>0</x:v>
      </x:c>
      <x:c r="G5" s="165" t="n">
        <x:v>0</x:v>
      </x:c>
      <x:c r="J5" s="593"/>
    </x:row>
    <x:row r="6" spans="2:13" ht="12.6" customHeight="1" x14ac:dyDescent="0.2">
      <x:c r="C6" s="162">
        <x:v>4</x:v>
      </x:c>
      <x:c r="D6" s="163">
        <x:v>0</x:v>
      </x:c>
      <x:c r="E6" s="164">
        <x:v>0</x:v>
      </x:c>
      <x:c r="F6" s="164" t="n">
        <x:v>0</x:v>
      </x:c>
      <x:c r="G6" s="165" t="n">
        <x:v>0</x:v>
      </x:c>
    </x:row>
    <x:row r="7" spans="2:13" ht="12.6" customHeight="1" x14ac:dyDescent="0.2">
      <x:c r="C7" s="162">
        <x:v>5</x:v>
      </x:c>
      <x:c r="D7" s="163">
        <x:v>0</x:v>
      </x:c>
      <x:c r="E7" s="164">
        <x:v>0</x:v>
      </x:c>
      <x:c r="F7" s="164" t="n">
        <x:v>28645323</x:v>
      </x:c>
      <x:c r="G7" s="165" t="n">
        <x:v>545</x:v>
      </x:c>
    </x:row>
    <x:row r="8" spans="2:13" ht="12.6" customHeight="1" thickBot="1" x14ac:dyDescent="0.25">
      <x:c r="C8" s="166" t="s">
        <x:v>89</x:v>
      </x:c>
      <x:c r="D8" s="167"/>
      <x:c r="E8" s="168"/>
      <x:c r="F8" s="168"/>
      <x:c r="G8" s="169"/>
    </x:row>
    <x:row r="9" spans="2:13" ht="12.6" customHeight="1" thickBot="1" x14ac:dyDescent="0.25">
      <x:c r="D9" s="170">
        <x:v>0</x:v>
      </x:c>
      <x:c r="E9" s="170">
        <x:v>0</x:v>
      </x:c>
      <x:c r="F9" s="170" t="n">
        <x:v>28645323</x:v>
      </x:c>
      <x:c r="G9" s="170" t="n">
        <x:v>545</x:v>
      </x:c>
    </x:row>
    <x:row r="10" spans="2:13" ht="12.6" customHeight="1" thickBot="1" x14ac:dyDescent="0.25"/>
    <x:row r="11" spans="2:13" s="95" customFormat="1" ht="12.6" customHeight="1" thickBot="1" x14ac:dyDescent="0.25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ht="12.6" customHeight="1" x14ac:dyDescent="0.2">
      <x:c r="B12" s="94" t="s">
        <x:v>140</x:v>
      </x:c>
      <x:c r="C12" s="158">
        <x:v>1</x:v>
      </x:c>
      <x:c r="D12" s="159">
        <x:v>0</x:v>
      </x:c>
      <x:c r="E12" s="160">
        <x:v>0</x:v>
      </x:c>
      <x:c r="F12" s="160" t="n">
        <x:v>0</x:v>
      </x:c>
      <x:c r="G12" s="161" t="n">
        <x:v>0</x:v>
      </x:c>
    </x:row>
    <x:row r="13" spans="2:13" ht="12.6" customHeight="1" x14ac:dyDescent="0.2">
      <x:c r="C13" s="162">
        <x:v>2</x:v>
      </x:c>
      <x:c r="D13" s="163">
        <x:v>0</x:v>
      </x:c>
      <x:c r="E13" s="164">
        <x:v>0</x:v>
      </x:c>
      <x:c r="F13" s="164" t="n">
        <x:v>0</x:v>
      </x:c>
      <x:c r="G13" s="165" t="n">
        <x:v>0</x:v>
      </x:c>
    </x:row>
    <x:row r="14" spans="2:13" ht="12.6" customHeight="1" x14ac:dyDescent="0.2">
      <x:c r="C14" s="162">
        <x:v>3</x:v>
      </x:c>
      <x:c r="D14" s="163">
        <x:v>0</x:v>
      </x:c>
      <x:c r="E14" s="164">
        <x:v>0</x:v>
      </x:c>
      <x:c r="F14" s="164" t="n">
        <x:v>0</x:v>
      </x:c>
      <x:c r="G14" s="165" t="n">
        <x:v>0</x:v>
      </x:c>
    </x:row>
    <x:row r="15" spans="2:13" ht="12.6" customHeight="1" x14ac:dyDescent="0.2">
      <x:c r="C15" s="162">
        <x:v>4</x:v>
      </x:c>
      <x:c r="D15" s="163">
        <x:v>0</x:v>
      </x:c>
      <x:c r="E15" s="164">
        <x:v>0</x:v>
      </x:c>
      <x:c r="F15" s="164" t="n">
        <x:v>0</x:v>
      </x:c>
      <x:c r="G15" s="165" t="n">
        <x:v>0</x:v>
      </x:c>
    </x:row>
    <x:row r="16" spans="2:13" ht="12.6" customHeight="1" x14ac:dyDescent="0.2">
      <x:c r="C16" s="162">
        <x:v>5</x:v>
      </x:c>
      <x:c r="D16" s="163">
        <x:v>0</x:v>
      </x:c>
      <x:c r="E16" s="164">
        <x:v>0</x:v>
      </x:c>
      <x:c r="F16" s="164" t="n">
        <x:v>0</x:v>
      </x:c>
      <x:c r="G16" s="165" t="n">
        <x:v>0</x:v>
      </x:c>
    </x:row>
    <x:row r="17" spans="1:11" ht="12.6" customHeight="1" thickBot="1" x14ac:dyDescent="0.25">
      <x:c r="C17" s="166" t="s">
        <x:v>89</x:v>
      </x:c>
      <x:c r="D17" s="167"/>
      <x:c r="E17" s="168"/>
      <x:c r="F17" s="168"/>
      <x:c r="G17" s="169"/>
    </x:row>
    <x:row r="18" spans="1:11" ht="12.6" customHeight="1" thickBot="1" x14ac:dyDescent="0.25">
      <x:c r="D18" s="170">
        <x:v>0</x:v>
      </x:c>
      <x:c r="E18" s="170">
        <x:v>0</x:v>
      </x:c>
      <x:c r="F18" s="170" t="n">
        <x:v>0</x:v>
      </x:c>
      <x:c r="G18" s="170" t="n">
        <x:v>0</x:v>
      </x:c>
    </x:row>
    <x:row r="19" spans="1:11" ht="12.6" customHeight="1" thickBot="1" x14ac:dyDescent="0.25"/>
    <x:row r="20" spans="1:11" ht="12.6" customHeight="1" thickBot="1" x14ac:dyDescent="0.25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ht="12.6" customHeight="1" x14ac:dyDescent="0.2">
      <x:c r="B21" s="18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1" s="151" customFormat="1" ht="12.6" customHeight="1" x14ac:dyDescent="0.2">
      <x:c r="B22"/>
      <x:c r="C22" s="162">
        <x:v>2</x:v>
      </x:c>
      <x:c r="D22" s="163">
        <x:v>0</x:v>
      </x:c>
      <x:c r="E22" s="164">
        <x:v>0</x:v>
      </x:c>
      <x:c r="F22" s="164" t="n">
        <x:v>0</x:v>
      </x:c>
      <x:c r="G22" s="165" t="n">
        <x:v>0</x:v>
      </x:c>
      <x:c r="I22" s="163">
        <x:v>0</x:v>
      </x:c>
      <x:c r="J22" s="165">
        <x:v>0</x:v>
      </x:c>
    </x:row>
    <x:row r="23" spans="1:11" s="151" customFormat="1" ht="12.6" customHeight="1" x14ac:dyDescent="0.2">
      <x:c r="B23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1" s="151" customFormat="1" ht="12.6" customHeight="1" x14ac:dyDescent="0.2">
      <x:c r="B24"/>
      <x:c r="C24" s="162">
        <x:v>4</x:v>
      </x:c>
      <x:c r="D24" s="163">
        <x:v>0</x:v>
      </x:c>
      <x:c r="E24" s="164">
        <x:v>0</x:v>
      </x:c>
      <x:c r="F24" s="164" t="n">
        <x:v>0</x:v>
      </x:c>
      <x:c r="G24" s="165" t="n">
        <x:v>0</x:v>
      </x:c>
      <x:c r="I24" s="163">
        <x:v>0</x:v>
      </x:c>
      <x:c r="J24" s="165">
        <x:v>0</x:v>
      </x:c>
    </x:row>
    <x:row r="25" spans="1:11" s="151" customFormat="1" ht="12.6" customHeight="1" x14ac:dyDescent="0.2">
      <x:c r="B25"/>
      <x:c r="C25" s="162">
        <x:v>5</x:v>
      </x:c>
      <x:c r="D25" s="163">
        <x:v>0</x:v>
      </x:c>
      <x:c r="E25" s="164">
        <x:v>0</x:v>
      </x:c>
      <x:c r="F25" s="164" t="n">
        <x:v>28645323</x:v>
      </x:c>
      <x:c r="G25" s="165" t="n">
        <x:v>545</x:v>
      </x:c>
      <x:c r="I25" s="163">
        <x:v>0</x:v>
      </x:c>
      <x:c r="J25" s="165">
        <x:v>0</x:v>
      </x:c>
    </x:row>
    <x:row r="26" spans="1:11" ht="12.6" customHeight="1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2.6" customHeight="1" thickBot="1" x14ac:dyDescent="0.25">
      <x:c r="D27" s="170">
        <x:v>0</x:v>
      </x:c>
      <x:c r="E27" s="170">
        <x:v>0</x:v>
      </x:c>
      <x:c r="F27" s="170" t="n">
        <x:v>28645323</x:v>
      </x:c>
      <x:c r="G27" s="170" t="n">
        <x:v>545</x:v>
      </x:c>
      <x:c r="I27" s="183">
        <x:v>0</x:v>
      </x:c>
      <x:c r="J27" s="184">
        <x:v>0</x:v>
      </x:c>
    </x:row>
    <x:row r="29" spans="1:1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</x:row>
    <x:row r="33" spans="2:10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I35" s="151" t="b">
        <x:f>I27=SUM(I21:I26)</x:f>
        <x:v>1</x:v>
      </x:c>
      <x:c r="J35" s="151" t="b">
        <x:f t="shared" si="2"/>
        <x:v>1</x:v>
      </x:c>
    </x:row>
    <x:row r="69" spans="5:5" x14ac:dyDescent="0.2">
      <x:c r="E69" s="151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topLeftCell="A9" workbookViewId="0"/>
  </x:sheetViews>
  <x:sheetFormatPr baseColWidth="10" defaultColWidth="11.42578125" defaultRowHeight="12.75" x14ac:dyDescent="0.2"/>
  <x:cols>
    <x:col min="1" max="1" width="2.28515625" style="192" customWidth="1"/>
    <x:col min="2" max="2" width="25" style="192" bestFit="1" customWidth="1"/>
    <x:col min="3" max="3" width="4.7109375" style="192" bestFit="1" customWidth="1"/>
    <x:col min="4" max="4" width="13.7109375" style="151" bestFit="1" customWidth="1"/>
    <x:col min="5" max="5" width="19" style="151" bestFit="1" customWidth="1"/>
    <x:col min="6" max="6" width="13.7109375" style="151" bestFit="1" customWidth="1"/>
    <x:col min="7" max="7" width="19" style="151" bestFit="1" customWidth="1"/>
    <x:col min="8" max="8" width="3.7109375" style="151" customWidth="1"/>
    <x:col min="9" max="9" width="20" style="151" bestFit="1" customWidth="1"/>
    <x:col min="10" max="10" width="26.5703125" style="151" bestFit="1" customWidth="1"/>
    <x:col min="11" max="13" width="19.7109375" style="151" customWidth="1"/>
    <x:col min="14" max="16384" width="11.42578125" style="192"/>
  </x:cols>
  <x:sheetData>
    <x:row r="1" spans="2:13" ht="13.5" thickBot="1" x14ac:dyDescent="0.25"/>
    <x:row r="2" spans="2:13" s="193" customFormat="1" ht="13.5" thickBot="1" x14ac:dyDescent="0.25">
      <x:c r="B2" s="193" t="s">
        <x:v>157</x:v>
      </x:c>
      <x:c r="C2" s="194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157"/>
      <x:c r="K2" s="157"/>
      <x:c r="L2" s="157"/>
      <x:c r="M2" s="157"/>
    </x:row>
    <x:row r="3" spans="2:13" x14ac:dyDescent="0.2">
      <x:c r="C3" s="158">
        <x:v>1</x:v>
      </x:c>
      <x:c r="D3" s="159">
        <x:v>0</x:v>
      </x:c>
      <x:c r="E3" s="164">
        <x:v>0</x:v>
      </x:c>
      <x:c r="F3" s="160" t="n">
        <x:v>0</x:v>
      </x:c>
      <x:c r="G3" s="161" t="n">
        <x:v>0</x:v>
      </x:c>
    </x:row>
    <x:row r="4" spans="2:13" x14ac:dyDescent="0.2">
      <x:c r="C4" s="162">
        <x:v>2</x:v>
      </x:c>
      <x:c r="D4" s="164">
        <x:v>0</x:v>
      </x:c>
      <x:c r="E4" s="164">
        <x:v>0</x:v>
      </x:c>
      <x:c r="F4" s="164" t="n">
        <x:v>0</x:v>
      </x:c>
      <x:c r="G4" s="165" t="n">
        <x:v>0</x:v>
      </x:c>
    </x:row>
    <x:row r="5" spans="2:13" x14ac:dyDescent="0.2">
      <x:c r="C5" s="162">
        <x:v>3</x:v>
      </x:c>
      <x:c r="D5" s="164">
        <x:v>0</x:v>
      </x:c>
      <x:c r="E5" s="164">
        <x:v>0</x:v>
      </x:c>
      <x:c r="F5" s="164" t="n">
        <x:v>0</x:v>
      </x:c>
      <x:c r="G5" s="165" t="n">
        <x:v>0</x:v>
      </x:c>
    </x:row>
    <x:row r="6" spans="2:13" ht="13.5" customHeight="1" x14ac:dyDescent="0.2">
      <x:c r="C6" s="162">
        <x:v>4</x:v>
      </x:c>
      <x:c r="D6" s="164">
        <x:v>0</x:v>
      </x:c>
      <x:c r="E6" s="164">
        <x:v>0</x:v>
      </x:c>
      <x:c r="F6" s="164" t="n">
        <x:v>0</x:v>
      </x:c>
      <x:c r="G6" s="165" t="n">
        <x:v>0</x:v>
      </x:c>
    </x:row>
    <x:row r="7" spans="2:13" ht="13.5" customHeight="1" x14ac:dyDescent="0.2">
      <x:c r="C7" s="162">
        <x:v>5</x:v>
      </x:c>
      <x:c r="D7" s="164">
        <x:v>0</x:v>
      </x:c>
      <x:c r="E7" s="164">
        <x:v>0</x:v>
      </x:c>
      <x:c r="F7" s="164" t="n">
        <x:v>0</x:v>
      </x:c>
      <x:c r="G7" s="165" t="n">
        <x:v>0</x:v>
      </x:c>
    </x:row>
    <x:row r="8" spans="2:13" ht="13.5" thickBot="1" x14ac:dyDescent="0.25">
      <x:c r="C8" s="166" t="s">
        <x:v>89</x:v>
      </x:c>
      <x:c r="D8" s="167"/>
      <x:c r="E8" s="168"/>
      <x:c r="F8" s="168"/>
      <x:c r="G8" s="169"/>
    </x:row>
    <x:row r="9" spans="2:13" ht="13.5" thickBot="1" x14ac:dyDescent="0.25">
      <x:c r="D9" s="170">
        <x:v>0</x:v>
      </x:c>
      <x:c r="E9" s="170">
        <x:v>0</x:v>
      </x:c>
      <x:c r="F9" s="170" t="n">
        <x:v>0</x:v>
      </x:c>
      <x:c r="G9" s="170" t="n">
        <x:v>0</x:v>
      </x:c>
    </x:row>
    <x:row r="10" spans="2:13" ht="13.5" thickBot="1" x14ac:dyDescent="0.25"/>
    <x:row r="11" spans="2:13" s="193" customFormat="1" ht="13.5" thickBot="1" x14ac:dyDescent="0.25">
      <x:c r="C11" s="194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">
      <x:c r="B12" s="195" t="s">
        <x:v>158</x:v>
      </x:c>
      <x:c r="C12" s="158">
        <x:v>1</x:v>
      </x:c>
      <x:c r="D12" s="159">
        <x:v>0</x:v>
      </x:c>
      <x:c r="E12" s="164">
        <x:v>0</x:v>
      </x:c>
      <x:c r="F12" s="160" t="n">
        <x:v>0</x:v>
      </x:c>
      <x:c r="G12" s="161" t="n">
        <x:v>0</x:v>
      </x:c>
    </x:row>
    <x:row r="13" spans="2:13" x14ac:dyDescent="0.2">
      <x:c r="C13" s="162">
        <x:v>2</x:v>
      </x:c>
      <x:c r="D13" s="164">
        <x:v>0</x:v>
      </x:c>
      <x:c r="E13" s="164">
        <x:v>0</x:v>
      </x:c>
      <x:c r="F13" s="164" t="n">
        <x:v>0</x:v>
      </x:c>
      <x:c r="G13" s="165" t="n">
        <x:v>0</x:v>
      </x:c>
    </x:row>
    <x:row r="14" spans="2:13" x14ac:dyDescent="0.2">
      <x:c r="C14" s="162">
        <x:v>3</x:v>
      </x:c>
      <x:c r="D14" s="164">
        <x:v>0</x:v>
      </x:c>
      <x:c r="E14" s="164">
        <x:v>0</x:v>
      </x:c>
      <x:c r="F14" s="164" t="n">
        <x:v>0</x:v>
      </x:c>
      <x:c r="G14" s="165" t="n">
        <x:v>0</x:v>
      </x:c>
    </x:row>
    <x:row r="15" spans="2:13" x14ac:dyDescent="0.2">
      <x:c r="C15" s="162">
        <x:v>4</x:v>
      </x:c>
      <x:c r="D15" s="164">
        <x:v>0</x:v>
      </x:c>
      <x:c r="E15" s="164">
        <x:v>0</x:v>
      </x:c>
      <x:c r="F15" s="164" t="n">
        <x:v>0</x:v>
      </x:c>
      <x:c r="G15" s="165" t="n">
        <x:v>0</x:v>
      </x:c>
    </x:row>
    <x:row r="16" spans="2:13" x14ac:dyDescent="0.2">
      <x:c r="C16" s="162">
        <x:v>5</x:v>
      </x:c>
      <x:c r="D16" s="164">
        <x:v>0</x:v>
      </x:c>
      <x:c r="E16" s="164">
        <x:v>0</x:v>
      </x:c>
      <x:c r="F16" s="164" t="n">
        <x:v>0</x:v>
      </x:c>
      <x:c r="G16" s="165" t="n">
        <x:v>0</x:v>
      </x:c>
    </x:row>
    <x:row r="17" spans="1:13" ht="13.5" thickBot="1" x14ac:dyDescent="0.25">
      <x:c r="C17" s="166" t="s">
        <x:v>89</x:v>
      </x:c>
      <x:c r="D17" s="167"/>
      <x:c r="E17" s="168"/>
      <x:c r="F17" s="168"/>
      <x:c r="G17" s="169"/>
    </x:row>
    <x:row r="18" spans="1:13" ht="13.5" thickBot="1" x14ac:dyDescent="0.25">
      <x:c r="D18" s="170">
        <x:v>0</x:v>
      </x:c>
      <x:c r="E18" s="170">
        <x:v>0</x:v>
      </x:c>
      <x:c r="F18" s="170" t="n">
        <x:v>0</x:v>
      </x:c>
      <x:c r="G18" s="170" t="n">
        <x:v>0</x:v>
      </x:c>
    </x:row>
    <x:row r="19" spans="1:13" ht="13.5" thickBot="1" x14ac:dyDescent="0.25"/>
    <x:row r="20" spans="1:13" ht="13.5" thickBot="1" x14ac:dyDescent="0.25">
      <x:c r="C20" s="194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3" s="151" customFormat="1" x14ac:dyDescent="0.2">
      <x:c r="B21" s="19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3" s="151" customFormat="1" x14ac:dyDescent="0.2">
      <x:c r="B22" s="192"/>
      <x:c r="C22" s="162">
        <x:v>2</x:v>
      </x:c>
      <x:c r="D22" s="163">
        <x:v>0</x:v>
      </x:c>
      <x:c r="E22" s="164">
        <x:v>0</x:v>
      </x:c>
      <x:c r="F22" s="164" t="n">
        <x:v>0</x:v>
      </x:c>
      <x:c r="G22" s="165" t="n">
        <x:v>0</x:v>
      </x:c>
      <x:c r="I22" s="163">
        <x:v>0</x:v>
      </x:c>
      <x:c r="J22" s="165">
        <x:v>0</x:v>
      </x:c>
    </x:row>
    <x:row r="23" spans="1:13" s="151" customFormat="1" x14ac:dyDescent="0.2">
      <x:c r="B23" s="192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3" s="151" customFormat="1" x14ac:dyDescent="0.2">
      <x:c r="B24" s="192"/>
      <x:c r="C24" s="162">
        <x:v>4</x:v>
      </x:c>
      <x:c r="D24" s="163">
        <x:v>0</x:v>
      </x:c>
      <x:c r="E24" s="164">
        <x:v>0</x:v>
      </x:c>
      <x:c r="F24" s="164" t="n">
        <x:v>0</x:v>
      </x:c>
      <x:c r="G24" s="165" t="n">
        <x:v>0</x:v>
      </x:c>
      <x:c r="I24" s="163">
        <x:v>0</x:v>
      </x:c>
      <x:c r="J24" s="165">
        <x:v>0</x:v>
      </x:c>
    </x:row>
    <x:row r="25" spans="1:13" s="151" customFormat="1" x14ac:dyDescent="0.2">
      <x:c r="B25" s="192"/>
      <x:c r="C25" s="162">
        <x:v>5</x:v>
      </x:c>
      <x:c r="D25" s="163">
        <x:v>0</x:v>
      </x:c>
      <x:c r="E25" s="164">
        <x:v>0</x:v>
      </x:c>
      <x:c r="F25" s="164" t="n">
        <x:v>0</x:v>
      </x:c>
      <x:c r="G25" s="165" t="n">
        <x:v>0</x:v>
      </x:c>
      <x:c r="I25" s="163">
        <x:v>0</x:v>
      </x:c>
      <x:c r="J25" s="165">
        <x:v>0</x:v>
      </x:c>
    </x:row>
    <x:row r="26" spans="1:13" ht="13.5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3" ht="13.5" thickBot="1" x14ac:dyDescent="0.25">
      <x:c r="D27" s="170">
        <x:v>0</x:v>
      </x:c>
      <x:c r="E27" s="170">
        <x:v>0</x:v>
      </x:c>
      <x:c r="F27" s="170" t="n">
        <x:v>0</x:v>
      </x:c>
      <x:c r="G27" s="170" t="n">
        <x:v>0</x:v>
      </x:c>
      <x:c r="I27" s="183">
        <x:v>0</x:v>
      </x:c>
      <x:c r="J27" s="184">
        <x:v>0</x:v>
      </x:c>
    </x:row>
    <x:row r="29" spans="1:13" customFormat="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  <x:c r="L29" s="151"/>
      <x:c r="M29" s="151"/>
    </x:row>
    <x:row r="30" spans="1:13" customFormat="1" x14ac:dyDescent="0.2"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</x:row>
    <x:row r="31" spans="1:13" customFormat="1" x14ac:dyDescent="0.2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  <x:c r="H31" s="151"/>
      <x:c r="I31" s="151"/>
      <x:c r="J31" s="151"/>
      <x:c r="K31" s="151"/>
      <x:c r="L31" s="151"/>
      <x:c r="M31" s="151"/>
    </x:row>
    <x:row r="32" spans="1:13" customFormat="1" x14ac:dyDescent="0.2"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</x:row>
    <x:row r="33" spans="2:13" customFormat="1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  <x:c r="H33" s="151"/>
      <x:c r="I33" s="151"/>
      <x:c r="J33" s="151"/>
      <x:c r="K33" s="151"/>
      <x:c r="L33" s="151"/>
      <x:c r="M33" s="151"/>
    </x:row>
    <x:row r="34" spans="2:13" customFormat="1" x14ac:dyDescent="0.2"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</x:row>
    <x:row r="35" spans="2:13" customFormat="1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 t="shared" si="2"/>
        <x:v>1</x:v>
      </x:c>
      <x:c r="G35" s="151" t="b">
        <x:f t="shared" si="2"/>
        <x:v>1</x:v>
      </x:c>
      <x:c r="H35" s="151"/>
      <x:c r="I35" s="151" t="b">
        <x:f t="shared" si="2"/>
        <x:v>1</x:v>
      </x:c>
      <x:c r="J35" s="151" t="b">
        <x:f t="shared" si="2"/>
        <x:v>1</x:v>
      </x:c>
      <x:c r="K35" s="151"/>
      <x:c r="L35" s="151"/>
      <x:c r="M35" s="151"/>
    </x:row>
    <x:row r="36" spans="2:13" customFormat="1" x14ac:dyDescent="0.2"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</x:row>
    <x:row r="37" spans="2:13" customFormat="1" x14ac:dyDescent="0.2"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topLeftCell="A12" zoomScaleNormal="100" workbookViewId="0">
      <x:selection activeCell="K20" sqref="K20"/>
    </x:sheetView>
  </x:sheetViews>
  <x:sheetFormatPr baseColWidth="10" defaultColWidth="11.42578125" defaultRowHeight="12.75" x14ac:dyDescent="0.2"/>
  <x:cols>
    <x:col min="1" max="1" width="2.28515625" style="150" customWidth="1"/>
    <x:col min="2" max="2" width="12.7109375" style="150" bestFit="1" customWidth="1"/>
    <x:col min="3" max="3" width="7.28515625" style="150" customWidth="1"/>
    <x:col min="4" max="4" width="15.28515625" style="151" customWidth="1"/>
    <x:col min="5" max="5" width="20.42578125" style="151" customWidth="1"/>
    <x:col min="6" max="6" width="15.28515625" style="15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  <x:col min="14" max="16384" width="11.42578125" style="150"/>
  </x:cols>
  <x:sheetData>
    <x:row r="1" spans="2:13" ht="13.5" thickBot="1" x14ac:dyDescent="0.25"/>
    <x:row r="2" spans="2:13" s="152" customFormat="1" ht="13.5" thickBot="1" x14ac:dyDescent="0.25">
      <x:c r="B2" s="152" t="s">
        <x:v>132</x:v>
      </x:c>
      <x:c r="C2" s="153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x14ac:dyDescent="0.2">
      <x:c r="C3" s="158">
        <x:v>1</x:v>
      </x:c>
      <x:c r="D3" s="218">
        <x:v>0</x:v>
      </x:c>
      <x:c r="E3" s="160">
        <x:v>0</x:v>
      </x:c>
      <x:c r="F3" s="160" t="n">
        <x:v>644977472</x:v>
      </x:c>
      <x:c r="G3" s="161" t="n">
        <x:v>2386</x:v>
      </x:c>
      <x:c r="J3" s="593"/>
    </x:row>
    <x:row r="4" spans="2:13" x14ac:dyDescent="0.2">
      <x:c r="C4" s="162">
        <x:v>2</x:v>
      </x:c>
      <x:c r="D4" s="219">
        <x:v>0</x:v>
      </x:c>
      <x:c r="E4" s="164">
        <x:v>0</x:v>
      </x:c>
      <x:c r="F4" s="164" t="n">
        <x:v>1127716979</x:v>
      </x:c>
      <x:c r="G4" s="165" t="n">
        <x:v>9079</x:v>
      </x:c>
      <x:c r="J4" s="593"/>
    </x:row>
    <x:row r="5" spans="2:13" x14ac:dyDescent="0.2">
      <x:c r="C5" s="162">
        <x:v>3</x:v>
      </x:c>
      <x:c r="D5" s="219">
        <x:v>0</x:v>
      </x:c>
      <x:c r="E5" s="164">
        <x:v>0</x:v>
      </x:c>
      <x:c r="F5" s="164" t="n">
        <x:v>858037220</x:v>
      </x:c>
      <x:c r="G5" s="165" t="n">
        <x:v>2287</x:v>
      </x:c>
      <x:c r="J5" s="593"/>
    </x:row>
    <x:row r="6" spans="2:13" x14ac:dyDescent="0.2">
      <x:c r="C6" s="162">
        <x:v>4</x:v>
      </x:c>
      <x:c r="D6" s="219">
        <x:v>0</x:v>
      </x:c>
      <x:c r="E6" s="164">
        <x:v>0</x:v>
      </x:c>
      <x:c r="F6" s="164" t="n">
        <x:v>362907055</x:v>
      </x:c>
      <x:c r="G6" s="165" t="n">
        <x:v>2213</x:v>
      </x:c>
    </x:row>
    <x:row r="7" spans="2:13" x14ac:dyDescent="0.2">
      <x:c r="C7" s="162">
        <x:v>5</x:v>
      </x:c>
      <x:c r="D7" s="219">
        <x:v>0</x:v>
      </x:c>
      <x:c r="E7" s="164">
        <x:v>0</x:v>
      </x:c>
      <x:c r="F7" s="164" t="n">
        <x:v>271576031</x:v>
      </x:c>
      <x:c r="G7" s="165" t="n">
        <x:v>1257</x:v>
      </x:c>
    </x:row>
    <x:row r="8" spans="2:13" ht="13.5" thickBot="1" x14ac:dyDescent="0.25">
      <x:c r="C8" s="166" t="s">
        <x:v>89</x:v>
      </x:c>
      <x:c r="D8" s="220">
        <x:v>0</x:v>
      </x:c>
      <x:c r="E8" s="168">
        <x:v>0</x:v>
      </x:c>
      <x:c r="F8" s="168" t="n">
        <x:v>0</x:v>
      </x:c>
      <x:c r="G8" s="169" t="n">
        <x:v>0</x:v>
      </x:c>
    </x:row>
    <x:row r="9" spans="2:13" ht="13.5" thickBot="1" x14ac:dyDescent="0.25">
      <x:c r="D9" s="170">
        <x:v>0</x:v>
      </x:c>
      <x:c r="E9" s="170">
        <x:v>0</x:v>
      </x:c>
      <x:c r="F9" s="170" t="n">
        <x:v>3265214757</x:v>
      </x:c>
      <x:c r="G9" s="170" t="n">
        <x:v>17222</x:v>
      </x:c>
    </x:row>
    <x:row r="10" spans="2:13" ht="13.5" thickBot="1" x14ac:dyDescent="0.25">
      <x:c r="D10" s="221"/>
    </x:row>
    <x:row r="11" spans="2:13" s="152" customFormat="1" ht="13.5" thickBot="1" x14ac:dyDescent="0.25">
      <x:c r="C11" s="153" t="s">
        <x:v>3</x:v>
      </x:c>
      <x:c r="D11" s="153" t="s">
        <x:v>136</x:v>
      </x:c>
      <x:c r="E11" s="171" t="s">
        <x:v>137</x:v>
      </x:c>
      <x:c r="F11" s="171" t="s">
        <x:v>138</x:v>
      </x:c>
      <x:c r="G11" s="172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">
      <x:c r="B12" s="173" t="s">
        <x:v>140</x:v>
      </x:c>
      <x:c r="C12" s="174">
        <x:v>1</x:v>
      </x:c>
      <x:c r="D12" s="218">
        <x:v>0</x:v>
      </x:c>
      <x:c r="E12" s="160">
        <x:v>0</x:v>
      </x:c>
      <x:c r="F12" s="160" t="n">
        <x:v>160336245</x:v>
      </x:c>
      <x:c r="G12" s="161" t="n">
        <x:v>481</x:v>
      </x:c>
    </x:row>
    <x:row r="13" spans="2:13" x14ac:dyDescent="0.2">
      <x:c r="C13" s="175">
        <x:v>2</x:v>
      </x:c>
      <x:c r="D13" s="219">
        <x:v>0</x:v>
      </x:c>
      <x:c r="E13" s="164">
        <x:v>0</x:v>
      </x:c>
      <x:c r="F13" s="164" t="n">
        <x:v>298229199</x:v>
      </x:c>
      <x:c r="G13" s="165" t="n">
        <x:v>665</x:v>
      </x:c>
    </x:row>
    <x:row r="14" spans="2:13" x14ac:dyDescent="0.2">
      <x:c r="C14" s="175">
        <x:v>3</x:v>
      </x:c>
      <x:c r="D14" s="219">
        <x:v>0</x:v>
      </x:c>
      <x:c r="E14" s="164">
        <x:v>0</x:v>
      </x:c>
      <x:c r="F14" s="164" t="n">
        <x:v>387133299</x:v>
      </x:c>
      <x:c r="G14" s="165" t="n">
        <x:v>251</x:v>
      </x:c>
    </x:row>
    <x:row r="15" spans="2:13" x14ac:dyDescent="0.2">
      <x:c r="C15" s="175">
        <x:v>4</x:v>
      </x:c>
      <x:c r="D15" s="219">
        <x:v>0</x:v>
      </x:c>
      <x:c r="E15" s="164">
        <x:v>0</x:v>
      </x:c>
      <x:c r="F15" s="164" t="n">
        <x:v>123732462</x:v>
      </x:c>
      <x:c r="G15" s="165" t="n">
        <x:v>270</x:v>
      </x:c>
    </x:row>
    <x:row r="16" spans="2:13" x14ac:dyDescent="0.2">
      <x:c r="C16" s="175">
        <x:v>5</x:v>
      </x:c>
      <x:c r="D16" s="219">
        <x:v>0</x:v>
      </x:c>
      <x:c r="E16" s="164">
        <x:v>0</x:v>
      </x:c>
      <x:c r="F16" s="164" t="n">
        <x:v>49923090</x:v>
      </x:c>
      <x:c r="G16" s="165" t="n">
        <x:v>176</x:v>
      </x:c>
    </x:row>
    <x:row r="17" spans="1:13" ht="13.5" thickBot="1" x14ac:dyDescent="0.25">
      <x:c r="C17" s="176" t="s">
        <x:v>89</x:v>
      </x:c>
      <x:c r="D17" s="220">
        <x:v>0</x:v>
      </x:c>
      <x:c r="E17" s="168">
        <x:v>0</x:v>
      </x:c>
      <x:c r="F17" s="168" t="n">
        <x:v>0</x:v>
      </x:c>
      <x:c r="G17" s="169" t="n">
        <x:v>0</x:v>
      </x:c>
    </x:row>
    <x:row r="18" spans="1:13" ht="13.5" thickBot="1" x14ac:dyDescent="0.25">
      <x:c r="D18" s="177">
        <x:v>0</x:v>
      </x:c>
      <x:c r="E18" s="177">
        <x:v>0</x:v>
      </x:c>
      <x:c r="F18" s="177" t="n">
        <x:v>1019354295</x:v>
      </x:c>
      <x:c r="G18" s="177" t="n">
        <x:v>1843</x:v>
      </x:c>
    </x:row>
    <x:row r="19" spans="1:13" ht="13.5" thickBot="1" x14ac:dyDescent="0.25"/>
    <x:row r="20" spans="1:13" ht="13.5" thickBot="1" x14ac:dyDescent="0.25">
      <x:c r="C20" s="153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3" s="151" customFormat="1" x14ac:dyDescent="0.2">
      <x:c r="B21" s="180" t="s">
        <x:v>2</x:v>
      </x:c>
      <x:c r="C21" s="158">
        <x:v>1</x:v>
      </x:c>
      <x:c r="D21" s="218">
        <x:v>0</x:v>
      </x:c>
      <x:c r="E21" s="160">
        <x:v>0</x:v>
      </x:c>
      <x:c r="F21" s="160" t="n">
        <x:v>805313717</x:v>
      </x:c>
      <x:c r="G21" s="161" t="n">
        <x:v>2867</x:v>
      </x:c>
      <x:c r="I21" s="159">
        <x:v>0</x:v>
      </x:c>
      <x:c r="J21" s="161">
        <x:v>0</x:v>
      </x:c>
    </x:row>
    <x:row r="22" spans="1:13" s="151" customFormat="1" x14ac:dyDescent="0.2">
      <x:c r="B22" s="150"/>
      <x:c r="C22" s="162">
        <x:v>2</x:v>
      </x:c>
      <x:c r="D22" s="219">
        <x:v>0</x:v>
      </x:c>
      <x:c r="E22" s="164">
        <x:v>0</x:v>
      </x:c>
      <x:c r="F22" s="164" t="n">
        <x:v>1425946178</x:v>
      </x:c>
      <x:c r="G22" s="165" t="n">
        <x:v>9744</x:v>
      </x:c>
      <x:c r="I22" s="163">
        <x:v>0</x:v>
      </x:c>
      <x:c r="J22" s="165">
        <x:v>0</x:v>
      </x:c>
    </x:row>
    <x:row r="23" spans="1:13" s="151" customFormat="1" x14ac:dyDescent="0.2">
      <x:c r="B23" s="150"/>
      <x:c r="C23" s="162">
        <x:v>3</x:v>
      </x:c>
      <x:c r="D23" s="219">
        <x:v>0</x:v>
      </x:c>
      <x:c r="E23" s="164">
        <x:v>0</x:v>
      </x:c>
      <x:c r="F23" s="164" t="n">
        <x:v>1245170519</x:v>
      </x:c>
      <x:c r="G23" s="165" t="n">
        <x:v>2538</x:v>
      </x:c>
      <x:c r="I23" s="163">
        <x:v>0</x:v>
      </x:c>
      <x:c r="J23" s="165">
        <x:v>0</x:v>
      </x:c>
    </x:row>
    <x:row r="24" spans="1:13" s="151" customFormat="1" x14ac:dyDescent="0.2">
      <x:c r="B24" s="150"/>
      <x:c r="C24" s="162">
        <x:v>4</x:v>
      </x:c>
      <x:c r="D24" s="219">
        <x:v>0</x:v>
      </x:c>
      <x:c r="E24" s="164">
        <x:v>0</x:v>
      </x:c>
      <x:c r="F24" s="164" t="n">
        <x:v>486639517</x:v>
      </x:c>
      <x:c r="G24" s="165" t="n">
        <x:v>2483</x:v>
      </x:c>
      <x:c r="I24" s="163">
        <x:v>0</x:v>
      </x:c>
      <x:c r="J24" s="165">
        <x:v>0</x:v>
      </x:c>
    </x:row>
    <x:row r="25" spans="1:13" s="151" customFormat="1" x14ac:dyDescent="0.2">
      <x:c r="B25" s="150"/>
      <x:c r="C25" s="162">
        <x:v>5</x:v>
      </x:c>
      <x:c r="D25" s="219">
        <x:v>0</x:v>
      </x:c>
      <x:c r="E25" s="164">
        <x:v>0</x:v>
      </x:c>
      <x:c r="F25" s="164" t="n">
        <x:v>321499121</x:v>
      </x:c>
      <x:c r="G25" s="165" t="n">
        <x:v>1433</x:v>
      </x:c>
      <x:c r="I25" s="163">
        <x:v>0</x:v>
      </x:c>
      <x:c r="J25" s="165">
        <x:v>0</x:v>
      </x:c>
    </x:row>
    <x:row r="26" spans="1:13" ht="13.5" thickBot="1" x14ac:dyDescent="0.25">
      <x:c r="C26" s="222" t="s">
        <x:v>89</x:v>
      </x:c>
      <x:c r="D26" s="220">
        <x:v>0</x:v>
      </x:c>
      <x:c r="E26" s="168">
        <x:v>0</x:v>
      </x:c>
      <x:c r="F26" s="168" t="n">
        <x:v>0</x:v>
      </x:c>
      <x:c r="G26" s="169" t="n">
        <x:v>0</x:v>
      </x:c>
      <x:c r="I26" s="181">
        <x:v>0</x:v>
      </x:c>
      <x:c r="J26" s="182">
        <x:v>0</x:v>
      </x:c>
    </x:row>
    <x:row r="27" spans="1:13" ht="13.5" thickBot="1" x14ac:dyDescent="0.25">
      <x:c r="D27" s="170">
        <x:v>0</x:v>
      </x:c>
      <x:c r="E27" s="170">
        <x:v>0</x:v>
      </x:c>
      <x:c r="F27" s="170" t="n">
        <x:v>4284569052</x:v>
      </x:c>
      <x:c r="G27" s="170" t="n">
        <x:v>19065</x:v>
      </x:c>
      <x:c r="I27" s="183">
        <x:v>0</x:v>
      </x:c>
      <x:c r="J27" s="184">
        <x:v>0</x:v>
      </x:c>
    </x:row>
    <x:row r="29" spans="1:13" customFormat="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  <x:c r="L29" s="151"/>
      <x:c r="M29" s="151"/>
    </x:row>
    <x:row r="30" spans="1:13" customFormat="1" x14ac:dyDescent="0.2"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</x:row>
    <x:row r="31" spans="1:13" customFormat="1" x14ac:dyDescent="0.2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  <x:c r="H31" s="151"/>
      <x:c r="I31" s="151"/>
      <x:c r="J31" s="151"/>
      <x:c r="K31" s="151"/>
      <x:c r="L31" s="151"/>
      <x:c r="M31" s="151"/>
    </x:row>
    <x:row r="32" spans="1:13" customFormat="1" x14ac:dyDescent="0.2"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</x:row>
    <x:row r="33" spans="2:13" customFormat="1" x14ac:dyDescent="0.2">
      <x:c r="B33" s="94" t="s">
        <x:v>140</x:v>
      </x:c>
      <x:c r="D33" s="151" t="b">
        <x:f>D18=SUM(D12:D17)</x:f>
        <x:v>1</x:v>
      </x:c>
      <x:c r="E33" s="151" t="b">
        <x:f t="shared" ref="E33:F33" si="1">E18=SUM(E12:E17)</x:f>
        <x:v>1</x:v>
      </x:c>
      <x:c r="F33" s="151" t="b">
        <x:f t="shared" si="1"/>
        <x:v>1</x:v>
      </x:c>
      <x:c r="G33" s="151" t="b">
        <x:f>G18=SUM(G12:G17)</x:f>
        <x:v>1</x:v>
      </x:c>
      <x:c r="H33" s="151"/>
      <x:c r="I33" s="151"/>
      <x:c r="J33" s="151"/>
      <x:c r="K33" s="151"/>
      <x:c r="L33" s="151"/>
      <x:c r="M33" s="151"/>
    </x:row>
    <x:row r="34" spans="2:13" customFormat="1" x14ac:dyDescent="0.2"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</x:row>
    <x:row r="35" spans="2:13" customFormat="1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H35" s="151"/>
      <x:c r="I35" s="151" t="b">
        <x:f t="shared" si="2"/>
        <x:v>1</x:v>
      </x:c>
      <x:c r="J35" s="151" t="b">
        <x:f t="shared" si="2"/>
        <x:v>1</x:v>
      </x:c>
      <x:c r="K35" s="151"/>
      <x:c r="L35" s="151"/>
      <x:c r="M35" s="151"/>
    </x:row>
    <x:row r="36" spans="2:13" customFormat="1" x14ac:dyDescent="0.2"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</x:row>
    <x:row r="37" spans="2:13" customFormat="1" x14ac:dyDescent="0.2"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</x:row>
    <x:row r="69" spans="5:5" x14ac:dyDescent="0.2">
      <x:c r="E69" s="151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5" zoomScaleNormal="95" workbookViewId="0">
      <x:selection activeCell="A59" sqref="A59"/>
    </x:sheetView>
  </x:sheetViews>
  <x:sheetFormatPr baseColWidth="10" defaultRowHeight="12.75" x14ac:dyDescent="0.2"/>
  <x:cols>
    <x:col min="1" max="1" width="6" customWidth="1"/>
    <x:col min="2" max="2" width="47.7109375" bestFit="1" customWidth="1"/>
    <x:col min="3" max="9" width="22.7109375" customWidth="1"/>
    <x:col min="10" max="10" width="17.7109375" customWidth="1"/>
  </x:cols>
  <x:sheetData>
    <x:row r="1" spans="1:10" x14ac:dyDescent="0.2">
      <x:c r="C1" s="201" t="s">
        <x:v>155</x:v>
      </x:c>
      <x:c r="D1" s="201" t="s">
        <x:v>76</x:v>
      </x:c>
      <x:c r="E1" s="201" t="s">
        <x:v>85</x:v>
      </x:c>
      <x:c r="F1" s="201" t="s">
        <x:v>120</x:v>
      </x:c>
      <x:c r="G1" s="201" t="s">
        <x:v>326</x:v>
      </x:c>
      <x:c r="H1" s="201" t="s">
        <x:v>119</x:v>
      </x:c>
      <x:c r="I1" s="201" t="s">
        <x:v>70</x:v>
      </x:c>
    </x:row>
    <x:row r="2" spans="1:10" x14ac:dyDescent="0.2">
      <x:c r="B2" t="s">
        <x:v>97</x:v>
      </x:c>
      <x:c r="C2" s="202">
        <x:f>C13+C23+C32+C41+C51</x:f>
        <x:v>0</x:v>
      </x:c>
      <x:c r="D2" s="202">
        <x:f t="shared" ref="D2:H2" si="0">D13+D23+D32+D41+D51</x:f>
        <x:v>0</x:v>
      </x:c>
      <x:c r="E2" s="202">
        <x:f t="shared" si="0"/>
        <x:v>0</x:v>
      </x:c>
      <x:c r="F2" s="202">
        <x:f t="shared" si="0"/>
        <x:v>0</x:v>
      </x:c>
      <x:c r="G2" s="202">
        <x:f t="shared" si="0"/>
        <x:v>0</x:v>
      </x:c>
      <x:c r="H2" s="202">
        <x:f t="shared" si="0"/>
        <x:v>0</x:v>
      </x:c>
      <x:c r="I2" s="612">
        <x:f>SUM(C2:H2)</x:f>
        <x:v>0</x:v>
      </x:c>
    </x:row>
    <x:row r="3" spans="1:10" x14ac:dyDescent="0.2">
      <x:c r="B3" t="s">
        <x:v>98</x:v>
      </x:c>
      <x:c r="C3" s="202">
        <x:f>C14+C24+C33+C42+C52</x:f>
        <x:v>0</x:v>
      </x:c>
      <x:c r="D3" s="202">
        <x:f t="shared" ref="D3:H5" si="1">D14+D24+D33+D42+D52</x:f>
        <x:v>0</x:v>
      </x:c>
      <x:c r="E3" s="202">
        <x:f t="shared" si="1"/>
        <x:v>0</x:v>
      </x:c>
      <x:c r="F3" s="202">
        <x:f t="shared" si="1"/>
        <x:v>0</x:v>
      </x:c>
      <x:c r="G3" s="202">
        <x:f t="shared" ref="G3" si="2">G14+G24+G33+G42+G52</x:f>
        <x:v>0</x:v>
      </x:c>
      <x:c r="H3" s="202">
        <x:f t="shared" si="1"/>
        <x:v>0</x:v>
      </x:c>
      <x:c r="I3" s="612">
        <x:f>SUM(C3:H3)</x:f>
        <x:v>0</x:v>
      </x:c>
      <x:c r="J3" t="s">
        <x:v>1</x:v>
      </x:c>
    </x:row>
    <x:row r="4" spans="1:10" x14ac:dyDescent="0.2">
      <x:c r="B4" t="s">
        <x:v>131</x:v>
      </x:c>
      <x:c r="C4" s="202">
        <x:f>C15+C25+C34+C43+C53</x:f>
        <x:v>0</x:v>
      </x:c>
      <x:c r="D4" s="202">
        <x:f t="shared" si="1"/>
        <x:v>0</x:v>
      </x:c>
      <x:c r="E4" s="202">
        <x:f t="shared" si="1"/>
        <x:v>0</x:v>
      </x:c>
      <x:c r="F4" s="202">
        <x:f t="shared" si="1"/>
        <x:v>0</x:v>
      </x:c>
      <x:c r="G4" s="202">
        <x:f t="shared" ref="G4" si="3">G15+G25+G34+G43+G53</x:f>
        <x:v>0</x:v>
      </x:c>
      <x:c r="H4" s="202">
        <x:f t="shared" si="1"/>
        <x:v>0</x:v>
      </x:c>
      <x:c r="I4" s="612">
        <x:f>SUM(C4:H4)</x:f>
        <x:v>0</x:v>
      </x:c>
    </x:row>
    <x:row r="5" spans="1:10" ht="13.5" thickBot="1" x14ac:dyDescent="0.25">
      <x:c r="B5" t="s">
        <x:v>168</x:v>
      </x:c>
      <x:c r="C5" s="202">
        <x:f>C16+C26+C35+C44+C54</x:f>
        <x:v>0</x:v>
      </x:c>
      <x:c r="D5" s="202">
        <x:f t="shared" si="1"/>
        <x:v>0</x:v>
      </x:c>
      <x:c r="E5" s="202">
        <x:f t="shared" si="1"/>
        <x:v>0</x:v>
      </x:c>
      <x:c r="F5" s="202">
        <x:f t="shared" si="1"/>
        <x:v>0</x:v>
      </x:c>
      <x:c r="G5" s="202">
        <x:f t="shared" ref="G5" si="4">G16+G26+G35+G44+G54</x:f>
        <x:v>0</x:v>
      </x:c>
      <x:c r="H5" s="202">
        <x:f t="shared" si="1"/>
        <x:v>0</x:v>
      </x:c>
      <x:c r="I5" s="613">
        <x:f>SUM(C5:H5)</x:f>
        <x:v>0</x:v>
      </x:c>
    </x:row>
    <x:row r="6" spans="1:10" ht="13.5" thickBot="1" x14ac:dyDescent="0.25">
      <x:c r="B6" t="s">
        <x:v>70</x:v>
      </x:c>
      <x:c r="C6" s="170">
        <x:f>SUM(C2:C5)</x:f>
        <x:v>0</x:v>
      </x:c>
      <x:c r="D6" s="170">
        <x:f t="shared" ref="D6:H6" si="5">SUM(D2:D5)</x:f>
        <x:v>0</x:v>
      </x:c>
      <x:c r="E6" s="170">
        <x:f t="shared" si="5"/>
        <x:v>0</x:v>
      </x:c>
      <x:c r="F6" s="170">
        <x:f t="shared" si="5"/>
        <x:v>0</x:v>
      </x:c>
      <x:c r="G6" s="170">
        <x:f t="shared" si="5"/>
        <x:v>0</x:v>
      </x:c>
      <x:c r="H6" s="170">
        <x:f t="shared" si="5"/>
        <x:v>0</x:v>
      </x:c>
      <x:c r="I6" s="611">
        <x:f>SUM(I2:I5)</x:f>
        <x:v>0</x:v>
      </x:c>
    </x:row>
    <x:row r="7" spans="1:10" x14ac:dyDescent="0.2">
      <x:c r="C7" s="203" t="b">
        <x:f>C6=(C17+C27+C36+C45+C55)</x:f>
        <x:v>1</x:v>
      </x:c>
      <x:c r="D7" s="203" t="b">
        <x:f t="shared" ref="D7:H7" si="6">D6=(D17+D27+D36+D45+D55)</x:f>
        <x:v>1</x:v>
      </x:c>
      <x:c r="E7" s="203" t="b">
        <x:f t="shared" si="6"/>
        <x:v>1</x:v>
      </x:c>
      <x:c r="F7" s="203" t="b">
        <x:f t="shared" si="6"/>
        <x:v>1</x:v>
      </x:c>
      <x:c r="G7" s="203"/>
      <x:c r="H7" s="203" t="b">
        <x:f t="shared" si="6"/>
        <x:v>1</x:v>
      </x:c>
      <x:c r="I7" s="203" t="b">
        <x:f>I6=(I17+I27+I36+I45+I55)</x:f>
        <x:v>1</x:v>
      </x:c>
    </x:row>
    <x:row r="8" spans="1:10" x14ac:dyDescent="0.2">
      <x:c r="A8" s="197"/>
      <x:c r="B8" s="197"/>
      <x:c r="C8" s="197"/>
      <x:c r="D8" s="197"/>
      <x:c r="E8" s="197"/>
      <x:c r="F8" s="197"/>
      <x:c r="G8" s="197"/>
      <x:c r="H8" s="197"/>
      <x:c r="I8" s="197"/>
      <x:c r="J8" s="197"/>
    </x:row>
    <x:row r="10" spans="1:10" ht="15" x14ac:dyDescent="0.25">
      <x:c r="B10" s="50" t="s">
        <x:v>99</x:v>
      </x:c>
      <x:c r="H10" s="191"/>
    </x:row>
    <x:row r="11" spans="1:10" x14ac:dyDescent="0.2">
      <x:c r="B11" s="107" t="s">
        <x:v>96</x:v>
      </x:c>
    </x:row>
    <x:row r="12" spans="1:10" x14ac:dyDescent="0.2">
      <x:c r="C12" s="201" t="s">
        <x:v>155</x:v>
      </x:c>
      <x:c r="D12" s="201" t="s">
        <x:v>76</x:v>
      </x:c>
      <x:c r="E12" s="201" t="s">
        <x:v>85</x:v>
      </x:c>
      <x:c r="F12" s="201" t="s">
        <x:v>120</x:v>
      </x:c>
      <x:c r="G12" s="201" t="s">
        <x:v>326</x:v>
      </x:c>
      <x:c r="H12" s="201" t="s">
        <x:v>119</x:v>
      </x:c>
      <x:c r="I12" s="201" t="s">
        <x:v>70</x:v>
      </x:c>
    </x:row>
    <x:row r="13" spans="1:10" x14ac:dyDescent="0.2">
      <x:c r="B13" t="s">
        <x:v>97</x:v>
      </x:c>
      <x:c r="C13" s="199" t="n">
        <x:v>16577115642.75</x:v>
      </x:c>
      <x:c r="D13" s="199">
        <x:v>0</x:v>
      </x:c>
      <x:c r="E13" s="199">
        <x:v>0</x:v>
      </x:c>
      <x:c r="F13" s="199">
        <x:v>0</x:v>
      </x:c>
      <x:c r="G13" s="199">
        <x:v>0</x:v>
      </x:c>
      <x:c r="H13" s="199" t="n">
        <x:v>776222233.37</x:v>
      </x:c>
      <x:c r="I13" s="612">
        <x:f>SUM(C13:H13)</x:f>
        <x:v>0</x:v>
      </x:c>
      <x:c r="J13" s="203" t="b">
        <x:f>SUM(C13:H13)=I13</x:f>
        <x:v>1</x:v>
      </x:c>
    </x:row>
    <x:row r="14" spans="1:10" x14ac:dyDescent="0.2">
      <x:c r="B14" s="89" t="s">
        <x:v>98</x:v>
      </x:c>
      <x:c r="C14" s="199" t="n">
        <x:v>83572548.25</x:v>
      </x:c>
      <x:c r="D14" s="199">
        <x:v>0</x:v>
      </x:c>
      <x:c r="E14" s="199">
        <x:v>0</x:v>
      </x:c>
      <x:c r="F14" s="199">
        <x:v>0</x:v>
      </x:c>
      <x:c r="G14" s="199">
        <x:v>0</x:v>
      </x:c>
      <x:c r="H14" s="199" t="n">
        <x:v>17358483.63</x:v>
      </x:c>
      <x:c r="I14" s="612">
        <x:f t="shared" ref="I14:I16" si="7">SUM(C14:H14)</x:f>
        <x:v>0</x:v>
      </x:c>
      <x:c r="J14" s="203" t="b">
        <x:f t="shared" ref="J14:J17" si="8">SUM(C14:H14)=I14</x:f>
        <x:v>1</x:v>
      </x:c>
    </x:row>
    <x:row r="15" spans="1:10" x14ac:dyDescent="0.2">
      <x:c r="B15" t="s">
        <x:v>131</x:v>
      </x:c>
      <x:c r="C15" s="199" t="n">
        <x:v>0</x:v>
      </x:c>
      <x:c r="D15" s="199">
        <x:v>0</x:v>
      </x:c>
      <x:c r="E15" s="199">
        <x:v>0</x:v>
      </x:c>
      <x:c r="F15" s="199">
        <x:v>0</x:v>
      </x:c>
      <x:c r="G15" s="199">
        <x:v>0</x:v>
      </x:c>
      <x:c r="H15" s="199" t="n">
        <x:v>11733000</x:v>
      </x:c>
      <x:c r="I15" s="612">
        <x:f t="shared" si="7"/>
        <x:v>0</x:v>
      </x:c>
      <x:c r="J15" s="203" t="b">
        <x:f t="shared" si="8"/>
        <x:v>1</x:v>
      </x:c>
    </x:row>
    <x:row r="16" spans="1:10" ht="13.5" thickBot="1" x14ac:dyDescent="0.25">
      <x:c r="B16" t="s">
        <x:v>168</x:v>
      </x:c>
      <x:c r="C16" s="610" t="n">
        <x:v>0</x:v>
      </x:c>
      <x:c r="D16" s="610">
        <x:v>0</x:v>
      </x:c>
      <x:c r="E16" s="610">
        <x:v>0</x:v>
      </x:c>
      <x:c r="F16" s="610">
        <x:v>0</x:v>
      </x:c>
      <x:c r="G16" s="610">
        <x:v>0</x:v>
      </x:c>
      <x:c r="H16" s="610" t="n">
        <x:v>0</x:v>
      </x:c>
      <x:c r="I16" s="613">
        <x:f t="shared" si="7"/>
        <x:v>0</x:v>
      </x:c>
      <x:c r="J16" s="203" t="b">
        <x:f t="shared" si="8"/>
        <x:v>1</x:v>
      </x:c>
    </x:row>
    <x:row r="17" spans="2:11" ht="13.5" thickBot="1" x14ac:dyDescent="0.25">
      <x:c r="B17" s="89" t="s">
        <x:v>70</x:v>
      </x:c>
      <x:c r="C17" s="170">
        <x:f>SUM(C13:C16)</x:f>
        <x:v>0</x:v>
      </x:c>
      <x:c r="D17" s="170">
        <x:f t="shared" ref="D17:I17" si="9">SUM(D13:D16)</x:f>
        <x:v>0</x:v>
      </x:c>
      <x:c r="E17" s="170">
        <x:f t="shared" si="9"/>
        <x:v>0</x:v>
      </x:c>
      <x:c r="F17" s="170">
        <x:f t="shared" si="9"/>
        <x:v>0</x:v>
      </x:c>
      <x:c r="G17" s="170">
        <x:f t="shared" si="9"/>
        <x:v>0</x:v>
      </x:c>
      <x:c r="H17" s="170">
        <x:f>SUM(H13:H16)</x:f>
        <x:v>0</x:v>
      </x:c>
      <x:c r="I17" s="611">
        <x:f t="shared" si="9"/>
        <x:v>0</x:v>
      </x:c>
      <x:c r="J17" s="203" t="b">
        <x:f t="shared" si="8"/>
        <x:v>1</x:v>
      </x:c>
      <x:c r="K17" s="115"/>
    </x:row>
    <x:row r="18" spans="2:11" x14ac:dyDescent="0.2">
      <x:c r="B18" s="89"/>
      <x:c r="C18" s="106"/>
      <x:c r="D18" s="106"/>
      <x:c r="E18" s="106"/>
      <x:c r="F18" s="106"/>
      <x:c r="G18" s="106"/>
      <x:c r="H18" s="106"/>
      <x:c r="I18" s="106"/>
    </x:row>
    <x:row r="19" spans="2:11" x14ac:dyDescent="0.2">
      <x:c r="C19" s="132"/>
      <x:c r="D19" s="191"/>
      <x:c r="I19" s="191"/>
    </x:row>
    <x:row r="20" spans="2:11" ht="15" x14ac:dyDescent="0.25">
      <x:c r="B20" s="50" t="s">
        <x:v>100</x:v>
      </x:c>
    </x:row>
    <x:row r="21" spans="2:11" x14ac:dyDescent="0.2">
      <x:c r="B21" s="107" t="s">
        <x:v>96</x:v>
      </x:c>
    </x:row>
    <x:row r="22" spans="2:11" x14ac:dyDescent="0.2">
      <x:c r="C22" s="201" t="s">
        <x:v>155</x:v>
      </x:c>
      <x:c r="D22" s="201" t="s">
        <x:v>76</x:v>
      </x:c>
      <x:c r="E22" s="201" t="s">
        <x:v>85</x:v>
      </x:c>
      <x:c r="F22" s="201" t="s">
        <x:v>120</x:v>
      </x:c>
      <x:c r="G22" s="201" t="s">
        <x:v>326</x:v>
      </x:c>
      <x:c r="H22" s="201" t="s">
        <x:v>119</x:v>
      </x:c>
      <x:c r="I22" s="201" t="s">
        <x:v>70</x:v>
      </x:c>
    </x:row>
    <x:row r="23" spans="2:11" x14ac:dyDescent="0.2">
      <x:c r="B23" t="s">
        <x:v>97</x:v>
      </x:c>
      <x:c r="C23" s="199" t="n">
        <x:v>19047798453</x:v>
      </x:c>
      <x:c r="D23" s="199">
        <x:v>0</x:v>
      </x:c>
      <x:c r="E23" s="199">
        <x:v>0</x:v>
      </x:c>
      <x:c r="F23" s="199" t="n">
        <x:v>11411240</x:v>
      </x:c>
      <x:c r="G23" s="199">
        <x:v>0</x:v>
      </x:c>
      <x:c r="H23" s="199" t="n">
        <x:v>1346513069</x:v>
      </x:c>
      <x:c r="I23" s="612">
        <x:f>SUM(C23:H23)</x:f>
        <x:v>0</x:v>
      </x:c>
      <x:c r="J23" s="203" t="b">
        <x:f t="shared" ref="J23:J26" si="10">SUM(C23:H23)=I23</x:f>
        <x:v>1</x:v>
      </x:c>
    </x:row>
    <x:row r="24" spans="2:11" x14ac:dyDescent="0.2">
      <x:c r="B24" s="89" t="s">
        <x:v>98</x:v>
      </x:c>
      <x:c r="C24" s="199" t="n">
        <x:v>44281124</x:v>
      </x:c>
      <x:c r="D24" s="199">
        <x:v>0</x:v>
      </x:c>
      <x:c r="E24" s="199">
        <x:v>0</x:v>
      </x:c>
      <x:c r="F24" s="199" t="n">
        <x:v>12820520</x:v>
      </x:c>
      <x:c r="G24" s="199">
        <x:v>0</x:v>
      </x:c>
      <x:c r="H24" s="199" t="n">
        <x:v>79433109</x:v>
      </x:c>
      <x:c r="I24" s="612">
        <x:f t="shared" ref="I24:I26" si="11">SUM(C24:H24)</x:f>
        <x:v>0</x:v>
      </x:c>
      <x:c r="J24" s="203" t="b">
        <x:f t="shared" si="10"/>
        <x:v>1</x:v>
      </x:c>
    </x:row>
    <x:row r="25" spans="2:11" x14ac:dyDescent="0.2">
      <x:c r="B25" s="89" t="s">
        <x:v>131</x:v>
      </x:c>
      <x:c r="C25" s="199" t="n">
        <x:v>0</x:v>
      </x:c>
      <x:c r="D25" s="199">
        <x:v>0</x:v>
      </x:c>
      <x:c r="E25" s="199">
        <x:v>0</x:v>
      </x:c>
      <x:c r="F25" s="199" t="n">
        <x:v>0</x:v>
      </x:c>
      <x:c r="G25" s="199">
        <x:v>0</x:v>
      </x:c>
      <x:c r="H25" s="199" t="n">
        <x:v>0</x:v>
      </x:c>
      <x:c r="I25" s="612">
        <x:f t="shared" si="11"/>
        <x:v>0</x:v>
      </x:c>
      <x:c r="J25" s="203" t="b">
        <x:f t="shared" si="10"/>
        <x:v>1</x:v>
      </x:c>
    </x:row>
    <x:row r="26" spans="2:11" ht="13.5" thickBot="1" x14ac:dyDescent="0.25">
      <x:c r="B26" s="89" t="s">
        <x:v>168</x:v>
      </x:c>
      <x:c r="C26" s="610" t="n">
        <x:v>0</x:v>
      </x:c>
      <x:c r="D26" s="610">
        <x:v>0</x:v>
      </x:c>
      <x:c r="E26" s="610">
        <x:v>0</x:v>
      </x:c>
      <x:c r="F26" s="610" t="n">
        <x:v>0</x:v>
      </x:c>
      <x:c r="G26" s="610">
        <x:v>0</x:v>
      </x:c>
      <x:c r="H26" s="610" t="n">
        <x:v>0</x:v>
      </x:c>
      <x:c r="I26" s="613">
        <x:f t="shared" si="11"/>
        <x:v>0</x:v>
      </x:c>
      <x:c r="J26" s="203" t="b">
        <x:f t="shared" si="10"/>
        <x:v>1</x:v>
      </x:c>
    </x:row>
    <x:row r="27" spans="2:11" ht="13.5" thickBot="1" x14ac:dyDescent="0.25">
      <x:c r="B27" s="89" t="s">
        <x:v>70</x:v>
      </x:c>
      <x:c r="C27" s="170">
        <x:f>SUM(C23:C26)</x:f>
        <x:v>0</x:v>
      </x:c>
      <x:c r="D27" s="170">
        <x:f t="shared" ref="D27:E27" si="12">SUM(D23:D26)</x:f>
        <x:v>0</x:v>
      </x:c>
      <x:c r="E27" s="170">
        <x:f t="shared" si="12"/>
        <x:v>0</x:v>
      </x:c>
      <x:c r="F27" s="170">
        <x:f>SUM(F23:F26)</x:f>
        <x:v>0</x:v>
      </x:c>
      <x:c r="G27" s="170">
        <x:f>SUM(G23:G26)</x:f>
        <x:v>0</x:v>
      </x:c>
      <x:c r="H27" s="170">
        <x:f>SUM(H23:H26)</x:f>
        <x:v>0</x:v>
      </x:c>
      <x:c r="I27" s="611">
        <x:f>SUM(I23:I26)</x:f>
        <x:v>0</x:v>
      </x:c>
      <x:c r="J27" s="203" t="b">
        <x:f>SUM(C27:H27)=I27</x:f>
        <x:v>1</x:v>
      </x:c>
    </x:row>
    <x:row r="29" spans="2:11" ht="15" x14ac:dyDescent="0.25">
      <x:c r="B29" s="50" t="s">
        <x:v>101</x:v>
      </x:c>
      <x:c r="H29" s="191"/>
      <x:c r="I29" s="191"/>
    </x:row>
    <x:row r="30" spans="2:11" x14ac:dyDescent="0.2">
      <x:c r="B30" s="107" t="s">
        <x:v>96</x:v>
      </x:c>
    </x:row>
    <x:row r="31" spans="2:11" x14ac:dyDescent="0.2">
      <x:c r="C31" s="201" t="s">
        <x:v>155</x:v>
      </x:c>
      <x:c r="D31" s="201" t="s">
        <x:v>76</x:v>
      </x:c>
      <x:c r="E31" s="201" t="s">
        <x:v>85</x:v>
      </x:c>
      <x:c r="F31" s="201" t="s">
        <x:v>120</x:v>
      </x:c>
      <x:c r="G31" s="201" t="s">
        <x:v>326</x:v>
      </x:c>
      <x:c r="H31" s="201" t="s">
        <x:v>119</x:v>
      </x:c>
      <x:c r="I31" s="201" t="s">
        <x:v>70</x:v>
      </x:c>
    </x:row>
    <x:row r="32" spans="2:11" x14ac:dyDescent="0.2">
      <x:c r="B32" s="89" t="s">
        <x:v>97</x:v>
      </x:c>
      <x:c r="C32" s="199" t="n">
        <x:v>14010202412</x:v>
      </x:c>
      <x:c r="D32" s="199">
        <x:v>0</x:v>
      </x:c>
      <x:c r="E32" s="199">
        <x:v>0</x:v>
      </x:c>
      <x:c r="F32" s="199">
        <x:v>0</x:v>
      </x:c>
      <x:c r="G32" s="199">
        <x:v>0</x:v>
      </x:c>
      <x:c r="H32" s="199" t="n">
        <x:v>1227843817.35</x:v>
      </x:c>
      <x:c r="I32" s="612">
        <x:f>SUM(C32:H32)</x:f>
        <x:v>0</x:v>
      </x:c>
      <x:c r="J32" s="203" t="b">
        <x:f>SUM(C32:H32)=I32</x:f>
        <x:v>1</x:v>
      </x:c>
    </x:row>
    <x:row r="33" spans="2:10" x14ac:dyDescent="0.2">
      <x:c r="B33" s="89" t="s">
        <x:v>98</x:v>
      </x:c>
      <x:c r="C33" s="199" t="n">
        <x:v>44039530</x:v>
      </x:c>
      <x:c r="D33" s="199">
        <x:v>0</x:v>
      </x:c>
      <x:c r="E33" s="199">
        <x:v>0</x:v>
      </x:c>
      <x:c r="F33" s="199">
        <x:v>0</x:v>
      </x:c>
      <x:c r="G33" s="199">
        <x:v>0</x:v>
      </x:c>
      <x:c r="H33" s="199" t="n">
        <x:v>14844502.92</x:v>
      </x:c>
      <x:c r="I33" s="612">
        <x:f>SUM(C33:H33)</x:f>
        <x:v>0</x:v>
      </x:c>
      <x:c r="J33" s="203" t="b">
        <x:f t="shared" ref="J33:J36" si="13">SUM(C33:H33)=I33</x:f>
        <x:v>1</x:v>
      </x:c>
    </x:row>
    <x:row r="34" spans="2:10" x14ac:dyDescent="0.2">
      <x:c r="B34" s="89" t="s">
        <x:v>131</x:v>
      </x:c>
      <x:c r="C34" s="199" t="n">
        <x:v>0</x:v>
      </x:c>
      <x:c r="D34" s="199">
        <x:v>0</x:v>
      </x:c>
      <x:c r="E34" s="199">
        <x:v>0</x:v>
      </x:c>
      <x:c r="F34" s="199">
        <x:v>0</x:v>
      </x:c>
      <x:c r="G34" s="199">
        <x:v>0</x:v>
      </x:c>
      <x:c r="H34" s="199" t="n">
        <x:v>2482198.73</x:v>
      </x:c>
      <x:c r="I34" s="612">
        <x:f t="shared" ref="I34:I35" si="14">SUM(C34:H34)</x:f>
        <x:v>0</x:v>
      </x:c>
      <x:c r="J34" s="203" t="b">
        <x:f t="shared" si="13"/>
        <x:v>1</x:v>
      </x:c>
    </x:row>
    <x:row r="35" spans="2:10" ht="13.5" thickBot="1" x14ac:dyDescent="0.25">
      <x:c r="B35" s="89" t="s">
        <x:v>168</x:v>
      </x:c>
      <x:c r="C35" s="610" t="n">
        <x:v>0</x:v>
      </x:c>
      <x:c r="D35" s="610">
        <x:v>0</x:v>
      </x:c>
      <x:c r="E35" s="610">
        <x:v>0</x:v>
      </x:c>
      <x:c r="F35" s="610">
        <x:v>0</x:v>
      </x:c>
      <x:c r="G35" s="610">
        <x:v>0</x:v>
      </x:c>
      <x:c r="H35" s="610" t="n">
        <x:v>0</x:v>
      </x:c>
      <x:c r="I35" s="613">
        <x:f t="shared" si="14"/>
        <x:v>0</x:v>
      </x:c>
      <x:c r="J35" s="203" t="b">
        <x:f t="shared" si="13"/>
        <x:v>1</x:v>
      </x:c>
    </x:row>
    <x:row r="36" spans="2:10" ht="13.5" thickBot="1" x14ac:dyDescent="0.25">
      <x:c r="B36" s="89" t="s">
        <x:v>70</x:v>
      </x:c>
      <x:c r="C36" s="170">
        <x:f>SUM(C32:C35)</x:f>
        <x:v>0</x:v>
      </x:c>
      <x:c r="D36" s="170">
        <x:f t="shared" ref="D36:G36" si="15">SUM(D32:D35)</x:f>
        <x:v>0</x:v>
      </x:c>
      <x:c r="E36" s="170">
        <x:f t="shared" si="15"/>
        <x:v>0</x:v>
      </x:c>
      <x:c r="F36" s="170">
        <x:f t="shared" si="15"/>
        <x:v>0</x:v>
      </x:c>
      <x:c r="G36" s="170">
        <x:f t="shared" si="15"/>
        <x:v>0</x:v>
      </x:c>
      <x:c r="H36" s="170">
        <x:f>SUM(H32:H35)</x:f>
        <x:v>0</x:v>
      </x:c>
      <x:c r="I36" s="611">
        <x:f>SUM(I32:I35)</x:f>
        <x:v>0</x:v>
      </x:c>
      <x:c r="J36" s="203" t="b">
        <x:f t="shared" si="13"/>
        <x:v>1</x:v>
      </x:c>
    </x:row>
    <x:row r="38" spans="2:10" ht="15" x14ac:dyDescent="0.25">
      <x:c r="B38" s="50" t="s">
        <x:v>102</x:v>
      </x:c>
    </x:row>
    <x:row r="39" spans="2:10" x14ac:dyDescent="0.2">
      <x:c r="B39" s="107" t="s">
        <x:v>96</x:v>
      </x:c>
    </x:row>
    <x:row r="40" spans="2:10" x14ac:dyDescent="0.2">
      <x:c r="C40" s="201" t="s">
        <x:v>155</x:v>
      </x:c>
      <x:c r="D40" s="201" t="s">
        <x:v>76</x:v>
      </x:c>
      <x:c r="E40" s="201" t="s">
        <x:v>85</x:v>
      </x:c>
      <x:c r="F40" s="201" t="s">
        <x:v>120</x:v>
      </x:c>
      <x:c r="G40" s="201" t="s">
        <x:v>326</x:v>
      </x:c>
      <x:c r="H40" s="201" t="s">
        <x:v>119</x:v>
      </x:c>
      <x:c r="I40" s="201" t="s">
        <x:v>70</x:v>
      </x:c>
    </x:row>
    <x:row r="41" spans="2:10" x14ac:dyDescent="0.2">
      <x:c r="B41" s="89" t="s">
        <x:v>97</x:v>
      </x:c>
      <x:c r="C41" s="199" t="n">
        <x:v>6603996268</x:v>
      </x:c>
      <x:c r="D41" s="199">
        <x:v>0</x:v>
      </x:c>
      <x:c r="E41" s="199">
        <x:v>0</x:v>
      </x:c>
      <x:c r="F41" s="199" t="n">
        <x:v>5616850</x:v>
      </x:c>
      <x:c r="G41" s="199">
        <x:v>0</x:v>
      </x:c>
      <x:c r="H41" s="199" t="n">
        <x:v>446040213.26</x:v>
      </x:c>
      <x:c r="I41" s="612">
        <x:f t="shared" ref="I41:I44" si="16">SUM(C41:H41)</x:f>
        <x:v>0</x:v>
      </x:c>
      <x:c r="J41" s="203" t="b">
        <x:f>SUM(C41:H41)=I41</x:f>
        <x:v>1</x:v>
      </x:c>
    </x:row>
    <x:row r="42" spans="2:10" x14ac:dyDescent="0.2">
      <x:c r="B42" s="89" t="s">
        <x:v>98</x:v>
      </x:c>
      <x:c r="C42" s="199" t="n">
        <x:v>48826052</x:v>
      </x:c>
      <x:c r="D42" s="199">
        <x:v>0</x:v>
      </x:c>
      <x:c r="E42" s="199">
        <x:v>0</x:v>
      </x:c>
      <x:c r="F42" s="199" t="n">
        <x:v>10268790</x:v>
      </x:c>
      <x:c r="G42" s="199">
        <x:v>0</x:v>
      </x:c>
      <x:c r="H42" s="199" t="n">
        <x:v>14631795.34</x:v>
      </x:c>
      <x:c r="I42" s="612">
        <x:f t="shared" si="16"/>
        <x:v>0</x:v>
      </x:c>
      <x:c r="J42" s="203" t="b">
        <x:f t="shared" ref="J42:J45" si="17">SUM(C42:H42)=I42</x:f>
        <x:v>1</x:v>
      </x:c>
    </x:row>
    <x:row r="43" spans="2:10" x14ac:dyDescent="0.2">
      <x:c r="B43" s="89" t="s">
        <x:v>131</x:v>
      </x:c>
      <x:c r="C43" s="199" t="n">
        <x:v>0</x:v>
      </x:c>
      <x:c r="D43" s="199">
        <x:v>0</x:v>
      </x:c>
      <x:c r="E43" s="199">
        <x:v>0</x:v>
      </x:c>
      <x:c r="F43" s="199" t="n">
        <x:v>0</x:v>
      </x:c>
      <x:c r="G43" s="199">
        <x:v>0</x:v>
      </x:c>
      <x:c r="H43" s="199" t="n">
        <x:v>25967508.4</x:v>
      </x:c>
      <x:c r="I43" s="612">
        <x:f t="shared" si="16"/>
        <x:v>0</x:v>
      </x:c>
      <x:c r="J43" s="203" t="b">
        <x:f t="shared" si="17"/>
        <x:v>1</x:v>
      </x:c>
    </x:row>
    <x:row r="44" spans="2:10" ht="13.5" thickBot="1" x14ac:dyDescent="0.25">
      <x:c r="B44" s="89" t="s">
        <x:v>168</x:v>
      </x:c>
      <x:c r="C44" s="610" t="n">
        <x:v>0</x:v>
      </x:c>
      <x:c r="D44" s="610">
        <x:v>0</x:v>
      </x:c>
      <x:c r="E44" s="610">
        <x:v>0</x:v>
      </x:c>
      <x:c r="F44" s="610" t="n">
        <x:v>0</x:v>
      </x:c>
      <x:c r="G44" s="610">
        <x:v>0</x:v>
      </x:c>
      <x:c r="H44" s="610" t="n">
        <x:v>0</x:v>
      </x:c>
      <x:c r="I44" s="613">
        <x:f t="shared" si="16"/>
        <x:v>0</x:v>
      </x:c>
      <x:c r="J44" s="203" t="b">
        <x:f t="shared" si="17"/>
        <x:v>1</x:v>
      </x:c>
    </x:row>
    <x:row r="45" spans="2:10" ht="13.5" thickBot="1" x14ac:dyDescent="0.25">
      <x:c r="B45" s="89" t="s">
        <x:v>70</x:v>
      </x:c>
      <x:c r="C45" s="170">
        <x:f>SUM(C41:C44)</x:f>
        <x:v>0</x:v>
      </x:c>
      <x:c r="D45" s="170">
        <x:f t="shared" ref="D45:E45" si="18">SUM(D41:D44)</x:f>
        <x:v>0</x:v>
      </x:c>
      <x:c r="E45" s="170">
        <x:f t="shared" si="18"/>
        <x:v>0</x:v>
      </x:c>
      <x:c r="F45" s="170">
        <x:f>SUM(F41:F44)</x:f>
        <x:v>0</x:v>
      </x:c>
      <x:c r="G45" s="170">
        <x:f>SUM(G41:G44)</x:f>
        <x:v>0</x:v>
      </x:c>
      <x:c r="H45" s="170">
        <x:f>SUM(H41:H44)</x:f>
        <x:v>0</x:v>
      </x:c>
      <x:c r="I45" s="611">
        <x:f>SUM(I41:I44)</x:f>
        <x:v>0</x:v>
      </x:c>
      <x:c r="J45" s="203" t="b">
        <x:f t="shared" si="17"/>
        <x:v>1</x:v>
      </x:c>
    </x:row>
    <x:row r="46" spans="2:10" x14ac:dyDescent="0.2">
      <x:c r="B46" s="89"/>
      <x:c r="C46" s="106"/>
      <x:c r="D46" s="106"/>
      <x:c r="E46" s="106"/>
      <x:c r="F46" s="106"/>
      <x:c r="G46" s="106"/>
      <x:c r="H46" s="106"/>
    </x:row>
    <x:row r="47" spans="2:10" x14ac:dyDescent="0.2">
      <x:c r="F47" s="191"/>
      <x:c r="G47" s="191"/>
    </x:row>
    <x:row r="48" spans="2:10" ht="15" x14ac:dyDescent="0.25">
      <x:c r="B48" s="50" t="s">
        <x:v>103</x:v>
      </x:c>
    </x:row>
    <x:row r="49" spans="2:10" x14ac:dyDescent="0.2">
      <x:c r="B49" s="107" t="s">
        <x:v>96</x:v>
      </x:c>
    </x:row>
    <x:row r="50" spans="2:10" x14ac:dyDescent="0.2">
      <x:c r="C50" s="201" t="s">
        <x:v>155</x:v>
      </x:c>
      <x:c r="D50" s="201" t="s">
        <x:v>76</x:v>
      </x:c>
      <x:c r="E50" s="201" t="s">
        <x:v>85</x:v>
      </x:c>
      <x:c r="F50" s="201" t="s">
        <x:v>120</x:v>
      </x:c>
      <x:c r="G50" s="201" t="s">
        <x:v>326</x:v>
      </x:c>
      <x:c r="H50" s="201" t="s">
        <x:v>119</x:v>
      </x:c>
      <x:c r="I50" s="201" t="s">
        <x:v>70</x:v>
      </x:c>
    </x:row>
    <x:row r="51" spans="2:10" x14ac:dyDescent="0.2">
      <x:c r="B51" t="s">
        <x:v>97</x:v>
      </x:c>
      <x:c r="C51" s="199" t="n">
        <x:v>11710154922</x:v>
      </x:c>
      <x:c r="D51" s="199">
        <x:v>0</x:v>
      </x:c>
      <x:c r="E51" s="199">
        <x:v>0</x:v>
      </x:c>
      <x:c r="F51" s="199">
        <x:v>0</x:v>
      </x:c>
      <x:c r="G51" s="199" t="n">
        <x:v>26864220</x:v>
      </x:c>
      <x:c r="H51" s="199" t="n">
        <x:v>310235846.6</x:v>
      </x:c>
      <x:c r="I51" s="612">
        <x:f t="shared" ref="I51:I54" si="19">SUM(C51:H51)</x:f>
        <x:v>0</x:v>
      </x:c>
      <x:c r="J51" s="203" t="b">
        <x:f>SUM(C51:H51)=I51</x:f>
        <x:v>1</x:v>
      </x:c>
    </x:row>
    <x:row r="52" spans="2:10" x14ac:dyDescent="0.2">
      <x:c r="B52" s="89" t="s">
        <x:v>98</x:v>
      </x:c>
      <x:c r="C52" s="199" t="n">
        <x:v>15997915</x:v>
      </x:c>
      <x:c r="D52" s="199">
        <x:v>0</x:v>
      </x:c>
      <x:c r="E52" s="199">
        <x:v>0</x:v>
      </x:c>
      <x:c r="F52" s="199">
        <x:v>0</x:v>
      </x:c>
      <x:c r="G52" s="199" t="n">
        <x:v>1781103</x:v>
      </x:c>
      <x:c r="H52" s="199" t="n">
        <x:v>10604847.96</x:v>
      </x:c>
      <x:c r="I52" s="612">
        <x:f>SUM(C52:H52)</x:f>
        <x:v>0</x:v>
      </x:c>
      <x:c r="J52" s="203" t="b">
        <x:f t="shared" ref="J52:J55" si="20">SUM(C52:H52)=I52</x:f>
        <x:v>1</x:v>
      </x:c>
    </x:row>
    <x:row r="53" spans="2:10" x14ac:dyDescent="0.2">
      <x:c r="B53" s="89" t="s">
        <x:v>131</x:v>
      </x:c>
      <x:c r="C53" s="199" t="n">
        <x:v>0</x:v>
      </x:c>
      <x:c r="D53" s="199">
        <x:v>0</x:v>
      </x:c>
      <x:c r="E53" s="199">
        <x:v>0</x:v>
      </x:c>
      <x:c r="F53" s="199">
        <x:v>0</x:v>
      </x:c>
      <x:c r="G53" s="199" t="n">
        <x:v>0</x:v>
      </x:c>
      <x:c r="H53" s="199" t="n">
        <x:v>658426.44</x:v>
      </x:c>
      <x:c r="I53" s="612">
        <x:f t="shared" si="19"/>
        <x:v>0</x:v>
      </x:c>
      <x:c r="J53" s="203" t="b">
        <x:f t="shared" si="20"/>
        <x:v>1</x:v>
      </x:c>
    </x:row>
    <x:row r="54" spans="2:10" ht="13.5" thickBot="1" x14ac:dyDescent="0.25">
      <x:c r="B54" s="89" t="s">
        <x:v>168</x:v>
      </x:c>
      <x:c r="C54" s="610" t="n">
        <x:v>0</x:v>
      </x:c>
      <x:c r="D54" s="610">
        <x:v>0</x:v>
      </x:c>
      <x:c r="E54" s="610">
        <x:v>0</x:v>
      </x:c>
      <x:c r="F54" s="610">
        <x:v>0</x:v>
      </x:c>
      <x:c r="G54" s="610" t="n">
        <x:v>0</x:v>
      </x:c>
      <x:c r="H54" s="610" t="n">
        <x:v>0</x:v>
      </x:c>
      <x:c r="I54" s="613">
        <x:f t="shared" si="19"/>
        <x:v>0</x:v>
      </x:c>
      <x:c r="J54" s="203" t="b">
        <x:f t="shared" si="20"/>
        <x:v>1</x:v>
      </x:c>
    </x:row>
    <x:row r="55" spans="2:10" ht="13.5" thickBot="1" x14ac:dyDescent="0.25">
      <x:c r="B55" s="89" t="s">
        <x:v>70</x:v>
      </x:c>
      <x:c r="C55" s="170">
        <x:f>SUM(C51:C54)</x:f>
        <x:v>0</x:v>
      </x:c>
      <x:c r="D55" s="170">
        <x:f t="shared" ref="D55:G55" si="21">SUM(D51:D54)</x:f>
        <x:v>0</x:v>
      </x:c>
      <x:c r="E55" s="170">
        <x:f t="shared" si="21"/>
        <x:v>0</x:v>
      </x:c>
      <x:c r="F55" s="170">
        <x:f t="shared" si="21"/>
        <x:v>0</x:v>
      </x:c>
      <x:c r="G55" s="170">
        <x:f t="shared" si="21"/>
        <x:v>0</x:v>
      </x:c>
      <x:c r="H55" s="170">
        <x:f>SUM(H51:H54)</x:f>
        <x:v>0</x:v>
      </x:c>
      <x:c r="I55" s="611">
        <x:f>SUM(I51:I54)</x:f>
        <x:v>0</x:v>
      </x:c>
      <x:c r="J55" s="203" t="b">
        <x:f t="shared" si="20"/>
        <x:v>1</x:v>
      </x:c>
    </x:row>
    <x:row r="57" spans="2:10" x14ac:dyDescent="0.2">
      <x:c r="H57" s="191"/>
      <x:c r="I57" s="191"/>
    </x:row>
    <x:row r="58" spans="2:10" ht="13.5" thickBot="1" x14ac:dyDescent="0.25">
      <x:c r="F58" s="191"/>
      <x:c r="G58" s="191"/>
      <x:c r="H58" s="191"/>
      <x:c r="I58" s="191"/>
    </x:row>
    <x:row r="59" spans="2:10" ht="18.75" thickBot="1" x14ac:dyDescent="0.3">
      <x:c r="B59" s="596" t="s">
        <x:v>334</x:v>
      </x:c>
      <x:c r="C59" s="614" t="n">
        <x:v>2</x:v>
      </x:c>
      <x:c r="D59" s="597" t="s">
        <x:v>344</x:v>
      </x:c>
      <x:c r="H59" s="151"/>
    </x:row>
    <x:row r="60" spans="2:10" x14ac:dyDescent="0.2">
      <x:c r="H60" s="191"/>
    </x:row>
    <x:row r="61" spans="2:10" x14ac:dyDescent="0.2">
      <x:c r="B61" t="s">
        <x:v>1</x:v>
      </x:c>
      <x:c r="C61" s="132"/>
      <x:c r="E61" s="131"/>
    </x:row>
    <x:row r="62" spans="2:10" x14ac:dyDescent="0.2">
      <x:c r="B62" s="598" t="s">
        <x:v>207</x:v>
      </x:c>
      <x:c r="C62" s="599">
        <x:f>IF($C$59=1,'Recaudo ENEL'!D21,'Recaudo ENEL'!F21)</x:f>
        <x:v>0</x:v>
      </x:c>
      <x:c r="D62" s="598" t="b">
        <x:f>C17=C62</x:f>
        <x:v>1</x:v>
      </x:c>
      <x:c r="E62" s="600">
        <x:f>C17-C62</x:f>
        <x:v>0</x:v>
      </x:c>
      <x:c r="F62" s="191"/>
    </x:row>
    <x:row r="63" spans="2:10" x14ac:dyDescent="0.2">
      <x:c r="B63" s="598" t="s">
        <x:v>335</x:v>
      </x:c>
      <x:c r="C63" s="599">
        <x:f>IF($C$59=1,'Recaudo ENERBIT'!D21,'Recaudo ENERBIT'!F21)</x:f>
        <x:v>0</x:v>
      </x:c>
      <x:c r="D63" s="598" t="b">
        <x:f>G17=C63</x:f>
        <x:v>1</x:v>
      </x:c>
      <x:c r="E63" s="600">
        <x:f>G17-C63</x:f>
        <x:v>0</x:v>
      </x:c>
    </x:row>
    <x:row r="64" spans="2:10" x14ac:dyDescent="0.2">
      <x:c r="B64" s="601" t="s">
        <x:v>209</x:v>
      </x:c>
      <x:c r="C64" s="602">
        <x:f>IF($C$59=1,'Recaudo EAAB Reciprocidad'!D22,'Recaudo EAAB Reciprocidad'!F22)</x:f>
        <x:v>0</x:v>
      </x:c>
      <x:c r="D64" s="601" t="b">
        <x:f>F27=C64</x:f>
        <x:v>1</x:v>
      </x:c>
      <x:c r="E64" s="603">
        <x:f>F27-C64</x:f>
        <x:v>0</x:v>
      </x:c>
      <x:c r="H64" s="151"/>
    </x:row>
    <x:row r="65" spans="2:7" x14ac:dyDescent="0.2">
      <x:c r="B65" s="601" t="s">
        <x:v>324</x:v>
      </x:c>
      <x:c r="C65" s="602">
        <x:f>IF($C$59=1,'Recaudo ENEL'!D22,'Recaudo ENEL'!F22)</x:f>
        <x:v>0</x:v>
      </x:c>
      <x:c r="D65" s="601" t="b">
        <x:f>C27=C65</x:f>
        <x:v>1</x:v>
      </x:c>
      <x:c r="E65" s="603">
        <x:f>C27-C65</x:f>
        <x:v>0</x:v>
      </x:c>
      <x:c r="F65" s="131"/>
    </x:row>
    <x:row r="66" spans="2:7" x14ac:dyDescent="0.2">
      <x:c r="B66" s="601" t="s">
        <x:v>336</x:v>
      </x:c>
      <x:c r="C66" s="602">
        <x:f>IF($C$59=1,'Recaudo ENERBIT'!D22,'Recaudo ENERBIT'!F22)</x:f>
        <x:v>0</x:v>
      </x:c>
      <x:c r="D66" s="601" t="b">
        <x:f>G27=C66</x:f>
        <x:v>1</x:v>
      </x:c>
      <x:c r="E66" s="603">
        <x:f>G27-C66</x:f>
        <x:v>0</x:v>
      </x:c>
    </x:row>
    <x:row r="67" spans="2:7" x14ac:dyDescent="0.2">
      <x:c r="B67" s="598" t="s">
        <x:v>211</x:v>
      </x:c>
      <x:c r="C67" s="599">
        <x:f>IF($C$59=1,'Recaudo ENEL'!D23,'Recaudo ENEL'!F23)</x:f>
        <x:v>0</x:v>
      </x:c>
      <x:c r="D67" s="598" t="b">
        <x:f>C36=C67</x:f>
        <x:v>1</x:v>
      </x:c>
      <x:c r="E67" s="600">
        <x:f>C36-C67</x:f>
        <x:v>0</x:v>
      </x:c>
      <x:c r="F67" s="606"/>
    </x:row>
    <x:row r="68" spans="2:7" x14ac:dyDescent="0.2">
      <x:c r="B68" s="598" t="s">
        <x:v>337</x:v>
      </x:c>
      <x:c r="C68" s="599">
        <x:f>IF($C$59=1,'Recaudo ENERBIT'!D23,'Recaudo ENERBIT'!F23)</x:f>
        <x:v>0</x:v>
      </x:c>
      <x:c r="D68" s="598" t="b">
        <x:f>G36=C68</x:f>
        <x:v>1</x:v>
      </x:c>
      <x:c r="E68" s="600">
        <x:f>G36-C68</x:f>
        <x:v>0</x:v>
      </x:c>
    </x:row>
    <x:row r="69" spans="2:7" x14ac:dyDescent="0.2">
      <x:c r="B69" s="601" t="s">
        <x:v>210</x:v>
      </x:c>
      <x:c r="C69" s="602">
        <x:f>IF($C$59=1,'Recaudo EAAB Reciprocidad'!D24,'Recaudo EAAB Reciprocidad'!F24)</x:f>
        <x:v>0</x:v>
      </x:c>
      <x:c r="D69" s="601" t="b">
        <x:f>F45=C69</x:f>
        <x:v>1</x:v>
      </x:c>
      <x:c r="E69" s="603">
        <x:f>F45-C69</x:f>
        <x:v>0</x:v>
      </x:c>
    </x:row>
    <x:row r="70" spans="2:7" x14ac:dyDescent="0.2">
      <x:c r="B70" s="601" t="s">
        <x:v>325</x:v>
      </x:c>
      <x:c r="C70" s="602">
        <x:f>IF($C$59=1,'Recaudo ENEL'!D24,'Recaudo ENEL'!F24)</x:f>
        <x:v>0</x:v>
      </x:c>
      <x:c r="D70" s="601" t="b">
        <x:f>C45=C70</x:f>
        <x:v>1</x:v>
      </x:c>
      <x:c r="E70" s="603">
        <x:f>C45-C70</x:f>
        <x:v>0</x:v>
      </x:c>
      <x:c r="F70" s="131"/>
    </x:row>
    <x:row r="71" spans="2:7" x14ac:dyDescent="0.2">
      <x:c r="B71" s="601" t="s">
        <x:v>338</x:v>
      </x:c>
      <x:c r="C71" s="602">
        <x:f>IF($C$59=1,'Recaudo ENERBIT'!D24,'Recaudo ENERBIT'!F24)</x:f>
        <x:v>0</x:v>
      </x:c>
      <x:c r="D71" s="601" t="b">
        <x:f>G45=C71</x:f>
        <x:v>1</x:v>
      </x:c>
      <x:c r="E71" s="603">
        <x:f>G45-C71</x:f>
        <x:v>0</x:v>
      </x:c>
      <x:c r="F71" s="191"/>
    </x:row>
    <x:row r="72" spans="2:7" x14ac:dyDescent="0.2">
      <x:c r="B72" s="598" t="s">
        <x:v>208</x:v>
      </x:c>
      <x:c r="C72" s="599">
        <x:f>IF($C$59=1,'Recaudo ENEL'!D25,'Recaudo ENEL'!F25)</x:f>
        <x:v>0</x:v>
      </x:c>
      <x:c r="D72" s="598" t="b">
        <x:f>C55=C72</x:f>
        <x:v>1</x:v>
      </x:c>
      <x:c r="E72" s="600">
        <x:f>C55-C72</x:f>
        <x:v>0</x:v>
      </x:c>
      <x:c r="F72" s="131"/>
    </x:row>
    <x:row r="73" spans="2:7" x14ac:dyDescent="0.2">
      <x:c r="B73" s="598" t="s">
        <x:v>327</x:v>
      </x:c>
      <x:c r="C73" s="599">
        <x:f>IF($C$59=1,'Recaudo ENERBIT'!D25,'Recaudo ENERBIT'!F25)</x:f>
        <x:v>0</x:v>
      </x:c>
      <x:c r="D73" s="598" t="b">
        <x:f>G55=C73</x:f>
        <x:v>1</x:v>
      </x:c>
      <x:c r="E73" s="600">
        <x:f>G55-C73</x:f>
        <x:v>0</x:v>
      </x:c>
    </x:row>
    <x:row r="74" spans="2:7" x14ac:dyDescent="0.2">
      <x:c r="C74" s="151"/>
    </x:row>
    <x:row r="75" spans="2:7" x14ac:dyDescent="0.2">
      <x:c r="B75" s="598" t="s">
        <x:v>261</x:v>
      </x:c>
      <x:c r="C75" s="599">
        <x:f>IF($C$59=1,'Recaudo Directa Occidente'!D21,'Recaudo Directa Occidente'!F21)</x:f>
        <x:v>0</x:v>
      </x:c>
      <x:c r="D75" s="598" t="b">
        <x:f>C75=H17</x:f>
        <x:v>1</x:v>
      </x:c>
      <x:c r="E75" s="600">
        <x:f>C75-H17</x:f>
        <x:v>0</x:v>
      </x:c>
      <x:c r="F75" s="574"/>
      <x:c r="G75" s="574"/>
    </x:row>
    <x:row r="76" spans="2:7" x14ac:dyDescent="0.2">
      <x:c r="B76" s="601" t="s">
        <x:v>262</x:v>
      </x:c>
      <x:c r="C76" s="602">
        <x:f>IF($C$59=1,'Recaudo Directa Occidente'!D22,'Recaudo Directa Occidente'!F22)</x:f>
        <x:v>0</x:v>
      </x:c>
      <x:c r="D76" s="601" t="b">
        <x:f>C76=H27</x:f>
        <x:v>1</x:v>
      </x:c>
      <x:c r="E76" s="603">
        <x:f>C76-H27</x:f>
        <x:v>0</x:v>
      </x:c>
    </x:row>
    <x:row r="77" spans="2:7" x14ac:dyDescent="0.2">
      <x:c r="B77" s="598" t="s">
        <x:v>263</x:v>
      </x:c>
      <x:c r="C77" s="599">
        <x:f>IF($C$59=1,'Recaudo Directa Occidente'!D23,'Recaudo Directa Occidente'!F23)</x:f>
        <x:v>0</x:v>
      </x:c>
      <x:c r="D77" s="598" t="b">
        <x:f>C77=H36</x:f>
        <x:v>1</x:v>
      </x:c>
      <x:c r="E77" s="600">
        <x:f>C77-H36</x:f>
        <x:v>0</x:v>
      </x:c>
      <x:c r="F77" s="191"/>
      <x:c r="G77" s="191"/>
    </x:row>
    <x:row r="78" spans="2:7" x14ac:dyDescent="0.2">
      <x:c r="B78" s="601" t="s">
        <x:v>264</x:v>
      </x:c>
      <x:c r="C78" s="602">
        <x:f>IF($C$59=1,'Recaudo Directa Occidente'!D24,'Recaudo Directa Occidente'!F24)</x:f>
        <x:v>0</x:v>
      </x:c>
      <x:c r="D78" s="601" t="b">
        <x:f>C78=H45</x:f>
        <x:v>1</x:v>
      </x:c>
      <x:c r="E78" s="603">
        <x:f>C78-H45</x:f>
        <x:v>0</x:v>
      </x:c>
    </x:row>
    <x:row r="79" spans="2:7" x14ac:dyDescent="0.2">
      <x:c r="B79" s="598" t="s">
        <x:v>265</x:v>
      </x:c>
      <x:c r="C79" s="599">
        <x:f>IF($C$59=1,'Recaudo Directa Occidente'!D25,'Recaudo Directa Occidente'!F25)</x:f>
        <x:v>0</x:v>
      </x:c>
      <x:c r="D79" s="598" t="b">
        <x:f>C79=H55</x:f>
        <x:v>1</x:v>
      </x:c>
      <x:c r="E79" s="600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="88" zoomScaleNormal="88" workbookViewId="0">
      <x:selection activeCell="P22" sqref="P22"/>
    </x:sheetView>
  </x:sheetViews>
  <x:sheetFormatPr baseColWidth="10" defaultRowHeight="12.75" x14ac:dyDescent="0.2"/>
  <x:cols>
    <x:col min="1" max="1" width="3.42578125" customWidth="1"/>
    <x:col min="2" max="2" width="20.7109375" bestFit="1" customWidth="1"/>
    <x:col min="3" max="3" width="13.28515625" bestFit="1" customWidth="1"/>
    <x:col min="4" max="6" width="12.7109375" bestFit="1" customWidth="1"/>
    <x:col min="7" max="7" width="12.5703125" customWidth="1"/>
    <x:col min="8" max="14" width="12.7109375" bestFit="1" customWidth="1"/>
    <x:col min="16" max="16" width="12.7109375" bestFit="1" customWidth="1"/>
  </x:cols>
  <x:sheetData>
    <x:row r="1" spans="1:16" ht="13.5" thickBot="1" x14ac:dyDescent="0.25">
      <x:c r="C1" s="767" t="s">
        <x:v>99</x:v>
      </x:c>
      <x:c r="D1" s="767"/>
      <x:c r="E1" s="767" t="s">
        <x:v>100</x:v>
      </x:c>
      <x:c r="F1" s="767"/>
      <x:c r="G1" s="767" t="s">
        <x:v>101</x:v>
      </x:c>
      <x:c r="H1" s="767"/>
      <x:c r="I1" s="767" t="s">
        <x:v>102</x:v>
      </x:c>
      <x:c r="J1" s="767"/>
      <x:c r="K1" s="767" t="s">
        <x:v>103</x:v>
      </x:c>
      <x:c r="L1" s="767"/>
      <x:c r="M1" s="767" t="s">
        <x:v>2</x:v>
      </x:c>
      <x:c r="N1" s="767"/>
    </x:row>
    <x:row r="2" spans="1:16" x14ac:dyDescent="0.2">
      <x:c r="C2" s="204" t="s">
        <x:v>149</x:v>
      </x:c>
      <x:c r="D2" s="595" t="s">
        <x:v>150</x:v>
      </x:c>
      <x:c r="E2" s="595" t="s">
        <x:v>149</x:v>
      </x:c>
      <x:c r="F2" s="595" t="s">
        <x:v>150</x:v>
      </x:c>
      <x:c r="G2" s="595" t="s">
        <x:v>149</x:v>
      </x:c>
      <x:c r="H2" s="595" t="s">
        <x:v>150</x:v>
      </x:c>
      <x:c r="I2" s="595" t="s">
        <x:v>149</x:v>
      </x:c>
      <x:c r="J2" s="595" t="s">
        <x:v>150</x:v>
      </x:c>
      <x:c r="K2" s="595" t="s">
        <x:v>149</x:v>
      </x:c>
      <x:c r="L2" s="595" t="s">
        <x:v>150</x:v>
      </x:c>
      <x:c r="M2" s="204" t="s">
        <x:v>149</x:v>
      </x:c>
      <x:c r="N2" s="205" t="s">
        <x:v>150</x:v>
      </x:c>
    </x:row>
    <x:row r="3" spans="1:16" x14ac:dyDescent="0.2">
      <x:c r="B3" s="617" t="s">
        <x:v>151</x:v>
      </x:c>
      <x:c r="C3" s="738">
        <x:f>C11+C19+C27+C35+C43</x:f>
        <x:v>0</x:v>
      </x:c>
      <x:c r="D3" s="739">
        <x:f>D11+D19+D27+D35+D43</x:f>
        <x:v>0</x:v>
      </x:c>
      <x:c r="E3" s="739">
        <x:f t="shared" ref="E3:K3" si="0">E11+E19+E27+E35+E43</x:f>
        <x:v>0</x:v>
      </x:c>
      <x:c r="F3" s="739">
        <x:f>F11+F19+F27+F35+F43</x:f>
        <x:v>0</x:v>
      </x:c>
      <x:c r="G3" s="739">
        <x:f t="shared" si="0"/>
        <x:v>0</x:v>
      </x:c>
      <x:c r="H3" s="739">
        <x:f t="shared" si="0"/>
        <x:v>0</x:v>
      </x:c>
      <x:c r="I3" s="739">
        <x:f t="shared" si="0"/>
        <x:v>0</x:v>
      </x:c>
      <x:c r="J3" s="739">
        <x:f t="shared" si="0"/>
        <x:v>0</x:v>
      </x:c>
      <x:c r="K3" s="739">
        <x:f t="shared" si="0"/>
        <x:v>0</x:v>
      </x:c>
      <x:c r="L3" s="739">
        <x:f>L11+L19+L27+L35+L43</x:f>
        <x:v>0</x:v>
      </x:c>
      <x:c r="M3" s="740">
        <x:f>C3+E3+G3+I3+K3</x:f>
        <x:v>0</x:v>
      </x:c>
      <x:c r="N3" s="741">
        <x:f>D3+F3+H3+J3+L3</x:f>
        <x:v>0</x:v>
      </x:c>
      <x:c r="P3" s="188" t="b">
        <x:f>N3=(-VALIDACION_TOTAL!M9)</x:f>
        <x:v>1</x:v>
      </x:c>
    </x:row>
    <x:row r="4" spans="1:16" ht="13.5" thickBot="1" x14ac:dyDescent="0.25">
      <x:c r="B4" s="617" t="s">
        <x:v>152</x:v>
      </x:c>
      <x:c r="C4" s="742">
        <x:f>C12+C20+C28+C36+C44</x:f>
        <x:v>0</x:v>
      </x:c>
      <x:c r="D4" s="743">
        <x:f>D12+D20+D28+D36+D44</x:f>
        <x:v>0</x:v>
      </x:c>
      <x:c r="E4" s="743">
        <x:f t="shared" ref="E4:K4" si="1">E12+E20+E28+E36+E44</x:f>
        <x:v>0</x:v>
      </x:c>
      <x:c r="F4" s="743">
        <x:f t="shared" si="1"/>
        <x:v>0</x:v>
      </x:c>
      <x:c r="G4" s="743">
        <x:f t="shared" si="1"/>
        <x:v>0</x:v>
      </x:c>
      <x:c r="H4" s="743">
        <x:f t="shared" si="1"/>
        <x:v>0</x:v>
      </x:c>
      <x:c r="I4" s="743">
        <x:f t="shared" si="1"/>
        <x:v>0</x:v>
      </x:c>
      <x:c r="J4" s="743">
        <x:f t="shared" si="1"/>
        <x:v>0</x:v>
      </x:c>
      <x:c r="K4" s="743">
        <x:f t="shared" si="1"/>
        <x:v>0</x:v>
      </x:c>
      <x:c r="L4" s="743">
        <x:f>L12+L20+L28+L36+L44</x:f>
        <x:v>0</x:v>
      </x:c>
      <x:c r="M4" s="744">
        <x:f>C4+E4+G4+I4+K4</x:f>
        <x:v>0</x:v>
      </x:c>
      <x:c r="N4" s="745">
        <x:f>D4+F4+H4+J4+L4</x:f>
        <x:v>0</x:v>
      </x:c>
      <x:c r="P4" s="188" t="b">
        <x:f>N4=(-'CONSOLIDADO_TOTAL RECAUDO'!L131)</x:f>
        <x:v>1</x:v>
      </x:c>
    </x:row>
    <x:row r="5" spans="1:16" ht="13.5" thickBot="1" x14ac:dyDescent="0.25">
      <x:c r="B5" s="190" t="s">
        <x:v>2</x:v>
      </x:c>
      <x:c r="C5" s="746">
        <x:f>SUM(C3:C4)</x:f>
        <x:v>0</x:v>
      </x:c>
      <x:c r="D5" s="746">
        <x:f t="shared" ref="D5:L5" si="2">SUM(D3:D4)</x:f>
        <x:v>0</x:v>
      </x:c>
      <x:c r="E5" s="746">
        <x:f t="shared" si="2"/>
        <x:v>0</x:v>
      </x:c>
      <x:c r="F5" s="746">
        <x:f t="shared" si="2"/>
        <x:v>0</x:v>
      </x:c>
      <x:c r="G5" s="746">
        <x:f t="shared" si="2"/>
        <x:v>0</x:v>
      </x:c>
      <x:c r="H5" s="746">
        <x:f t="shared" si="2"/>
        <x:v>0</x:v>
      </x:c>
      <x:c r="I5" s="746">
        <x:f t="shared" si="2"/>
        <x:v>0</x:v>
      </x:c>
      <x:c r="J5" s="746">
        <x:f t="shared" si="2"/>
        <x:v>0</x:v>
      </x:c>
      <x:c r="K5" s="746">
        <x:f>SUM(K3:K4)</x:f>
        <x:v>0</x:v>
      </x:c>
      <x:c r="L5" s="746">
        <x:f t="shared" si="2"/>
        <x:v>0</x:v>
      </x:c>
      <x:c r="M5" s="746">
        <x:f t="shared" ref="M5" si="3">SUM(M3:M4)</x:f>
        <x:v>0</x:v>
      </x:c>
      <x:c r="N5" s="746">
        <x:f>SUM(N3:N4)</x:f>
        <x:v>0</x:v>
      </x:c>
    </x:row>
    <x:row r="6" spans="1:16" x14ac:dyDescent="0.2">
      <x:c r="C6" s="188" t="b">
        <x:f t="shared" ref="C6:K6" si="4">C5=(C13+C21+C29+C37+C45)</x:f>
        <x:v>1</x:v>
      </x:c>
      <x:c r="D6" s="188" t="b">
        <x:f t="shared" si="4"/>
        <x:v>1</x:v>
      </x:c>
      <x:c r="E6" s="188" t="b">
        <x:f t="shared" si="4"/>
        <x:v>1</x:v>
      </x:c>
      <x:c r="F6" s="188" t="b">
        <x:f t="shared" si="4"/>
        <x:v>1</x:v>
      </x:c>
      <x:c r="G6" s="188" t="b">
        <x:f t="shared" si="4"/>
        <x:v>1</x:v>
      </x:c>
      <x:c r="H6" s="188" t="b">
        <x:f t="shared" si="4"/>
        <x:v>1</x:v>
      </x:c>
      <x:c r="I6" s="188" t="b">
        <x:f t="shared" si="4"/>
        <x:v>1</x:v>
      </x:c>
      <x:c r="J6" s="188" t="b">
        <x:f t="shared" si="4"/>
        <x:v>1</x:v>
      </x:c>
      <x:c r="K6" s="188" t="b">
        <x:f t="shared" si="4"/>
        <x:v>1</x:v>
      </x:c>
      <x:c r="L6" s="188" t="b">
        <x:f>L5=(L13+L21+L29+L37+L45)</x:f>
        <x:v>1</x:v>
      </x:c>
      <x:c r="M6" s="188" t="b">
        <x:f t="shared" ref="M6" si="5">M5=(M13+M21+M29+M37+M45)</x:f>
        <x:v>1</x:v>
      </x:c>
      <x:c r="N6" s="188" t="b">
        <x:f>N5=(N13+N21+N29+N37+N45)</x:f>
        <x:v>1</x:v>
      </x:c>
    </x:row>
    <x:row r="7" spans="1:16" x14ac:dyDescent="0.2">
      <x:c r="A7" s="197"/>
      <x:c r="B7" s="197"/>
      <x:c r="C7" s="197"/>
      <x:c r="D7" s="197"/>
      <x:c r="E7" s="197"/>
      <x:c r="F7" s="197"/>
      <x:c r="G7" s="197"/>
      <x:c r="H7" s="197"/>
      <x:c r="I7" s="197"/>
      <x:c r="J7" s="197"/>
      <x:c r="K7" s="197"/>
      <x:c r="L7" s="197"/>
      <x:c r="M7" s="197"/>
      <x:c r="N7" s="197"/>
      <x:c r="O7" s="197"/>
      <x:c r="P7" s="197"/>
    </x:row>
    <x:row r="8" spans="1:16" ht="15" x14ac:dyDescent="0.25">
      <x:c r="B8" s="187" t="s">
        <x:v>148</x:v>
      </x:c>
      <x:c r="C8" s="188"/>
    </x:row>
    <x:row r="9" spans="1:16" x14ac:dyDescent="0.2">
      <x:c r="C9" s="767" t="s">
        <x:v>99</x:v>
      </x:c>
      <x:c r="D9" s="767"/>
      <x:c r="E9" s="767" t="s">
        <x:v>100</x:v>
      </x:c>
      <x:c r="F9" s="767"/>
      <x:c r="G9" s="767" t="s">
        <x:v>101</x:v>
      </x:c>
      <x:c r="H9" s="767"/>
      <x:c r="I9" s="767" t="s">
        <x:v>102</x:v>
      </x:c>
      <x:c r="J9" s="767"/>
      <x:c r="K9" s="767" t="s">
        <x:v>103</x:v>
      </x:c>
      <x:c r="L9" s="767"/>
      <x:c r="M9" s="767" t="s">
        <x:v>2</x:v>
      </x:c>
      <x:c r="N9" s="767"/>
    </x:row>
    <x:row r="10" spans="1:16" x14ac:dyDescent="0.2">
      <x:c r="C10" s="189" t="s">
        <x:v>149</x:v>
      </x:c>
      <x:c r="D10" s="189" t="s">
        <x:v>150</x:v>
      </x:c>
      <x:c r="E10" s="189" t="s">
        <x:v>149</x:v>
      </x:c>
      <x:c r="F10" s="189" t="s">
        <x:v>150</x:v>
      </x:c>
      <x:c r="G10" s="189" t="s">
        <x:v>149</x:v>
      </x:c>
      <x:c r="H10" s="189" t="s">
        <x:v>150</x:v>
      </x:c>
      <x:c r="I10" s="189" t="s">
        <x:v>149</x:v>
      </x:c>
      <x:c r="J10" s="189" t="s">
        <x:v>150</x:v>
      </x:c>
      <x:c r="K10" s="189" t="s">
        <x:v>149</x:v>
      </x:c>
      <x:c r="L10" s="189" t="s">
        <x:v>150</x:v>
      </x:c>
      <x:c r="M10" s="189" t="s">
        <x:v>149</x:v>
      </x:c>
      <x:c r="N10" s="189" t="s">
        <x:v>150</x:v>
      </x:c>
    </x:row>
    <x:row r="11" spans="1:16" x14ac:dyDescent="0.2">
      <x:c r="B11" s="617" t="s">
        <x:v>151</x:v>
      </x:c>
      <x:c r="C11" s="200">
        <x:v>0</x:v>
      </x:c>
      <x:c r="D11" s="200">
        <x:v>0</x:v>
      </x:c>
      <x:c r="E11" s="200">
        <x:v>0</x:v>
      </x:c>
      <x:c r="F11" s="200">
        <x:v>0</x:v>
      </x:c>
      <x:c r="G11" s="200">
        <x:v>0</x:v>
      </x:c>
      <x:c r="H11" s="200">
        <x:v>0</x:v>
      </x:c>
      <x:c r="I11" s="200">
        <x:v>0</x:v>
      </x:c>
      <x:c r="J11" s="200">
        <x:v>0</x:v>
      </x:c>
      <x:c r="K11" s="199">
        <x:v>0</x:v>
      </x:c>
      <x:c r="L11" s="200">
        <x:v>0</x:v>
      </x:c>
      <x:c r="M11" s="615">
        <x:f>C11+E11+G11+I11+K11</x:f>
        <x:v>0</x:v>
      </x:c>
      <x:c r="N11" s="616">
        <x:f>D11+F11+H11+J11+L11</x:f>
        <x:v>0</x:v>
      </x:c>
    </x:row>
    <x:row r="12" spans="1:16" ht="13.5" thickBot="1" x14ac:dyDescent="0.25">
      <x:c r="B12" s="617" t="s">
        <x:v>152</x:v>
      </x:c>
      <x:c r="C12" s="200">
        <x:v>0</x:v>
      </x:c>
      <x:c r="D12" s="200">
        <x:v>0</x:v>
      </x:c>
      <x:c r="E12" s="200">
        <x:v>0</x:v>
      </x:c>
      <x:c r="F12" s="200">
        <x:v>0</x:v>
      </x:c>
      <x:c r="G12" s="200">
        <x:v>0</x:v>
      </x:c>
      <x:c r="H12" s="200">
        <x:v>0</x:v>
      </x:c>
      <x:c r="I12" s="200">
        <x:v>0</x:v>
      </x:c>
      <x:c r="J12" s="200">
        <x:v>0</x:v>
      </x:c>
      <x:c r="K12" s="199">
        <x:v>0</x:v>
      </x:c>
      <x:c r="L12" s="200">
        <x:v>0</x:v>
      </x:c>
      <x:c r="M12" s="615">
        <x:f>C12+E12+G12+I12+K12</x:f>
        <x:v>0</x:v>
      </x:c>
      <x:c r="N12" s="616">
        <x:f>D12+F12+H12+J12+L12</x:f>
        <x:v>0</x:v>
      </x:c>
    </x:row>
    <x:row r="13" spans="1:16" ht="13.5" thickBot="1" x14ac:dyDescent="0.25">
      <x:c r="B13" s="190" t="s">
        <x:v>2</x:v>
      </x:c>
      <x:c r="C13" s="170">
        <x:f>SUM(C11:C12)</x:f>
        <x:v>0</x:v>
      </x:c>
      <x:c r="D13" s="170">
        <x:f t="shared" ref="D13:N13" si="6">SUM(D11:D12)</x:f>
        <x:v>0</x:v>
      </x:c>
      <x:c r="E13" s="170">
        <x:f t="shared" si="6"/>
        <x:v>0</x:v>
      </x:c>
      <x:c r="F13" s="170">
        <x:f t="shared" si="6"/>
        <x:v>0</x:v>
      </x:c>
      <x:c r="G13" s="170">
        <x:f>SUM(G11:G12)</x:f>
        <x:v>0</x:v>
      </x:c>
      <x:c r="H13" s="170">
        <x:f>SUM(H11:H12)</x:f>
        <x:v>0</x:v>
      </x:c>
      <x:c r="I13" s="170">
        <x:f t="shared" si="6"/>
        <x:v>0</x:v>
      </x:c>
      <x:c r="J13" s="170">
        <x:f t="shared" si="6"/>
        <x:v>0</x:v>
      </x:c>
      <x:c r="K13" s="170">
        <x:f t="shared" si="6"/>
        <x:v>0</x:v>
      </x:c>
      <x:c r="L13" s="170">
        <x:f t="shared" si="6"/>
        <x:v>0</x:v>
      </x:c>
      <x:c r="M13" s="170">
        <x:f t="shared" si="6"/>
        <x:v>0</x:v>
      </x:c>
      <x:c r="N13" s="170">
        <x:f t="shared" si="6"/>
        <x:v>0</x:v>
      </x:c>
    </x:row>
    <x:row r="14" spans="1:16" x14ac:dyDescent="0.2">
      <x:c r="E14" s="191"/>
    </x:row>
    <x:row r="16" spans="1:16" ht="15" x14ac:dyDescent="0.25">
      <x:c r="B16" s="187" t="s">
        <x:v>153</x:v>
      </x:c>
      <x:c r="C16" s="188"/>
    </x:row>
    <x:row r="17" spans="2:14" x14ac:dyDescent="0.2">
      <x:c r="C17" s="767" t="s">
        <x:v>99</x:v>
      </x:c>
      <x:c r="D17" s="767"/>
      <x:c r="E17" s="767" t="s">
        <x:v>100</x:v>
      </x:c>
      <x:c r="F17" s="767"/>
      <x:c r="G17" s="767" t="s">
        <x:v>101</x:v>
      </x:c>
      <x:c r="H17" s="767"/>
      <x:c r="I17" s="767" t="s">
        <x:v>102</x:v>
      </x:c>
      <x:c r="J17" s="767"/>
      <x:c r="K17" s="767" t="s">
        <x:v>103</x:v>
      </x:c>
      <x:c r="L17" s="767"/>
      <x:c r="M17" s="767" t="s">
        <x:v>2</x:v>
      </x:c>
      <x:c r="N17" s="767"/>
    </x:row>
    <x:row r="18" spans="2:14" x14ac:dyDescent="0.2">
      <x:c r="C18" s="189" t="s">
        <x:v>149</x:v>
      </x:c>
      <x:c r="D18" s="189" t="s">
        <x:v>150</x:v>
      </x:c>
      <x:c r="E18" s="189" t="s">
        <x:v>149</x:v>
      </x:c>
      <x:c r="F18" s="189" t="s">
        <x:v>150</x:v>
      </x:c>
      <x:c r="G18" s="189" t="s">
        <x:v>149</x:v>
      </x:c>
      <x:c r="H18" s="189" t="s">
        <x:v>150</x:v>
      </x:c>
      <x:c r="I18" s="189" t="s">
        <x:v>149</x:v>
      </x:c>
      <x:c r="J18" s="189" t="s">
        <x:v>150</x:v>
      </x:c>
      <x:c r="K18" s="189" t="s">
        <x:v>149</x:v>
      </x:c>
      <x:c r="L18" s="189" t="s">
        <x:v>150</x:v>
      </x:c>
      <x:c r="M18" s="189" t="s">
        <x:v>149</x:v>
      </x:c>
      <x:c r="N18" s="189" t="s">
        <x:v>150</x:v>
      </x:c>
    </x:row>
    <x:row r="19" spans="2:14" x14ac:dyDescent="0.2">
      <x:c r="B19" s="617" t="s">
        <x:v>151</x:v>
      </x:c>
      <x:c r="C19" s="200">
        <x:v>0</x:v>
      </x:c>
      <x:c r="D19" s="200">
        <x:v>0</x:v>
      </x:c>
      <x:c r="E19" s="200">
        <x:v>0</x:v>
      </x:c>
      <x:c r="F19" s="200">
        <x:v>0</x:v>
      </x:c>
      <x:c r="G19" s="200">
        <x:v>0</x:v>
      </x:c>
      <x:c r="H19" s="200">
        <x:v>0</x:v>
      </x:c>
      <x:c r="I19" s="200">
        <x:v>0</x:v>
      </x:c>
      <x:c r="J19" s="200">
        <x:v>0</x:v>
      </x:c>
      <x:c r="K19" s="199">
        <x:v>0</x:v>
      </x:c>
      <x:c r="L19" s="200">
        <x:v>0</x:v>
      </x:c>
      <x:c r="M19" s="615">
        <x:f>C19+E19+G19+I19+K19</x:f>
        <x:v>0</x:v>
      </x:c>
      <x:c r="N19" s="616">
        <x:f>D19+F19+H19+J19+L19</x:f>
        <x:v>0</x:v>
      </x:c>
    </x:row>
    <x:row r="20" spans="2:14" ht="13.5" thickBot="1" x14ac:dyDescent="0.25">
      <x:c r="B20" s="617" t="s">
        <x:v>152</x:v>
      </x:c>
      <x:c r="C20" s="200">
        <x:v>0</x:v>
      </x:c>
      <x:c r="D20" s="200">
        <x:v>0</x:v>
      </x:c>
      <x:c r="E20" s="200">
        <x:v>0</x:v>
      </x:c>
      <x:c r="F20" s="200">
        <x:v>0</x:v>
      </x:c>
      <x:c r="G20" s="200">
        <x:v>0</x:v>
      </x:c>
      <x:c r="H20" s="200">
        <x:v>0</x:v>
      </x:c>
      <x:c r="I20" s="200">
        <x:v>0</x:v>
      </x:c>
      <x:c r="J20" s="200">
        <x:v>0</x:v>
      </x:c>
      <x:c r="K20" s="199">
        <x:v>0</x:v>
      </x:c>
      <x:c r="L20" s="200">
        <x:v>0</x:v>
      </x:c>
      <x:c r="M20" s="615">
        <x:f>C20+E20+G20+I20+K20</x:f>
        <x:v>0</x:v>
      </x:c>
      <x:c r="N20" s="616">
        <x:f>D20+F20+H20+J20+L20</x:f>
        <x:v>0</x:v>
      </x:c>
    </x:row>
    <x:row r="21" spans="2:14" ht="13.5" thickBot="1" x14ac:dyDescent="0.25">
      <x:c r="B21" s="190" t="s">
        <x:v>2</x:v>
      </x:c>
      <x:c r="C21" s="170">
        <x:f>SUM(C19:C20)</x:f>
        <x:v>0</x:v>
      </x:c>
      <x:c r="D21" s="170">
        <x:f t="shared" ref="D21:L21" si="7">SUM(D19:D20)</x:f>
        <x:v>0</x:v>
      </x:c>
      <x:c r="E21" s="170">
        <x:f t="shared" si="7"/>
        <x:v>0</x:v>
      </x:c>
      <x:c r="F21" s="170">
        <x:f t="shared" si="7"/>
        <x:v>0</x:v>
      </x:c>
      <x:c r="G21" s="170">
        <x:f t="shared" si="7"/>
        <x:v>0</x:v>
      </x:c>
      <x:c r="H21" s="170">
        <x:f t="shared" si="7"/>
        <x:v>0</x:v>
      </x:c>
      <x:c r="I21" s="170">
        <x:f t="shared" si="7"/>
        <x:v>0</x:v>
      </x:c>
      <x:c r="J21" s="170">
        <x:f t="shared" si="7"/>
        <x:v>0</x:v>
      </x:c>
      <x:c r="K21" s="170">
        <x:f t="shared" si="7"/>
        <x:v>0</x:v>
      </x:c>
      <x:c r="L21" s="170">
        <x:f t="shared" si="7"/>
        <x:v>0</x:v>
      </x:c>
      <x:c r="M21" s="170">
        <x:f>C21+E21+G21+I21+K21</x:f>
        <x:v>0</x:v>
      </x:c>
      <x:c r="N21" s="170">
        <x:f t="shared" ref="N21" si="8">SUM(N19:N20)</x:f>
        <x:v>0</x:v>
      </x:c>
    </x:row>
    <x:row r="24" spans="2:14" ht="15" x14ac:dyDescent="0.25">
      <x:c r="B24" s="187" t="s">
        <x:v>154</x:v>
      </x:c>
      <x:c r="C24" s="188"/>
    </x:row>
    <x:row r="25" spans="2:14" x14ac:dyDescent="0.2">
      <x:c r="C25" s="767" t="s">
        <x:v>99</x:v>
      </x:c>
      <x:c r="D25" s="767"/>
      <x:c r="E25" s="767" t="s">
        <x:v>100</x:v>
      </x:c>
      <x:c r="F25" s="767"/>
      <x:c r="G25" s="767" t="s">
        <x:v>101</x:v>
      </x:c>
      <x:c r="H25" s="767"/>
      <x:c r="I25" s="767" t="s">
        <x:v>102</x:v>
      </x:c>
      <x:c r="J25" s="767"/>
      <x:c r="K25" s="767" t="s">
        <x:v>103</x:v>
      </x:c>
      <x:c r="L25" s="767"/>
      <x:c r="M25" s="767" t="s">
        <x:v>2</x:v>
      </x:c>
      <x:c r="N25" s="767"/>
    </x:row>
    <x:row r="26" spans="2:14" x14ac:dyDescent="0.2">
      <x:c r="C26" s="189" t="s">
        <x:v>149</x:v>
      </x:c>
      <x:c r="D26" s="189" t="s">
        <x:v>150</x:v>
      </x:c>
      <x:c r="E26" s="189" t="s">
        <x:v>149</x:v>
      </x:c>
      <x:c r="F26" s="189" t="s">
        <x:v>150</x:v>
      </x:c>
      <x:c r="G26" s="189" t="s">
        <x:v>149</x:v>
      </x:c>
      <x:c r="H26" s="189" t="s">
        <x:v>150</x:v>
      </x:c>
      <x:c r="I26" s="189" t="s">
        <x:v>149</x:v>
      </x:c>
      <x:c r="J26" s="189" t="s">
        <x:v>150</x:v>
      </x:c>
      <x:c r="K26" s="189" t="s">
        <x:v>149</x:v>
      </x:c>
      <x:c r="L26" s="189" t="s">
        <x:v>150</x:v>
      </x:c>
      <x:c r="M26" s="189" t="s">
        <x:v>149</x:v>
      </x:c>
      <x:c r="N26" s="189" t="s">
        <x:v>150</x:v>
      </x:c>
    </x:row>
    <x:row r="27" spans="2:14" x14ac:dyDescent="0.2">
      <x:c r="B27" s="617" t="s">
        <x:v>151</x:v>
      </x:c>
      <x:c r="C27" s="200">
        <x:v>0</x:v>
      </x:c>
      <x:c r="D27" s="200">
        <x:v>0</x:v>
      </x:c>
      <x:c r="E27" s="200">
        <x:v>0</x:v>
      </x:c>
      <x:c r="F27" s="200">
        <x:v>0</x:v>
      </x:c>
      <x:c r="G27" s="200">
        <x:v>0</x:v>
      </x:c>
      <x:c r="H27" s="200">
        <x:v>0</x:v>
      </x:c>
      <x:c r="I27" s="200">
        <x:v>0</x:v>
      </x:c>
      <x:c r="J27" s="200">
        <x:v>0</x:v>
      </x:c>
      <x:c r="K27" s="199">
        <x:v>0</x:v>
      </x:c>
      <x:c r="L27" s="200">
        <x:v>0</x:v>
      </x:c>
      <x:c r="M27" s="615">
        <x:f>C27+E27+G27+I27+K27</x:f>
        <x:v>0</x:v>
      </x:c>
      <x:c r="N27" s="616">
        <x:f>D27+F27+H27+J27+L27</x:f>
        <x:v>0</x:v>
      </x:c>
    </x:row>
    <x:row r="28" spans="2:14" ht="13.5" thickBot="1" x14ac:dyDescent="0.25">
      <x:c r="B28" s="617" t="s">
        <x:v>152</x:v>
      </x:c>
      <x:c r="C28" s="200">
        <x:v>0</x:v>
      </x:c>
      <x:c r="D28" s="200">
        <x:v>0</x:v>
      </x:c>
      <x:c r="E28" s="200">
        <x:v>0</x:v>
      </x:c>
      <x:c r="F28" s="200">
        <x:v>0</x:v>
      </x:c>
      <x:c r="G28" s="200">
        <x:v>0</x:v>
      </x:c>
      <x:c r="H28" s="200">
        <x:v>0</x:v>
      </x:c>
      <x:c r="I28" s="200">
        <x:v>0</x:v>
      </x:c>
      <x:c r="J28" s="200">
        <x:v>0</x:v>
      </x:c>
      <x:c r="K28" s="199">
        <x:v>0</x:v>
      </x:c>
      <x:c r="L28" s="200">
        <x:v>0</x:v>
      </x:c>
      <x:c r="M28" s="615">
        <x:f>C28+E28+G28+I28+K28</x:f>
        <x:v>0</x:v>
      </x:c>
      <x:c r="N28" s="616">
        <x:f>D28+F28+H28+J28+L28</x:f>
        <x:v>0</x:v>
      </x:c>
    </x:row>
    <x:row r="29" spans="2:14" ht="13.5" thickBot="1" x14ac:dyDescent="0.25">
      <x:c r="B29" s="190" t="s">
        <x:v>2</x:v>
      </x:c>
      <x:c r="C29" s="170">
        <x:f t="shared" ref="C29:N29" si="9">SUM(C27:C28)</x:f>
        <x:v>0</x:v>
      </x:c>
      <x:c r="D29" s="170">
        <x:f t="shared" si="9"/>
        <x:v>0</x:v>
      </x:c>
      <x:c r="E29" s="170">
        <x:f t="shared" si="9"/>
        <x:v>0</x:v>
      </x:c>
      <x:c r="F29" s="170">
        <x:f t="shared" si="9"/>
        <x:v>0</x:v>
      </x:c>
      <x:c r="G29" s="170">
        <x:f t="shared" si="9"/>
        <x:v>0</x:v>
      </x:c>
      <x:c r="H29" s="170">
        <x:f t="shared" si="9"/>
        <x:v>0</x:v>
      </x:c>
      <x:c r="I29" s="170">
        <x:f t="shared" si="9"/>
        <x:v>0</x:v>
      </x:c>
      <x:c r="J29" s="170">
        <x:f t="shared" si="9"/>
        <x:v>0</x:v>
      </x:c>
      <x:c r="K29" s="170">
        <x:f t="shared" si="9"/>
        <x:v>0</x:v>
      </x:c>
      <x:c r="L29" s="170">
        <x:f t="shared" si="9"/>
        <x:v>0</x:v>
      </x:c>
      <x:c r="M29" s="170">
        <x:f t="shared" si="9"/>
        <x:v>0</x:v>
      </x:c>
      <x:c r="N29" s="170">
        <x:f t="shared" si="9"/>
        <x:v>0</x:v>
      </x:c>
    </x:row>
    <x:row r="32" spans="2:14" ht="15" x14ac:dyDescent="0.25">
      <x:c r="B32" s="187" t="s">
        <x:v>155</x:v>
      </x:c>
      <x:c r="C32" s="188"/>
    </x:row>
    <x:row r="33" spans="2:14" x14ac:dyDescent="0.2">
      <x:c r="C33" s="767" t="s">
        <x:v>99</x:v>
      </x:c>
      <x:c r="D33" s="767"/>
      <x:c r="E33" s="767" t="s">
        <x:v>100</x:v>
      </x:c>
      <x:c r="F33" s="767"/>
      <x:c r="G33" s="767" t="s">
        <x:v>101</x:v>
      </x:c>
      <x:c r="H33" s="767"/>
      <x:c r="I33" s="767" t="s">
        <x:v>102</x:v>
      </x:c>
      <x:c r="J33" s="767"/>
      <x:c r="K33" s="767" t="s">
        <x:v>103</x:v>
      </x:c>
      <x:c r="L33" s="767"/>
      <x:c r="M33" s="767" t="s">
        <x:v>2</x:v>
      </x:c>
      <x:c r="N33" s="767"/>
    </x:row>
    <x:row r="34" spans="2:14" x14ac:dyDescent="0.2">
      <x:c r="C34" s="189" t="s">
        <x:v>149</x:v>
      </x:c>
      <x:c r="D34" s="189" t="s">
        <x:v>150</x:v>
      </x:c>
      <x:c r="E34" s="189" t="s">
        <x:v>149</x:v>
      </x:c>
      <x:c r="F34" s="189" t="s">
        <x:v>150</x:v>
      </x:c>
      <x:c r="G34" s="189" t="s">
        <x:v>149</x:v>
      </x:c>
      <x:c r="H34" s="189" t="s">
        <x:v>150</x:v>
      </x:c>
      <x:c r="I34" s="189" t="s">
        <x:v>149</x:v>
      </x:c>
      <x:c r="J34" s="189" t="s">
        <x:v>150</x:v>
      </x:c>
      <x:c r="K34" s="189" t="s">
        <x:v>149</x:v>
      </x:c>
      <x:c r="L34" s="189" t="s">
        <x:v>150</x:v>
      </x:c>
      <x:c r="M34" s="189" t="s">
        <x:v>149</x:v>
      </x:c>
      <x:c r="N34" s="189" t="s">
        <x:v>150</x:v>
      </x:c>
    </x:row>
    <x:row r="35" spans="2:14" x14ac:dyDescent="0.2">
      <x:c r="B35" s="617" t="s">
        <x:v>151</x:v>
      </x:c>
      <x:c r="C35" s="200">
        <x:v>0</x:v>
      </x:c>
      <x:c r="D35" s="200">
        <x:v>0</x:v>
      </x:c>
      <x:c r="E35" s="200">
        <x:v>0</x:v>
      </x:c>
      <x:c r="F35" s="200">
        <x:v>0</x:v>
      </x:c>
      <x:c r="G35" s="200">
        <x:v>0</x:v>
      </x:c>
      <x:c r="H35" s="200">
        <x:v>0</x:v>
      </x:c>
      <x:c r="I35" s="200">
        <x:v>0</x:v>
      </x:c>
      <x:c r="J35" s="200">
        <x:v>0</x:v>
      </x:c>
      <x:c r="K35" s="199">
        <x:v>0</x:v>
      </x:c>
      <x:c r="L35" s="200">
        <x:v>0</x:v>
      </x:c>
      <x:c r="M35" s="615">
        <x:f>C35+E35+G35+I35+K35</x:f>
        <x:v>0</x:v>
      </x:c>
      <x:c r="N35" s="616">
        <x:f>D35+F35+H35+J35+L35</x:f>
        <x:v>0</x:v>
      </x:c>
    </x:row>
    <x:row r="36" spans="2:14" ht="13.5" thickBot="1" x14ac:dyDescent="0.25">
      <x:c r="B36" s="617" t="s">
        <x:v>152</x:v>
      </x:c>
      <x:c r="C36" s="200">
        <x:v>0</x:v>
      </x:c>
      <x:c r="D36" s="200">
        <x:v>0</x:v>
      </x:c>
      <x:c r="E36" s="200">
        <x:v>0</x:v>
      </x:c>
      <x:c r="F36" s="200">
        <x:v>0</x:v>
      </x:c>
      <x:c r="G36" s="200">
        <x:v>0</x:v>
      </x:c>
      <x:c r="H36" s="200">
        <x:v>0</x:v>
      </x:c>
      <x:c r="I36" s="200">
        <x:v>0</x:v>
      </x:c>
      <x:c r="J36" s="200">
        <x:v>0</x:v>
      </x:c>
      <x:c r="K36" s="199">
        <x:v>0</x:v>
      </x:c>
      <x:c r="L36" s="200">
        <x:v>0</x:v>
      </x:c>
      <x:c r="M36" s="615">
        <x:f>C36+E36+G36+I36+K36</x:f>
        <x:v>0</x:v>
      </x:c>
      <x:c r="N36" s="616">
        <x:f>D36+F36+H36+J36+L36</x:f>
        <x:v>0</x:v>
      </x:c>
    </x:row>
    <x:row r="37" spans="2:14" ht="13.5" thickBot="1" x14ac:dyDescent="0.25">
      <x:c r="B37" s="190" t="s">
        <x:v>2</x:v>
      </x:c>
      <x:c r="C37" s="170">
        <x:f>SUM(C35:C36)</x:f>
        <x:v>0</x:v>
      </x:c>
      <x:c r="D37" s="170">
        <x:f t="shared" ref="D37:L37" si="10">SUM(D35:D36)</x:f>
        <x:v>0</x:v>
      </x:c>
      <x:c r="E37" s="170">
        <x:f t="shared" si="10"/>
        <x:v>0</x:v>
      </x:c>
      <x:c r="F37" s="170">
        <x:f t="shared" si="10"/>
        <x:v>0</x:v>
      </x:c>
      <x:c r="G37" s="170">
        <x:f t="shared" si="10"/>
        <x:v>0</x:v>
      </x:c>
      <x:c r="H37" s="170">
        <x:f t="shared" si="10"/>
        <x:v>0</x:v>
      </x:c>
      <x:c r="I37" s="170">
        <x:f t="shared" si="10"/>
        <x:v>0</x:v>
      </x:c>
      <x:c r="J37" s="170">
        <x:f t="shared" si="10"/>
        <x:v>0</x:v>
      </x:c>
      <x:c r="K37" s="170">
        <x:f t="shared" si="10"/>
        <x:v>0</x:v>
      </x:c>
      <x:c r="L37" s="170">
        <x:f t="shared" si="10"/>
        <x:v>0</x:v>
      </x:c>
      <x:c r="M37" s="170">
        <x:f>SUM(M35:M36)</x:f>
        <x:v>0</x:v>
      </x:c>
      <x:c r="N37" s="170">
        <x:f t="shared" ref="N37" si="11">SUM(N35:N36)</x:f>
        <x:v>0</x:v>
      </x:c>
    </x:row>
    <x:row r="39" spans="2:14" x14ac:dyDescent="0.2">
      <x:c r="L39" s="191"/>
    </x:row>
    <x:row r="40" spans="2:14" ht="15" x14ac:dyDescent="0.25">
      <x:c r="B40" s="187" t="s">
        <x:v>326</x:v>
      </x:c>
      <x:c r="C40" s="188"/>
    </x:row>
    <x:row r="41" spans="2:14" x14ac:dyDescent="0.2">
      <x:c r="C41" s="767" t="s">
        <x:v>99</x:v>
      </x:c>
      <x:c r="D41" s="767"/>
      <x:c r="E41" s="767" t="s">
        <x:v>100</x:v>
      </x:c>
      <x:c r="F41" s="767"/>
      <x:c r="G41" s="767" t="s">
        <x:v>101</x:v>
      </x:c>
      <x:c r="H41" s="767"/>
      <x:c r="I41" s="767" t="s">
        <x:v>102</x:v>
      </x:c>
      <x:c r="J41" s="767"/>
      <x:c r="K41" s="767" t="s">
        <x:v>103</x:v>
      </x:c>
      <x:c r="L41" s="767"/>
      <x:c r="M41" s="767" t="s">
        <x:v>2</x:v>
      </x:c>
      <x:c r="N41" s="767"/>
    </x:row>
    <x:row r="42" spans="2:14" x14ac:dyDescent="0.2">
      <x:c r="C42" s="189" t="s">
        <x:v>149</x:v>
      </x:c>
      <x:c r="D42" s="189" t="s">
        <x:v>150</x:v>
      </x:c>
      <x:c r="E42" s="189" t="s">
        <x:v>149</x:v>
      </x:c>
      <x:c r="F42" s="189" t="s">
        <x:v>150</x:v>
      </x:c>
      <x:c r="G42" s="189" t="s">
        <x:v>149</x:v>
      </x:c>
      <x:c r="H42" s="189" t="s">
        <x:v>150</x:v>
      </x:c>
      <x:c r="I42" s="189" t="s">
        <x:v>149</x:v>
      </x:c>
      <x:c r="J42" s="189" t="s">
        <x:v>150</x:v>
      </x:c>
      <x:c r="K42" s="189" t="s">
        <x:v>149</x:v>
      </x:c>
      <x:c r="L42" s="189" t="s">
        <x:v>150</x:v>
      </x:c>
      <x:c r="M42" s="189" t="s">
        <x:v>149</x:v>
      </x:c>
      <x:c r="N42" s="189" t="s">
        <x:v>150</x:v>
      </x:c>
    </x:row>
    <x:row r="43" spans="2:14" x14ac:dyDescent="0.2">
      <x:c r="B43" s="617" t="s">
        <x:v>151</x:v>
      </x:c>
      <x:c r="C43" s="200">
        <x:v>0</x:v>
      </x:c>
      <x:c r="D43" s="200">
        <x:v>0</x:v>
      </x:c>
      <x:c r="E43" s="200">
        <x:v>0</x:v>
      </x:c>
      <x:c r="F43" s="200">
        <x:v>0</x:v>
      </x:c>
      <x:c r="G43" s="200">
        <x:v>0</x:v>
      </x:c>
      <x:c r="H43" s="200">
        <x:v>0</x:v>
      </x:c>
      <x:c r="I43" s="200">
        <x:v>0</x:v>
      </x:c>
      <x:c r="J43" s="200">
        <x:v>0</x:v>
      </x:c>
      <x:c r="K43" s="199">
        <x:v>0</x:v>
      </x:c>
      <x:c r="L43" s="200">
        <x:v>0</x:v>
      </x:c>
      <x:c r="M43" s="615">
        <x:f>C43+E43+G43+I43+K43</x:f>
        <x:v>0</x:v>
      </x:c>
      <x:c r="N43" s="616">
        <x:f>D43+F43+H43+J43+L43</x:f>
        <x:v>0</x:v>
      </x:c>
    </x:row>
    <x:row r="44" spans="2:14" ht="13.5" thickBot="1" x14ac:dyDescent="0.25">
      <x:c r="B44" s="617" t="s">
        <x:v>152</x:v>
      </x:c>
      <x:c r="C44" s="200">
        <x:v>0</x:v>
      </x:c>
      <x:c r="D44" s="200">
        <x:v>0</x:v>
      </x:c>
      <x:c r="E44" s="200">
        <x:v>0</x:v>
      </x:c>
      <x:c r="F44" s="200">
        <x:v>0</x:v>
      </x:c>
      <x:c r="G44" s="200">
        <x:v>0</x:v>
      </x:c>
      <x:c r="H44" s="200">
        <x:v>0</x:v>
      </x:c>
      <x:c r="I44" s="200">
        <x:v>0</x:v>
      </x:c>
      <x:c r="J44" s="200">
        <x:v>0</x:v>
      </x:c>
      <x:c r="K44" s="199">
        <x:v>0</x:v>
      </x:c>
      <x:c r="L44" s="200">
        <x:v>0</x:v>
      </x:c>
      <x:c r="M44" s="615">
        <x:f>C44+E44+G44+I44+K44</x:f>
        <x:v>0</x:v>
      </x:c>
      <x:c r="N44" s="616">
        <x:f>D44+F44+H44+J44+L44</x:f>
        <x:v>0</x:v>
      </x:c>
    </x:row>
    <x:row r="45" spans="2:14" ht="13.5" thickBot="1" x14ac:dyDescent="0.25">
      <x:c r="B45" s="190" t="s">
        <x:v>2</x:v>
      </x:c>
      <x:c r="C45" s="170">
        <x:f>SUM(C43:C44)</x:f>
        <x:v>0</x:v>
      </x:c>
      <x:c r="D45" s="170">
        <x:f t="shared" ref="D45:J45" si="12">SUM(D43:D44)</x:f>
        <x:v>0</x:v>
      </x:c>
      <x:c r="E45" s="170">
        <x:f t="shared" si="12"/>
        <x:v>0</x:v>
      </x:c>
      <x:c r="F45" s="170">
        <x:f t="shared" si="12"/>
        <x:v>0</x:v>
      </x:c>
      <x:c r="G45" s="170">
        <x:f t="shared" si="12"/>
        <x:v>0</x:v>
      </x:c>
      <x:c r="H45" s="170">
        <x:f t="shared" si="12"/>
        <x:v>0</x:v>
      </x:c>
      <x:c r="I45" s="170">
        <x:f t="shared" si="12"/>
        <x:v>0</x:v>
      </x:c>
      <x:c r="J45" s="170">
        <x:f t="shared" si="12"/>
        <x:v>0</x:v>
      </x:c>
      <x:c r="K45" s="170">
        <x:f>SUM(K43:K44)</x:f>
        <x:v>0</x:v>
      </x:c>
      <x:c r="L45" s="170">
        <x:f>SUM(L43:L44)</x:f>
        <x:v>0</x:v>
      </x:c>
      <x:c r="M45" s="170">
        <x:f>SUM(M43:M44)</x:f>
        <x:v>0</x:v>
      </x:c>
      <x:c r="N45" s="170">
        <x:f t="shared" ref="N45" si="13">SUM(N43:N44)</x:f>
        <x:v>0</x:v>
      </x:c>
    </x:row>
  </x:sheetData>
  <x:mergeCells count="36">
    <x:mergeCell ref="M41:N41"/>
    <x:mergeCell ref="C41:D41"/>
    <x:mergeCell ref="E41:F41"/>
    <x:mergeCell ref="G41:H41"/>
    <x:mergeCell ref="I41:J41"/>
    <x:mergeCell ref="K41:L41"/>
    <x:mergeCell ref="M1:N1"/>
    <x:mergeCell ref="C1:D1"/>
    <x:mergeCell ref="E1:F1"/>
    <x:mergeCell ref="G1:H1"/>
    <x:mergeCell ref="I1:J1"/>
    <x:mergeCell ref="K1:L1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9:N9"/>
    <x:mergeCell ref="C9:D9"/>
    <x:mergeCell ref="E9:F9"/>
    <x:mergeCell ref="G9:H9"/>
    <x:mergeCell ref="I9:J9"/>
    <x:mergeCell ref="K9:L9"/>
    <x:mergeCell ref="M33:N33"/>
    <x:mergeCell ref="C33:D33"/>
    <x:mergeCell ref="E33:F33"/>
    <x:mergeCell ref="G33:H33"/>
    <x:mergeCell ref="I33:J33"/>
    <x:mergeCell ref="K33:L33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40"/>
  <sheetViews>
    <sheetView zoomScale="88" zoomScaleNormal="88" workbookViewId="0">
      <selection activeCell="O15" sqref="O15"/>
    </sheetView>
  </sheetViews>
  <sheetFormatPr baseColWidth="10" defaultRowHeight="12.75" x14ac:dyDescent="0.2"/>
  <cols>
    <col min="1" max="1" width="2.42578125" customWidth="1"/>
    <col min="2" max="2" width="8" customWidth="1"/>
    <col min="3" max="3" width="15.7109375" bestFit="1" customWidth="1"/>
    <col min="4" max="4" width="1.7109375" customWidth="1"/>
    <col min="5" max="5" width="14.7109375" customWidth="1"/>
    <col min="6" max="6" width="15.7109375" bestFit="1" customWidth="1"/>
    <col min="7" max="7" width="1.7109375" customWidth="1"/>
    <col min="8" max="8" width="9.28515625" customWidth="1"/>
    <col min="9" max="9" width="15.7109375" bestFit="1" customWidth="1"/>
    <col min="10" max="10" width="1.7109375" customWidth="1"/>
    <col min="11" max="11" width="14.28515625" customWidth="1"/>
    <col min="12" max="12" width="17.42578125" customWidth="1"/>
    <col min="13" max="13" width="1.7109375" customWidth="1"/>
    <col min="14" max="14" width="14.28515625" customWidth="1"/>
    <col min="15" max="15" width="17.42578125" customWidth="1"/>
    <col min="16" max="16" width="1.7109375" customWidth="1"/>
    <col min="17" max="17" width="20.28515625" customWidth="1"/>
    <col min="18" max="18" width="15.7109375" bestFit="1" customWidth="1"/>
    <col min="19" max="19" width="3.5703125" customWidth="1"/>
    <col min="20" max="20" width="48.42578125" bestFit="1" customWidth="1"/>
  </cols>
  <sheetData>
    <row r="1" spans="2:20" s="50" customFormat="1" ht="15.75" thickBot="1" x14ac:dyDescent="0.3">
      <c r="B1" s="50" t="s">
        <v>2</v>
      </c>
      <c r="D1" s="618"/>
      <c r="E1" s="50" t="s">
        <v>160</v>
      </c>
      <c r="G1" s="618"/>
      <c r="H1" s="50" t="s">
        <v>155</v>
      </c>
      <c r="J1" s="618"/>
      <c r="K1" s="619" t="s">
        <v>326</v>
      </c>
      <c r="L1" s="619"/>
      <c r="M1" s="618"/>
      <c r="N1" s="50" t="s">
        <v>119</v>
      </c>
      <c r="P1" s="618"/>
      <c r="Q1" s="50" t="s">
        <v>165</v>
      </c>
    </row>
    <row r="2" spans="2:20" ht="36.75" thickBot="1" x14ac:dyDescent="0.25">
      <c r="B2" s="11" t="s">
        <v>3</v>
      </c>
      <c r="C2" s="12" t="s">
        <v>114</v>
      </c>
      <c r="D2" s="197"/>
      <c r="E2" s="11" t="s">
        <v>3</v>
      </c>
      <c r="F2" s="12" t="s">
        <v>114</v>
      </c>
      <c r="G2" s="197"/>
      <c r="H2" s="11" t="s">
        <v>3</v>
      </c>
      <c r="I2" s="12" t="s">
        <v>114</v>
      </c>
      <c r="J2" s="197"/>
      <c r="K2" s="11" t="s">
        <v>3</v>
      </c>
      <c r="L2" s="12" t="s">
        <v>114</v>
      </c>
      <c r="M2" s="197"/>
      <c r="N2" s="11" t="s">
        <v>3</v>
      </c>
      <c r="O2" s="12" t="s">
        <v>114</v>
      </c>
      <c r="P2" s="197"/>
      <c r="Q2" s="11" t="s">
        <v>3</v>
      </c>
      <c r="R2" s="12" t="s">
        <v>114</v>
      </c>
      <c r="T2" t="s">
        <v>94</v>
      </c>
    </row>
    <row r="3" spans="2:20" x14ac:dyDescent="0.2">
      <c r="B3" s="14">
        <v>1</v>
      </c>
      <c r="C3" s="747">
        <f>'REPORTE RECAUDO x BANCO'!I14</f>
        <v>0</v>
      </c>
      <c r="D3" s="197"/>
      <c r="E3" s="14">
        <v>1</v>
      </c>
      <c r="F3" s="15">
        <f>'REPORTE RECAUDO x BANCO'!F14</f>
        <v>0</v>
      </c>
      <c r="G3" s="197"/>
      <c r="H3" s="14">
        <v>1</v>
      </c>
      <c r="I3" s="15">
        <f>'REPORTE RECAUDO x BANCO'!C14</f>
        <v>0</v>
      </c>
      <c r="J3" s="197"/>
      <c r="K3" s="14">
        <v>1</v>
      </c>
      <c r="L3" s="15">
        <f>'REPORTE RECAUDO x BANCO'!G14</f>
        <v>0</v>
      </c>
      <c r="M3" s="197"/>
      <c r="N3" s="14">
        <v>1</v>
      </c>
      <c r="O3" s="15">
        <f>'REPORTE RECAUDO x BANCO'!H14</f>
        <v>0</v>
      </c>
      <c r="P3" s="197"/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">
      <c r="B4" s="16">
        <v>2</v>
      </c>
      <c r="C4" s="747">
        <f>'REPORTE RECAUDO x BANCO'!I24</f>
        <v>0</v>
      </c>
      <c r="D4" s="197"/>
      <c r="E4" s="16">
        <v>2</v>
      </c>
      <c r="F4" s="15">
        <f>'REPORTE RECAUDO x BANCO'!F24</f>
        <v>0</v>
      </c>
      <c r="G4" s="197"/>
      <c r="H4" s="16">
        <v>2</v>
      </c>
      <c r="I4" s="15">
        <f>'REPORTE RECAUDO x BANCO'!C24</f>
        <v>0</v>
      </c>
      <c r="J4" s="197"/>
      <c r="K4" s="16">
        <v>2</v>
      </c>
      <c r="L4" s="15">
        <f>'REPORTE RECAUDO x BANCO'!G24</f>
        <v>0</v>
      </c>
      <c r="M4" s="197"/>
      <c r="N4" s="16">
        <v>2</v>
      </c>
      <c r="O4" s="15">
        <f>'REPORTE RECAUDO x BANCO'!H24</f>
        <v>0</v>
      </c>
      <c r="P4" s="197"/>
      <c r="Q4" s="16">
        <v>2</v>
      </c>
      <c r="R4" s="15">
        <f>'REPORTE RECAUDO x BANCO'!D24+'REPORTE RECAUDO x BANCO'!E24</f>
        <v>0</v>
      </c>
    </row>
    <row r="5" spans="2:20" x14ac:dyDescent="0.2">
      <c r="B5" s="16">
        <v>3</v>
      </c>
      <c r="C5" s="747">
        <f>'REPORTE RECAUDO x BANCO'!I33</f>
        <v>0</v>
      </c>
      <c r="D5" s="197"/>
      <c r="E5" s="16">
        <v>3</v>
      </c>
      <c r="F5" s="15">
        <f>'REPORTE RECAUDO x BANCO'!F33</f>
        <v>0</v>
      </c>
      <c r="G5" s="197"/>
      <c r="H5" s="16">
        <v>3</v>
      </c>
      <c r="I5" s="15">
        <f>'REPORTE RECAUDO x BANCO'!C33</f>
        <v>0</v>
      </c>
      <c r="J5" s="197"/>
      <c r="K5" s="16">
        <v>3</v>
      </c>
      <c r="L5" s="15">
        <f>'REPORTE RECAUDO x BANCO'!G33</f>
        <v>0</v>
      </c>
      <c r="M5" s="197"/>
      <c r="N5" s="16">
        <v>3</v>
      </c>
      <c r="O5" s="15">
        <f>'REPORTE RECAUDO x BANCO'!H33</f>
        <v>0</v>
      </c>
      <c r="P5" s="197"/>
      <c r="Q5" s="16">
        <v>3</v>
      </c>
      <c r="R5" s="15">
        <f>'REPORTE RECAUDO x BANCO'!D33+'REPORTE RECAUDO x BANCO'!E33</f>
        <v>0</v>
      </c>
    </row>
    <row r="6" spans="2:20" x14ac:dyDescent="0.2">
      <c r="B6" s="16">
        <v>4</v>
      </c>
      <c r="C6" s="747">
        <f>'REPORTE RECAUDO x BANCO'!I42</f>
        <v>0</v>
      </c>
      <c r="D6" s="197"/>
      <c r="E6" s="16">
        <v>4</v>
      </c>
      <c r="F6" s="15">
        <f>'REPORTE RECAUDO x BANCO'!F42</f>
        <v>0</v>
      </c>
      <c r="G6" s="197"/>
      <c r="H6" s="16">
        <v>4</v>
      </c>
      <c r="I6" s="15">
        <f>'REPORTE RECAUDO x BANCO'!C42</f>
        <v>0</v>
      </c>
      <c r="J6" s="197"/>
      <c r="K6" s="16">
        <v>4</v>
      </c>
      <c r="L6" s="15">
        <f>'REPORTE RECAUDO x BANCO'!G42</f>
        <v>0</v>
      </c>
      <c r="M6" s="197"/>
      <c r="N6" s="16">
        <v>4</v>
      </c>
      <c r="O6" s="15">
        <f>'REPORTE RECAUDO x BANCO'!H42</f>
        <v>0</v>
      </c>
      <c r="P6" s="197"/>
      <c r="Q6" s="16">
        <v>4</v>
      </c>
      <c r="R6" s="15">
        <f>'REPORTE RECAUDO x BANCO'!D42+'REPORTE RECAUDO x BANCO'!E42</f>
        <v>0</v>
      </c>
    </row>
    <row r="7" spans="2:20" ht="13.5" thickBot="1" x14ac:dyDescent="0.25">
      <c r="B7" s="19">
        <v>5</v>
      </c>
      <c r="C7" s="747">
        <f>'REPORTE RECAUDO x BANCO'!I52</f>
        <v>0</v>
      </c>
      <c r="D7" s="197"/>
      <c r="E7" s="19">
        <v>5</v>
      </c>
      <c r="F7" s="15">
        <f>'REPORTE RECAUDO x BANCO'!F52</f>
        <v>0</v>
      </c>
      <c r="G7" s="197"/>
      <c r="H7" s="19">
        <v>5</v>
      </c>
      <c r="I7" s="15">
        <f>'REPORTE RECAUDO x BANCO'!C52</f>
        <v>0</v>
      </c>
      <c r="J7" s="197"/>
      <c r="K7" s="19">
        <v>5</v>
      </c>
      <c r="L7" s="15">
        <f>'REPORTE RECAUDO x BANCO'!G52</f>
        <v>0</v>
      </c>
      <c r="M7" s="197"/>
      <c r="N7" s="19">
        <v>5</v>
      </c>
      <c r="O7" s="15">
        <f>'REPORTE RECAUDO x BANCO'!H52</f>
        <v>0</v>
      </c>
      <c r="P7" s="197"/>
      <c r="Q7" s="19">
        <v>5</v>
      </c>
      <c r="R7" s="15">
        <f>'REPORTE RECAUDO x BANCO'!D52+'REPORTE RECAUDO x BANCO'!E52</f>
        <v>0</v>
      </c>
    </row>
    <row r="8" spans="2:20" ht="13.5" thickBot="1" x14ac:dyDescent="0.25">
      <c r="B8" s="21"/>
      <c r="C8" s="748">
        <f>SUM(C3:C7)</f>
        <v>0</v>
      </c>
      <c r="D8" s="197"/>
      <c r="E8" s="21"/>
      <c r="F8" s="170">
        <f>SUM(F3:F7)</f>
        <v>0</v>
      </c>
      <c r="G8" s="197"/>
      <c r="H8" s="21"/>
      <c r="I8" s="170">
        <f>SUM(I3:I7)</f>
        <v>0</v>
      </c>
      <c r="J8" s="197"/>
      <c r="K8" s="21"/>
      <c r="L8" s="170">
        <f>SUM(L3:L7)</f>
        <v>0</v>
      </c>
      <c r="M8" s="197"/>
      <c r="N8" s="21"/>
      <c r="O8" s="170">
        <f>SUM(O3:O7)</f>
        <v>0</v>
      </c>
      <c r="P8" s="197"/>
      <c r="Q8" s="21"/>
      <c r="R8" s="170">
        <f>SUM(R3:R7)</f>
        <v>0</v>
      </c>
    </row>
    <row r="9" spans="2:20" x14ac:dyDescent="0.2">
      <c r="C9" s="188" t="b">
        <f>C8='REPORTE RECAUDO x BANCO'!I3</f>
        <v>1</v>
      </c>
      <c r="D9" s="197"/>
      <c r="F9" s="188" t="b">
        <f>F8='REPORTE RECAUDO x BANCO'!F3</f>
        <v>1</v>
      </c>
      <c r="G9" s="197"/>
      <c r="I9" s="188" t="b">
        <f>I8='REPORTE RECAUDO x BANCO'!C3</f>
        <v>1</v>
      </c>
      <c r="J9" s="197"/>
      <c r="L9" s="188" t="b">
        <f>L8='REPORTE RECAUDO x BANCO'!G3</f>
        <v>1</v>
      </c>
      <c r="M9" s="197"/>
      <c r="O9" s="188" t="b">
        <f>O8='REPORTE RECAUDO x BANCO'!H3</f>
        <v>1</v>
      </c>
      <c r="P9" s="197"/>
      <c r="R9" s="188" t="b">
        <f>R8='REPORTE RECAUDO x BANCO'!D3+'REPORTE RECAUDO x BANCO'!E3</f>
        <v>1</v>
      </c>
    </row>
    <row r="10" spans="2:20" ht="13.5" thickBot="1" x14ac:dyDescent="0.25">
      <c r="D10" s="197"/>
      <c r="G10" s="197"/>
      <c r="J10" s="197"/>
      <c r="M10" s="197"/>
      <c r="P10" s="197"/>
    </row>
    <row r="11" spans="2:20" ht="60.75" thickBot="1" x14ac:dyDescent="0.25">
      <c r="B11" s="11" t="s">
        <v>3</v>
      </c>
      <c r="C11" s="12" t="s">
        <v>145</v>
      </c>
      <c r="D11" s="197"/>
      <c r="E11" s="11" t="s">
        <v>3</v>
      </c>
      <c r="F11" s="12" t="s">
        <v>145</v>
      </c>
      <c r="G11" s="197"/>
      <c r="H11" s="11" t="s">
        <v>3</v>
      </c>
      <c r="I11" s="12" t="s">
        <v>145</v>
      </c>
      <c r="J11" s="197"/>
      <c r="K11" s="11" t="s">
        <v>3</v>
      </c>
      <c r="L11" s="12" t="s">
        <v>145</v>
      </c>
      <c r="M11" s="197"/>
      <c r="N11" s="11" t="s">
        <v>3</v>
      </c>
      <c r="O11" s="12" t="s">
        <v>145</v>
      </c>
      <c r="P11" s="197"/>
      <c r="Q11" s="11" t="s">
        <v>3</v>
      </c>
      <c r="R11" s="12" t="s">
        <v>145</v>
      </c>
      <c r="T11" s="131" t="s">
        <v>146</v>
      </c>
    </row>
    <row r="12" spans="2:20" x14ac:dyDescent="0.2">
      <c r="B12" s="14">
        <v>1</v>
      </c>
      <c r="C12" s="747">
        <f>'ANT EXT-REV'!C4</f>
        <v>0</v>
      </c>
      <c r="D12" s="197"/>
      <c r="E12" s="14">
        <v>1</v>
      </c>
      <c r="F12" s="15">
        <f>'ANT EXT-REV'!C20</f>
        <v>0</v>
      </c>
      <c r="G12" s="197"/>
      <c r="H12" s="14">
        <v>1</v>
      </c>
      <c r="I12" s="15">
        <f>'ANT EXT-REV'!C36</f>
        <v>0</v>
      </c>
      <c r="J12" s="197"/>
      <c r="K12" s="14">
        <v>1</v>
      </c>
      <c r="L12" s="15">
        <f>'ANT EXT-REV'!C44</f>
        <v>0</v>
      </c>
      <c r="M12" s="197"/>
      <c r="N12" s="14">
        <v>1</v>
      </c>
      <c r="O12" s="15">
        <f>'ANT EXT-REV'!C12</f>
        <v>0</v>
      </c>
      <c r="P12" s="197"/>
      <c r="Q12" s="14">
        <v>1</v>
      </c>
      <c r="R12" s="15">
        <f>'ANT EXT-REV'!C28</f>
        <v>0</v>
      </c>
      <c r="T12" s="131" t="s">
        <v>147</v>
      </c>
    </row>
    <row r="13" spans="2:20" x14ac:dyDescent="0.2">
      <c r="B13" s="16">
        <v>2</v>
      </c>
      <c r="C13" s="747">
        <f>'ANT EXT-REV'!E4</f>
        <v>0</v>
      </c>
      <c r="D13" s="197"/>
      <c r="E13" s="16">
        <v>2</v>
      </c>
      <c r="F13" s="15">
        <f>'ANT EXT-REV'!E20</f>
        <v>0</v>
      </c>
      <c r="G13" s="197"/>
      <c r="H13" s="16">
        <v>2</v>
      </c>
      <c r="I13" s="15">
        <f>'ANT EXT-REV'!E36</f>
        <v>0</v>
      </c>
      <c r="J13" s="197"/>
      <c r="K13" s="16">
        <v>2</v>
      </c>
      <c r="L13" s="15">
        <f>'ANT EXT-REV'!E44</f>
        <v>0</v>
      </c>
      <c r="M13" s="197"/>
      <c r="N13" s="16">
        <v>2</v>
      </c>
      <c r="O13" s="15">
        <f>'ANT EXT-REV'!E12</f>
        <v>0</v>
      </c>
      <c r="P13" s="197"/>
      <c r="Q13" s="16">
        <v>2</v>
      </c>
      <c r="R13" s="15">
        <f>'ANT EXT-REV'!E28</f>
        <v>0</v>
      </c>
    </row>
    <row r="14" spans="2:20" x14ac:dyDescent="0.2">
      <c r="B14" s="16">
        <v>3</v>
      </c>
      <c r="C14" s="747">
        <f>'ANT EXT-REV'!G4</f>
        <v>0</v>
      </c>
      <c r="D14" s="197"/>
      <c r="E14" s="16">
        <v>3</v>
      </c>
      <c r="F14" s="15">
        <f>'ANT EXT-REV'!G20</f>
        <v>0</v>
      </c>
      <c r="G14" s="197"/>
      <c r="H14" s="16">
        <v>3</v>
      </c>
      <c r="I14" s="15">
        <f>'ANT EXT-REV'!G36</f>
        <v>0</v>
      </c>
      <c r="J14" s="197"/>
      <c r="K14" s="16">
        <v>3</v>
      </c>
      <c r="L14" s="15">
        <f>'ANT EXT-REV'!G44</f>
        <v>0</v>
      </c>
      <c r="M14" s="197"/>
      <c r="N14" s="16">
        <v>3</v>
      </c>
      <c r="O14" s="15">
        <f>'ANT EXT-REV'!G12</f>
        <v>0</v>
      </c>
      <c r="P14" s="197"/>
      <c r="Q14" s="16">
        <v>3</v>
      </c>
      <c r="R14" s="15">
        <f>'ANT EXT-REV'!G28</f>
        <v>0</v>
      </c>
    </row>
    <row r="15" spans="2:20" x14ac:dyDescent="0.2">
      <c r="B15" s="16">
        <v>4</v>
      </c>
      <c r="C15" s="747">
        <f>'ANT EXT-REV'!I4</f>
        <v>0</v>
      </c>
      <c r="D15" s="197"/>
      <c r="E15" s="16">
        <v>4</v>
      </c>
      <c r="F15" s="15">
        <f>'ANT EXT-REV'!I20</f>
        <v>0</v>
      </c>
      <c r="G15" s="197"/>
      <c r="H15" s="16">
        <v>4</v>
      </c>
      <c r="I15" s="15">
        <f>'ANT EXT-REV'!I36</f>
        <v>0</v>
      </c>
      <c r="J15" s="197"/>
      <c r="K15" s="16">
        <v>4</v>
      </c>
      <c r="L15" s="15">
        <f>'ANT EXT-REV'!I44</f>
        <v>0</v>
      </c>
      <c r="M15" s="197"/>
      <c r="N15" s="16">
        <v>4</v>
      </c>
      <c r="O15" s="15">
        <f>'ANT EXT-REV'!I12</f>
        <v>0</v>
      </c>
      <c r="P15" s="197"/>
      <c r="Q15" s="16">
        <v>4</v>
      </c>
      <c r="R15" s="15">
        <f>'ANT EXT-REV'!I28</f>
        <v>0</v>
      </c>
    </row>
    <row r="16" spans="2:20" ht="13.5" thickBot="1" x14ac:dyDescent="0.25">
      <c r="B16" s="19">
        <v>5</v>
      </c>
      <c r="C16" s="747">
        <f>'ANT EXT-REV'!K4</f>
        <v>0</v>
      </c>
      <c r="D16" s="197"/>
      <c r="E16" s="19">
        <v>5</v>
      </c>
      <c r="F16" s="15">
        <f>'ANT EXT-REV'!K20</f>
        <v>0</v>
      </c>
      <c r="G16" s="197"/>
      <c r="H16" s="19">
        <v>5</v>
      </c>
      <c r="I16" s="15">
        <f>'ANT EXT-REV'!K36</f>
        <v>0</v>
      </c>
      <c r="J16" s="197"/>
      <c r="K16" s="19">
        <v>5</v>
      </c>
      <c r="L16" s="15">
        <f>'ANT EXT-REV'!K44</f>
        <v>0</v>
      </c>
      <c r="M16" s="197"/>
      <c r="N16" s="19">
        <v>5</v>
      </c>
      <c r="O16" s="15">
        <f>'ANT EXT-REV'!K12</f>
        <v>0</v>
      </c>
      <c r="P16" s="197"/>
      <c r="Q16" s="19">
        <v>5</v>
      </c>
      <c r="R16" s="15">
        <f>'ANT EXT-REV'!K28</f>
        <v>0</v>
      </c>
    </row>
    <row r="17" spans="2:20" ht="13.5" thickBot="1" x14ac:dyDescent="0.25">
      <c r="B17" s="21"/>
      <c r="C17" s="748">
        <f>SUM(C12:C16)</f>
        <v>0</v>
      </c>
      <c r="D17" s="197"/>
      <c r="E17" s="21"/>
      <c r="F17" s="170">
        <f>SUM(F12:F16)</f>
        <v>0</v>
      </c>
      <c r="G17" s="197"/>
      <c r="H17" s="21"/>
      <c r="I17" s="170">
        <f>SUM(I12:I16)</f>
        <v>0</v>
      </c>
      <c r="J17" s="197"/>
      <c r="K17" s="21"/>
      <c r="L17" s="170">
        <f>SUM(L12:L16)</f>
        <v>0</v>
      </c>
      <c r="M17" s="197"/>
      <c r="N17" s="21"/>
      <c r="O17" s="170">
        <f>SUM(O12:O16)</f>
        <v>0</v>
      </c>
      <c r="P17" s="197"/>
      <c r="Q17" s="21"/>
      <c r="R17" s="170">
        <f>SUM(R12:R16)</f>
        <v>0</v>
      </c>
    </row>
    <row r="18" spans="2:20" x14ac:dyDescent="0.2">
      <c r="C18" s="188" t="b">
        <f>C17='ANT EXT-REV'!M4</f>
        <v>1</v>
      </c>
      <c r="D18" s="197"/>
      <c r="F18" s="188" t="b">
        <f>F17='ANT EXT-REV'!M20</f>
        <v>1</v>
      </c>
      <c r="G18" s="197"/>
      <c r="I18" s="188" t="b">
        <f>I17='ANT EXT-REV'!M36</f>
        <v>1</v>
      </c>
      <c r="J18" s="197"/>
      <c r="L18" s="188" t="b">
        <f>L17='ANT EXT-REV'!M44</f>
        <v>1</v>
      </c>
      <c r="M18" s="197"/>
      <c r="O18" s="188" t="b">
        <f>O17='ANT EXT-REV'!M12</f>
        <v>1</v>
      </c>
      <c r="P18" s="197"/>
      <c r="R18" s="188" t="b">
        <f>R17='ANT EXT-REV'!M28</f>
        <v>1</v>
      </c>
    </row>
    <row r="19" spans="2:20" ht="13.5" thickBot="1" x14ac:dyDescent="0.25">
      <c r="D19" s="197"/>
      <c r="G19" s="197"/>
      <c r="J19" s="197"/>
      <c r="M19" s="197"/>
      <c r="P19" s="197"/>
    </row>
    <row r="20" spans="2:20" ht="36.75" thickBot="1" x14ac:dyDescent="0.25">
      <c r="B20" s="11" t="s">
        <v>3</v>
      </c>
      <c r="C20" s="12" t="s">
        <v>169</v>
      </c>
      <c r="D20" s="197"/>
      <c r="E20" s="11" t="s">
        <v>3</v>
      </c>
      <c r="F20" s="12" t="s">
        <v>169</v>
      </c>
      <c r="G20" s="197"/>
      <c r="H20" s="11" t="s">
        <v>3</v>
      </c>
      <c r="I20" s="12" t="s">
        <v>169</v>
      </c>
      <c r="J20" s="197"/>
      <c r="K20" s="11" t="s">
        <v>3</v>
      </c>
      <c r="L20" s="12" t="s">
        <v>169</v>
      </c>
      <c r="M20" s="197"/>
      <c r="N20" s="11" t="s">
        <v>3</v>
      </c>
      <c r="O20" s="12" t="s">
        <v>169</v>
      </c>
      <c r="P20" s="197"/>
      <c r="Q20" s="11" t="s">
        <v>3</v>
      </c>
      <c r="R20" s="12" t="s">
        <v>169</v>
      </c>
      <c r="T20" s="131" t="s">
        <v>170</v>
      </c>
    </row>
    <row r="21" spans="2:20" x14ac:dyDescent="0.2">
      <c r="B21" s="14">
        <v>1</v>
      </c>
      <c r="C21" s="747">
        <f>'ANT EXT-REV'!D4</f>
        <v>0</v>
      </c>
      <c r="D21" s="197"/>
      <c r="E21" s="14">
        <v>1</v>
      </c>
      <c r="F21" s="15">
        <f>'ANT EXT-REV'!D20</f>
        <v>0</v>
      </c>
      <c r="G21" s="197"/>
      <c r="H21" s="14">
        <v>1</v>
      </c>
      <c r="I21" s="15">
        <f>'ANT EXT-REV'!D36</f>
        <v>0</v>
      </c>
      <c r="J21" s="197"/>
      <c r="K21" s="14">
        <v>1</v>
      </c>
      <c r="L21" s="15">
        <f>'ANT EXT-REV'!D44</f>
        <v>0</v>
      </c>
      <c r="M21" s="197"/>
      <c r="N21" s="14">
        <v>1</v>
      </c>
      <c r="O21" s="15">
        <f>'ANT EXT-REV'!D12</f>
        <v>0</v>
      </c>
      <c r="P21" s="197"/>
      <c r="Q21" s="14">
        <v>1</v>
      </c>
      <c r="R21" s="15">
        <f>'ANT EXT-REV'!D28</f>
        <v>0</v>
      </c>
      <c r="T21" s="131" t="s">
        <v>147</v>
      </c>
    </row>
    <row r="22" spans="2:20" x14ac:dyDescent="0.2">
      <c r="B22" s="16">
        <v>2</v>
      </c>
      <c r="C22" s="747">
        <f>'ANT EXT-REV'!F4</f>
        <v>0</v>
      </c>
      <c r="D22" s="197"/>
      <c r="E22" s="16">
        <v>2</v>
      </c>
      <c r="F22" s="15">
        <f>'ANT EXT-REV'!F20</f>
        <v>0</v>
      </c>
      <c r="G22" s="197"/>
      <c r="H22" s="16">
        <v>2</v>
      </c>
      <c r="I22" s="15">
        <f>'ANT EXT-REV'!F36</f>
        <v>0</v>
      </c>
      <c r="J22" s="197"/>
      <c r="K22" s="16">
        <v>2</v>
      </c>
      <c r="L22" s="15">
        <f>'ANT EXT-REV'!F44</f>
        <v>0</v>
      </c>
      <c r="M22" s="197"/>
      <c r="N22" s="16">
        <v>2</v>
      </c>
      <c r="O22" s="15">
        <f>'ANT EXT-REV'!F12</f>
        <v>0</v>
      </c>
      <c r="P22" s="197"/>
      <c r="Q22" s="16">
        <v>2</v>
      </c>
      <c r="R22" s="15">
        <f>'ANT EXT-REV'!F28</f>
        <v>0</v>
      </c>
    </row>
    <row r="23" spans="2:20" x14ac:dyDescent="0.2">
      <c r="B23" s="16">
        <v>3</v>
      </c>
      <c r="C23" s="747">
        <f>'ANT EXT-REV'!H4</f>
        <v>0</v>
      </c>
      <c r="D23" s="197"/>
      <c r="E23" s="16">
        <v>3</v>
      </c>
      <c r="F23" s="15">
        <f>'ANT EXT-REV'!H20</f>
        <v>0</v>
      </c>
      <c r="G23" s="197"/>
      <c r="H23" s="16">
        <v>3</v>
      </c>
      <c r="I23" s="15">
        <f>'ANT EXT-REV'!H36</f>
        <v>0</v>
      </c>
      <c r="J23" s="197"/>
      <c r="K23" s="16">
        <v>3</v>
      </c>
      <c r="L23" s="15">
        <f>'ANT EXT-REV'!H44</f>
        <v>0</v>
      </c>
      <c r="M23" s="197"/>
      <c r="N23" s="16">
        <v>3</v>
      </c>
      <c r="O23" s="15">
        <f>'ANT EXT-REV'!H12</f>
        <v>0</v>
      </c>
      <c r="P23" s="197"/>
      <c r="Q23" s="16">
        <v>3</v>
      </c>
      <c r="R23" s="15">
        <f>'ANT EXT-REV'!H28</f>
        <v>0</v>
      </c>
    </row>
    <row r="24" spans="2:20" x14ac:dyDescent="0.2">
      <c r="B24" s="16">
        <v>4</v>
      </c>
      <c r="C24" s="747">
        <f>'ANT EXT-REV'!J4</f>
        <v>0</v>
      </c>
      <c r="D24" s="197"/>
      <c r="E24" s="16">
        <v>4</v>
      </c>
      <c r="F24" s="15">
        <f>'ANT EXT-REV'!J20</f>
        <v>0</v>
      </c>
      <c r="G24" s="197"/>
      <c r="H24" s="16">
        <v>4</v>
      </c>
      <c r="I24" s="15">
        <f>'ANT EXT-REV'!J36</f>
        <v>0</v>
      </c>
      <c r="J24" s="197"/>
      <c r="K24" s="16">
        <v>4</v>
      </c>
      <c r="L24" s="15">
        <f>'ANT EXT-REV'!J44</f>
        <v>0</v>
      </c>
      <c r="M24" s="197"/>
      <c r="N24" s="16">
        <v>4</v>
      </c>
      <c r="O24" s="15">
        <f>'ANT EXT-REV'!J12</f>
        <v>0</v>
      </c>
      <c r="P24" s="197"/>
      <c r="Q24" s="16">
        <v>4</v>
      </c>
      <c r="R24" s="15">
        <f>'ANT EXT-REV'!J28</f>
        <v>0</v>
      </c>
    </row>
    <row r="25" spans="2:20" ht="13.5" thickBot="1" x14ac:dyDescent="0.25">
      <c r="B25" s="19">
        <v>5</v>
      </c>
      <c r="C25" s="747">
        <f>'ANT EXT-REV'!L4</f>
        <v>0</v>
      </c>
      <c r="D25" s="197"/>
      <c r="E25" s="19">
        <v>5</v>
      </c>
      <c r="F25" s="15">
        <f>'ANT EXT-REV'!L20</f>
        <v>0</v>
      </c>
      <c r="G25" s="197"/>
      <c r="H25" s="19">
        <v>5</v>
      </c>
      <c r="I25" s="15">
        <f>'ANT EXT-REV'!L36</f>
        <v>0</v>
      </c>
      <c r="J25" s="197"/>
      <c r="K25" s="19">
        <v>5</v>
      </c>
      <c r="L25" s="15">
        <f>'ANT EXT-REV'!L44</f>
        <v>0</v>
      </c>
      <c r="M25" s="197"/>
      <c r="N25" s="19">
        <v>5</v>
      </c>
      <c r="O25" s="15">
        <f>'ANT EXT-REV'!L12</f>
        <v>0</v>
      </c>
      <c r="P25" s="197"/>
      <c r="Q25" s="19">
        <v>5</v>
      </c>
      <c r="R25" s="15">
        <f>'ANT EXT-REV'!L28</f>
        <v>0</v>
      </c>
    </row>
    <row r="26" spans="2:20" ht="13.5" thickBot="1" x14ac:dyDescent="0.25">
      <c r="B26" s="21"/>
      <c r="C26" s="748">
        <f t="shared" ref="C26" si="0">SUM(C21:C25)</f>
        <v>0</v>
      </c>
      <c r="D26" s="197"/>
      <c r="E26" s="21"/>
      <c r="F26" s="170">
        <f t="shared" ref="F26" si="1">SUM(F21:F25)</f>
        <v>0</v>
      </c>
      <c r="G26" s="197"/>
      <c r="H26" s="21"/>
      <c r="I26" s="170">
        <f t="shared" ref="I26" si="2">SUM(I21:I25)</f>
        <v>0</v>
      </c>
      <c r="J26" s="197"/>
      <c r="K26" s="21"/>
      <c r="L26" s="170">
        <f t="shared" ref="L26:O26" si="3">SUM(L21:L25)</f>
        <v>0</v>
      </c>
      <c r="M26" s="197"/>
      <c r="N26" s="21"/>
      <c r="O26" s="170">
        <f t="shared" si="3"/>
        <v>0</v>
      </c>
      <c r="P26" s="197"/>
      <c r="Q26" s="21"/>
      <c r="R26" s="170">
        <f t="shared" ref="R26" si="4">SUM(R21:R25)</f>
        <v>0</v>
      </c>
    </row>
    <row r="27" spans="2:20" x14ac:dyDescent="0.2">
      <c r="C27" s="188" t="b">
        <f>C26='ANT EXT-REV'!N4</f>
        <v>1</v>
      </c>
      <c r="D27" s="197"/>
      <c r="F27" s="188" t="b">
        <f>F26='ANT EXT-REV'!N20</f>
        <v>1</v>
      </c>
      <c r="G27" s="197"/>
      <c r="I27" s="188" t="b">
        <f>I26='ANT EXT-REV'!N36</f>
        <v>1</v>
      </c>
      <c r="J27" s="197"/>
      <c r="L27" s="188" t="b">
        <f>L26='ANT EXT-REV'!N44</f>
        <v>1</v>
      </c>
      <c r="M27" s="197"/>
      <c r="O27" s="188" t="b">
        <f>O26='ANT EXT-REV'!N12</f>
        <v>1</v>
      </c>
      <c r="P27" s="197"/>
      <c r="R27" s="188" t="b">
        <f>R26='ANT EXT-REV'!N28</f>
        <v>1</v>
      </c>
    </row>
    <row r="28" spans="2:20" x14ac:dyDescent="0.2">
      <c r="D28" s="197"/>
      <c r="G28" s="197"/>
      <c r="J28" s="197"/>
      <c r="M28" s="197"/>
      <c r="P28" s="197"/>
    </row>
    <row r="29" spans="2:20" x14ac:dyDescent="0.2">
      <c r="D29" s="197"/>
      <c r="G29" s="197"/>
      <c r="J29" s="197"/>
      <c r="M29" s="197"/>
      <c r="P29" s="197"/>
    </row>
    <row r="30" spans="2:20" x14ac:dyDescent="0.2">
      <c r="D30" s="197"/>
      <c r="G30" s="197"/>
      <c r="J30" s="197"/>
      <c r="M30" s="197"/>
      <c r="P30" s="197"/>
    </row>
    <row r="31" spans="2:20" x14ac:dyDescent="0.2">
      <c r="D31" s="197"/>
      <c r="G31" s="197"/>
      <c r="J31" s="197"/>
      <c r="M31" s="197"/>
      <c r="P31" s="197"/>
    </row>
    <row r="32" spans="2:20" x14ac:dyDescent="0.2">
      <c r="D32" s="197"/>
      <c r="G32" s="197"/>
      <c r="J32" s="197"/>
      <c r="M32" s="197"/>
      <c r="P32" s="197"/>
    </row>
    <row r="33" spans="4:16" x14ac:dyDescent="0.2">
      <c r="D33" s="197"/>
      <c r="G33" s="197"/>
      <c r="J33" s="197"/>
      <c r="M33" s="197"/>
      <c r="P33" s="197"/>
    </row>
    <row r="34" spans="4:16" x14ac:dyDescent="0.2">
      <c r="D34" s="197"/>
      <c r="G34" s="197"/>
      <c r="J34" s="197"/>
      <c r="M34" s="197"/>
      <c r="P34" s="197"/>
    </row>
    <row r="35" spans="4:16" x14ac:dyDescent="0.2">
      <c r="D35" s="197"/>
      <c r="G35" s="197"/>
      <c r="J35" s="197"/>
      <c r="M35" s="197"/>
      <c r="P35" s="197"/>
    </row>
    <row r="36" spans="4:16" x14ac:dyDescent="0.2">
      <c r="D36" s="197"/>
      <c r="G36" s="197"/>
      <c r="J36" s="197"/>
      <c r="M36" s="197"/>
      <c r="P36" s="197"/>
    </row>
    <row r="37" spans="4:16" x14ac:dyDescent="0.2">
      <c r="D37" s="197"/>
      <c r="G37" s="197"/>
      <c r="J37" s="197"/>
      <c r="M37" s="197"/>
      <c r="P37" s="197"/>
    </row>
    <row r="38" spans="4:16" x14ac:dyDescent="0.2">
      <c r="D38" s="197"/>
      <c r="G38" s="197"/>
      <c r="J38" s="197"/>
      <c r="M38" s="197"/>
      <c r="P38" s="197"/>
    </row>
    <row r="39" spans="4:16" x14ac:dyDescent="0.2">
      <c r="D39" s="197"/>
      <c r="G39" s="197"/>
      <c r="J39" s="197"/>
      <c r="M39" s="197"/>
      <c r="P39" s="197"/>
    </row>
    <row r="40" spans="4:16" x14ac:dyDescent="0.2">
      <c r="D40" s="197"/>
      <c r="G40" s="197"/>
      <c r="J40" s="197"/>
      <c r="M40" s="197"/>
      <c r="P40" s="197"/>
    </row>
  </sheetData>
  <pageMargins left="0.7" right="0.7" top="0.75" bottom="0.75" header="0.3" footer="0.3"/>
</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I13" sqref="I13"/>
    </x:sheetView>
  </x:sheetViews>
  <x:sheetFormatPr baseColWidth="10" defaultRowHeight="12.75" x14ac:dyDescent="0.2"/>
  <x:cols>
    <x:col min="3" max="3" width="11.42578125" style="116"/>
    <x:col min="4" max="4" width="19.28515625" customWidth="1"/>
    <x:col min="5" max="5" width="18.28515625" customWidth="1"/>
    <x:col min="6" max="7" width="18" customWidth="1"/>
    <x:col min="8" max="8" width="27.7109375" customWidth="1"/>
    <x:col min="9" max="9" width="33.5703125" customWidth="1"/>
    <x:col min="13" max="13" width="28.42578125" customWidth="1"/>
    <x:col min="17" max="17" width="12.7109375" bestFit="1" customWidth="1"/>
  </x:cols>
  <x:sheetData>
    <x:row r="1" spans="1:17" ht="13.5" thickBot="1" x14ac:dyDescent="0.25">
      <x:c r="H1" s="426" t="s">
        <x:v>1</x:v>
      </x:c>
    </x:row>
    <x:row r="2" spans="1:17" ht="15.75" thickBot="1" x14ac:dyDescent="0.3">
      <x:c r="C2" s="117" t="s">
        <x:v>3</x:v>
      </x:c>
      <x:c r="D2" s="620" t="s">
        <x:v>110</x:v>
      </x:c>
      <x:c r="E2" s="620" t="s">
        <x:v>109</x:v>
      </x:c>
      <x:c r="F2" s="118" t="s">
        <x:v>111</x:v>
      </x:c>
      <x:c r="G2" s="421"/>
      <x:c r="H2" s="621" t="s">
        <x:v>196</x:v>
      </x:c>
      <x:c r="M2" s="594"/>
      <x:c r="Q2" s="509"/>
    </x:row>
    <x:row r="3" spans="1:17" ht="13.5" thickBot="1" x14ac:dyDescent="0.25">
      <x:c r="C3" s="432">
        <x:v>1</x:v>
      </x:c>
      <x:c r="D3" s="749" t="n">
        <x:v>-6041512320.78</x:v>
      </x:c>
      <x:c r="E3" s="750" t="n">
        <x:v>2452057655.23</x:v>
      </x:c>
      <x:c r="F3" s="751">
        <x:f>D3+E3</x:f>
        <x:v>0</x:v>
      </x:c>
      <x:c r="G3" s="422"/>
      <x:c r="H3" s="756">
        <x:f>DetRetri2026072!J9</x:f>
        <x:v>0</x:v>
      </x:c>
      <x:c r="I3" s="757">
        <x:f>F3-H3</x:f>
        <x:v>0</x:v>
      </x:c>
    </x:row>
    <x:row r="4" spans="1:17" ht="13.5" thickBot="1" x14ac:dyDescent="0.25">
      <x:c r="C4" s="433">
        <x:v>2</x:v>
      </x:c>
      <x:c r="D4" s="752" t="n">
        <x:v>-5502672255.04</x:v>
      </x:c>
      <x:c r="E4" s="753" t="n">
        <x:v>2261478540.93</x:v>
      </x:c>
      <x:c r="F4" s="751">
        <x:f>D4+E4</x:f>
        <x:v>0</x:v>
      </x:c>
      <x:c r="G4" s="422"/>
      <x:c r="H4" s="758">
        <x:f>DetRetri2026072!J10</x:f>
        <x:v>0</x:v>
      </x:c>
      <x:c r="I4" s="757">
        <x:f t="shared" ref="I4:I7" si="0">F4-H4</x:f>
        <x:v>0</x:v>
      </x:c>
    </x:row>
    <x:row r="5" spans="1:17" ht="13.5" thickBot="1" x14ac:dyDescent="0.25">
      <x:c r="C5" s="433">
        <x:v>3</x:v>
      </x:c>
      <x:c r="D5" s="752" t="n">
        <x:v>-2115966220.24</x:v>
      </x:c>
      <x:c r="E5" s="753" t="n">
        <x:v>1262721655.73</x:v>
      </x:c>
      <x:c r="F5" s="751">
        <x:f>D5+E5</x:f>
        <x:v>0</x:v>
      </x:c>
      <x:c r="G5" s="422"/>
      <x:c r="H5" s="758">
        <x:f>DetRetri2026072!J11</x:f>
        <x:v>0</x:v>
      </x:c>
      <x:c r="I5" s="757">
        <x:f t="shared" si="0"/>
        <x:v>0</x:v>
      </x:c>
    </x:row>
    <x:row r="6" spans="1:17" ht="13.5" thickBot="1" x14ac:dyDescent="0.25">
      <x:c r="C6" s="433">
        <x:v>4</x:v>
      </x:c>
      <x:c r="D6" s="752" t="n">
        <x:v>-2467805725.11</x:v>
      </x:c>
      <x:c r="E6" s="753" t="n">
        <x:v>1767923011.74</x:v>
      </x:c>
      <x:c r="F6" s="751">
        <x:f>D6+E6</x:f>
        <x:v>0</x:v>
      </x:c>
      <x:c r="G6" s="422"/>
      <x:c r="H6" s="758">
        <x:f>DetRetri2026072!J12</x:f>
        <x:v>0</x:v>
      </x:c>
      <x:c r="I6" s="757">
        <x:f t="shared" si="0"/>
        <x:v>0</x:v>
      </x:c>
    </x:row>
    <x:row r="7" spans="1:17" ht="13.5" thickBot="1" x14ac:dyDescent="0.25">
      <x:c r="C7" s="434">
        <x:v>5</x:v>
      </x:c>
      <x:c r="D7" s="754" t="n">
        <x:v>-3615845886.78</x:v>
      </x:c>
      <x:c r="E7" s="755" t="n">
        <x:v>2322461234.81</x:v>
      </x:c>
      <x:c r="F7" s="751">
        <x:f>D7+E7</x:f>
        <x:v>0</x:v>
      </x:c>
      <x:c r="G7" s="422"/>
      <x:c r="H7" s="759">
        <x:f>DetRetri2026072!J13</x:f>
        <x:v>0</x:v>
      </x:c>
      <x:c r="I7" s="757">
        <x:f t="shared" si="0"/>
        <x:v>0</x:v>
      </x:c>
    </x:row>
    <x:row r="8" spans="1:17" ht="13.5" thickBot="1" x14ac:dyDescent="0.25">
      <x:c r="D8" s="133"/>
      <x:c r="E8" s="133"/>
      <x:c r="F8" s="133"/>
      <x:c r="G8" s="423"/>
      <x:c r="H8" s="132"/>
      <x:c r="I8" s="217"/>
    </x:row>
    <x:row r="9" spans="1:17" ht="13.5" thickBot="1" x14ac:dyDescent="0.25">
      <x:c r="D9" s="133"/>
      <x:c r="E9" s="133"/>
      <x:c r="F9" s="748">
        <x:f>SUM(F3:F7)</x:f>
        <x:v>0</x:v>
      </x:c>
      <x:c r="G9" s="422"/>
      <x:c r="H9" s="746">
        <x:f>SUM(H3:H7)</x:f>
        <x:v>0</x:v>
      </x:c>
      <x:c r="I9" s="746">
        <x:f>F9-H9</x:f>
        <x:v>0</x:v>
      </x:c>
    </x:row>
    <x:row r="10" spans="1:17" ht="13.5" thickBot="1" x14ac:dyDescent="0.25">
      <x:c r="D10" s="133"/>
      <x:c r="E10" s="133"/>
      <x:c r="F10" s="133"/>
      <x:c r="G10" s="423"/>
      <x:c r="H10" s="206" t="b">
        <x:f>H9=DetRetri2026072!J14</x:f>
        <x:v>1</x:v>
      </x:c>
    </x:row>
    <x:row r="11" spans="1:17" ht="13.5" thickBot="1" x14ac:dyDescent="0.25">
      <x:c r="D11" s="748">
        <x:f>SUM(D3:D7)</x:f>
        <x:v>0</x:v>
      </x:c>
      <x:c r="E11" s="748">
        <x:f t="shared" ref="E11" si="1">SUM(E3:E7)</x:f>
        <x:v>0</x:v>
      </x:c>
      <x:c r="F11" s="748">
        <x:f>SUM(D3:E7)</x:f>
        <x:v>0</x:v>
      </x:c>
      <x:c r="G11" s="424"/>
      <x:c r="H11" s="133"/>
    </x:row>
    <x:row r="12" spans="1:17" x14ac:dyDescent="0.2">
      <x:c r="D12" s="133"/>
      <x:c r="E12" s="133"/>
      <x:c r="F12" s="206" t="b">
        <x:f>ROUND(F11,2)=ROUND(F9,2)</x:f>
        <x:v>1</x:v>
      </x:c>
      <x:c r="H12" s="133"/>
    </x:row>
    <x:row r="13" spans="1:17" x14ac:dyDescent="0.2">
      <x:c r="D13" s="133"/>
      <x:c r="E13" s="133"/>
      <x:c r="F13" s="508">
        <x:f>ROUND(F11,2)-ROUND(F9,2)</x:f>
        <x:v>0</x:v>
      </x:c>
      <x:c r="G13" s="423"/>
      <x:c r="H13" s="133"/>
    </x:row>
    <x:row r="14" spans="1:17" x14ac:dyDescent="0.2">
      <x:c r="H14" s="132"/>
      <x:c r="I14" s="126"/>
    </x:row>
    <x:row r="15" spans="1:17" x14ac:dyDescent="0.2">
      <x:c r="H15" s="132"/>
      <x:c r="I15" s="126"/>
    </x:row>
    <x:row r="16" spans="1:17" x14ac:dyDescent="0.2">
      <x:c r="A16" s="197"/>
      <x:c r="B16" s="197"/>
      <x:c r="C16" s="418"/>
      <x:c r="D16" s="197"/>
      <x:c r="E16" s="197"/>
      <x:c r="F16" s="197"/>
      <x:c r="G16" s="197"/>
      <x:c r="H16" s="419"/>
      <x:c r="I16" s="420"/>
      <x:c r="J16" s="197"/>
    </x:row>
    <x:row r="17" spans="4:9" ht="13.5" thickBot="1" x14ac:dyDescent="0.25">
      <x:c r="D17" s="207"/>
      <x:c r="E17" s="207"/>
      <x:c r="F17" s="207"/>
      <x:c r="G17" s="207"/>
      <x:c r="H17" s="132"/>
      <x:c r="I17" s="126"/>
    </x:row>
    <x:row r="18" spans="4:9" ht="15.75" thickBot="1" x14ac:dyDescent="0.3">
      <x:c r="D18" s="117" t="s">
        <x:v>3</x:v>
      </x:c>
      <x:c r="E18" s="427" t="s">
        <x:v>195</x:v>
      </x:c>
      <x:c r="F18" s="431" t="s">
        <x:v>199</x:v>
      </x:c>
      <x:c r="G18" s="425" t="s">
        <x:v>198</x:v>
      </x:c>
      <x:c r="H18" s="622" t="s">
        <x:v>197</x:v>
      </x:c>
      <x:c r="I18" s="126"/>
    </x:row>
    <x:row r="19" spans="4:9" x14ac:dyDescent="0.2">
      <x:c r="D19" s="432">
        <x:v>1</x:v>
      </x:c>
      <x:c r="E19" s="760">
        <x:f>'CONSOLIDADO_TOTAL RECAUDO'!J104</x:f>
        <x:v>0</x:v>
      </x:c>
      <x:c r="F19" s="435" t="b">
        <x:f>E19=F3</x:f>
        <x:v>1</x:v>
      </x:c>
      <x:c r="G19" s="435" t="b">
        <x:f>E19=H3</x:f>
        <x:v>1</x:v>
      </x:c>
      <x:c r="H19" s="764">
        <x:f>E19-H3</x:f>
        <x:v>0</x:v>
      </x:c>
      <x:c r="I19" s="126"/>
    </x:row>
    <x:row r="20" spans="4:9" x14ac:dyDescent="0.2">
      <x:c r="D20" s="433">
        <x:v>2</x:v>
      </x:c>
      <x:c r="E20" s="761">
        <x:f>'CONSOLIDADO_TOTAL RECAUDO'!J105</x:f>
        <x:v>0</x:v>
      </x:c>
      <x:c r="F20" s="428" t="b">
        <x:f t="shared" ref="F20:F23" si="2">E20=F4</x:f>
        <x:v>1</x:v>
      </x:c>
      <x:c r="G20" s="428" t="b">
        <x:f t="shared" ref="G20:G23" si="3">E20=H4</x:f>
        <x:v>1</x:v>
      </x:c>
      <x:c r="H20" s="765">
        <x:f t="shared" ref="H20:H22" si="4">E20-H4</x:f>
        <x:v>0</x:v>
      </x:c>
      <x:c r="I20" s="126"/>
    </x:row>
    <x:row r="21" spans="4:9" x14ac:dyDescent="0.2">
      <x:c r="D21" s="433">
        <x:v>3</x:v>
      </x:c>
      <x:c r="E21" s="761">
        <x:f>'CONSOLIDADO_TOTAL RECAUDO'!J106</x:f>
        <x:v>0</x:v>
      </x:c>
      <x:c r="F21" s="428" t="b">
        <x:f t="shared" si="2"/>
        <x:v>1</x:v>
      </x:c>
      <x:c r="G21" s="428" t="b">
        <x:f t="shared" si="3"/>
        <x:v>1</x:v>
      </x:c>
      <x:c r="H21" s="765">
        <x:f t="shared" si="4"/>
        <x:v>0</x:v>
      </x:c>
    </x:row>
    <x:row r="22" spans="4:9" x14ac:dyDescent="0.2">
      <x:c r="D22" s="433">
        <x:v>4</x:v>
      </x:c>
      <x:c r="E22" s="761">
        <x:f>'CONSOLIDADO_TOTAL RECAUDO'!J107</x:f>
        <x:v>0</x:v>
      </x:c>
      <x:c r="F22" s="428" t="b">
        <x:f t="shared" si="2"/>
        <x:v>1</x:v>
      </x:c>
      <x:c r="G22" s="428" t="b">
        <x:f t="shared" si="3"/>
        <x:v>1</x:v>
      </x:c>
      <x:c r="H22" s="765">
        <x:f t="shared" si="4"/>
        <x:v>0</x:v>
      </x:c>
    </x:row>
    <x:row r="23" spans="4:9" ht="13.5" thickBot="1" x14ac:dyDescent="0.25">
      <x:c r="D23" s="434">
        <x:v>5</x:v>
      </x:c>
      <x:c r="E23" s="762">
        <x:f>'CONSOLIDADO_TOTAL RECAUDO'!J108</x:f>
        <x:v>0</x:v>
      </x:c>
      <x:c r="F23" s="436" t="b">
        <x:f t="shared" si="2"/>
        <x:v>1</x:v>
      </x:c>
      <x:c r="G23" s="436" t="b">
        <x:f t="shared" si="3"/>
        <x:v>1</x:v>
      </x:c>
      <x:c r="H23" s="766">
        <x:f>E23-H7</x:f>
        <x:v>0</x:v>
      </x:c>
    </x:row>
    <x:row r="24" spans="4:9" ht="13.5" thickBot="1" x14ac:dyDescent="0.25">
      <x:c r="E24" s="763">
        <x:f>SUM(E19:E23)</x:f>
        <x:v>0</x:v>
      </x:c>
      <x:c r="F24" s="429" t="b">
        <x:f>E24=F9</x:f>
        <x:v>1</x:v>
      </x:c>
      <x:c r="G24" s="430" t="b">
        <x:f>E24=H9</x:f>
        <x:v>1</x:v>
      </x:c>
      <x:c r="H24" s="746">
        <x:f>E24-H9</x:f>
        <x:v>0</x:v>
      </x:c>
    </x:row>
    <x:row r="26" spans="4:9" x14ac:dyDescent="0.2">
      <x:c r="F26" s="126"/>
    </x:row>
    <x:row r="28" spans="4:9" x14ac:dyDescent="0.2">
      <x:c r="F28" s="207"/>
    </x:row>
    <x:row r="29" spans="4:9" x14ac:dyDescent="0.2">
      <x:c r="F29" s="207"/>
    </x:row>
    <x:row r="30" spans="4:9" x14ac:dyDescent="0.2">
      <x:c r="F30" s="207"/>
    </x:row>
    <x:row r="31" spans="4:9" x14ac:dyDescent="0.2">
      <x:c r="F31" s="207"/>
    </x:row>
    <x:row r="32" spans="4:9" x14ac:dyDescent="0.2">
      <x:c r="F32" s="207"/>
    </x:row>
    <x:row r="33" spans="6:7" x14ac:dyDescent="0.2">
      <x:c r="F33" s="207"/>
    </x:row>
    <x:row r="34" spans="6:7" x14ac:dyDescent="0.2">
      <x:c r="F34" s="207"/>
      <x:c r="G34" s="126"/>
    </x:row>
    <x:row r="35" spans="6:7" x14ac:dyDescent="0.2">
      <x:c r="F35" s="207"/>
    </x:row>
  </x:sheetData>
  <x:conditionalFormatting sqref="F19:G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BN590"/>
  <x:sheetViews>
    <x:sheetView zoomScale="89" zoomScaleNormal="89" workbookViewId="0">
      <x:pane ySplit="5" topLeftCell="A6" activePane="bottomLeft" state="frozen"/>
      <x:selection activeCell="A3" sqref="A3"/>
      <x:selection pane="bottomLeft" activeCell="E1" sqref="E1"/>
    </x:sheetView>
  </x:sheetViews>
  <x:sheetFormatPr baseColWidth="10" defaultColWidth="11.5703125" defaultRowHeight="14.25" x14ac:dyDescent="0.2"/>
  <x:cols>
    <x:col min="1" max="1" width="12.28515625" style="25" bestFit="1" customWidth="1"/>
    <x:col min="2" max="2" width="27.5703125" style="25" bestFit="1" customWidth="1"/>
    <x:col min="3" max="3" width="18.7109375" style="25" bestFit="1" customWidth="1"/>
    <x:col min="4" max="4" width="18" style="25" bestFit="1" customWidth="1"/>
    <x:col min="5" max="5" width="25.28515625" style="25" bestFit="1" customWidth="1"/>
    <x:col min="6" max="6" width="17.85546875" style="25" bestFit="1" customWidth="1"/>
    <x:col min="7" max="7" width="18.140625" style="25" bestFit="1" customWidth="1"/>
    <x:col min="8" max="8" width="17.85546875" style="25" bestFit="1" customWidth="1"/>
    <x:col min="9" max="9" width="15" style="25" bestFit="1" customWidth="1"/>
    <x:col min="10" max="10" width="18.42578125" style="25" bestFit="1" customWidth="1"/>
    <x:col min="11" max="11" width="19.42578125" style="25" bestFit="1" customWidth="1"/>
    <x:col min="12" max="12" width="24.28515625" style="25" bestFit="1" customWidth="1"/>
    <x:col min="13" max="13" width="18.28515625" style="25" bestFit="1" customWidth="1"/>
    <x:col min="14" max="16" width="18.140625" style="25" bestFit="1" customWidth="1"/>
    <x:col min="17" max="17" width="23.28515625" style="25" bestFit="1" customWidth="1"/>
    <x:col min="18" max="18" width="15.140625" style="25" bestFit="1" customWidth="1"/>
    <x:col min="19" max="19" width="21.7109375" style="25" bestFit="1" customWidth="1"/>
    <x:col min="20" max="20" width="30.28515625" style="25" bestFit="1" customWidth="1"/>
    <x:col min="21" max="22" width="29.7109375" style="25" bestFit="1" customWidth="1"/>
    <x:col min="23" max="23" width="23.7109375" style="25" bestFit="1" customWidth="1"/>
    <x:col min="24" max="24" width="21.85546875" style="25" bestFit="1" customWidth="1"/>
    <x:col min="25" max="25" width="30.28515625" style="25" bestFit="1" customWidth="1"/>
    <x:col min="26" max="26" width="14.42578125" style="25" bestFit="1" customWidth="1"/>
    <x:col min="27" max="42" width="5" style="25" bestFit="1" customWidth="1"/>
    <x:col min="43" max="65" width="11.5703125" style="25"/>
    <x:col min="66" max="66" width="3" style="25" customWidth="1"/>
    <x:col min="67" max="16384" width="11.5703125" style="25"/>
  </x:cols>
  <x:sheetData>
    <x:row r="1" spans="1:66" x14ac:dyDescent="0.2">
      <x:c r="F1" s="623"/>
      <x:c r="BN1" s="624"/>
    </x:row>
    <x:row r="2" spans="1:66" x14ac:dyDescent="0.2">
      <x:c r="BN2" s="624"/>
    </x:row>
    <x:row r="3" spans="1:66" x14ac:dyDescent="0.2">
      <x:c r="A3" s="624"/>
      <x:c r="B3" s="624"/>
      <x:c r="C3" s="624"/>
      <x:c r="D3" s="624"/>
      <x:c r="E3" s="624"/>
      <x:c r="F3" s="624"/>
      <x:c r="G3" s="624"/>
      <x:c r="H3" s="624"/>
      <x:c r="I3" s="624"/>
      <x:c r="J3" s="624"/>
      <x:c r="K3" s="624"/>
      <x:c r="L3" s="624"/>
      <x:c r="M3" s="624"/>
      <x:c r="N3" s="624"/>
      <x:c r="O3" s="624"/>
      <x:c r="P3" s="624"/>
      <x:c r="Q3" s="624"/>
      <x:c r="R3" s="624"/>
      <x:c r="S3" s="624"/>
      <x:c r="T3" s="624"/>
      <x:c r="U3" s="624"/>
      <x:c r="V3" s="624"/>
      <x:c r="W3" s="624"/>
      <x:c r="X3" s="624"/>
      <x:c r="Y3" s="624"/>
      <x:c r="Z3" s="624"/>
      <x:c r="AA3" s="624"/>
      <x:c r="AB3" s="624"/>
      <x:c r="AC3" s="624"/>
      <x:c r="AD3" s="624"/>
      <x:c r="AE3" s="624"/>
      <x:c r="AF3" s="624"/>
      <x:c r="AG3" s="624"/>
      <x:c r="AH3" s="624"/>
      <x:c r="AI3" s="624"/>
      <x:c r="AJ3" s="624"/>
      <x:c r="AK3" s="624"/>
      <x:c r="AL3" s="624"/>
      <x:c r="AM3" s="624"/>
      <x:c r="AN3" s="624"/>
      <x:c r="AO3" s="624"/>
      <x:c r="AP3" s="624"/>
      <x:c r="AQ3" s="624"/>
      <x:c r="AR3" s="624"/>
      <x:c r="AS3" s="624"/>
      <x:c r="AT3" s="624"/>
      <x:c r="AU3" s="624"/>
      <x:c r="AV3" s="624"/>
      <x:c r="AW3" s="624"/>
      <x:c r="AX3" s="624"/>
      <x:c r="AY3" s="624"/>
      <x:c r="AZ3" s="624"/>
      <x:c r="BA3" s="624"/>
      <x:c r="BB3" s="624"/>
      <x:c r="BC3" s="624"/>
      <x:c r="BD3" s="624"/>
      <x:c r="BE3" s="624"/>
      <x:c r="BF3" s="624"/>
      <x:c r="BG3" s="624"/>
      <x:c r="BH3" s="624"/>
      <x:c r="BI3" s="624"/>
      <x:c r="BJ3" s="624"/>
      <x:c r="BK3" s="624"/>
      <x:c r="BL3" s="624"/>
      <x:c r="BM3" s="624"/>
      <x:c r="BN3" s="624"/>
    </x:row>
    <x:row r="4" spans="1:66" ht="15" x14ac:dyDescent="0.25">
      <x:c r="B4" s="50" t="s">
        <x:v>74</x:v>
      </x:c>
      <x:c r="BN4" s="624"/>
    </x:row>
    <x:row r="5" spans="1:66" s="50" customFormat="1" ht="30" x14ac:dyDescent="0.25">
      <x:c r="F5" s="669" t="s">
        <x:v>70</x:v>
      </x:c>
      <x:c r="G5" s="669" t="s">
        <x:v>64</x:v>
      </x:c>
      <x:c r="H5" s="669" t="s">
        <x:v>65</x:v>
      </x:c>
      <x:c r="I5" s="626" t="s">
        <x:v>164</x:v>
      </x:c>
      <x:c r="J5" s="669" t="s">
        <x:v>69</x:v>
      </x:c>
      <x:c r="K5" s="669" t="s">
        <x:v>68</x:v>
      </x:c>
      <x:c r="L5" s="669" t="s">
        <x:v>71</x:v>
      </x:c>
      <x:c r="M5" s="669" t="s">
        <x:v>66</x:v>
      </x:c>
      <x:c r="N5" s="669" t="s">
        <x:v>63</x:v>
      </x:c>
      <x:c r="O5" s="669" t="s">
        <x:v>61</x:v>
      </x:c>
      <x:c r="P5" s="669" t="s">
        <x:v>62</x:v>
      </x:c>
      <x:c r="Q5" s="669" t="s">
        <x:v>67</x:v>
      </x:c>
      <x:c r="R5" s="669" t="s">
        <x:v>77</x:v>
      </x:c>
      <x:c r="S5" s="669" t="s">
        <x:v>80</x:v>
      </x:c>
      <x:c r="T5" s="669" t="s">
        <x:v>135</x:v>
      </x:c>
      <x:c r="U5" s="669" t="s">
        <x:v>223</x:v>
      </x:c>
      <x:c r="V5" s="669" t="s">
        <x:v>223</x:v>
      </x:c>
      <x:c r="W5" s="669" t="s">
        <x:v>172</x:v>
      </x:c>
      <x:c r="X5" s="50" t="s">
        <x:v>166</x:v>
      </x:c>
      <x:c r="Y5" s="669" t="s">
        <x:v>135</x:v>
      </x:c>
      <x:c r="Z5" s="669" t="s">
        <x:v>166</x:v>
      </x:c>
      <x:c r="BN5" s="618"/>
    </x:row>
    <x:row r="6" spans="1:66" x14ac:dyDescent="0.2">
      <x:c r="A6"/>
      <x:c r="B6"/>
      <x:c r="C6"/>
      <x:c r="D6"/>
      <x:c r="E6" s="625" t="inlineStr">
        <x:is>
          <x:t>Vlr Servicio</x:t>
        </x:is>
      </x:c>
      <x:c r="F6" s="627" t="n">
        <x:v>-7108.82</x:v>
      </x:c>
      <x:c r="G6" s="627" t="n">
        <x:v>-502.98</x:v>
      </x:c>
      <x:c r="H6" s="627" t="n">
        <x:v>-213.69</x:v>
      </x:c>
      <x:c r="I6" s="627" t="n">
        <x:v>-93.3</x:v>
      </x:c>
      <x:c r="J6" s="627" t="n">
        <x:v>-1231.48</x:v>
      </x:c>
      <x:c r="K6" s="627" t="n">
        <x:v>-79.57</x:v>
      </x:c>
      <x:c r="L6" s="627" t="n">
        <x:v>0</x:v>
      </x:c>
      <x:c r="M6" s="627" t="n">
        <x:v>-698.02</x:v>
      </x:c>
      <x:c r="N6" s="627" t="n">
        <x:v>-584.17</x:v>
      </x:c>
      <x:c r="O6" s="627" t="n">
        <x:v>-2331.79</x:v>
      </x:c>
      <x:c r="P6" s="627" t="n">
        <x:v>-1243.99</x:v>
      </x:c>
      <x:c r="Q6" s="627" t="n">
        <x:v>-129.83</x:v>
      </x:c>
      <x:c r="R6" s="627" t="n">
        <x:v>0</x:v>
      </x:c>
      <x:c r="S6" s="627" t="n">
        <x:v>0</x:v>
      </x:c>
      <x:c r="T6" s="627" t="n">
        <x:v>0</x:v>
      </x:c>
      <x:c r="U6" s="627">
        <x:v>0</x:v>
      </x:c>
      <x:c r="V6" s="627">
        <x:v>0</x:v>
      </x:c>
      <x:c r="W6" s="627">
        <x:v>0</x:v>
      </x:c>
      <x:c r="X6" s="627">
        <x:v>0</x:v>
      </x:c>
      <x:c r="Y6" s="627">
        <x:v>0</x:v>
      </x:c>
      <x:c r="Z6" s="627" t="n">
        <x:v>0</x:v>
      </x:c>
      <x:c r="BN6" s="624"/>
    </x:row>
    <x:row r="7" spans="1:66" x14ac:dyDescent="0.2">
      <x:c r="A7"/>
      <x:c r="B7"/>
      <x:c r="C7"/>
      <x:c r="D7" s="25" t="inlineStr">
        <x:is>
          <x:t>E</x:t>
        </x:is>
      </x:c>
      <x:c r="E7" s="625" t="inlineStr">
        <x:is>
          <x:t>Total</x:t>
        </x:is>
      </x:c>
      <x:c r="F7" s="627" t="n">
        <x:v>-7108.82</x:v>
      </x:c>
      <x:c r="G7" s="627" t="n">
        <x:v>-502.98</x:v>
      </x:c>
      <x:c r="H7" s="627" t="n">
        <x:v>-213.69</x:v>
      </x:c>
      <x:c r="I7" s="627" t="n">
        <x:v>-93.3</x:v>
      </x:c>
      <x:c r="J7" s="627" t="n">
        <x:v>-1231.48</x:v>
      </x:c>
      <x:c r="K7" s="627" t="n">
        <x:v>-79.57</x:v>
      </x:c>
      <x:c r="L7" s="627" t="n">
        <x:v>0</x:v>
      </x:c>
      <x:c r="M7" s="627" t="n">
        <x:v>-698.02</x:v>
      </x:c>
      <x:c r="N7" s="627" t="n">
        <x:v>-584.17</x:v>
      </x:c>
      <x:c r="O7" s="627" t="n">
        <x:v>-2331.79</x:v>
      </x:c>
      <x:c r="P7" s="627" t="n">
        <x:v>-1243.99</x:v>
      </x:c>
      <x:c r="Q7" s="627" t="n">
        <x:v>-129.83</x:v>
      </x:c>
      <x:c r="R7" s="627" t="n">
        <x:v>0</x:v>
      </x:c>
      <x:c r="S7" s="627" t="n">
        <x:v>0</x:v>
      </x:c>
      <x:c r="T7" s="627" t="n">
        <x:v>0</x:v>
      </x:c>
      <x:c r="U7" s="627">
        <x:v>0</x:v>
      </x:c>
      <x:c r="V7" s="627">
        <x:v>0</x:v>
      </x:c>
      <x:c r="W7" s="627">
        <x:v>0</x:v>
      </x:c>
      <x:c r="X7" s="627">
        <x:v>0</x:v>
      </x:c>
      <x:c r="Y7" s="627">
        <x:v>0</x:v>
      </x:c>
      <x:c r="Z7" s="627" t="n">
        <x:v>0</x:v>
      </x:c>
      <x:c r="BN7" s="624"/>
    </x:row>
    <x:row r="8" spans="1:66" x14ac:dyDescent="0.2">
      <x:c r="A8" s="628"/>
      <x:c r="B8" s="628"/>
      <x:c r="C8" s="628" t="inlineStr">
        <x:is>
          <x:t>ENEL</x:t>
        </x:is>
      </x:c>
      <x:c r="D8" s="628" t="inlineStr">
        <x:is>
          <x:t>Total</x:t>
        </x:is>
      </x:c>
      <x:c r="E8" s="629"/>
      <x:c r="F8" s="630" t="n">
        <x:v>-7108.82</x:v>
      </x:c>
      <x:c r="G8" s="630" t="n">
        <x:v>-502.98</x:v>
      </x:c>
      <x:c r="H8" s="630" t="n">
        <x:v>-213.69</x:v>
      </x:c>
      <x:c r="I8" s="630" t="n">
        <x:v>-93.3</x:v>
      </x:c>
      <x:c r="J8" s="630" t="n">
        <x:v>-1231.48</x:v>
      </x:c>
      <x:c r="K8" s="630" t="n">
        <x:v>-79.57</x:v>
      </x:c>
      <x:c r="L8" s="630" t="n">
        <x:v>0</x:v>
      </x:c>
      <x:c r="M8" s="630" t="n">
        <x:v>-698.02</x:v>
      </x:c>
      <x:c r="N8" s="630" t="n">
        <x:v>-584.17</x:v>
      </x:c>
      <x:c r="O8" s="630" t="n">
        <x:v>-2331.79</x:v>
      </x:c>
      <x:c r="P8" s="630" t="n">
        <x:v>-1243.99</x:v>
      </x:c>
      <x:c r="Q8" s="630" t="n">
        <x:v>-129.83</x:v>
      </x:c>
      <x:c r="R8" s="630" t="n">
        <x:v>0</x:v>
      </x:c>
      <x:c r="S8" s="630" t="n">
        <x:v>0</x:v>
      </x:c>
      <x:c r="T8" s="630" t="n">
        <x:v>0</x:v>
      </x:c>
      <x:c r="U8" s="630">
        <x:v>0</x:v>
      </x:c>
      <x:c r="V8" s="630">
        <x:v>0</x:v>
      </x:c>
      <x:c r="W8" s="630">
        <x:v>0</x:v>
      </x:c>
      <x:c r="X8" s="630">
        <x:v>0</x:v>
      </x:c>
      <x:c r="Y8" s="630">
        <x:v>0</x:v>
      </x:c>
      <x:c r="Z8" s="630" t="n">
        <x:v>0</x:v>
      </x:c>
      <x:c r="AA8" s="628"/>
      <x:c r="AB8" s="628"/>
      <x:c r="AC8" s="628"/>
      <x:c r="AD8" s="628"/>
      <x:c r="AE8" s="628"/>
      <x:c r="AF8" s="628"/>
      <x:c r="AG8" s="628"/>
      <x:c r="AH8" s="628"/>
      <x:c r="AI8" s="628"/>
      <x:c r="AJ8" s="628"/>
      <x:c r="AK8" s="628"/>
      <x:c r="AL8" s="628"/>
      <x:c r="AM8" s="628"/>
      <x:c r="AN8" s="628"/>
      <x:c r="AO8" s="628"/>
      <x:c r="AP8" s="628"/>
      <x:c r="AQ8" s="628"/>
      <x:c r="AR8" s="628"/>
      <x:c r="AS8" s="628"/>
      <x:c r="AT8" s="628"/>
      <x:c r="AU8" s="628"/>
      <x:c r="AV8" s="628"/>
      <x:c r="AW8" s="628"/>
      <x:c r="AX8" s="628"/>
      <x:c r="AY8" s="628"/>
      <x:c r="AZ8" s="628"/>
      <x:c r="BA8" s="628"/>
      <x:c r="BB8" s="628"/>
      <x:c r="BC8" s="628"/>
      <x:c r="BD8" s="628"/>
      <x:c r="BE8" s="628"/>
      <x:c r="BF8" s="628"/>
      <x:c r="BG8" s="628"/>
      <x:c r="BH8" s="628"/>
      <x:c r="BI8" s="628"/>
      <x:c r="BJ8" s="628"/>
      <x:c r="BK8" s="628"/>
      <x:c r="BL8" s="628"/>
      <x:c r="BM8" s="628"/>
      <x:c r="BN8" s="624"/>
    </x:row>
    <x:row r="9" spans="1:66" x14ac:dyDescent="0.2">
      <x:c r="A9"/>
      <x:c r="B9"/>
      <x:c r="C9"/>
      <x:c r="D9"/>
      <x:c r="E9" s="625" t="inlineStr">
        <x:is>
          <x:t>Vlr Servicio</x:t>
        </x:is>
      </x:c>
      <x:c r="F9" s="627" t="n">
        <x:v>-4108.55</x:v>
      </x:c>
      <x:c r="G9" s="627" t="n">
        <x:v>-263.4</x:v>
      </x:c>
      <x:c r="H9" s="627" t="n">
        <x:v>-111.9</x:v>
      </x:c>
      <x:c r="I9" s="627" t="n">
        <x:v>-48.87</x:v>
      </x:c>
      <x:c r="J9" s="627" t="n">
        <x:v>-738.89</x:v>
      </x:c>
      <x:c r="K9" s="627" t="n">
        <x:v>-47.75</x:v>
      </x:c>
      <x:c r="L9" s="627" t="n">
        <x:v>0</x:v>
      </x:c>
      <x:c r="M9" s="627" t="n">
        <x:v>-418.8</x:v>
      </x:c>
      <x:c r="N9" s="627" t="n">
        <x:v>-350.5</x:v>
      </x:c>
      <x:c r="O9" s="627" t="n">
        <x:v>-1399.09</x:v>
      </x:c>
      <x:c r="P9" s="627" t="n">
        <x:v>-651.44</x:v>
      </x:c>
      <x:c r="Q9" s="627" t="n">
        <x:v>-77.91</x:v>
      </x:c>
      <x:c r="R9" s="627" t="n">
        <x:v>0</x:v>
      </x:c>
      <x:c r="S9" s="627" t="n">
        <x:v>0</x:v>
      </x:c>
      <x:c r="T9" s="627" t="n">
        <x:v>0</x:v>
      </x:c>
      <x:c r="U9" s="627">
        <x:v>0</x:v>
      </x:c>
      <x:c r="V9" s="627">
        <x:v>0</x:v>
      </x:c>
      <x:c r="W9" s="627">
        <x:v>0</x:v>
      </x:c>
      <x:c r="X9" s="627">
        <x:v>0</x:v>
      </x:c>
      <x:c r="Y9" s="627">
        <x:v>0</x:v>
      </x:c>
      <x:c r="Z9" s="627" t="n">
        <x:v>0</x:v>
      </x:c>
      <x:c r="BN9" s="624"/>
    </x:row>
    <x:row r="10" spans="1:66" x14ac:dyDescent="0.2">
      <x:c r="A10"/>
      <x:c r="B10"/>
      <x:c r="C10"/>
      <x:c r="D10" s="25" t="inlineStr">
        <x:is>
          <x:t>O</x:t>
        </x:is>
      </x:c>
      <x:c r="E10" s="625" t="inlineStr">
        <x:is>
          <x:t>Total</x:t>
        </x:is>
      </x:c>
      <x:c r="F10" s="627" t="n">
        <x:v>-4108.55</x:v>
      </x:c>
      <x:c r="G10" s="627" t="n">
        <x:v>-263.4</x:v>
      </x:c>
      <x:c r="H10" s="627" t="n">
        <x:v>-111.9</x:v>
      </x:c>
      <x:c r="I10" s="627" t="n">
        <x:v>-48.87</x:v>
      </x:c>
      <x:c r="J10" s="627" t="n">
        <x:v>-738.89</x:v>
      </x:c>
      <x:c r="K10" s="627" t="n">
        <x:v>-47.75</x:v>
      </x:c>
      <x:c r="L10" s="627" t="n">
        <x:v>0</x:v>
      </x:c>
      <x:c r="M10" s="627" t="n">
        <x:v>-418.8</x:v>
      </x:c>
      <x:c r="N10" s="627" t="n">
        <x:v>-350.5</x:v>
      </x:c>
      <x:c r="O10" s="627" t="n">
        <x:v>-1399.09</x:v>
      </x:c>
      <x:c r="P10" s="627" t="n">
        <x:v>-651.44</x:v>
      </x:c>
      <x:c r="Q10" s="627" t="n">
        <x:v>-77.91</x:v>
      </x:c>
      <x:c r="R10" s="627" t="n">
        <x:v>0</x:v>
      </x:c>
      <x:c r="S10" s="627" t="n">
        <x:v>0</x:v>
      </x:c>
      <x:c r="T10" s="627" t="n">
        <x:v>0</x:v>
      </x:c>
      <x:c r="U10" s="627">
        <x:v>0</x:v>
      </x:c>
      <x:c r="V10" s="627">
        <x:v>0</x:v>
      </x:c>
      <x:c r="W10" s="627">
        <x:v>0</x:v>
      </x:c>
      <x:c r="X10" s="627">
        <x:v>0</x:v>
      </x:c>
      <x:c r="Y10" s="627">
        <x:v>0</x:v>
      </x:c>
      <x:c r="Z10" s="627" t="n">
        <x:v>0</x:v>
      </x:c>
      <x:c r="BN10" s="624"/>
    </x:row>
    <x:row r="11" spans="1:66" x14ac:dyDescent="0.2">
      <x:c r="A11" s="631"/>
      <x:c r="B11" s="631"/>
      <x:c r="C11" s="632" t="inlineStr">
        <x:is>
          <x:t>OCCIDENTE</x:t>
        </x:is>
      </x:c>
      <x:c r="D11" s="632" t="inlineStr">
        <x:is>
          <x:t>Total</x:t>
        </x:is>
      </x:c>
      <x:c r="E11" s="631"/>
      <x:c r="F11" s="633" t="n">
        <x:v>-4108.55</x:v>
      </x:c>
      <x:c r="G11" s="633" t="n">
        <x:v>-263.4</x:v>
      </x:c>
      <x:c r="H11" s="633" t="n">
        <x:v>-111.9</x:v>
      </x:c>
      <x:c r="I11" s="633" t="n">
        <x:v>-48.87</x:v>
      </x:c>
      <x:c r="J11" s="633" t="n">
        <x:v>-738.89</x:v>
      </x:c>
      <x:c r="K11" s="633" t="n">
        <x:v>-47.75</x:v>
      </x:c>
      <x:c r="L11" s="633" t="n">
        <x:v>0</x:v>
      </x:c>
      <x:c r="M11" s="633" t="n">
        <x:v>-418.8</x:v>
      </x:c>
      <x:c r="N11" s="633" t="n">
        <x:v>-350.5</x:v>
      </x:c>
      <x:c r="O11" s="633" t="n">
        <x:v>-1399.09</x:v>
      </x:c>
      <x:c r="P11" s="633" t="n">
        <x:v>-651.44</x:v>
      </x:c>
      <x:c r="Q11" s="633" t="n">
        <x:v>-77.91</x:v>
      </x:c>
      <x:c r="R11" s="633" t="n">
        <x:v>0</x:v>
      </x:c>
      <x:c r="S11" s="633" t="n">
        <x:v>0</x:v>
      </x:c>
      <x:c r="T11" s="633" t="n">
        <x:v>0</x:v>
      </x:c>
      <x:c r="U11" s="633">
        <x:v>0</x:v>
      </x:c>
      <x:c r="V11" s="633">
        <x:v>0</x:v>
      </x:c>
      <x:c r="W11" s="633">
        <x:v>0</x:v>
      </x:c>
      <x:c r="X11" s="633">
        <x:v>0</x:v>
      </x:c>
      <x:c r="Y11" s="633">
        <x:v>0</x:v>
      </x:c>
      <x:c r="Z11" s="633" t="n">
        <x:v>0</x:v>
      </x:c>
      <x:c r="AA11" s="631"/>
      <x:c r="AB11" s="631"/>
      <x:c r="AC11" s="631"/>
      <x:c r="AD11" s="631"/>
      <x:c r="AE11" s="631"/>
      <x:c r="AF11" s="631"/>
      <x:c r="AG11" s="631"/>
      <x:c r="AH11" s="631"/>
      <x:c r="AI11" s="631"/>
      <x:c r="AJ11" s="631"/>
      <x:c r="AK11" s="631"/>
      <x:c r="AL11" s="631"/>
      <x:c r="AM11" s="631"/>
      <x:c r="AN11" s="631"/>
      <x:c r="AO11" s="631"/>
      <x:c r="AP11" s="631"/>
      <x:c r="AQ11" s="631"/>
      <x:c r="AR11" s="631"/>
      <x:c r="AS11" s="631"/>
      <x:c r="AT11" s="631"/>
      <x:c r="AU11" s="631"/>
      <x:c r="AV11" s="631"/>
      <x:c r="AW11" s="631"/>
      <x:c r="AX11" s="631"/>
      <x:c r="AY11" s="631"/>
      <x:c r="AZ11" s="631"/>
      <x:c r="BA11" s="631"/>
      <x:c r="BB11" s="631"/>
      <x:c r="BC11" s="631"/>
      <x:c r="BD11" s="631"/>
      <x:c r="BE11" s="631"/>
      <x:c r="BF11" s="631"/>
      <x:c r="BG11" s="631"/>
      <x:c r="BH11" s="631"/>
      <x:c r="BI11" s="631"/>
      <x:c r="BJ11" s="631"/>
      <x:c r="BK11" s="631"/>
      <x:c r="BL11" s="631"/>
      <x:c r="BM11" s="631"/>
      <x:c r="BN11" s="624"/>
    </x:row>
    <x:row r="12" spans="1:66" x14ac:dyDescent="0.2">
      <x:c r="A12"/>
      <x:c r="B12" s="25" t="inlineStr">
        <x:is>
          <x:t>Mes</x:t>
        </x:is>
      </x:c>
      <x:c r="C12" s="25" t="inlineStr">
        <x:is>
          <x:t>Total</x:t>
        </x:is>
      </x:c>
      <x:c r="D12"/>
      <x:c r="E12" s="625"/>
      <x:c r="F12" s="627" t="n">
        <x:v>-11217.37</x:v>
      </x:c>
      <x:c r="G12" s="627" t="n">
        <x:v>-766.38</x:v>
      </x:c>
      <x:c r="H12" s="627" t="n">
        <x:v>-325.59</x:v>
      </x:c>
      <x:c r="I12" s="627" t="n">
        <x:v>-142.17</x:v>
      </x:c>
      <x:c r="J12" s="627" t="n">
        <x:v>-1970.37</x:v>
      </x:c>
      <x:c r="K12" s="627" t="n">
        <x:v>-127.32</x:v>
      </x:c>
      <x:c r="L12" s="627" t="n">
        <x:v>0</x:v>
      </x:c>
      <x:c r="M12" s="627" t="n">
        <x:v>-1116.82</x:v>
      </x:c>
      <x:c r="N12" s="627" t="n">
        <x:v>-934.67</x:v>
      </x:c>
      <x:c r="O12" s="627" t="n">
        <x:v>-3730.88</x:v>
      </x:c>
      <x:c r="P12" s="627" t="n">
        <x:v>-1895.43</x:v>
      </x:c>
      <x:c r="Q12" s="627" t="n">
        <x:v>-207.74</x:v>
      </x:c>
      <x:c r="R12" s="627" t="n">
        <x:v>0</x:v>
      </x:c>
      <x:c r="S12" s="627" t="n">
        <x:v>0</x:v>
      </x:c>
      <x:c r="T12" s="627" t="n">
        <x:v>0</x:v>
      </x:c>
      <x:c r="U12" s="627">
        <x:v>0</x:v>
      </x:c>
      <x:c r="V12" s="627">
        <x:v>0</x:v>
      </x:c>
      <x:c r="W12" s="627">
        <x:v>0</x:v>
      </x:c>
      <x:c r="X12" s="627">
        <x:v>0</x:v>
      </x:c>
      <x:c r="Y12" s="627">
        <x:v>0</x:v>
      </x:c>
      <x:c r="Z12" s="627" t="n">
        <x:v>0</x:v>
      </x:c>
      <x:c r="BN12" s="624"/>
    </x:row>
    <x:row r="13" spans="1:66" x14ac:dyDescent="0.2">
      <x:c r="A13" s="634" t="inlineStr">
        <x:is>
          <x:t>AFaseo</x:t>
        </x:is>
      </x:c>
      <x:c r="B13" s="634" t="inlineStr">
        <x:is>
          <x:t>Total</x:t>
        </x:is>
      </x:c>
      <x:c r="C13" s="634"/>
      <x:c r="D13" s="634"/>
      <x:c r="E13" s="634"/>
      <x:c r="F13" s="670" t="n">
        <x:v>-11217.37</x:v>
      </x:c>
      <x:c r="G13" s="670" t="n">
        <x:v>-766.38</x:v>
      </x:c>
      <x:c r="H13" s="670" t="n">
        <x:v>-325.59</x:v>
      </x:c>
      <x:c r="I13" s="670" t="n">
        <x:v>-142.17</x:v>
      </x:c>
      <x:c r="J13" s="670" t="n">
        <x:v>-1970.37</x:v>
      </x:c>
      <x:c r="K13" s="670" t="n">
        <x:v>-127.32</x:v>
      </x:c>
      <x:c r="L13" s="670" t="n">
        <x:v>0</x:v>
      </x:c>
      <x:c r="M13" s="670" t="n">
        <x:v>-1116.82</x:v>
      </x:c>
      <x:c r="N13" s="670" t="n">
        <x:v>-934.67</x:v>
      </x:c>
      <x:c r="O13" s="670" t="n">
        <x:v>-3730.88</x:v>
      </x:c>
      <x:c r="P13" s="670" t="n">
        <x:v>-1895.43</x:v>
      </x:c>
      <x:c r="Q13" s="670" t="n">
        <x:v>-207.74</x:v>
      </x:c>
      <x:c r="R13" s="670" t="n">
        <x:v>0</x:v>
      </x:c>
      <x:c r="S13" s="670" t="n">
        <x:v>0</x:v>
      </x:c>
      <x:c r="T13" s="670" t="n">
        <x:v>0</x:v>
      </x:c>
      <x:c r="U13" s="670">
        <x:v>0</x:v>
      </x:c>
      <x:c r="V13" s="670">
        <x:v>0</x:v>
      </x:c>
      <x:c r="W13" s="670">
        <x:v>0</x:v>
      </x:c>
      <x:c r="X13" s="670">
        <x:v>0</x:v>
      </x:c>
      <x:c r="Y13" s="670">
        <x:v>0</x:v>
      </x:c>
      <x:c r="Z13" s="670" t="n">
        <x:v>0</x:v>
      </x:c>
      <x:c r="AA13" s="634"/>
      <x:c r="AB13" s="634"/>
      <x:c r="AC13" s="634"/>
      <x:c r="AD13" s="634"/>
      <x:c r="AE13" s="634"/>
      <x:c r="AF13" s="634"/>
      <x:c r="AG13" s="634"/>
      <x:c r="AH13" s="634"/>
      <x:c r="AI13" s="634"/>
      <x:c r="AJ13" s="634"/>
      <x:c r="AK13" s="634"/>
      <x:c r="AL13" s="634"/>
      <x:c r="AM13" s="634"/>
      <x:c r="AN13" s="634"/>
      <x:c r="AO13" s="634"/>
      <x:c r="AP13" s="634"/>
      <x:c r="AQ13" s="634"/>
      <x:c r="AR13" s="634"/>
      <x:c r="AS13" s="634"/>
      <x:c r="AT13" s="634"/>
      <x:c r="AU13" s="634"/>
      <x:c r="AV13" s="634"/>
      <x:c r="AW13" s="634"/>
      <x:c r="AX13" s="634"/>
      <x:c r="AY13" s="634"/>
      <x:c r="AZ13" s="634"/>
      <x:c r="BA13" s="634"/>
      <x:c r="BB13" s="634"/>
      <x:c r="BC13" s="634"/>
      <x:c r="BD13" s="634"/>
      <x:c r="BE13" s="634"/>
      <x:c r="BF13" s="634"/>
      <x:c r="BG13" s="634"/>
      <x:c r="BH13" s="634"/>
      <x:c r="BI13" s="634"/>
      <x:c r="BJ13" s="634"/>
      <x:c r="BK13" s="634"/>
      <x:c r="BL13" s="634"/>
      <x:c r="BM13" s="634"/>
      <x:c r="BN13" s="624"/>
    </x:row>
    <x:row r="14" spans="1:66" x14ac:dyDescent="0.2">
      <x:c r="A14" s="635"/>
      <x:c r="B14"/>
      <x:c r="C14"/>
      <x:c r="D14"/>
      <x:c r="E14" s="625" t="inlineStr">
        <x:is>
          <x:t>Vlr Servicio</x:t>
        </x:is>
      </x:c>
      <x:c r="F14" s="627" t="n">
        <x:v>9215.69</x:v>
      </x:c>
      <x:c r="G14" s="627" t="n">
        <x:v>2007.44</x:v>
      </x:c>
      <x:c r="H14" s="627" t="n">
        <x:v>1133.38</x:v>
      </x:c>
      <x:c r="I14" s="627" t="n">
        <x:v>594.88</x:v>
      </x:c>
      <x:c r="J14" s="627" t="n">
        <x:v>0</x:v>
      </x:c>
      <x:c r="K14" s="627" t="n">
        <x:v>0</x:v>
      </x:c>
      <x:c r="L14" s="627" t="n">
        <x:v>0</x:v>
      </x:c>
      <x:c r="M14" s="627" t="n">
        <x:v>0</x:v>
      </x:c>
      <x:c r="N14" s="627" t="n">
        <x:v>0</x:v>
      </x:c>
      <x:c r="O14" s="627" t="n">
        <x:v>0</x:v>
      </x:c>
      <x:c r="P14" s="627" t="n">
        <x:v>5482.6</x:v>
      </x:c>
      <x:c r="Q14" s="627" t="n">
        <x:v>0</x:v>
      </x:c>
      <x:c r="R14" s="627" t="n">
        <x:v>-2.61</x:v>
      </x:c>
      <x:c r="S14" s="627" t="n">
        <x:v>0</x:v>
      </x:c>
      <x:c r="T14" s="627" t="n">
        <x:v>0</x:v>
      </x:c>
      <x:c r="U14" s="627">
        <x:v>0</x:v>
      </x:c>
      <x:c r="V14" s="627">
        <x:v>0</x:v>
      </x:c>
      <x:c r="W14" s="627">
        <x:v>0</x:v>
      </x:c>
      <x:c r="X14" s="627">
        <x:v>0</x:v>
      </x:c>
      <x:c r="Y14" s="627">
        <x:v>0</x:v>
      </x:c>
      <x:c r="Z14" s="627" t="n">
        <x:v>0</x:v>
      </x:c>
      <x:c r="BN14" s="624"/>
    </x:row>
    <x:row r="15" spans="1:66" x14ac:dyDescent="0.2">
      <x:c r="A15"/>
      <x:c r="B15"/>
      <x:c r="C15"/>
      <x:c r="D15" s="25" t="inlineStr">
        <x:is>
          <x:t>E</x:t>
        </x:is>
      </x:c>
      <x:c r="E15" s="625" t="inlineStr">
        <x:is>
          <x:t>Total</x:t>
        </x:is>
      </x:c>
      <x:c r="F15" s="627" t="n">
        <x:v>9215.69</x:v>
      </x:c>
      <x:c r="G15" s="627" t="n">
        <x:v>2007.44</x:v>
      </x:c>
      <x:c r="H15" s="627" t="n">
        <x:v>1133.38</x:v>
      </x:c>
      <x:c r="I15" s="627" t="n">
        <x:v>594.88</x:v>
      </x:c>
      <x:c r="J15" s="627" t="n">
        <x:v>0</x:v>
      </x:c>
      <x:c r="K15" s="627" t="n">
        <x:v>0</x:v>
      </x:c>
      <x:c r="L15" s="627" t="n">
        <x:v>0</x:v>
      </x:c>
      <x:c r="M15" s="627" t="n">
        <x:v>0</x:v>
      </x:c>
      <x:c r="N15" s="627" t="n">
        <x:v>0</x:v>
      </x:c>
      <x:c r="O15" s="627" t="n">
        <x:v>0</x:v>
      </x:c>
      <x:c r="P15" s="627" t="n">
        <x:v>5482.6</x:v>
      </x:c>
      <x:c r="Q15" s="627" t="n">
        <x:v>0</x:v>
      </x:c>
      <x:c r="R15" s="627" t="n">
        <x:v>-2.61</x:v>
      </x:c>
      <x:c r="S15" s="627" t="n">
        <x:v>0</x:v>
      </x:c>
      <x:c r="T15" s="627" t="n">
        <x:v>0</x:v>
      </x:c>
      <x:c r="U15" s="627">
        <x:v>0</x:v>
      </x:c>
      <x:c r="V15" s="627">
        <x:v>0</x:v>
      </x:c>
      <x:c r="W15" s="627">
        <x:v>0</x:v>
      </x:c>
      <x:c r="X15" s="627">
        <x:v>0</x:v>
      </x:c>
      <x:c r="Y15" s="627">
        <x:v>0</x:v>
      </x:c>
      <x:c r="Z15" s="627" t="n">
        <x:v>0</x:v>
      </x:c>
      <x:c r="BN15" s="624"/>
    </x:row>
    <x:row r="16" spans="1:66" x14ac:dyDescent="0.2">
      <x:c r="A16" s="628"/>
      <x:c r="B16" s="628"/>
      <x:c r="C16" s="628" t="inlineStr">
        <x:is>
          <x:t>ENEL</x:t>
        </x:is>
      </x:c>
      <x:c r="D16" s="628" t="inlineStr">
        <x:is>
          <x:t>Total</x:t>
        </x:is>
      </x:c>
      <x:c r="E16" s="629"/>
      <x:c r="F16" s="630" t="n">
        <x:v>9215.69</x:v>
      </x:c>
      <x:c r="G16" s="630" t="n">
        <x:v>2007.44</x:v>
      </x:c>
      <x:c r="H16" s="630" t="n">
        <x:v>1133.38</x:v>
      </x:c>
      <x:c r="I16" s="630" t="n">
        <x:v>594.88</x:v>
      </x:c>
      <x:c r="J16" s="630" t="n">
        <x:v>0</x:v>
      </x:c>
      <x:c r="K16" s="630" t="n">
        <x:v>0</x:v>
      </x:c>
      <x:c r="L16" s="630" t="n">
        <x:v>0</x:v>
      </x:c>
      <x:c r="M16" s="630" t="n">
        <x:v>0</x:v>
      </x:c>
      <x:c r="N16" s="630" t="n">
        <x:v>0</x:v>
      </x:c>
      <x:c r="O16" s="630" t="n">
        <x:v>0</x:v>
      </x:c>
      <x:c r="P16" s="630" t="n">
        <x:v>5482.6</x:v>
      </x:c>
      <x:c r="Q16" s="630" t="n">
        <x:v>0</x:v>
      </x:c>
      <x:c r="R16" s="630" t="n">
        <x:v>-2.61</x:v>
      </x:c>
      <x:c r="S16" s="630" t="n">
        <x:v>0</x:v>
      </x:c>
      <x:c r="T16" s="630" t="n">
        <x:v>0</x:v>
      </x:c>
      <x:c r="U16" s="630">
        <x:v>0</x:v>
      </x:c>
      <x:c r="V16" s="630">
        <x:v>0</x:v>
      </x:c>
      <x:c r="W16" s="630">
        <x:v>0</x:v>
      </x:c>
      <x:c r="X16" s="630">
        <x:v>0</x:v>
      </x:c>
      <x:c r="Y16" s="630">
        <x:v>0</x:v>
      </x:c>
      <x:c r="Z16" s="630" t="n">
        <x:v>0</x:v>
      </x:c>
      <x:c r="AA16" s="628"/>
      <x:c r="AB16" s="628"/>
      <x:c r="AC16" s="628"/>
      <x:c r="AD16" s="628"/>
      <x:c r="AE16" s="628"/>
      <x:c r="AF16" s="628"/>
      <x:c r="AG16" s="628"/>
      <x:c r="AH16" s="628"/>
      <x:c r="AI16" s="628"/>
      <x:c r="AJ16" s="628"/>
      <x:c r="AK16" s="628"/>
      <x:c r="AL16" s="628"/>
      <x:c r="AM16" s="628"/>
      <x:c r="AN16" s="628"/>
      <x:c r="AO16" s="628"/>
      <x:c r="AP16" s="628"/>
      <x:c r="AQ16" s="628"/>
      <x:c r="AR16" s="628"/>
      <x:c r="AS16" s="628"/>
      <x:c r="AT16" s="628"/>
      <x:c r="AU16" s="628"/>
      <x:c r="AV16" s="628"/>
      <x:c r="AW16" s="628"/>
      <x:c r="AX16" s="628"/>
      <x:c r="AY16" s="628"/>
      <x:c r="AZ16" s="628"/>
      <x:c r="BA16" s="628"/>
      <x:c r="BB16" s="628"/>
      <x:c r="BC16" s="628"/>
      <x:c r="BD16" s="628"/>
      <x:c r="BE16" s="628"/>
      <x:c r="BF16" s="628"/>
      <x:c r="BG16" s="628"/>
      <x:c r="BH16" s="628"/>
      <x:c r="BI16" s="628"/>
      <x:c r="BJ16" s="628"/>
      <x:c r="BK16" s="628"/>
      <x:c r="BL16" s="628"/>
      <x:c r="BM16" s="628"/>
      <x:c r="BN16" s="624"/>
    </x:row>
    <x:row r="17" spans="1:66" x14ac:dyDescent="0.2">
      <x:c r="A17" s="635"/>
      <x:c r="B17" s="635" t="inlineStr">
        <x:is>
          <x:t>Aplicacion nuevos x reversion</x:t>
        </x:is>
      </x:c>
      <x:c r="C17" s="635" t="inlineStr">
        <x:is>
          <x:t>Total</x:t>
        </x:is>
      </x:c>
      <x:c r="D17" s="635"/>
      <x:c r="E17" s="636"/>
      <x:c r="F17" s="637" t="n">
        <x:v>9215.69</x:v>
      </x:c>
      <x:c r="G17" s="637" t="n">
        <x:v>2007.44</x:v>
      </x:c>
      <x:c r="H17" s="637" t="n">
        <x:v>1133.38</x:v>
      </x:c>
      <x:c r="I17" s="637" t="n">
        <x:v>594.88</x:v>
      </x:c>
      <x:c r="J17" s="637" t="n">
        <x:v>0</x:v>
      </x:c>
      <x:c r="K17" s="637" t="n">
        <x:v>0</x:v>
      </x:c>
      <x:c r="L17" s="637" t="n">
        <x:v>0</x:v>
      </x:c>
      <x:c r="M17" s="637" t="n">
        <x:v>0</x:v>
      </x:c>
      <x:c r="N17" s="637" t="n">
        <x:v>0</x:v>
      </x:c>
      <x:c r="O17" s="637" t="n">
        <x:v>0</x:v>
      </x:c>
      <x:c r="P17" s="637" t="n">
        <x:v>5482.6</x:v>
      </x:c>
      <x:c r="Q17" s="637" t="n">
        <x:v>0</x:v>
      </x:c>
      <x:c r="R17" s="637" t="n">
        <x:v>-2.61</x:v>
      </x:c>
      <x:c r="S17" s="637" t="n">
        <x:v>0</x:v>
      </x:c>
      <x:c r="T17" s="637" t="n">
        <x:v>0</x:v>
      </x:c>
      <x:c r="U17" s="637">
        <x:v>0</x:v>
      </x:c>
      <x:c r="V17" s="637">
        <x:v>0</x:v>
      </x:c>
      <x:c r="W17" s="637">
        <x:v>0</x:v>
      </x:c>
      <x:c r="X17" s="637">
        <x:v>0</x:v>
      </x:c>
      <x:c r="Y17" s="637">
        <x:v>0</x:v>
      </x:c>
      <x:c r="Z17" s="637" t="n">
        <x:v>0</x:v>
      </x:c>
      <x:c r="AA17" s="635"/>
      <x:c r="AB17" s="635"/>
      <x:c r="AC17" s="635"/>
      <x:c r="AD17" s="635"/>
      <x:c r="AE17" s="635"/>
      <x:c r="AF17" s="635"/>
      <x:c r="AG17" s="635"/>
      <x:c r="AH17" s="635"/>
      <x:c r="AI17" s="635"/>
      <x:c r="AJ17" s="635"/>
      <x:c r="AK17" s="635"/>
      <x:c r="AL17" s="635"/>
      <x:c r="AM17" s="635"/>
      <x:c r="AN17" s="635"/>
      <x:c r="AO17" s="635"/>
      <x:c r="AP17" s="635"/>
      <x:c r="AQ17" s="635"/>
      <x:c r="AR17" s="635"/>
      <x:c r="AS17" s="635"/>
      <x:c r="AT17" s="635"/>
      <x:c r="AU17" s="635"/>
      <x:c r="AV17" s="635"/>
      <x:c r="AW17" s="635"/>
      <x:c r="AX17" s="635"/>
      <x:c r="AY17" s="635"/>
      <x:c r="AZ17" s="635"/>
      <x:c r="BA17" s="635"/>
      <x:c r="BB17" s="635"/>
      <x:c r="BC17" s="635"/>
      <x:c r="BD17" s="635"/>
      <x:c r="BE17" s="635"/>
      <x:c r="BF17" s="635"/>
      <x:c r="BG17" s="635"/>
      <x:c r="BH17" s="635"/>
      <x:c r="BI17" s="635"/>
      <x:c r="BJ17" s="635"/>
      <x:c r="BK17" s="635"/>
      <x:c r="BL17" s="635"/>
      <x:c r="BM17" s="635"/>
      <x:c r="BN17" s="624"/>
    </x:row>
    <x:row r="18" spans="1:66" x14ac:dyDescent="0.2">
      <x:c r="A18"/>
      <x:c r="B18"/>
      <x:c r="C18"/>
      <x:c r="D18"/>
      <x:c r="E18" s="625" t="inlineStr">
        <x:is>
          <x:t>Vlr Servicio</x:t>
        </x:is>
      </x:c>
      <x:c r="F18" s="627" t="n">
        <x:v>15311909420.24</x:v>
      </x:c>
      <x:c r="G18" s="627" t="n">
        <x:v>801363799.02</x:v>
      </x:c>
      <x:c r="H18" s="627" t="n">
        <x:v>452181651.89</x:v>
      </x:c>
      <x:c r="I18" s="627" t="n">
        <x:v>237576696.14</x:v>
      </x:c>
      <x:c r="J18" s="627" t="n">
        <x:v>3742603268.77</x:v>
      </x:c>
      <x:c r="K18" s="627" t="n">
        <x:v>131872455.84</x:v>
      </x:c>
      <x:c r="L18" s="627" t="n">
        <x:v>16515975.94</x:v>
      </x:c>
      <x:c r="M18" s="627" t="n">
        <x:v>1160229364.58</x:v>
      </x:c>
      <x:c r="N18" s="627" t="n">
        <x:v>1113178184.5</x:v>
      </x:c>
      <x:c r="O18" s="627" t="n">
        <x:v>5269855575.68</x:v>
      </x:c>
      <x:c r="P18" s="627" t="n">
        <x:v>2171371078.07</x:v>
      </x:c>
      <x:c r="Q18" s="627" t="n">
        <x:v>215178442.49</x:v>
      </x:c>
      <x:c r="R18" s="627" t="n">
        <x:v>-17072.68</x:v>
      </x:c>
      <x:c r="S18" s="627" t="n">
        <x:v>0</x:v>
      </x:c>
      <x:c r="T18" s="627" t="n">
        <x:v>0</x:v>
      </x:c>
      <x:c r="U18" s="627">
        <x:v>0</x:v>
      </x:c>
      <x:c r="V18" s="627">
        <x:v>0</x:v>
      </x:c>
      <x:c r="W18" s="627">
        <x:v>0</x:v>
      </x:c>
      <x:c r="X18" s="627">
        <x:v>0</x:v>
      </x:c>
      <x:c r="Y18" s="627">
        <x:v>0</x:v>
      </x:c>
      <x:c r="Z18" s="627" t="n">
        <x:v>0</x:v>
      </x:c>
      <x:c r="BN18" s="624"/>
    </x:row>
    <x:row r="19" spans="1:66" x14ac:dyDescent="0.2">
      <x:c r="A19"/>
      <x:c r="B19"/>
      <x:c r="C19"/>
      <x:c r="D19"/>
      <x:c r="E19" s="625" t="inlineStr">
        <x:is>
          <x:t>Vlr Intereses</x:t>
        </x:is>
      </x:c>
      <x:c r="F19" s="627" t="n">
        <x:v>4090440.92</x:v>
      </x:c>
      <x:c r="G19" s="627" t="n">
        <x:v>281733.24</x:v>
      </x:c>
      <x:c r="H19" s="627" t="n">
        <x:v>147454.73</x:v>
      </x:c>
      <x:c r="I19" s="627" t="n">
        <x:v>76550.04</x:v>
      </x:c>
      <x:c r="J19" s="627" t="n">
        <x:v>796420.04</x:v>
      </x:c>
      <x:c r="K19" s="627" t="n">
        <x:v>36830.11</x:v>
      </x:c>
      <x:c r="L19" s="627" t="n">
        <x:v>516.31</x:v>
      </x:c>
      <x:c r="M19" s="627" t="n">
        <x:v>325736.63</x:v>
      </x:c>
      <x:c r="N19" s="627" t="n">
        <x:v>292484.52</x:v>
      </x:c>
      <x:c r="O19" s="627" t="n">
        <x:v>1313250.69</x:v>
      </x:c>
      <x:c r="P19" s="627" t="n">
        <x:v>758517.98</x:v>
      </x:c>
      <x:c r="Q19" s="627" t="n">
        <x:v>60116.44</x:v>
      </x:c>
      <x:c r="R19" s="627" t="n">
        <x:v>308.42</x:v>
      </x:c>
      <x:c r="S19" s="627" t="n">
        <x:v>0</x:v>
      </x:c>
      <x:c r="T19" s="627" t="n">
        <x:v>521.8</x:v>
      </x:c>
      <x:c r="U19" s="627">
        <x:v>0</x:v>
      </x:c>
      <x:c r="V19" s="627">
        <x:v>0</x:v>
      </x:c>
      <x:c r="W19" s="627">
        <x:v>0</x:v>
      </x:c>
      <x:c r="X19" s="627">
        <x:v>0</x:v>
      </x:c>
      <x:c r="Y19" s="627">
        <x:v>0</x:v>
      </x:c>
      <x:c r="Z19" s="627" t="n">
        <x:v>-0.03</x:v>
      </x:c>
      <x:c r="BN19" s="624"/>
    </x:row>
    <x:row r="20" spans="1:66" x14ac:dyDescent="0.2">
      <x:c r="A20"/>
      <x:c r="B20"/>
      <x:c r="C20"/>
      <x:c r="D20" s="25" t="inlineStr">
        <x:is>
          <x:t>E</x:t>
        </x:is>
      </x:c>
      <x:c r="E20" s="625" t="inlineStr">
        <x:is>
          <x:t>Total</x:t>
        </x:is>
      </x:c>
      <x:c r="F20" s="627" t="n">
        <x:v>15315999861.16</x:v>
      </x:c>
      <x:c r="G20" s="627" t="n">
        <x:v>801645532.26</x:v>
      </x:c>
      <x:c r="H20" s="627" t="n">
        <x:v>452329106.62</x:v>
      </x:c>
      <x:c r="I20" s="627" t="n">
        <x:v>237653246.18</x:v>
      </x:c>
      <x:c r="J20" s="627" t="n">
        <x:v>3743399688.81</x:v>
      </x:c>
      <x:c r="K20" s="627" t="n">
        <x:v>131909285.95</x:v>
      </x:c>
      <x:c r="L20" s="627" t="n">
        <x:v>16516492.25</x:v>
      </x:c>
      <x:c r="M20" s="627" t="n">
        <x:v>1160555101.21</x:v>
      </x:c>
      <x:c r="N20" s="627" t="n">
        <x:v>1113470669.02</x:v>
      </x:c>
      <x:c r="O20" s="627" t="n">
        <x:v>5271168826.37</x:v>
      </x:c>
      <x:c r="P20" s="627" t="n">
        <x:v>2172129596.05</x:v>
      </x:c>
      <x:c r="Q20" s="627" t="n">
        <x:v>215238558.93</x:v>
      </x:c>
      <x:c r="R20" s="627" t="n">
        <x:v>-16764.26</x:v>
      </x:c>
      <x:c r="S20" s="627" t="n">
        <x:v>0</x:v>
      </x:c>
      <x:c r="T20" s="627" t="n">
        <x:v>521.8</x:v>
      </x:c>
      <x:c r="U20" s="627">
        <x:v>0</x:v>
      </x:c>
      <x:c r="V20" s="627">
        <x:v>0</x:v>
      </x:c>
      <x:c r="W20" s="627">
        <x:v>0</x:v>
      </x:c>
      <x:c r="X20" s="627">
        <x:v>0</x:v>
      </x:c>
      <x:c r="Y20" s="627">
        <x:v>0</x:v>
      </x:c>
      <x:c r="Z20" s="627" t="n">
        <x:v>-0.03</x:v>
      </x:c>
      <x:c r="BN20" s="624"/>
    </x:row>
    <x:row r="21" spans="1:66" x14ac:dyDescent="0.2">
      <x:c r="A21" s="628"/>
      <x:c r="B21" s="628"/>
      <x:c r="C21" s="628" t="inlineStr">
        <x:is>
          <x:t>ENEL</x:t>
        </x:is>
      </x:c>
      <x:c r="D21" s="628" t="inlineStr">
        <x:is>
          <x:t>Total</x:t>
        </x:is>
      </x:c>
      <x:c r="E21" s="629"/>
      <x:c r="F21" s="630" t="n">
        <x:v>15315999861.16</x:v>
      </x:c>
      <x:c r="G21" s="630" t="n">
        <x:v>801645532.26</x:v>
      </x:c>
      <x:c r="H21" s="630" t="n">
        <x:v>452329106.62</x:v>
      </x:c>
      <x:c r="I21" s="630" t="n">
        <x:v>237653246.18</x:v>
      </x:c>
      <x:c r="J21" s="630" t="n">
        <x:v>3743399688.81</x:v>
      </x:c>
      <x:c r="K21" s="630" t="n">
        <x:v>131909285.95</x:v>
      </x:c>
      <x:c r="L21" s="630" t="n">
        <x:v>16516492.25</x:v>
      </x:c>
      <x:c r="M21" s="630" t="n">
        <x:v>1160555101.21</x:v>
      </x:c>
      <x:c r="N21" s="630" t="n">
        <x:v>1113470669.02</x:v>
      </x:c>
      <x:c r="O21" s="630" t="n">
        <x:v>5271168826.37</x:v>
      </x:c>
      <x:c r="P21" s="630" t="n">
        <x:v>2172129596.05</x:v>
      </x:c>
      <x:c r="Q21" s="630" t="n">
        <x:v>215238558.93</x:v>
      </x:c>
      <x:c r="R21" s="630" t="n">
        <x:v>-16764.26</x:v>
      </x:c>
      <x:c r="S21" s="630" t="n">
        <x:v>0</x:v>
      </x:c>
      <x:c r="T21" s="630" t="n">
        <x:v>521.8</x:v>
      </x:c>
      <x:c r="U21" s="630">
        <x:v>0</x:v>
      </x:c>
      <x:c r="V21" s="630">
        <x:v>0</x:v>
      </x:c>
      <x:c r="W21" s="630">
        <x:v>0</x:v>
      </x:c>
      <x:c r="X21" s="630">
        <x:v>0</x:v>
      </x:c>
      <x:c r="Y21" s="630">
        <x:v>0</x:v>
      </x:c>
      <x:c r="Z21" s="630" t="n">
        <x:v>-0.03</x:v>
      </x:c>
      <x:c r="AA21" s="628"/>
      <x:c r="AB21" s="628"/>
      <x:c r="AC21" s="628"/>
      <x:c r="AD21" s="628"/>
      <x:c r="AE21" s="628"/>
      <x:c r="AF21" s="628"/>
      <x:c r="AG21" s="628"/>
      <x:c r="AH21" s="628"/>
      <x:c r="AI21" s="628"/>
      <x:c r="AJ21" s="628"/>
      <x:c r="AK21" s="628"/>
      <x:c r="AL21" s="628"/>
      <x:c r="AM21" s="628"/>
      <x:c r="AN21" s="628"/>
      <x:c r="AO21" s="628"/>
      <x:c r="AP21" s="628"/>
      <x:c r="AQ21" s="628"/>
      <x:c r="AR21" s="628"/>
      <x:c r="AS21" s="628"/>
      <x:c r="AT21" s="628"/>
      <x:c r="AU21" s="628"/>
      <x:c r="AV21" s="628"/>
      <x:c r="AW21" s="628"/>
      <x:c r="AX21" s="628"/>
      <x:c r="AY21" s="628"/>
      <x:c r="AZ21" s="628"/>
      <x:c r="BA21" s="628"/>
      <x:c r="BB21" s="628"/>
      <x:c r="BC21" s="628"/>
      <x:c r="BD21" s="628"/>
      <x:c r="BE21" s="628"/>
      <x:c r="BF21" s="628"/>
      <x:c r="BG21" s="628"/>
      <x:c r="BH21" s="628"/>
      <x:c r="BI21" s="628"/>
      <x:c r="BJ21" s="628"/>
      <x:c r="BK21" s="628"/>
      <x:c r="BL21" s="628"/>
      <x:c r="BM21" s="628"/>
      <x:c r="BN21" s="624"/>
    </x:row>
    <x:row r="22" spans="1:66" x14ac:dyDescent="0.2">
      <x:c r="A22"/>
      <x:c r="B22"/>
      <x:c r="C22"/>
      <x:c r="D22"/>
      <x:c r="E22" s="625" t="inlineStr">
        <x:is>
          <x:t>Vlr Servicio</x:t>
        </x:is>
      </x:c>
      <x:c r="F22" s="627" t="n">
        <x:v>32531853.02</x:v>
      </x:c>
      <x:c r="G22" s="627" t="n">
        <x:v>2591273.87</x:v>
      </x:c>
      <x:c r="H22" s="627" t="n">
        <x:v>1444146.45</x:v>
      </x:c>
      <x:c r="I22" s="627" t="n">
        <x:v>758108.3</x:v>
      </x:c>
      <x:c r="J22" s="627" t="n">
        <x:v>6042578.81</x:v>
      </x:c>
      <x:c r="K22" s="627" t="n">
        <x:v>205824.68</x:v>
      </x:c>
      <x:c r="L22" s="627" t="n">
        <x:v>0</x:v>
      </x:c>
      <x:c r="M22" s="627" t="n">
        <x:v>1805861.64</x:v>
      </x:c>
      <x:c r="N22" s="627" t="n">
        <x:v>2163115.53</x:v>
      </x:c>
      <x:c r="O22" s="627" t="n">
        <x:v>10120979.77</x:v>
      </x:c>
      <x:c r="P22" s="627" t="n">
        <x:v>7063994.12</x:v>
      </x:c>
      <x:c r="Q22" s="627" t="n">
        <x:v>335853.33</x:v>
      </x:c>
      <x:c r="R22" s="627" t="n">
        <x:v>116.52</x:v>
      </x:c>
      <x:c r="S22" s="627" t="n">
        <x:v>0</x:v>
      </x:c>
      <x:c r="T22" s="627" t="n">
        <x:v>0</x:v>
      </x:c>
      <x:c r="U22" s="627">
        <x:v>0</x:v>
      </x:c>
      <x:c r="V22" s="627">
        <x:v>0</x:v>
      </x:c>
      <x:c r="W22" s="627">
        <x:v>0</x:v>
      </x:c>
      <x:c r="X22" s="627">
        <x:v>0</x:v>
      </x:c>
      <x:c r="Y22" s="627">
        <x:v>0</x:v>
      </x:c>
      <x:c r="Z22" s="627" t="n">
        <x:v>0</x:v>
      </x:c>
      <x:c r="BN22" s="624"/>
    </x:row>
    <x:row r="23" spans="1:66" x14ac:dyDescent="0.2">
      <x:c r="A23"/>
      <x:c r="B23"/>
      <x:c r="C23"/>
      <x:c r="D23"/>
      <x:c r="E23" s="625" t="inlineStr">
        <x:is>
          <x:t>Vlr Intereses</x:t>
        </x:is>
      </x:c>
      <x:c r="F23" s="627" t="n">
        <x:v>70410.78</x:v>
      </x:c>
      <x:c r="G23" s="627" t="n">
        <x:v>4075.34</x:v>
      </x:c>
      <x:c r="H23" s="627" t="n">
        <x:v>2009.42</x:v>
      </x:c>
      <x:c r="I23" s="627" t="n">
        <x:v>1036.19</x:v>
      </x:c>
      <x:c r="J23" s="627" t="n">
        <x:v>14956.08</x:v>
      </x:c>
      <x:c r="K23" s="627" t="n">
        <x:v>634.42</x:v>
      </x:c>
      <x:c r="L23" s="627" t="n">
        <x:v>0</x:v>
      </x:c>
      <x:c r="M23" s="627" t="n">
        <x:v>5556.36</x:v>
      </x:c>
      <x:c r="N23" s="627" t="n">
        <x:v>5429.24</x:v>
      </x:c>
      <x:c r="O23" s="627" t="n">
        <x:v>24704.76</x:v>
      </x:c>
      <x:c r="P23" s="627" t="n">
        <x:v>10925.02</x:v>
      </x:c>
      <x:c r="Q23" s="627" t="n">
        <x:v>1033.93</x:v>
      </x:c>
      <x:c r="R23" s="627" t="n">
        <x:v>49.75</x:v>
      </x:c>
      <x:c r="S23" s="627" t="n">
        <x:v>0</x:v>
      </x:c>
      <x:c r="T23" s="627" t="n">
        <x:v>0.27</x:v>
      </x:c>
      <x:c r="U23" s="627">
        <x:v>0</x:v>
      </x:c>
      <x:c r="V23" s="627">
        <x:v>0</x:v>
      </x:c>
      <x:c r="W23" s="627">
        <x:v>0</x:v>
      </x:c>
      <x:c r="X23" s="627">
        <x:v>0</x:v>
      </x:c>
      <x:c r="Y23" s="627">
        <x:v>0</x:v>
      </x:c>
      <x:c r="Z23" s="627" t="n">
        <x:v>0</x:v>
      </x:c>
      <x:c r="BN23" s="624"/>
    </x:row>
    <x:row r="24" spans="1:66" x14ac:dyDescent="0.2">
      <x:c r="A24"/>
      <x:c r="B24"/>
      <x:c r="C24"/>
      <x:c r="D24" s="625" t="inlineStr">
        <x:is>
          <x:t>H</x:t>
        </x:is>
      </x:c>
      <x:c r="E24" s="625" t="inlineStr">
        <x:is>
          <x:t>Total</x:t>
        </x:is>
      </x:c>
      <x:c r="F24" s="627" t="n">
        <x:v>32602263.8</x:v>
      </x:c>
      <x:c r="G24" s="627" t="n">
        <x:v>2595349.21</x:v>
      </x:c>
      <x:c r="H24" s="627" t="n">
        <x:v>1446155.87</x:v>
      </x:c>
      <x:c r="I24" s="627" t="n">
        <x:v>759144.49</x:v>
      </x:c>
      <x:c r="J24" s="627" t="n">
        <x:v>6057534.89</x:v>
      </x:c>
      <x:c r="K24" s="627" t="n">
        <x:v>206459.1</x:v>
      </x:c>
      <x:c r="L24" s="627" t="n">
        <x:v>0</x:v>
      </x:c>
      <x:c r="M24" s="627" t="n">
        <x:v>1811418</x:v>
      </x:c>
      <x:c r="N24" s="627" t="n">
        <x:v>2168544.77</x:v>
      </x:c>
      <x:c r="O24" s="627" t="n">
        <x:v>10145684.53</x:v>
      </x:c>
      <x:c r="P24" s="627" t="n">
        <x:v>7074919.14</x:v>
      </x:c>
      <x:c r="Q24" s="627" t="n">
        <x:v>336887.26</x:v>
      </x:c>
      <x:c r="R24" s="627" t="n">
        <x:v>166.27</x:v>
      </x:c>
      <x:c r="S24" s="627" t="n">
        <x:v>0</x:v>
      </x:c>
      <x:c r="T24" s="627" t="n">
        <x:v>0.27</x:v>
      </x:c>
      <x:c r="U24" s="627">
        <x:v>0</x:v>
      </x:c>
      <x:c r="V24" s="627">
        <x:v>0</x:v>
      </x:c>
      <x:c r="W24" s="627">
        <x:v>0</x:v>
      </x:c>
      <x:c r="X24" s="627">
        <x:v>0</x:v>
      </x:c>
      <x:c r="Y24" s="627">
        <x:v>0</x:v>
      </x:c>
      <x:c r="Z24" s="627" t="n">
        <x:v>0</x:v>
      </x:c>
      <x:c r="BN24" s="624"/>
    </x:row>
    <x:row r="25" spans="1:66" x14ac:dyDescent="0.2">
      <x:c r="A25"/>
      <x:c r="B25"/>
      <x:c r="C25"/>
      <x:c r="D25"/>
      <x:c r="E25" s="625" t="inlineStr">
        <x:is>
          <x:t>Vlr Servicio</x:t>
        </x:is>
      </x:c>
      <x:c r="F25" s="627" t="n">
        <x:v>142718615.59</x:v>
      </x:c>
      <x:c r="G25" s="627" t="n">
        <x:v>16226922.74</x:v>
      </x:c>
      <x:c r="H25" s="627" t="n">
        <x:v>8978685.11</x:v>
      </x:c>
      <x:c r="I25" s="627" t="n">
        <x:v>4682686.13</x:v>
      </x:c>
      <x:c r="J25" s="627" t="n">
        <x:v>17356715.97</x:v>
      </x:c>
      <x:c r="K25" s="627" t="n">
        <x:v>717148.94</x:v>
      </x:c>
      <x:c r="L25" s="627" t="n">
        <x:v>4122672</x:v>
      </x:c>
      <x:c r="M25" s="627" t="n">
        <x:v>6303944.33</x:v>
      </x:c>
      <x:c r="N25" s="627" t="n">
        <x:v>6897057.04</x:v>
      </x:c>
      <x:c r="O25" s="627" t="n">
        <x:v>32134628.15</x:v>
      </x:c>
      <x:c r="P25" s="627" t="n">
        <x:v>44127363.81</x:v>
      </x:c>
      <x:c r="Q25" s="627" t="n">
        <x:v>1171009.75</x:v>
      </x:c>
      <x:c r="R25" s="627" t="n">
        <x:v>-218.38</x:v>
      </x:c>
      <x:c r="S25" s="627" t="n">
        <x:v>0</x:v>
      </x:c>
      <x:c r="T25" s="627" t="n">
        <x:v>0</x:v>
      </x:c>
      <x:c r="U25" s="627">
        <x:v>0</x:v>
      </x:c>
      <x:c r="V25" s="627">
        <x:v>0</x:v>
      </x:c>
      <x:c r="W25" s="627">
        <x:v>0</x:v>
      </x:c>
      <x:c r="X25" s="627">
        <x:v>0</x:v>
      </x:c>
      <x:c r="Y25" s="627">
        <x:v>0</x:v>
      </x:c>
      <x:c r="Z25" s="627" t="n">
        <x:v>0</x:v>
      </x:c>
      <x:c r="BN25" s="624"/>
    </x:row>
    <x:row r="26" spans="1:66" x14ac:dyDescent="0.2">
      <x:c r="A26"/>
      <x:c r="B26"/>
      <x:c r="C26"/>
      <x:c r="D26"/>
      <x:c r="E26" s="625" t="inlineStr">
        <x:is>
          <x:t>Vlr Intereses</x:t>
        </x:is>
      </x:c>
      <x:c r="F26" s="627" t="n">
        <x:v>700269.72</x:v>
      </x:c>
      <x:c r="G26" s="627" t="n">
        <x:v>40116.7</x:v>
      </x:c>
      <x:c r="H26" s="627" t="n">
        <x:v>19139.89</x:v>
      </x:c>
      <x:c r="I26" s="627" t="n">
        <x:v>10101.16</x:v>
      </x:c>
      <x:c r="J26" s="627" t="n">
        <x:v>153132.53</x:v>
      </x:c>
      <x:c r="K26" s="627" t="n">
        <x:v>7303.27</x:v>
      </x:c>
      <x:c r="L26" s="627" t="n">
        <x:v>0</x:v>
      </x:c>
      <x:c r="M26" s="627" t="n">
        <x:v>64029.13</x:v>
      </x:c>
      <x:c r="N26" s="627" t="n">
        <x:v>56965.87</x:v>
      </x:c>
      <x:c r="O26" s="627" t="n">
        <x:v>230260.01</x:v>
      </x:c>
      <x:c r="P26" s="627" t="n">
        <x:v>107283.27</x:v>
      </x:c>
      <x:c r="Q26" s="627" t="n">
        <x:v>11912.73</x:v>
      </x:c>
      <x:c r="R26" s="627" t="n">
        <x:v>27.3</x:v>
      </x:c>
      <x:c r="S26" s="627" t="n">
        <x:v>-2.32</x:v>
      </x:c>
      <x:c r="T26" s="627" t="n">
        <x:v>0.18</x:v>
      </x:c>
      <x:c r="U26" s="627">
        <x:v>0</x:v>
      </x:c>
      <x:c r="V26" s="627">
        <x:v>0</x:v>
      </x:c>
      <x:c r="W26" s="627">
        <x:v>0</x:v>
      </x:c>
      <x:c r="X26" s="627">
        <x:v>0</x:v>
      </x:c>
      <x:c r="Y26" s="627">
        <x:v>0</x:v>
      </x:c>
      <x:c r="Z26" s="627" t="n">
        <x:v>0</x:v>
      </x:c>
      <x:c r="BN26" s="624"/>
    </x:row>
    <x:row r="27" spans="1:66" x14ac:dyDescent="0.2">
      <x:c r="A27"/>
      <x:c r="B27"/>
      <x:c r="C27"/>
      <x:c r="D27" s="625" t="inlineStr">
        <x:is>
          <x:t>O</x:t>
        </x:is>
      </x:c>
      <x:c r="E27" s="625" t="inlineStr">
        <x:is>
          <x:t>Total</x:t>
        </x:is>
      </x:c>
      <x:c r="F27" s="627" t="n">
        <x:v>143418885.31</x:v>
      </x:c>
      <x:c r="G27" s="627" t="n">
        <x:v>16267039.44</x:v>
      </x:c>
      <x:c r="H27" s="627" t="n">
        <x:v>8997825</x:v>
      </x:c>
      <x:c r="I27" s="627" t="n">
        <x:v>4692787.29</x:v>
      </x:c>
      <x:c r="J27" s="627" t="n">
        <x:v>17509848.5</x:v>
      </x:c>
      <x:c r="K27" s="627" t="n">
        <x:v>724452.21</x:v>
      </x:c>
      <x:c r="L27" s="627" t="n">
        <x:v>4122672</x:v>
      </x:c>
      <x:c r="M27" s="627" t="n">
        <x:v>6367973.46</x:v>
      </x:c>
      <x:c r="N27" s="627" t="n">
        <x:v>6954022.91</x:v>
      </x:c>
      <x:c r="O27" s="627" t="n">
        <x:v>32364888.16</x:v>
      </x:c>
      <x:c r="P27" s="627" t="n">
        <x:v>44234647.08</x:v>
      </x:c>
      <x:c r="Q27" s="627" t="n">
        <x:v>1182922.48</x:v>
      </x:c>
      <x:c r="R27" s="627" t="n">
        <x:v>-191.08</x:v>
      </x:c>
      <x:c r="S27" s="627" t="n">
        <x:v>-2.32</x:v>
      </x:c>
      <x:c r="T27" s="627" t="n">
        <x:v>0.18</x:v>
      </x:c>
      <x:c r="U27" s="627">
        <x:v>0</x:v>
      </x:c>
      <x:c r="V27" s="627">
        <x:v>0</x:v>
      </x:c>
      <x:c r="W27" s="627">
        <x:v>0</x:v>
      </x:c>
      <x:c r="X27" s="627">
        <x:v>0</x:v>
      </x:c>
      <x:c r="Y27" s="627">
        <x:v>0</x:v>
      </x:c>
      <x:c r="Z27" s="627" t="n">
        <x:v>0</x:v>
      </x:c>
      <x:c r="BN27" s="624"/>
    </x:row>
    <x:row r="28" spans="1:66" x14ac:dyDescent="0.2">
      <x:c r="A28"/>
      <x:c r="B28"/>
      <x:c r="C28" s="625"/>
      <x:c r="D28" s="625"/>
      <x:c r="E28" s="25" t="inlineStr">
        <x:is>
          <x:t>Vlr Servicio</x:t>
        </x:is>
      </x:c>
      <x:c r="F28" s="627" t="n">
        <x:v>443299915.67</x:v>
      </x:c>
      <x:c r="G28" s="627" t="n">
        <x:v>77621929.12</x:v>
      </x:c>
      <x:c r="H28" s="627" t="n">
        <x:v>43739696.54</x:v>
      </x:c>
      <x:c r="I28" s="627" t="n">
        <x:v>23002911.08</x:v>
      </x:c>
      <x:c r="J28" s="627" t="n">
        <x:v>27531678.22</x:v>
      </x:c>
      <x:c r="K28" s="627" t="n">
        <x:v>700778.07</x:v>
      </x:c>
      <x:c r="L28" s="627" t="n">
        <x:v>4638006</x:v>
      </x:c>
      <x:c r="M28" s="627" t="n">
        <x:v>6178734.52</x:v>
      </x:c>
      <x:c r="N28" s="627" t="n">
        <x:v>8275304.75</x:v>
      </x:c>
      <x:c r="O28" s="627" t="n">
        <x:v>38410843.78</x:v>
      </x:c>
      <x:c r="P28" s="627" t="n">
        <x:v>212057412.17</x:v>
      </x:c>
      <x:c r="Q28" s="627" t="n">
        <x:v>1143387.66</x:v>
      </x:c>
      <x:c r="R28" s="627" t="n">
        <x:v>-766.24</x:v>
      </x:c>
      <x:c r="S28" s="627" t="n">
        <x:v>0</x:v>
      </x:c>
      <x:c r="T28" s="627" t="n">
        <x:v>0</x:v>
      </x:c>
      <x:c r="U28" s="627">
        <x:v>0</x:v>
      </x:c>
      <x:c r="V28" s="627">
        <x:v>0</x:v>
      </x:c>
      <x:c r="W28" s="627">
        <x:v>0</x:v>
      </x:c>
      <x:c r="X28" s="627">
        <x:v>0</x:v>
      </x:c>
      <x:c r="Y28" s="627">
        <x:v>0</x:v>
      </x:c>
      <x:c r="Z28" s="627" t="n">
        <x:v>0</x:v>
      </x:c>
      <x:c r="BN28" s="624"/>
    </x:row>
    <x:row r="29" spans="1:66" x14ac:dyDescent="0.2">
      <x:c r="A29"/>
      <x:c r="B29" s="625"/>
      <x:c r="C29" s="625"/>
      <x:c r="D29"/>
      <x:c r="E29" s="25" t="inlineStr">
        <x:is>
          <x:t>Vlr Intereses</x:t>
        </x:is>
      </x:c>
      <x:c r="F29" s="627" t="n">
        <x:v>613877.45</x:v>
      </x:c>
      <x:c r="G29" s="627" t="n">
        <x:v>94058.21</x:v>
      </x:c>
      <x:c r="H29" s="627" t="n">
        <x:v>48331.99</x:v>
      </x:c>
      <x:c r="I29" s="627" t="n">
        <x:v>26441.83</x:v>
      </x:c>
      <x:c r="J29" s="627" t="n">
        <x:v>61251.38</x:v>
      </x:c>
      <x:c r="K29" s="627" t="n">
        <x:v>1855.3</x:v>
      </x:c>
      <x:c r="L29" s="627" t="n">
        <x:v>146.01</x:v>
      </x:c>
      <x:c r="M29" s="627" t="n">
        <x:v>16384.73</x:v>
      </x:c>
      <x:c r="N29" s="627" t="n">
        <x:v>20507.08</x:v>
      </x:c>
      <x:c r="O29" s="627" t="n">
        <x:v>89016.81</x:v>
      </x:c>
      <x:c r="P29" s="627" t="n">
        <x:v>254956.79</x:v>
      </x:c>
      <x:c r="Q29" s="627" t="n">
        <x:v>3029.72</x:v>
      </x:c>
      <x:c r="R29" s="627" t="n">
        <x:v>10.11</x:v>
      </x:c>
      <x:c r="S29" s="627" t="n">
        <x:v>-2112.51</x:v>
      </x:c>
      <x:c r="T29" s="627" t="n">
        <x:v>0</x:v>
      </x:c>
      <x:c r="U29" s="627">
        <x:v>0</x:v>
      </x:c>
      <x:c r="V29" s="627">
        <x:v>0</x:v>
      </x:c>
      <x:c r="W29" s="627">
        <x:v>0</x:v>
      </x:c>
      <x:c r="X29" s="627">
        <x:v>0</x:v>
      </x:c>
      <x:c r="Y29" s="627">
        <x:v>0</x:v>
      </x:c>
      <x:c r="Z29" s="627" t="n">
        <x:v>0</x:v>
      </x:c>
      <x:c r="BN29" s="624"/>
    </x:row>
    <x:row r="30" spans="1:66" x14ac:dyDescent="0.2">
      <x:c r="A30"/>
      <x:c r="B30"/>
      <x:c r="C30" s="625"/>
      <x:c r="D30" s="625" t="inlineStr">
        <x:is>
          <x:t>T</x:t>
        </x:is>
      </x:c>
      <x:c r="E30" s="25" t="inlineStr">
        <x:is>
          <x:t>Total</x:t>
        </x:is>
      </x:c>
      <x:c r="F30" s="627" t="n">
        <x:v>443913793.12</x:v>
      </x:c>
      <x:c r="G30" s="627" t="n">
        <x:v>77715987.33</x:v>
      </x:c>
      <x:c r="H30" s="627" t="n">
        <x:v>43788028.53</x:v>
      </x:c>
      <x:c r="I30" s="627" t="n">
        <x:v>23029352.91</x:v>
      </x:c>
      <x:c r="J30" s="627" t="n">
        <x:v>27592929.6</x:v>
      </x:c>
      <x:c r="K30" s="627" t="n">
        <x:v>702633.37</x:v>
      </x:c>
      <x:c r="L30" s="627" t="n">
        <x:v>4638152.01</x:v>
      </x:c>
      <x:c r="M30" s="627" t="n">
        <x:v>6195119.25</x:v>
      </x:c>
      <x:c r="N30" s="627" t="n">
        <x:v>8295811.83</x:v>
      </x:c>
      <x:c r="O30" s="627" t="n">
        <x:v>38499860.59</x:v>
      </x:c>
      <x:c r="P30" s="627" t="n">
        <x:v>212312368.96</x:v>
      </x:c>
      <x:c r="Q30" s="627" t="n">
        <x:v>1146417.38</x:v>
      </x:c>
      <x:c r="R30" s="627" t="n">
        <x:v>-756.13</x:v>
      </x:c>
      <x:c r="S30" s="627" t="n">
        <x:v>-2112.51</x:v>
      </x:c>
      <x:c r="T30" s="627" t="n">
        <x:v>0</x:v>
      </x:c>
      <x:c r="U30" s="627">
        <x:v>0</x:v>
      </x:c>
      <x:c r="V30" s="627">
        <x:v>0</x:v>
      </x:c>
      <x:c r="W30" s="627">
        <x:v>0</x:v>
      </x:c>
      <x:c r="X30" s="627">
        <x:v>0</x:v>
      </x:c>
      <x:c r="Y30" s="627">
        <x:v>0</x:v>
      </x:c>
      <x:c r="Z30" s="627" t="n">
        <x:v>0</x:v>
      </x:c>
      <x:c r="BN30" s="624"/>
    </x:row>
    <x:row r="31" spans="1:66" x14ac:dyDescent="0.2">
      <x:c r="A31" s="631"/>
      <x:c r="B31" s="631"/>
      <x:c r="C31" s="632" t="inlineStr">
        <x:is>
          <x:t>OCCIDENTE</x:t>
        </x:is>
      </x:c>
      <x:c r="D31" s="632" t="inlineStr">
        <x:is>
          <x:t>Total</x:t>
        </x:is>
      </x:c>
      <x:c r="E31" s="631"/>
      <x:c r="F31" s="633" t="n">
        <x:v>619934942.23</x:v>
      </x:c>
      <x:c r="G31" s="633" t="n">
        <x:v>96578375.98</x:v>
      </x:c>
      <x:c r="H31" s="633" t="n">
        <x:v>54232009.4</x:v>
      </x:c>
      <x:c r="I31" s="633" t="n">
        <x:v>28481284.69</x:v>
      </x:c>
      <x:c r="J31" s="633" t="n">
        <x:v>51160312.99</x:v>
      </x:c>
      <x:c r="K31" s="633" t="n">
        <x:v>1633544.68</x:v>
      </x:c>
      <x:c r="L31" s="633" t="n">
        <x:v>8760824.01</x:v>
      </x:c>
      <x:c r="M31" s="633" t="n">
        <x:v>14374510.71</x:v>
      </x:c>
      <x:c r="N31" s="633" t="n">
        <x:v>17418379.51</x:v>
      </x:c>
      <x:c r="O31" s="633" t="n">
        <x:v>81010433.28</x:v>
      </x:c>
      <x:c r="P31" s="633" t="n">
        <x:v>263621935.18</x:v>
      </x:c>
      <x:c r="Q31" s="633" t="n">
        <x:v>2666227.12</x:v>
      </x:c>
      <x:c r="R31" s="633" t="n">
        <x:v>-780.94</x:v>
      </x:c>
      <x:c r="S31" s="633" t="n">
        <x:v>-2114.83</x:v>
      </x:c>
      <x:c r="T31" s="633" t="n">
        <x:v>0.45</x:v>
      </x:c>
      <x:c r="U31" s="633">
        <x:v>0</x:v>
      </x:c>
      <x:c r="V31" s="633">
        <x:v>0</x:v>
      </x:c>
      <x:c r="W31" s="633">
        <x:v>0</x:v>
      </x:c>
      <x:c r="X31" s="633">
        <x:v>0</x:v>
      </x:c>
      <x:c r="Y31" s="633">
        <x:v>0</x:v>
      </x:c>
      <x:c r="Z31" s="633" t="n">
        <x:v>0</x:v>
      </x:c>
      <x:c r="AA31" s="631"/>
      <x:c r="AB31" s="631"/>
      <x:c r="AC31" s="631"/>
      <x:c r="AD31" s="631"/>
      <x:c r="AE31" s="631"/>
      <x:c r="AF31" s="631"/>
      <x:c r="AG31" s="631"/>
      <x:c r="AH31" s="631"/>
      <x:c r="AI31" s="631"/>
      <x:c r="AJ31" s="631"/>
      <x:c r="AK31" s="631"/>
      <x:c r="AL31" s="631"/>
      <x:c r="AM31" s="631"/>
      <x:c r="AN31" s="631"/>
      <x:c r="AO31" s="631"/>
      <x:c r="AP31" s="631"/>
      <x:c r="AQ31" s="631"/>
      <x:c r="AR31" s="631"/>
      <x:c r="AS31" s="631"/>
      <x:c r="AT31" s="631"/>
      <x:c r="AU31" s="631"/>
      <x:c r="AV31" s="631"/>
      <x:c r="AW31" s="631"/>
      <x:c r="AX31" s="631"/>
      <x:c r="AY31" s="631"/>
      <x:c r="AZ31" s="631"/>
      <x:c r="BA31" s="631"/>
      <x:c r="BB31" s="631"/>
      <x:c r="BC31" s="631"/>
      <x:c r="BD31" s="631"/>
      <x:c r="BE31" s="631"/>
      <x:c r="BF31" s="631"/>
      <x:c r="BG31" s="631"/>
      <x:c r="BH31" s="631"/>
      <x:c r="BI31" s="631"/>
      <x:c r="BJ31" s="631"/>
      <x:c r="BK31" s="631"/>
      <x:c r="BL31" s="631"/>
      <x:c r="BM31" s="631"/>
      <x:c r="BN31" s="624"/>
    </x:row>
    <x:row r="32" spans="1:66" x14ac:dyDescent="0.2">
      <x:c r="A32" s="638"/>
      <x:c r="B32" s="639" t="inlineStr">
        <x:is>
          <x:t>Mes</x:t>
        </x:is>
      </x:c>
      <x:c r="C32" s="639" t="inlineStr">
        <x:is>
          <x:t>Total</x:t>
        </x:is>
      </x:c>
      <x:c r="D32" s="638"/>
      <x:c r="E32" s="638"/>
      <x:c r="F32" s="640" t="n">
        <x:v>15935934803.39</x:v>
      </x:c>
      <x:c r="G32" s="640" t="n">
        <x:v>898223908.24</x:v>
      </x:c>
      <x:c r="H32" s="640" t="n">
        <x:v>506561116.02</x:v>
      </x:c>
      <x:c r="I32" s="640" t="n">
        <x:v>266134530.87</x:v>
      </x:c>
      <x:c r="J32" s="640" t="n">
        <x:v>3794560001.8</x:v>
      </x:c>
      <x:c r="K32" s="640" t="n">
        <x:v>133542830.63</x:v>
      </x:c>
      <x:c r="L32" s="640" t="n">
        <x:v>25277316.26</x:v>
      </x:c>
      <x:c r="M32" s="640" t="n">
        <x:v>1174929611.92</x:v>
      </x:c>
      <x:c r="N32" s="640" t="n">
        <x:v>1130889048.53</x:v>
      </x:c>
      <x:c r="O32" s="640" t="n">
        <x:v>5352179259.65</x:v>
      </x:c>
      <x:c r="P32" s="640" t="n">
        <x:v>2435751531.23</x:v>
      </x:c>
      <x:c r="Q32" s="640" t="n">
        <x:v>217904786.05</x:v>
      </x:c>
      <x:c r="R32" s="640" t="n">
        <x:v>-17545.2</x:v>
      </x:c>
      <x:c r="S32" s="640" t="n">
        <x:v>-2114.83</x:v>
      </x:c>
      <x:c r="T32" s="640" t="n">
        <x:v>522.25</x:v>
      </x:c>
      <x:c r="U32" s="640">
        <x:v>0</x:v>
      </x:c>
      <x:c r="V32" s="640">
        <x:v>0</x:v>
      </x:c>
      <x:c r="W32" s="640">
        <x:v>0</x:v>
      </x:c>
      <x:c r="X32" s="640">
        <x:v>0</x:v>
      </x:c>
      <x:c r="Y32" s="640">
        <x:v>0</x:v>
      </x:c>
      <x:c r="Z32" s="640" t="n">
        <x:v>-0.03</x:v>
      </x:c>
      <x:c r="AA32" s="638"/>
      <x:c r="AB32" s="638"/>
      <x:c r="AC32" s="638"/>
      <x:c r="AD32" s="638"/>
      <x:c r="AE32" s="638"/>
      <x:c r="AF32" s="638"/>
      <x:c r="AG32" s="638"/>
      <x:c r="AH32" s="638"/>
      <x:c r="AI32" s="638"/>
      <x:c r="AJ32" s="638"/>
      <x:c r="AK32" s="638"/>
      <x:c r="AL32" s="638"/>
      <x:c r="AM32" s="638"/>
      <x:c r="AN32" s="638"/>
      <x:c r="AO32" s="638"/>
      <x:c r="AP32" s="638"/>
      <x:c r="AQ32" s="638"/>
      <x:c r="AR32" s="638"/>
      <x:c r="AS32" s="638"/>
      <x:c r="AT32" s="638"/>
      <x:c r="AU32" s="638"/>
      <x:c r="AV32" s="638"/>
      <x:c r="AW32" s="638"/>
      <x:c r="AX32" s="638"/>
      <x:c r="AY32" s="638"/>
      <x:c r="AZ32" s="638"/>
      <x:c r="BA32" s="638"/>
      <x:c r="BB32" s="638"/>
      <x:c r="BC32" s="638"/>
      <x:c r="BD32" s="638"/>
      <x:c r="BE32" s="638"/>
      <x:c r="BF32" s="638"/>
      <x:c r="BG32" s="638"/>
      <x:c r="BH32" s="638"/>
      <x:c r="BI32" s="638"/>
      <x:c r="BJ32" s="638"/>
      <x:c r="BK32" s="638"/>
      <x:c r="BL32" s="638"/>
      <x:c r="BM32" s="638"/>
      <x:c r="BN32" s="624"/>
    </x:row>
    <x:row r="33" spans="1:66" x14ac:dyDescent="0.2">
      <x:c r="A33" s="25" t="inlineStr">
        <x:is>
          <x:t>Componente</x:t>
        </x:is>
      </x:c>
      <x:c r="B33" s="25" t="inlineStr">
        <x:is>
          <x:t>Total</x:t>
        </x:is>
      </x:c>
      <x:c r="C33"/>
      <x:c r="D33"/>
      <x:c r="E33" s="625"/>
      <x:c r="F33" s="627" t="n">
        <x:v>15935944019.08</x:v>
      </x:c>
      <x:c r="G33" s="627" t="n">
        <x:v>898225915.68</x:v>
      </x:c>
      <x:c r="H33" s="627" t="n">
        <x:v>506562249.4</x:v>
      </x:c>
      <x:c r="I33" s="627" t="n">
        <x:v>266135125.75</x:v>
      </x:c>
      <x:c r="J33" s="627" t="n">
        <x:v>3794560001.8</x:v>
      </x:c>
      <x:c r="K33" s="627" t="n">
        <x:v>133542830.63</x:v>
      </x:c>
      <x:c r="L33" s="627" t="n">
        <x:v>25277316.26</x:v>
      </x:c>
      <x:c r="M33" s="627" t="n">
        <x:v>1174929611.92</x:v>
      </x:c>
      <x:c r="N33" s="627" t="n">
        <x:v>1130889048.53</x:v>
      </x:c>
      <x:c r="O33" s="627" t="n">
        <x:v>5352179259.65</x:v>
      </x:c>
      <x:c r="P33" s="627" t="n">
        <x:v>2435757013.83</x:v>
      </x:c>
      <x:c r="Q33" s="627" t="n">
        <x:v>217904786.05</x:v>
      </x:c>
      <x:c r="R33" s="627" t="n">
        <x:v>-17547.81</x:v>
      </x:c>
      <x:c r="S33" s="627" t="n">
        <x:v>-2114.83</x:v>
      </x:c>
      <x:c r="T33" s="627" t="n">
        <x:v>522.25</x:v>
      </x:c>
      <x:c r="U33" s="627">
        <x:v>0</x:v>
      </x:c>
      <x:c r="V33" s="627">
        <x:v>0</x:v>
      </x:c>
      <x:c r="W33" s="627">
        <x:v>0</x:v>
      </x:c>
      <x:c r="X33" s="627">
        <x:v>0</x:v>
      </x:c>
      <x:c r="Y33" s="627">
        <x:v>0</x:v>
      </x:c>
      <x:c r="Z33" s="627" t="n">
        <x:v>-0.03</x:v>
      </x:c>
      <x:c r="BN33" s="624"/>
    </x:row>
    <x:row r="34" spans="1:66" x14ac:dyDescent="0.2">
      <x:c r="A34"/>
      <x:c r="B34"/>
      <x:c r="C34"/>
      <x:c r="D34"/>
      <x:c r="E34" s="625" t="inlineStr">
        <x:is>
          <x:t>Subsidio(-)/Contribucion(+)</x:t>
        </x:is>
      </x:c>
      <x:c r="F34" s="627" t="n">
        <x:v>40364.31</x:v>
      </x:c>
      <x:c r="G34" s="627" t="n">
        <x:v>1974.08</x:v>
      </x:c>
      <x:c r="H34" s="627" t="n">
        <x:v>1114.56</x:v>
      </x:c>
      <x:c r="I34" s="627" t="n">
        <x:v>585</x:v>
      </x:c>
      <x:c r="J34" s="627" t="n">
        <x:v>9457.65</x:v>
      </x:c>
      <x:c r="K34" s="627" t="n">
        <x:v>361.03</x:v>
      </x:c>
      <x:c r="L34" s="627" t="n">
        <x:v>0</x:v>
      </x:c>
      <x:c r="M34" s="627" t="n">
        <x:v>3166.94</x:v>
      </x:c>
      <x:c r="N34" s="627" t="n">
        <x:v>3091.65</x:v>
      </x:c>
      <x:c r="O34" s="627" t="n">
        <x:v>14632.85</x:v>
      </x:c>
      <x:c r="P34" s="627" t="n">
        <x:v>5391.5</x:v>
      </x:c>
      <x:c r="Q34" s="627" t="n">
        <x:v>589.05</x:v>
      </x:c>
      <x:c r="R34" s="627" t="n">
        <x:v>0</x:v>
      </x:c>
      <x:c r="S34" s="627" t="n">
        <x:v>0</x:v>
      </x:c>
      <x:c r="T34" s="627" t="n">
        <x:v>0</x:v>
      </x:c>
      <x:c r="U34" s="627">
        <x:v>0</x:v>
      </x:c>
      <x:c r="V34" s="627">
        <x:v>0</x:v>
      </x:c>
      <x:c r="W34" s="627">
        <x:v>0</x:v>
      </x:c>
      <x:c r="X34" s="627">
        <x:v>0</x:v>
      </x:c>
      <x:c r="Y34" s="627">
        <x:v>0</x:v>
      </x:c>
      <x:c r="Z34" s="627" t="n">
        <x:v>0</x:v>
      </x:c>
      <x:c r="BN34" s="624"/>
    </x:row>
    <x:row r="35" spans="1:66" x14ac:dyDescent="0.2">
      <x:c r="A35"/>
      <x:c r="B35"/>
      <x:c r="C35"/>
      <x:c r="D35" s="25" t="inlineStr">
        <x:is>
          <x:t>E</x:t>
        </x:is>
      </x:c>
      <x:c r="E35" s="625" t="inlineStr">
        <x:is>
          <x:t>Total</x:t>
        </x:is>
      </x:c>
      <x:c r="F35" s="627" t="n">
        <x:v>40364.31</x:v>
      </x:c>
      <x:c r="G35" s="627" t="n">
        <x:v>1974.08</x:v>
      </x:c>
      <x:c r="H35" s="627" t="n">
        <x:v>1114.56</x:v>
      </x:c>
      <x:c r="I35" s="627" t="n">
        <x:v>585</x:v>
      </x:c>
      <x:c r="J35" s="627" t="n">
        <x:v>9457.65</x:v>
      </x:c>
      <x:c r="K35" s="627" t="n">
        <x:v>361.03</x:v>
      </x:c>
      <x:c r="L35" s="627" t="n">
        <x:v>0</x:v>
      </x:c>
      <x:c r="M35" s="627" t="n">
        <x:v>3166.94</x:v>
      </x:c>
      <x:c r="N35" s="627" t="n">
        <x:v>3091.65</x:v>
      </x:c>
      <x:c r="O35" s="627" t="n">
        <x:v>14632.85</x:v>
      </x:c>
      <x:c r="P35" s="627" t="n">
        <x:v>5391.5</x:v>
      </x:c>
      <x:c r="Q35" s="627" t="n">
        <x:v>589.05</x:v>
      </x:c>
      <x:c r="R35" s="627" t="n">
        <x:v>0</x:v>
      </x:c>
      <x:c r="S35" s="627" t="n">
        <x:v>0</x:v>
      </x:c>
      <x:c r="T35" s="627" t="n">
        <x:v>0</x:v>
      </x:c>
      <x:c r="U35" s="627">
        <x:v>0</x:v>
      </x:c>
      <x:c r="V35" s="627">
        <x:v>0</x:v>
      </x:c>
      <x:c r="W35" s="627">
        <x:v>0</x:v>
      </x:c>
      <x:c r="X35" s="627">
        <x:v>0</x:v>
      </x:c>
      <x:c r="Y35" s="627">
        <x:v>0</x:v>
      </x:c>
      <x:c r="Z35" s="627" t="n">
        <x:v>0</x:v>
      </x:c>
      <x:c r="BN35" s="624"/>
    </x:row>
    <x:row r="36" spans="1:66" x14ac:dyDescent="0.2">
      <x:c r="A36" s="628"/>
      <x:c r="B36" s="628"/>
      <x:c r="C36" s="628" t="inlineStr">
        <x:is>
          <x:t>ENEL</x:t>
        </x:is>
      </x:c>
      <x:c r="D36" s="628" t="inlineStr">
        <x:is>
          <x:t>Total</x:t>
        </x:is>
      </x:c>
      <x:c r="E36" s="629"/>
      <x:c r="F36" s="630" t="n">
        <x:v>40364.31</x:v>
      </x:c>
      <x:c r="G36" s="630" t="n">
        <x:v>1974.08</x:v>
      </x:c>
      <x:c r="H36" s="630" t="n">
        <x:v>1114.56</x:v>
      </x:c>
      <x:c r="I36" s="630" t="n">
        <x:v>585</x:v>
      </x:c>
      <x:c r="J36" s="630" t="n">
        <x:v>9457.65</x:v>
      </x:c>
      <x:c r="K36" s="630" t="n">
        <x:v>361.03</x:v>
      </x:c>
      <x:c r="L36" s="630" t="n">
        <x:v>0</x:v>
      </x:c>
      <x:c r="M36" s="630" t="n">
        <x:v>3166.94</x:v>
      </x:c>
      <x:c r="N36" s="630" t="n">
        <x:v>3091.65</x:v>
      </x:c>
      <x:c r="O36" s="630" t="n">
        <x:v>14632.85</x:v>
      </x:c>
      <x:c r="P36" s="630" t="n">
        <x:v>5391.5</x:v>
      </x:c>
      <x:c r="Q36" s="630" t="n">
        <x:v>589.05</x:v>
      </x:c>
      <x:c r="R36" s="630" t="n">
        <x:v>0</x:v>
      </x:c>
      <x:c r="S36" s="630" t="n">
        <x:v>0</x:v>
      </x:c>
      <x:c r="T36" s="630" t="n">
        <x:v>0</x:v>
      </x:c>
      <x:c r="U36" s="630">
        <x:v>0</x:v>
      </x:c>
      <x:c r="V36" s="630">
        <x:v>0</x:v>
      </x:c>
      <x:c r="W36" s="630">
        <x:v>0</x:v>
      </x:c>
      <x:c r="X36" s="630">
        <x:v>0</x:v>
      </x:c>
      <x:c r="Y36" s="630">
        <x:v>0</x:v>
      </x:c>
      <x:c r="Z36" s="630" t="n">
        <x:v>0</x:v>
      </x:c>
      <x:c r="AA36" s="628"/>
      <x:c r="AB36" s="628"/>
      <x:c r="AC36" s="628"/>
      <x:c r="AD36" s="628"/>
      <x:c r="AE36" s="628"/>
      <x:c r="AF36" s="628"/>
      <x:c r="AG36" s="628"/>
      <x:c r="AH36" s="628"/>
      <x:c r="AI36" s="628"/>
      <x:c r="AJ36" s="628"/>
      <x:c r="AK36" s="628"/>
      <x:c r="AL36" s="628"/>
      <x:c r="AM36" s="628"/>
      <x:c r="AN36" s="628"/>
      <x:c r="AO36" s="628"/>
      <x:c r="AP36" s="628"/>
      <x:c r="AQ36" s="628"/>
      <x:c r="AR36" s="628"/>
      <x:c r="AS36" s="628"/>
      <x:c r="AT36" s="628"/>
      <x:c r="AU36" s="628"/>
      <x:c r="AV36" s="628"/>
      <x:c r="AW36" s="628"/>
      <x:c r="AX36" s="628"/>
      <x:c r="AY36" s="628"/>
      <x:c r="AZ36" s="628"/>
      <x:c r="BA36" s="628"/>
      <x:c r="BB36" s="628"/>
      <x:c r="BC36" s="628"/>
      <x:c r="BD36" s="628"/>
      <x:c r="BE36" s="628"/>
      <x:c r="BF36" s="628"/>
      <x:c r="BG36" s="628"/>
      <x:c r="BH36" s="628"/>
      <x:c r="BI36" s="628"/>
      <x:c r="BJ36" s="628"/>
      <x:c r="BK36" s="628"/>
      <x:c r="BL36" s="628"/>
      <x:c r="BM36" s="628"/>
      <x:c r="BN36" s="624"/>
    </x:row>
    <x:row r="37" spans="1:66" x14ac:dyDescent="0.2">
      <x:c r="A37" s="635"/>
      <x:c r="B37" s="635" t="inlineStr">
        <x:is>
          <x:t>Aplicacion nuevos x reversion</x:t>
        </x:is>
      </x:c>
      <x:c r="C37" s="635" t="inlineStr">
        <x:is>
          <x:t>Total</x:t>
        </x:is>
      </x:c>
      <x:c r="D37" s="635"/>
      <x:c r="E37" s="636"/>
      <x:c r="F37" s="637" t="n">
        <x:v>40364.31</x:v>
      </x:c>
      <x:c r="G37" s="637" t="n">
        <x:v>1974.08</x:v>
      </x:c>
      <x:c r="H37" s="637" t="n">
        <x:v>1114.56</x:v>
      </x:c>
      <x:c r="I37" s="637" t="n">
        <x:v>585</x:v>
      </x:c>
      <x:c r="J37" s="637" t="n">
        <x:v>9457.65</x:v>
      </x:c>
      <x:c r="K37" s="637" t="n">
        <x:v>361.03</x:v>
      </x:c>
      <x:c r="L37" s="637" t="n">
        <x:v>0</x:v>
      </x:c>
      <x:c r="M37" s="637" t="n">
        <x:v>3166.94</x:v>
      </x:c>
      <x:c r="N37" s="637" t="n">
        <x:v>3091.65</x:v>
      </x:c>
      <x:c r="O37" s="637" t="n">
        <x:v>14632.85</x:v>
      </x:c>
      <x:c r="P37" s="637" t="n">
        <x:v>5391.5</x:v>
      </x:c>
      <x:c r="Q37" s="637" t="n">
        <x:v>589.05</x:v>
      </x:c>
      <x:c r="R37" s="637" t="n">
        <x:v>0</x:v>
      </x:c>
      <x:c r="S37" s="637" t="n">
        <x:v>0</x:v>
      </x:c>
      <x:c r="T37" s="637" t="n">
        <x:v>0</x:v>
      </x:c>
      <x:c r="U37" s="637">
        <x:v>0</x:v>
      </x:c>
      <x:c r="V37" s="637">
        <x:v>0</x:v>
      </x:c>
      <x:c r="W37" s="637">
        <x:v>0</x:v>
      </x:c>
      <x:c r="X37" s="637">
        <x:v>0</x:v>
      </x:c>
      <x:c r="Y37" s="637">
        <x:v>0</x:v>
      </x:c>
      <x:c r="Z37" s="637" t="n">
        <x:v>0</x:v>
      </x:c>
      <x:c r="AA37" s="635"/>
      <x:c r="AB37" s="635"/>
      <x:c r="AC37" s="635"/>
      <x:c r="AD37" s="635"/>
      <x:c r="AE37" s="635"/>
      <x:c r="AF37" s="635"/>
      <x:c r="AG37" s="635"/>
      <x:c r="AH37" s="635"/>
      <x:c r="AI37" s="635"/>
      <x:c r="AJ37" s="635"/>
      <x:c r="AK37" s="635"/>
      <x:c r="AL37" s="635"/>
      <x:c r="AM37" s="635"/>
      <x:c r="AN37" s="635"/>
      <x:c r="AO37" s="635"/>
      <x:c r="AP37" s="635"/>
      <x:c r="AQ37" s="635"/>
      <x:c r="AR37" s="635"/>
      <x:c r="AS37" s="635"/>
      <x:c r="AT37" s="635"/>
      <x:c r="AU37" s="635"/>
      <x:c r="AV37" s="635"/>
      <x:c r="AW37" s="635"/>
      <x:c r="AX37" s="635"/>
      <x:c r="AY37" s="635"/>
      <x:c r="AZ37" s="635"/>
      <x:c r="BA37" s="635"/>
      <x:c r="BB37" s="635"/>
      <x:c r="BC37" s="635"/>
      <x:c r="BD37" s="635"/>
      <x:c r="BE37" s="635"/>
      <x:c r="BF37" s="635"/>
      <x:c r="BG37" s="635"/>
      <x:c r="BH37" s="635"/>
      <x:c r="BI37" s="635"/>
      <x:c r="BJ37" s="635"/>
      <x:c r="BK37" s="635"/>
      <x:c r="BL37" s="635"/>
      <x:c r="BM37" s="635"/>
      <x:c r="BN37" s="624"/>
    </x:row>
    <x:row r="38" spans="1:66" x14ac:dyDescent="0.2">
      <x:c r="A38"/>
      <x:c r="B38"/>
      <x:c r="C38"/>
      <x:c r="D38"/>
      <x:c r="E38" s="625" t="inlineStr">
        <x:is>
          <x:t>Subsidio(-)/Contribucion(+)</x:t>
        </x:is>
      </x:c>
      <x:c r="F38" s="627" t="n">
        <x:v>1261122890.41</x:v>
      </x:c>
      <x:c r="G38" s="627" t="n">
        <x:v>145017642.29</x:v>
      </x:c>
      <x:c r="H38" s="627" t="n">
        <x:v>81882191.68</x:v>
      </x:c>
      <x:c r="I38" s="627" t="n">
        <x:v>42987613.01</x:v>
      </x:c>
      <x:c r="J38" s="627" t="n">
        <x:v>181283966.8</x:v>
      </x:c>
      <x:c r="K38" s="627" t="n">
        <x:v>6932108.75</x:v>
      </x:c>
      <x:c r="L38" s="627" t="n">
        <x:v>0</x:v>
      </x:c>
      <x:c r="M38" s="627" t="n">
        <x:v>59431479.55</x:v>
      </x:c>
      <x:c r="N38" s="627" t="n">
        <x:v>58073052.67</x:v>
      </x:c>
      <x:c r="O38" s="627" t="n">
        <x:v>274861035.99</x:v>
      </x:c>
      <x:c r="P38" s="627" t="n">
        <x:v>399343193.25</x:v>
      </x:c>
      <x:c r="Q38" s="627" t="n">
        <x:v>11310606.42</x:v>
      </x:c>
      <x:c r="R38" s="627" t="n">
        <x:v>0</x:v>
      </x:c>
      <x:c r="S38" s="627" t="n">
        <x:v>0</x:v>
      </x:c>
      <x:c r="T38" s="627" t="n">
        <x:v>0</x:v>
      </x:c>
      <x:c r="U38" s="627">
        <x:v>0</x:v>
      </x:c>
      <x:c r="V38" s="627">
        <x:v>0</x:v>
      </x:c>
      <x:c r="W38" s="627">
        <x:v>0</x:v>
      </x:c>
      <x:c r="X38" s="627">
        <x:v>0</x:v>
      </x:c>
      <x:c r="Y38" s="627">
        <x:v>0</x:v>
      </x:c>
      <x:c r="Z38" s="627" t="n">
        <x:v>0</x:v>
      </x:c>
      <x:c r="BN38" s="624"/>
    </x:row>
    <x:row r="39" spans="1:66" x14ac:dyDescent="0.2">
      <x:c r="A39"/>
      <x:c r="B39"/>
      <x:c r="C39"/>
      <x:c r="D39" s="25" t="inlineStr">
        <x:is>
          <x:t>E</x:t>
        </x:is>
      </x:c>
      <x:c r="E39" s="625" t="inlineStr">
        <x:is>
          <x:t>Total</x:t>
        </x:is>
      </x:c>
      <x:c r="F39" s="627" t="n">
        <x:v>1261122890.41</x:v>
      </x:c>
      <x:c r="G39" s="627" t="n">
        <x:v>145017642.29</x:v>
      </x:c>
      <x:c r="H39" s="627" t="n">
        <x:v>81882191.68</x:v>
      </x:c>
      <x:c r="I39" s="627" t="n">
        <x:v>42987613.01</x:v>
      </x:c>
      <x:c r="J39" s="627" t="n">
        <x:v>181283966.8</x:v>
      </x:c>
      <x:c r="K39" s="627" t="n">
        <x:v>6932108.75</x:v>
      </x:c>
      <x:c r="L39" s="627" t="n">
        <x:v>0</x:v>
      </x:c>
      <x:c r="M39" s="627" t="n">
        <x:v>59431479.55</x:v>
      </x:c>
      <x:c r="N39" s="627" t="n">
        <x:v>58073052.67</x:v>
      </x:c>
      <x:c r="O39" s="627" t="n">
        <x:v>274861035.99</x:v>
      </x:c>
      <x:c r="P39" s="627" t="n">
        <x:v>399343193.25</x:v>
      </x:c>
      <x:c r="Q39" s="627" t="n">
        <x:v>11310606.42</x:v>
      </x:c>
      <x:c r="R39" s="627" t="n">
        <x:v>0</x:v>
      </x:c>
      <x:c r="S39" s="627" t="n">
        <x:v>0</x:v>
      </x:c>
      <x:c r="T39" s="627" t="n">
        <x:v>0</x:v>
      </x:c>
      <x:c r="U39" s="627">
        <x:v>0</x:v>
      </x:c>
      <x:c r="V39" s="627">
        <x:v>0</x:v>
      </x:c>
      <x:c r="W39" s="627">
        <x:v>0</x:v>
      </x:c>
      <x:c r="X39" s="627">
        <x:v>0</x:v>
      </x:c>
      <x:c r="Y39" s="627">
        <x:v>0</x:v>
      </x:c>
      <x:c r="Z39" s="627" t="n">
        <x:v>0</x:v>
      </x:c>
      <x:c r="BN39" s="624"/>
    </x:row>
    <x:row r="40" spans="1:66" x14ac:dyDescent="0.2">
      <x:c r="A40" s="628"/>
      <x:c r="B40" s="628"/>
      <x:c r="C40" s="628" t="inlineStr">
        <x:is>
          <x:t>ENEL</x:t>
        </x:is>
      </x:c>
      <x:c r="D40" s="628" t="inlineStr">
        <x:is>
          <x:t>Total</x:t>
        </x:is>
      </x:c>
      <x:c r="E40" s="629"/>
      <x:c r="F40" s="630" t="n">
        <x:v>1261122890.41</x:v>
      </x:c>
      <x:c r="G40" s="630" t="n">
        <x:v>145017642.29</x:v>
      </x:c>
      <x:c r="H40" s="630" t="n">
        <x:v>81882191.68</x:v>
      </x:c>
      <x:c r="I40" s="630" t="n">
        <x:v>42987613.01</x:v>
      </x:c>
      <x:c r="J40" s="630" t="n">
        <x:v>181283966.8</x:v>
      </x:c>
      <x:c r="K40" s="630" t="n">
        <x:v>6932108.75</x:v>
      </x:c>
      <x:c r="L40" s="630" t="n">
        <x:v>0</x:v>
      </x:c>
      <x:c r="M40" s="630" t="n">
        <x:v>59431479.55</x:v>
      </x:c>
      <x:c r="N40" s="630" t="n">
        <x:v>58073052.67</x:v>
      </x:c>
      <x:c r="O40" s="630" t="n">
        <x:v>274861035.99</x:v>
      </x:c>
      <x:c r="P40" s="630" t="n">
        <x:v>399343193.25</x:v>
      </x:c>
      <x:c r="Q40" s="630" t="n">
        <x:v>11310606.42</x:v>
      </x:c>
      <x:c r="R40" s="630" t="n">
        <x:v>0</x:v>
      </x:c>
      <x:c r="S40" s="630" t="n">
        <x:v>0</x:v>
      </x:c>
      <x:c r="T40" s="630" t="n">
        <x:v>0</x:v>
      </x:c>
      <x:c r="U40" s="630">
        <x:v>0</x:v>
      </x:c>
      <x:c r="V40" s="630">
        <x:v>0</x:v>
      </x:c>
      <x:c r="W40" s="630">
        <x:v>0</x:v>
      </x:c>
      <x:c r="X40" s="630">
        <x:v>0</x:v>
      </x:c>
      <x:c r="Y40" s="630">
        <x:v>0</x:v>
      </x:c>
      <x:c r="Z40" s="630" t="n">
        <x:v>0</x:v>
      </x:c>
      <x:c r="AA40" s="628"/>
      <x:c r="AB40" s="628"/>
      <x:c r="AC40" s="628"/>
      <x:c r="AD40" s="628"/>
      <x:c r="AE40" s="628"/>
      <x:c r="AF40" s="628"/>
      <x:c r="AG40" s="628"/>
      <x:c r="AH40" s="628"/>
      <x:c r="AI40" s="628"/>
      <x:c r="AJ40" s="628"/>
      <x:c r="AK40" s="628"/>
      <x:c r="AL40" s="628"/>
      <x:c r="AM40" s="628"/>
      <x:c r="AN40" s="628"/>
      <x:c r="AO40" s="628"/>
      <x:c r="AP40" s="628"/>
      <x:c r="AQ40" s="628"/>
      <x:c r="AR40" s="628"/>
      <x:c r="AS40" s="628"/>
      <x:c r="AT40" s="628"/>
      <x:c r="AU40" s="628"/>
      <x:c r="AV40" s="628"/>
      <x:c r="AW40" s="628"/>
      <x:c r="AX40" s="628"/>
      <x:c r="AY40" s="628"/>
      <x:c r="AZ40" s="628"/>
      <x:c r="BA40" s="628"/>
      <x:c r="BB40" s="628"/>
      <x:c r="BC40" s="628"/>
      <x:c r="BD40" s="628"/>
      <x:c r="BE40" s="628"/>
      <x:c r="BF40" s="628"/>
      <x:c r="BG40" s="628"/>
      <x:c r="BH40" s="628"/>
      <x:c r="BI40" s="628"/>
      <x:c r="BJ40" s="628"/>
      <x:c r="BK40" s="628"/>
      <x:c r="BL40" s="628"/>
      <x:c r="BM40" s="628"/>
      <x:c r="BN40" s="624"/>
    </x:row>
    <x:row r="41" spans="1:66" x14ac:dyDescent="0.2">
      <x:c r="A41"/>
      <x:c r="B41"/>
      <x:c r="C41"/>
      <x:c r="D41" s="625"/>
      <x:c r="E41" s="625" t="inlineStr">
        <x:is>
          <x:t>Subsidio(-)/Contribucion(+)</x:t>
        </x:is>
      </x:c>
      <x:c r="F41" s="627" t="n">
        <x:v>6082566.2</x:v>
      </x:c>
      <x:c r="G41" s="627" t="n">
        <x:v>1209162.83</x:v>
      </x:c>
      <x:c r="H41" s="627" t="n">
        <x:v>679361.72</x:v>
      </x:c>
      <x:c r="I41" s="627" t="n">
        <x:v>354481.28</x:v>
      </x:c>
      <x:c r="J41" s="627" t="n">
        <x:v>358187.27</x:v>
      </x:c>
      <x:c r="K41" s="627" t="n">
        <x:v>-4705.56</x:v>
      </x:c>
      <x:c r="L41" s="627" t="n">
        <x:v>0</x:v>
      </x:c>
      <x:c r="M41" s="627" t="n">
        <x:v>-42042.77</x:v>
      </x:c>
      <x:c r="N41" s="627" t="n">
        <x:v>41264.06</x:v>
      </x:c>
      <x:c r="O41" s="627" t="n">
        <x:v>193736.04</x:v>
      </x:c>
      <x:c r="P41" s="627" t="n">
        <x:v>3300638.3</x:v>
      </x:c>
      <x:c r="Q41" s="627" t="n">
        <x:v>-7516.97</x:v>
      </x:c>
      <x:c r="R41" s="627" t="n">
        <x:v>0</x:v>
      </x:c>
      <x:c r="S41" s="627" t="n">
        <x:v>0</x:v>
      </x:c>
      <x:c r="T41" s="627" t="n">
        <x:v>0</x:v>
      </x:c>
      <x:c r="U41" s="627">
        <x:v>0</x:v>
      </x:c>
      <x:c r="V41" s="627">
        <x:v>0</x:v>
      </x:c>
      <x:c r="W41" s="627">
        <x:v>0</x:v>
      </x:c>
      <x:c r="X41" s="627">
        <x:v>0</x:v>
      </x:c>
      <x:c r="Y41" s="627">
        <x:v>0</x:v>
      </x:c>
      <x:c r="Z41" s="627" t="n">
        <x:v>0</x:v>
      </x:c>
      <x:c r="BN41" s="624"/>
    </x:row>
    <x:row r="42" spans="1:66" x14ac:dyDescent="0.2">
      <x:c r="A42"/>
      <x:c r="B42"/>
      <x:c r="C42"/>
      <x:c r="D42" s="25" t="inlineStr">
        <x:is>
          <x:t>H</x:t>
        </x:is>
      </x:c>
      <x:c r="E42" s="625" t="inlineStr">
        <x:is>
          <x:t>Total</x:t>
        </x:is>
      </x:c>
      <x:c r="F42" s="627" t="n">
        <x:v>6082566.2</x:v>
      </x:c>
      <x:c r="G42" s="627" t="n">
        <x:v>1209162.83</x:v>
      </x:c>
      <x:c r="H42" s="627" t="n">
        <x:v>679361.72</x:v>
      </x:c>
      <x:c r="I42" s="627" t="n">
        <x:v>354481.28</x:v>
      </x:c>
      <x:c r="J42" s="627" t="n">
        <x:v>358187.27</x:v>
      </x:c>
      <x:c r="K42" s="627" t="n">
        <x:v>-4705.56</x:v>
      </x:c>
      <x:c r="L42" s="627" t="n">
        <x:v>0</x:v>
      </x:c>
      <x:c r="M42" s="627" t="n">
        <x:v>-42042.77</x:v>
      </x:c>
      <x:c r="N42" s="627" t="n">
        <x:v>41264.06</x:v>
      </x:c>
      <x:c r="O42" s="627" t="n">
        <x:v>193736.04</x:v>
      </x:c>
      <x:c r="P42" s="627" t="n">
        <x:v>3300638.3</x:v>
      </x:c>
      <x:c r="Q42" s="627" t="n">
        <x:v>-7516.97</x:v>
      </x:c>
      <x:c r="R42" s="627" t="n">
        <x:v>0</x:v>
      </x:c>
      <x:c r="S42" s="627" t="n">
        <x:v>0</x:v>
      </x:c>
      <x:c r="T42" s="627" t="n">
        <x:v>0</x:v>
      </x:c>
      <x:c r="U42" s="627">
        <x:v>0</x:v>
      </x:c>
      <x:c r="V42" s="627">
        <x:v>0</x:v>
      </x:c>
      <x:c r="W42" s="627">
        <x:v>0</x:v>
      </x:c>
      <x:c r="X42" s="627">
        <x:v>0</x:v>
      </x:c>
      <x:c r="Y42" s="627">
        <x:v>0</x:v>
      </x:c>
      <x:c r="Z42" s="627" t="n">
        <x:v>0</x:v>
      </x:c>
      <x:c r="BN42" s="624"/>
    </x:row>
    <x:row r="43" spans="1:66" x14ac:dyDescent="0.2">
      <x:c r="A43"/>
      <x:c r="B43"/>
      <x:c r="C43"/>
      <x:c r="D43" s="625"/>
      <x:c r="E43" s="625" t="inlineStr">
        <x:is>
          <x:t>Subsidio(-)/Contribucion(+)</x:t>
        </x:is>
      </x:c>
      <x:c r="F43" s="627" t="n">
        <x:v>29193363.24</x:v>
      </x:c>
      <x:c r="G43" s="627" t="n">
        <x:v>5503604.9</x:v>
      </x:c>
      <x:c r="H43" s="627" t="n">
        <x:v>3036599.6</x:v>
      </x:c>
      <x:c r="I43" s="627" t="n">
        <x:v>1564692.21</x:v>
      </x:c>
      <x:c r="J43" s="627" t="n">
        <x:v>1181412.52</x:v>
      </x:c>
      <x:c r="K43" s="627" t="n">
        <x:v>26083.53</x:v>
      </x:c>
      <x:c r="L43" s="627" t="n">
        <x:v>0</x:v>
      </x:c>
      <x:c r="M43" s="627" t="n">
        <x:v>217934.27</x:v>
      </x:c>
      <x:c r="N43" s="627" t="n">
        <x:v>473929.76</x:v>
      </x:c>
      <x:c r="O43" s="627" t="n">
        <x:v>2182082.49</x:v>
      </x:c>
      <x:c r="P43" s="627" t="n">
        <x:v>14964294.19</x:v>
      </x:c>
      <x:c r="Q43" s="627" t="n">
        <x:v>42729.77</x:v>
      </x:c>
      <x:c r="R43" s="627" t="n">
        <x:v>0</x:v>
      </x:c>
      <x:c r="S43" s="627" t="n">
        <x:v>0</x:v>
      </x:c>
      <x:c r="T43" s="627" t="n">
        <x:v>0</x:v>
      </x:c>
      <x:c r="U43" s="627">
        <x:v>0</x:v>
      </x:c>
      <x:c r="V43" s="627">
        <x:v>0</x:v>
      </x:c>
      <x:c r="W43" s="627">
        <x:v>0</x:v>
      </x:c>
      <x:c r="X43" s="627">
        <x:v>0</x:v>
      </x:c>
      <x:c r="Y43" s="627">
        <x:v>0</x:v>
      </x:c>
      <x:c r="Z43" s="627" t="n">
        <x:v>0</x:v>
      </x:c>
      <x:c r="BN43" s="624"/>
    </x:row>
    <x:row r="44" spans="1:66" x14ac:dyDescent="0.2">
      <x:c r="A44"/>
      <x:c r="B44"/>
      <x:c r="C44"/>
      <x:c r="D44" s="25" t="inlineStr">
        <x:is>
          <x:t>O</x:t>
        </x:is>
      </x:c>
      <x:c r="E44" s="625" t="inlineStr">
        <x:is>
          <x:t>Total</x:t>
        </x:is>
      </x:c>
      <x:c r="F44" s="627" t="n">
        <x:v>29193363.24</x:v>
      </x:c>
      <x:c r="G44" s="627" t="n">
        <x:v>5503604.9</x:v>
      </x:c>
      <x:c r="H44" s="627" t="n">
        <x:v>3036599.6</x:v>
      </x:c>
      <x:c r="I44" s="627" t="n">
        <x:v>1564692.21</x:v>
      </x:c>
      <x:c r="J44" s="627" t="n">
        <x:v>1181412.52</x:v>
      </x:c>
      <x:c r="K44" s="627" t="n">
        <x:v>26083.53</x:v>
      </x:c>
      <x:c r="L44" s="627" t="n">
        <x:v>0</x:v>
      </x:c>
      <x:c r="M44" s="627" t="n">
        <x:v>217934.27</x:v>
      </x:c>
      <x:c r="N44" s="627" t="n">
        <x:v>473929.76</x:v>
      </x:c>
      <x:c r="O44" s="627" t="n">
        <x:v>2182082.49</x:v>
      </x:c>
      <x:c r="P44" s="627" t="n">
        <x:v>14964294.19</x:v>
      </x:c>
      <x:c r="Q44" s="627" t="n">
        <x:v>42729.77</x:v>
      </x:c>
      <x:c r="R44" s="627" t="n">
        <x:v>0</x:v>
      </x:c>
      <x:c r="S44" s="627" t="n">
        <x:v>0</x:v>
      </x:c>
      <x:c r="T44" s="627" t="n">
        <x:v>0</x:v>
      </x:c>
      <x:c r="U44" s="627">
        <x:v>0</x:v>
      </x:c>
      <x:c r="V44" s="627">
        <x:v>0</x:v>
      </x:c>
      <x:c r="W44" s="627">
        <x:v>0</x:v>
      </x:c>
      <x:c r="X44" s="627">
        <x:v>0</x:v>
      </x:c>
      <x:c r="Y44" s="627">
        <x:v>0</x:v>
      </x:c>
      <x:c r="Z44" s="627" t="n">
        <x:v>0</x:v>
      </x:c>
      <x:c r="BN44" s="624"/>
    </x:row>
    <x:row r="45" spans="1:66" x14ac:dyDescent="0.2">
      <x:c r="A45"/>
      <x:c r="B45"/>
      <x:c r="C45"/>
      <x:c r="D45" s="625"/>
      <x:c r="E45" s="625" t="inlineStr">
        <x:is>
          <x:t>Subsidio(-)/Contribucion(+)</x:t>
        </x:is>
      </x:c>
      <x:c r="F45" s="627" t="n">
        <x:v>132748470.25</x:v>
      </x:c>
      <x:c r="G45" s="627" t="n">
        <x:v>23581040.41</x:v>
      </x:c>
      <x:c r="H45" s="627" t="n">
        <x:v>13134900.38</x:v>
      </x:c>
      <x:c r="I45" s="627" t="n">
        <x:v>6932117.97</x:v>
      </x:c>
      <x:c r="J45" s="627" t="n">
        <x:v>8421230.27</x:v>
      </x:c>
      <x:c r="K45" s="627" t="n">
        <x:v>204893.95</x:v>
      </x:c>
      <x:c r="L45" s="627" t="n">
        <x:v>0</x:v>
      </x:c>
      <x:c r="M45" s="627" t="n">
        <x:v>1822856.43</x:v>
      </x:c>
      <x:c r="N45" s="627" t="n">
        <x:v>2503084.31</x:v>
      </x:c>
      <x:c r="O45" s="627" t="n">
        <x:v>11686632.25</x:v>
      </x:c>
      <x:c r="P45" s="627" t="n">
        <x:v>64127779.72</x:v>
      </x:c>
      <x:c r="Q45" s="627" t="n">
        <x:v>333934.56</x:v>
      </x:c>
      <x:c r="R45" s="627" t="n">
        <x:v>0</x:v>
      </x:c>
      <x:c r="S45" s="627" t="n">
        <x:v>0</x:v>
      </x:c>
      <x:c r="T45" s="627" t="n">
        <x:v>0</x:v>
      </x:c>
      <x:c r="U45" s="627">
        <x:v>0</x:v>
      </x:c>
      <x:c r="V45" s="627">
        <x:v>0</x:v>
      </x:c>
      <x:c r="W45" s="627">
        <x:v>0</x:v>
      </x:c>
      <x:c r="X45" s="627">
        <x:v>0</x:v>
      </x:c>
      <x:c r="Y45" s="627">
        <x:v>0</x:v>
      </x:c>
      <x:c r="Z45" s="627" t="n">
        <x:v>0</x:v>
      </x:c>
      <x:c r="BN45" s="624"/>
    </x:row>
    <x:row r="46" spans="1:66" x14ac:dyDescent="0.2">
      <x:c r="A46"/>
      <x:c r="B46"/>
      <x:c r="C46" s="625"/>
      <x:c r="D46" s="625" t="inlineStr">
        <x:is>
          <x:t>T</x:t>
        </x:is>
      </x:c>
      <x:c r="E46" s="25" t="inlineStr">
        <x:is>
          <x:t>Total</x:t>
        </x:is>
      </x:c>
      <x:c r="F46" s="627" t="n">
        <x:v>132748470.25</x:v>
      </x:c>
      <x:c r="G46" s="627" t="n">
        <x:v>23581040.41</x:v>
      </x:c>
      <x:c r="H46" s="627" t="n">
        <x:v>13134900.38</x:v>
      </x:c>
      <x:c r="I46" s="627" t="n">
        <x:v>6932117.97</x:v>
      </x:c>
      <x:c r="J46" s="627" t="n">
        <x:v>8421230.27</x:v>
      </x:c>
      <x:c r="K46" s="627" t="n">
        <x:v>204893.95</x:v>
      </x:c>
      <x:c r="L46" s="627" t="n">
        <x:v>0</x:v>
      </x:c>
      <x:c r="M46" s="627" t="n">
        <x:v>1822856.43</x:v>
      </x:c>
      <x:c r="N46" s="627" t="n">
        <x:v>2503084.31</x:v>
      </x:c>
      <x:c r="O46" s="627" t="n">
        <x:v>11686632.25</x:v>
      </x:c>
      <x:c r="P46" s="627" t="n">
        <x:v>64127779.72</x:v>
      </x:c>
      <x:c r="Q46" s="627" t="n">
        <x:v>333934.56</x:v>
      </x:c>
      <x:c r="R46" s="627" t="n">
        <x:v>0</x:v>
      </x:c>
      <x:c r="S46" s="627" t="n">
        <x:v>0</x:v>
      </x:c>
      <x:c r="T46" s="627" t="n">
        <x:v>0</x:v>
      </x:c>
      <x:c r="U46" s="627">
        <x:v>0</x:v>
      </x:c>
      <x:c r="V46" s="627">
        <x:v>0</x:v>
      </x:c>
      <x:c r="W46" s="627">
        <x:v>0</x:v>
      </x:c>
      <x:c r="X46" s="627">
        <x:v>0</x:v>
      </x:c>
      <x:c r="Y46" s="627">
        <x:v>0</x:v>
      </x:c>
      <x:c r="Z46" s="627" t="n">
        <x:v>0</x:v>
      </x:c>
      <x:c r="BN46" s="624"/>
    </x:row>
    <x:row r="47" spans="1:66" x14ac:dyDescent="0.2">
      <x:c r="A47" s="631"/>
      <x:c r="B47" s="631"/>
      <x:c r="C47" s="632" t="inlineStr">
        <x:is>
          <x:t>OCCIDENTE</x:t>
        </x:is>
      </x:c>
      <x:c r="D47" s="632" t="inlineStr">
        <x:is>
          <x:t>Total</x:t>
        </x:is>
      </x:c>
      <x:c r="E47" s="631"/>
      <x:c r="F47" s="633" t="n">
        <x:v>168024399.69</x:v>
      </x:c>
      <x:c r="G47" s="633" t="n">
        <x:v>30293808.14</x:v>
      </x:c>
      <x:c r="H47" s="633" t="n">
        <x:v>16850861.7</x:v>
      </x:c>
      <x:c r="I47" s="633" t="n">
        <x:v>8851291.46</x:v>
      </x:c>
      <x:c r="J47" s="633" t="n">
        <x:v>9960830.06</x:v>
      </x:c>
      <x:c r="K47" s="633" t="n">
        <x:v>226271.92</x:v>
      </x:c>
      <x:c r="L47" s="633" t="n">
        <x:v>0</x:v>
      </x:c>
      <x:c r="M47" s="633" t="n">
        <x:v>1998747.93</x:v>
      </x:c>
      <x:c r="N47" s="633" t="n">
        <x:v>3018278.13</x:v>
      </x:c>
      <x:c r="O47" s="633" t="n">
        <x:v>14062450.78</x:v>
      </x:c>
      <x:c r="P47" s="633" t="n">
        <x:v>82392712.21</x:v>
      </x:c>
      <x:c r="Q47" s="633" t="n">
        <x:v>369147.36</x:v>
      </x:c>
      <x:c r="R47" s="633" t="n">
        <x:v>0</x:v>
      </x:c>
      <x:c r="S47" s="633" t="n">
        <x:v>0</x:v>
      </x:c>
      <x:c r="T47" s="633" t="n">
        <x:v>0</x:v>
      </x:c>
      <x:c r="U47" s="633">
        <x:v>0</x:v>
      </x:c>
      <x:c r="V47" s="633">
        <x:v>0</x:v>
      </x:c>
      <x:c r="W47" s="633">
        <x:v>0</x:v>
      </x:c>
      <x:c r="X47" s="633">
        <x:v>0</x:v>
      </x:c>
      <x:c r="Y47" s="633">
        <x:v>0</x:v>
      </x:c>
      <x:c r="Z47" s="633" t="n">
        <x:v>0</x:v>
      </x:c>
      <x:c r="AA47" s="631"/>
      <x:c r="AB47" s="631"/>
      <x:c r="AC47" s="631"/>
      <x:c r="AD47" s="631"/>
      <x:c r="AE47" s="631"/>
      <x:c r="AF47" s="631"/>
      <x:c r="AG47" s="631"/>
      <x:c r="AH47" s="631"/>
      <x:c r="AI47" s="631"/>
      <x:c r="AJ47" s="631"/>
      <x:c r="AK47" s="631"/>
      <x:c r="AL47" s="631"/>
      <x:c r="AM47" s="631"/>
      <x:c r="AN47" s="631"/>
      <x:c r="AO47" s="631"/>
      <x:c r="AP47" s="631"/>
      <x:c r="AQ47" s="631"/>
      <x:c r="AR47" s="631"/>
      <x:c r="AS47" s="631"/>
      <x:c r="AT47" s="631"/>
      <x:c r="AU47" s="631"/>
      <x:c r="AV47" s="631"/>
      <x:c r="AW47" s="631"/>
      <x:c r="AX47" s="631"/>
      <x:c r="AY47" s="631"/>
      <x:c r="AZ47" s="631"/>
      <x:c r="BA47" s="631"/>
      <x:c r="BB47" s="631"/>
      <x:c r="BC47" s="631"/>
      <x:c r="BD47" s="631"/>
      <x:c r="BE47" s="631"/>
      <x:c r="BF47" s="631"/>
      <x:c r="BG47" s="631"/>
      <x:c r="BH47" s="631"/>
      <x:c r="BI47" s="631"/>
      <x:c r="BJ47" s="631"/>
      <x:c r="BK47" s="631"/>
      <x:c r="BL47" s="631"/>
      <x:c r="BM47" s="631"/>
      <x:c r="BN47" s="624"/>
    </x:row>
    <x:row r="48" spans="1:66" x14ac:dyDescent="0.2">
      <x:c r="A48" s="638"/>
      <x:c r="B48" s="639" t="inlineStr">
        <x:is>
          <x:t>Mes</x:t>
        </x:is>
      </x:c>
      <x:c r="C48" s="639" t="inlineStr">
        <x:is>
          <x:t>Total</x:t>
        </x:is>
      </x:c>
      <x:c r="D48" s="638"/>
      <x:c r="E48" s="638"/>
      <x:c r="F48" s="640" t="n">
        <x:v>1429147290.1</x:v>
      </x:c>
      <x:c r="G48" s="640" t="n">
        <x:v>175311450.43</x:v>
      </x:c>
      <x:c r="H48" s="640" t="n">
        <x:v>98733053.38</x:v>
      </x:c>
      <x:c r="I48" s="640" t="n">
        <x:v>51838904.47</x:v>
      </x:c>
      <x:c r="J48" s="640" t="n">
        <x:v>191244796.86</x:v>
      </x:c>
      <x:c r="K48" s="640" t="n">
        <x:v>7158380.67</x:v>
      </x:c>
      <x:c r="L48" s="640" t="n">
        <x:v>0</x:v>
      </x:c>
      <x:c r="M48" s="640" t="n">
        <x:v>61430227.48</x:v>
      </x:c>
      <x:c r="N48" s="640" t="n">
        <x:v>61091330.8</x:v>
      </x:c>
      <x:c r="O48" s="640" t="n">
        <x:v>288923486.77</x:v>
      </x:c>
      <x:c r="P48" s="640" t="n">
        <x:v>481735905.46</x:v>
      </x:c>
      <x:c r="Q48" s="640" t="n">
        <x:v>11679753.78</x:v>
      </x:c>
      <x:c r="R48" s="640" t="n">
        <x:v>0</x:v>
      </x:c>
      <x:c r="S48" s="640" t="n">
        <x:v>0</x:v>
      </x:c>
      <x:c r="T48" s="640" t="n">
        <x:v>0</x:v>
      </x:c>
      <x:c r="U48" s="640">
        <x:v>0</x:v>
      </x:c>
      <x:c r="V48" s="640">
        <x:v>0</x:v>
      </x:c>
      <x:c r="W48" s="640">
        <x:v>0</x:v>
      </x:c>
      <x:c r="X48" s="640">
        <x:v>0</x:v>
      </x:c>
      <x:c r="Y48" s="640">
        <x:v>0</x:v>
      </x:c>
      <x:c r="Z48" s="640" t="n">
        <x:v>0</x:v>
      </x:c>
      <x:c r="AA48" s="638"/>
      <x:c r="AB48" s="638"/>
      <x:c r="AC48" s="638"/>
      <x:c r="AD48" s="638"/>
      <x:c r="AE48" s="638"/>
      <x:c r="AF48" s="638"/>
      <x:c r="AG48" s="638"/>
      <x:c r="AH48" s="638"/>
      <x:c r="AI48" s="638"/>
      <x:c r="AJ48" s="638"/>
      <x:c r="AK48" s="638"/>
      <x:c r="AL48" s="638"/>
      <x:c r="AM48" s="638"/>
      <x:c r="AN48" s="638"/>
      <x:c r="AO48" s="638"/>
      <x:c r="AP48" s="638"/>
      <x:c r="AQ48" s="638"/>
      <x:c r="AR48" s="638"/>
      <x:c r="AS48" s="638"/>
      <x:c r="AT48" s="638"/>
      <x:c r="AU48" s="638"/>
      <x:c r="AV48" s="638"/>
      <x:c r="AW48" s="638"/>
      <x:c r="AX48" s="638"/>
      <x:c r="AY48" s="638"/>
      <x:c r="AZ48" s="638"/>
      <x:c r="BA48" s="638"/>
      <x:c r="BB48" s="638"/>
      <x:c r="BC48" s="638"/>
      <x:c r="BD48" s="638"/>
      <x:c r="BE48" s="638"/>
      <x:c r="BF48" s="638"/>
      <x:c r="BG48" s="638"/>
      <x:c r="BH48" s="638"/>
      <x:c r="BI48" s="638"/>
      <x:c r="BJ48" s="638"/>
      <x:c r="BK48" s="638"/>
      <x:c r="BL48" s="638"/>
      <x:c r="BM48" s="638"/>
      <x:c r="BN48" s="624"/>
    </x:row>
    <x:row r="49" spans="1:66" x14ac:dyDescent="0.2">
      <x:c r="A49" s="625" t="inlineStr">
        <x:is>
          <x:t>Subs/Cont</x:t>
        </x:is>
      </x:c>
      <x:c r="B49" s="25" t="inlineStr">
        <x:is>
          <x:t>Total</x:t>
        </x:is>
      </x:c>
      <x:c r="C49"/>
      <x:c r="D49"/>
      <x:c r="E49"/>
      <x:c r="F49" s="627" t="n">
        <x:v>1429187654.41</x:v>
      </x:c>
      <x:c r="G49" s="627" t="n">
        <x:v>175313424.51</x:v>
      </x:c>
      <x:c r="H49" s="627" t="n">
        <x:v>98734167.94</x:v>
      </x:c>
      <x:c r="I49" s="627" t="n">
        <x:v>51839489.47</x:v>
      </x:c>
      <x:c r="J49" s="627" t="n">
        <x:v>191254254.51</x:v>
      </x:c>
      <x:c r="K49" s="627" t="n">
        <x:v>7158741.7</x:v>
      </x:c>
      <x:c r="L49" s="627" t="n">
        <x:v>0</x:v>
      </x:c>
      <x:c r="M49" s="627" t="n">
        <x:v>61433394.42</x:v>
      </x:c>
      <x:c r="N49" s="627" t="n">
        <x:v>61094422.45</x:v>
      </x:c>
      <x:c r="O49" s="627" t="n">
        <x:v>288938119.62</x:v>
      </x:c>
      <x:c r="P49" s="627" t="n">
        <x:v>481741296.96</x:v>
      </x:c>
      <x:c r="Q49" s="627" t="n">
        <x:v>11680342.83</x:v>
      </x:c>
      <x:c r="R49" s="627" t="n">
        <x:v>0</x:v>
      </x:c>
      <x:c r="S49" s="627" t="n">
        <x:v>0</x:v>
      </x:c>
      <x:c r="T49" s="627" t="n">
        <x:v>0</x:v>
      </x:c>
      <x:c r="U49" s="627">
        <x:v>0</x:v>
      </x:c>
      <x:c r="V49" s="627">
        <x:v>0</x:v>
      </x:c>
      <x:c r="W49" s="627">
        <x:v>0</x:v>
      </x:c>
      <x:c r="X49" s="627">
        <x:v>0</x:v>
      </x:c>
      <x:c r="Y49" s="627">
        <x:v>0</x:v>
      </x:c>
      <x:c r="Z49" s="627" t="n">
        <x:v>0</x:v>
      </x:c>
      <x:c r="BN49" s="624"/>
    </x:row>
    <x:row r="50" spans="1:66" x14ac:dyDescent="0.2">
      <x:c r="A50" s="625" t="inlineStr">
        <x:is>
          <x:t>Total</x:t>
        </x:is>
      </x:c>
      <x:c r="B50"/>
      <x:c r="C50"/>
      <x:c r="D50"/>
      <x:c r="E50"/>
      <x:c r="F50" s="627" t="n">
        <x:v>17365120456.12</x:v>
      </x:c>
      <x:c r="G50" s="627" t="n">
        <x:v>1073538573.81</x:v>
      </x:c>
      <x:c r="H50" s="627" t="n">
        <x:v>605296091.75</x:v>
      </x:c>
      <x:c r="I50" s="627" t="n">
        <x:v>317974473.05</x:v>
      </x:c>
      <x:c r="J50" s="627" t="n">
        <x:v>3985812285.94</x:v>
      </x:c>
      <x:c r="K50" s="627" t="n">
        <x:v>140701445.01</x:v>
      </x:c>
      <x:c r="L50" s="627" t="n">
        <x:v>25277316.26</x:v>
      </x:c>
      <x:c r="M50" s="627" t="n">
        <x:v>1236361889.52</x:v>
      </x:c>
      <x:c r="N50" s="627" t="n">
        <x:v>1191982536.31</x:v>
      </x:c>
      <x:c r="O50" s="627" t="n">
        <x:v>5641113648.39</x:v>
      </x:c>
      <x:c r="P50" s="627" t="n">
        <x:v>2917496415.36</x:v>
      </x:c>
      <x:c r="Q50" s="627" t="n">
        <x:v>229584921.14</x:v>
      </x:c>
      <x:c r="R50" s="627" t="n">
        <x:v>-17547.81</x:v>
      </x:c>
      <x:c r="S50" s="627" t="n">
        <x:v>-2114.83</x:v>
      </x:c>
      <x:c r="T50" s="653" t="n">
        <x:v>522.25</x:v>
      </x:c>
      <x:c r="U50" s="653">
        <x:v>0</x:v>
      </x:c>
      <x:c r="V50" s="653">
        <x:v>0</x:v>
      </x:c>
      <x:c r="W50" s="653">
        <x:v>0</x:v>
      </x:c>
      <x:c r="X50" s="627">
        <x:v>0</x:v>
      </x:c>
      <x:c r="Y50" s="627">
        <x:v>0</x:v>
      </x:c>
      <x:c r="Z50" s="653" t="n">
        <x:v>-0.03</x:v>
      </x:c>
      <x:c r="BN50" s="624"/>
    </x:row>
    <x:row r="51" spans="1:66" x14ac:dyDescent="0.2">
      <x:c r="A51" s="625"/>
      <x:c r="D51" s="641"/>
      <x:c r="E51" s="642"/>
      <x:c r="F51" s="627"/>
      <x:c r="G51" s="627"/>
      <x:c r="H51" s="627"/>
      <x:c r="I51" s="627"/>
      <x:c r="J51" s="627"/>
      <x:c r="K51" s="627"/>
      <x:c r="L51" s="627"/>
      <x:c r="M51" s="627"/>
      <x:c r="N51" s="627"/>
      <x:c r="O51" s="627"/>
      <x:c r="P51" s="627"/>
      <x:c r="Q51" s="627"/>
      <x:c r="R51" s="627"/>
      <x:c r="S51" s="627"/>
      <x:c r="X51" s="627"/>
      <x:c r="Y51" s="627"/>
      <x:c r="BN51" s="624"/>
    </x:row>
    <x:row r="52" spans="1:66" x14ac:dyDescent="0.2">
      <x:c r="A52" s="625"/>
      <x:c r="F52" s="627"/>
      <x:c r="G52" s="627"/>
      <x:c r="H52" s="627"/>
      <x:c r="I52" s="627"/>
      <x:c r="J52" s="627"/>
      <x:c r="K52" s="627"/>
      <x:c r="L52" s="627"/>
      <x:c r="M52" s="627"/>
      <x:c r="N52" s="627"/>
      <x:c r="O52" s="627"/>
      <x:c r="P52" s="627"/>
      <x:c r="Q52" s="627"/>
      <x:c r="R52" s="627"/>
      <x:c r="S52" s="627"/>
      <x:c r="BN52" s="624"/>
    </x:row>
    <x:row r="53" spans="1:66" x14ac:dyDescent="0.2">
      <x:c r="C53" s="770" t="s">
        <x:v>2</x:v>
      </x:c>
      <x:c r="D53" s="768" t="s">
        <x:v>132</x:v>
      </x:c>
      <x:c r="E53" s="639" t="s">
        <x:v>70</x:v>
      </x:c>
      <x:c r="F53" s="640">
        <x:f>F32+F48+F12-L12-L32</x:f>
        <x:v>0</x:v>
      </x:c>
      <x:c r="G53" s="640">
        <x:f>G32+G12</x:f>
        <x:v>0</x:v>
      </x:c>
      <x:c r="H53" s="640">
        <x:f t="shared" si="0"/>
        <x:v>0</x:v>
      </x:c>
      <x:c r="I53" s="640">
        <x:f t="shared" si="0"/>
        <x:v>0</x:v>
      </x:c>
      <x:c r="J53" s="640">
        <x:f t="shared" si="0"/>
        <x:v>0</x:v>
      </x:c>
      <x:c r="K53" s="640">
        <x:f t="shared" si="0"/>
        <x:v>0</x:v>
      </x:c>
      <x:c r="L53" s="640">
        <x:f t="shared" si="0"/>
        <x:v>0</x:v>
      </x:c>
      <x:c r="M53" s="640">
        <x:f t="shared" si="0"/>
        <x:v>0</x:v>
      </x:c>
      <x:c r="N53" s="640">
        <x:f t="shared" si="0"/>
        <x:v>0</x:v>
      </x:c>
      <x:c r="O53" s="640">
        <x:f t="shared" si="0"/>
        <x:v>0</x:v>
      </x:c>
      <x:c r="P53" s="640">
        <x:f t="shared" si="0"/>
        <x:v>0</x:v>
      </x:c>
      <x:c r="Q53" s="640">
        <x:f t="shared" si="0"/>
        <x:v>0</x:v>
      </x:c>
      <x:c r="R53" s="640">
        <x:f t="shared" si="0"/>
        <x:v>0</x:v>
      </x:c>
      <x:c r="S53" s="640">
        <x:f t="shared" si="0"/>
        <x:v>0</x:v>
      </x:c>
      <x:c r="T53" s="640">
        <x:f t="shared" si="0"/>
        <x:v>0</x:v>
      </x:c>
      <x:c r="U53" s="640">
        <x:f t="shared" si="0"/>
        <x:v>0</x:v>
      </x:c>
      <x:c r="V53" s="640">
        <x:f t="shared" si="0"/>
        <x:v>0</x:v>
      </x:c>
      <x:c r="W53" s="640">
        <x:f t="shared" si="0"/>
        <x:v>0</x:v>
      </x:c>
      <x:c r="X53" s="640">
        <x:f t="shared" si="0"/>
        <x:v>0</x:v>
      </x:c>
      <x:c r="Y53" s="640">
        <x:f t="shared" si="0"/>
        <x:v>0</x:v>
      </x:c>
      <x:c r="Z53" s="640">
        <x:f t="shared" si="0"/>
        <x:v>0</x:v>
      </x:c>
      <x:c r="AA53" s="640">
        <x:f t="shared" si="0"/>
        <x:v>0</x:v>
      </x:c>
      <x:c r="AB53" s="640">
        <x:f t="shared" si="0"/>
        <x:v>0</x:v>
      </x:c>
      <x:c r="AC53" s="640">
        <x:f t="shared" si="0"/>
        <x:v>0</x:v>
      </x:c>
      <x:c r="AD53" s="640">
        <x:f t="shared" si="0"/>
        <x:v>0</x:v>
      </x:c>
      <x:c r="AE53" s="640">
        <x:f t="shared" si="0"/>
        <x:v>0</x:v>
      </x:c>
      <x:c r="AF53" s="640">
        <x:f t="shared" si="0"/>
        <x:v>0</x:v>
      </x:c>
      <x:c r="AG53" s="640">
        <x:f t="shared" si="0"/>
        <x:v>0</x:v>
      </x:c>
      <x:c r="AH53" s="640">
        <x:f t="shared" si="0"/>
        <x:v>0</x:v>
      </x:c>
      <x:c r="AI53" s="640">
        <x:f t="shared" si="0"/>
        <x:v>0</x:v>
      </x:c>
      <x:c r="AJ53" s="640">
        <x:f t="shared" si="0"/>
        <x:v>0</x:v>
      </x:c>
      <x:c r="AK53" s="640">
        <x:f t="shared" si="0"/>
        <x:v>0</x:v>
      </x:c>
      <x:c r="AL53" s="640">
        <x:f t="shared" si="0"/>
        <x:v>0</x:v>
      </x:c>
      <x:c r="AM53" s="640">
        <x:f t="shared" si="0"/>
        <x:v>0</x:v>
      </x:c>
      <x:c r="AN53" s="640">
        <x:f t="shared" si="0"/>
        <x:v>0</x:v>
      </x:c>
      <x:c r="AO53" s="640">
        <x:f t="shared" si="0"/>
        <x:v>0</x:v>
      </x:c>
      <x:c r="AP53" s="640">
        <x:f t="shared" si="0"/>
        <x:v>0</x:v>
      </x:c>
      <x:c r="BN53" s="624"/>
    </x:row>
    <x:row r="54" spans="1:66" x14ac:dyDescent="0.2">
      <x:c r="C54" s="770"/>
      <x:c r="D54" s="768"/>
      <x:c r="E54" s="639" t="s">
        <x:v>73</x:v>
      </x:c>
      <x:c r="F54" s="640">
        <x:f>F48</x:f>
        <x:v>0</x:v>
      </x:c>
      <x:c r="G54" s="627"/>
      <x:c r="H54" s="627"/>
      <x:c r="I54" s="627"/>
      <x:c r="J54" s="627"/>
      <x:c r="K54" s="627"/>
      <x:c r="L54" s="627"/>
      <x:c r="M54" s="627"/>
      <x:c r="N54" s="627"/>
      <x:c r="O54" s="627"/>
      <x:c r="P54" s="627"/>
      <x:c r="Q54" s="627"/>
      <x:c r="R54" s="627"/>
      <x:c r="S54" s="627"/>
      <x:c r="BN54" s="624"/>
    </x:row>
    <x:row r="55" spans="1:66" x14ac:dyDescent="0.2">
      <x:c r="C55" s="770"/>
      <x:c r="D55" s="768" t="s">
        <x:v>133</x:v>
      </x:c>
      <x:c r="E55" s="645" t="s">
        <x:v>70</x:v>
      </x:c>
      <x:c r="F55" s="646">
        <x:f>F37+F17-L17</x:f>
        <x:v>0</x:v>
      </x:c>
      <x:c r="G55" s="646">
        <x:f>G17</x:f>
        <x:v>0</x:v>
      </x:c>
      <x:c r="H55" s="646">
        <x:f t="shared" ref="H55:AP55" si="1">H17</x:f>
        <x:v>0</x:v>
      </x:c>
      <x:c r="I55" s="646">
        <x:f t="shared" si="1"/>
        <x:v>0</x:v>
      </x:c>
      <x:c r="J55" s="646">
        <x:f t="shared" si="1"/>
        <x:v>0</x:v>
      </x:c>
      <x:c r="K55" s="646">
        <x:f t="shared" si="1"/>
        <x:v>0</x:v>
      </x:c>
      <x:c r="L55" s="646">
        <x:f t="shared" si="1"/>
        <x:v>0</x:v>
      </x:c>
      <x:c r="M55" s="646">
        <x:f t="shared" si="1"/>
        <x:v>0</x:v>
      </x:c>
      <x:c r="N55" s="646">
        <x:f t="shared" si="1"/>
        <x:v>0</x:v>
      </x:c>
      <x:c r="O55" s="646">
        <x:f t="shared" si="1"/>
        <x:v>0</x:v>
      </x:c>
      <x:c r="P55" s="646">
        <x:f t="shared" si="1"/>
        <x:v>0</x:v>
      </x:c>
      <x:c r="Q55" s="646">
        <x:f t="shared" si="1"/>
        <x:v>0</x:v>
      </x:c>
      <x:c r="R55" s="646">
        <x:f t="shared" si="1"/>
        <x:v>0</x:v>
      </x:c>
      <x:c r="S55" s="646">
        <x:f t="shared" si="1"/>
        <x:v>0</x:v>
      </x:c>
      <x:c r="T55" s="646">
        <x:f t="shared" si="1"/>
        <x:v>0</x:v>
      </x:c>
      <x:c r="U55" s="646">
        <x:f t="shared" si="1"/>
        <x:v>0</x:v>
      </x:c>
      <x:c r="V55" s="646">
        <x:f t="shared" si="1"/>
        <x:v>0</x:v>
      </x:c>
      <x:c r="W55" s="646">
        <x:f t="shared" si="1"/>
        <x:v>0</x:v>
      </x:c>
      <x:c r="X55" s="646">
        <x:f t="shared" si="1"/>
        <x:v>0</x:v>
      </x:c>
      <x:c r="Y55" s="646">
        <x:f t="shared" si="1"/>
        <x:v>0</x:v>
      </x:c>
      <x:c r="Z55" s="646">
        <x:f t="shared" si="1"/>
        <x:v>0</x:v>
      </x:c>
      <x:c r="AA55" s="646">
        <x:f t="shared" si="1"/>
        <x:v>0</x:v>
      </x:c>
      <x:c r="AB55" s="646">
        <x:f t="shared" si="1"/>
        <x:v>0</x:v>
      </x:c>
      <x:c r="AC55" s="646">
        <x:f t="shared" si="1"/>
        <x:v>0</x:v>
      </x:c>
      <x:c r="AD55" s="646">
        <x:f t="shared" si="1"/>
        <x:v>0</x:v>
      </x:c>
      <x:c r="AE55" s="646">
        <x:f t="shared" si="1"/>
        <x:v>0</x:v>
      </x:c>
      <x:c r="AF55" s="646">
        <x:f t="shared" si="1"/>
        <x:v>0</x:v>
      </x:c>
      <x:c r="AG55" s="646">
        <x:f t="shared" si="1"/>
        <x:v>0</x:v>
      </x:c>
      <x:c r="AH55" s="646">
        <x:f t="shared" si="1"/>
        <x:v>0</x:v>
      </x:c>
      <x:c r="AI55" s="646">
        <x:f t="shared" si="1"/>
        <x:v>0</x:v>
      </x:c>
      <x:c r="AJ55" s="646">
        <x:f t="shared" si="1"/>
        <x:v>0</x:v>
      </x:c>
      <x:c r="AK55" s="646">
        <x:f t="shared" si="1"/>
        <x:v>0</x:v>
      </x:c>
      <x:c r="AL55" s="646">
        <x:f t="shared" si="1"/>
        <x:v>0</x:v>
      </x:c>
      <x:c r="AM55" s="646">
        <x:f t="shared" si="1"/>
        <x:v>0</x:v>
      </x:c>
      <x:c r="AN55" s="646">
        <x:f t="shared" si="1"/>
        <x:v>0</x:v>
      </x:c>
      <x:c r="AO55" s="646">
        <x:f t="shared" si="1"/>
        <x:v>0</x:v>
      </x:c>
      <x:c r="AP55" s="646">
        <x:f t="shared" si="1"/>
        <x:v>0</x:v>
      </x:c>
      <x:c r="BN55" s="624"/>
    </x:row>
    <x:row r="56" spans="1:66" x14ac:dyDescent="0.2">
      <x:c r="C56" s="770"/>
      <x:c r="D56" s="768"/>
      <x:c r="E56" s="645" t="s">
        <x:v>73</x:v>
      </x:c>
      <x:c r="F56" s="646">
        <x:f>F37</x:f>
        <x:v>0</x:v>
      </x:c>
      <x:c r="G56" s="627"/>
      <x:c r="H56" s="627"/>
      <x:c r="I56" s="627"/>
      <x:c r="J56" s="627"/>
      <x:c r="K56" s="627"/>
      <x:c r="L56" s="627"/>
      <x:c r="M56" s="627"/>
      <x:c r="N56" s="627"/>
      <x:c r="O56" s="627"/>
      <x:c r="P56" s="627"/>
      <x:c r="Q56" s="627"/>
      <x:c r="R56" s="627"/>
      <x:c r="BN56" s="624"/>
    </x:row>
    <x:row r="57" spans="1:66" ht="15" x14ac:dyDescent="0.25">
      <x:c r="A57" s="625"/>
      <x:c r="C57" s="50"/>
      <x:c r="F57" s="627"/>
      <x:c r="G57" s="627"/>
      <x:c r="H57" s="627"/>
      <x:c r="I57" s="627"/>
      <x:c r="J57" s="627"/>
      <x:c r="K57" s="627"/>
      <x:c r="L57" s="627"/>
      <x:c r="M57" s="627"/>
      <x:c r="N57" s="627"/>
      <x:c r="O57" s="627"/>
      <x:c r="P57" s="627"/>
      <x:c r="Q57" s="627"/>
      <x:c r="R57" s="627"/>
      <x:c r="S57" s="627"/>
      <x:c r="BN57" s="624"/>
    </x:row>
    <x:row r="58" spans="1:66" x14ac:dyDescent="0.2">
      <x:c r="C58" s="770" t="s">
        <x:v>160</x:v>
      </x:c>
      <x:c r="D58" s="768" t="s">
        <x:v>132</x:v>
      </x:c>
      <x:c r="E58" s="647" t="s">
        <x:v>70</x:v>
      </x:c>
      <x:c r="F58" s="648">
        <x:v>0</x:v>
      </x:c>
      <x:c r="G58" s="648">
        <x:v>0</x:v>
      </x:c>
      <x:c r="H58" s="648">
        <x:v>0</x:v>
      </x:c>
      <x:c r="I58" s="648">
        <x:v>0</x:v>
      </x:c>
      <x:c r="J58" s="648">
        <x:v>0</x:v>
      </x:c>
      <x:c r="K58" s="648">
        <x:v>0</x:v>
      </x:c>
      <x:c r="L58" s="648">
        <x:v>0</x:v>
      </x:c>
      <x:c r="M58" s="648">
        <x:v>0</x:v>
      </x:c>
      <x:c r="N58" s="648">
        <x:v>0</x:v>
      </x:c>
      <x:c r="O58" s="648">
        <x:v>0</x:v>
      </x:c>
      <x:c r="P58" s="648">
        <x:v>0</x:v>
      </x:c>
      <x:c r="Q58" s="648">
        <x:v>0</x:v>
      </x:c>
      <x:c r="R58" s="648">
        <x:v>0</x:v>
      </x:c>
      <x:c r="S58" s="648">
        <x:v>0</x:v>
      </x:c>
      <x:c r="T58" s="648">
        <x:v>0</x:v>
      </x:c>
      <x:c r="U58" s="648">
        <x:v>0</x:v>
      </x:c>
      <x:c r="V58" s="648">
        <x:v>0</x:v>
      </x:c>
      <x:c r="W58" s="648">
        <x:v>0</x:v>
      </x:c>
      <x:c r="X58" s="648">
        <x:v>0</x:v>
      </x:c>
      <x:c r="Y58" s="648">
        <x:v>0</x:v>
      </x:c>
      <x:c r="Z58" s="648">
        <x:v>0</x:v>
      </x:c>
      <x:c r="AA58" s="648">
        <x:v>0</x:v>
      </x:c>
      <x:c r="AB58" s="648">
        <x:v>0</x:v>
      </x:c>
      <x:c r="AC58" s="648">
        <x:v>0</x:v>
      </x:c>
      <x:c r="AD58" s="648">
        <x:v>0</x:v>
      </x:c>
      <x:c r="AE58" s="648">
        <x:v>0</x:v>
      </x:c>
      <x:c r="AF58" s="648">
        <x:v>0</x:v>
      </x:c>
      <x:c r="AG58" s="648">
        <x:v>0</x:v>
      </x:c>
      <x:c r="AH58" s="648">
        <x:v>0</x:v>
      </x:c>
      <x:c r="AI58" s="648">
        <x:v>0</x:v>
      </x:c>
      <x:c r="AJ58" s="648">
        <x:v>0</x:v>
      </x:c>
      <x:c r="AK58" s="648">
        <x:v>0</x:v>
      </x:c>
      <x:c r="AL58" s="648">
        <x:v>0</x:v>
      </x:c>
      <x:c r="AM58" s="648">
        <x:v>0</x:v>
      </x:c>
      <x:c r="AN58" s="648">
        <x:v>0</x:v>
      </x:c>
      <x:c r="AO58" s="648">
        <x:v>0</x:v>
      </x:c>
      <x:c r="AP58" s="648">
        <x:v>0</x:v>
      </x:c>
      <x:c r="BN58" s="624"/>
    </x:row>
    <x:row r="59" spans="1:66" x14ac:dyDescent="0.2">
      <x:c r="C59" s="770"/>
      <x:c r="D59" s="768"/>
      <x:c r="E59" s="647" t="s">
        <x:v>73</x:v>
      </x:c>
      <x:c r="F59" s="648">
        <x:v>0</x:v>
      </x:c>
      <x:c r="G59" s="627"/>
      <x:c r="H59" s="627"/>
      <x:c r="I59" s="627"/>
      <x:c r="J59" s="627"/>
      <x:c r="K59" s="627"/>
      <x:c r="L59" s="627"/>
      <x:c r="M59" s="627"/>
      <x:c r="N59" s="627"/>
      <x:c r="O59" s="627"/>
      <x:c r="P59" s="627"/>
      <x:c r="Q59" s="627"/>
      <x:c r="R59" s="627"/>
      <x:c r="S59" s="627"/>
      <x:c r="BN59" s="624"/>
    </x:row>
    <x:row r="60" spans="1:66" x14ac:dyDescent="0.2">
      <x:c r="C60" s="770"/>
      <x:c r="D60" s="768" t="s">
        <x:v>133</x:v>
      </x:c>
      <x:c r="E60" s="649" t="s">
        <x:v>70</x:v>
      </x:c>
      <x:c r="F60" s="650">
        <x:v>0</x:v>
      </x:c>
      <x:c r="G60" s="650">
        <x:v>0</x:v>
      </x:c>
      <x:c r="H60" s="650">
        <x:v>0</x:v>
      </x:c>
      <x:c r="I60" s="650">
        <x:v>0</x:v>
      </x:c>
      <x:c r="J60" s="650">
        <x:v>0</x:v>
      </x:c>
      <x:c r="K60" s="650">
        <x:v>0</x:v>
      </x:c>
      <x:c r="L60" s="650">
        <x:v>0</x:v>
      </x:c>
      <x:c r="M60" s="650">
        <x:v>0</x:v>
      </x:c>
      <x:c r="N60" s="650">
        <x:v>0</x:v>
      </x:c>
      <x:c r="O60" s="650">
        <x:v>0</x:v>
      </x:c>
      <x:c r="P60" s="650">
        <x:v>0</x:v>
      </x:c>
      <x:c r="Q60" s="650">
        <x:v>0</x:v>
      </x:c>
      <x:c r="R60" s="650">
        <x:v>0</x:v>
      </x:c>
      <x:c r="S60" s="650">
        <x:v>0</x:v>
      </x:c>
      <x:c r="T60" s="650">
        <x:v>0</x:v>
      </x:c>
      <x:c r="U60" s="650">
        <x:v>0</x:v>
      </x:c>
      <x:c r="V60" s="650">
        <x:v>0</x:v>
      </x:c>
      <x:c r="W60" s="650">
        <x:v>0</x:v>
      </x:c>
      <x:c r="X60" s="650">
        <x:v>0</x:v>
      </x:c>
      <x:c r="Y60" s="650">
        <x:v>0</x:v>
      </x:c>
      <x:c r="Z60" s="650">
        <x:v>0</x:v>
      </x:c>
      <x:c r="AA60" s="650">
        <x:v>0</x:v>
      </x:c>
      <x:c r="AB60" s="650">
        <x:v>0</x:v>
      </x:c>
      <x:c r="AC60" s="650">
        <x:v>0</x:v>
      </x:c>
      <x:c r="AD60" s="650">
        <x:v>0</x:v>
      </x:c>
      <x:c r="AE60" s="650">
        <x:v>0</x:v>
      </x:c>
      <x:c r="AF60" s="650">
        <x:v>0</x:v>
      </x:c>
      <x:c r="AG60" s="650">
        <x:v>0</x:v>
      </x:c>
      <x:c r="AH60" s="650">
        <x:v>0</x:v>
      </x:c>
      <x:c r="AI60" s="650">
        <x:v>0</x:v>
      </x:c>
      <x:c r="AJ60" s="650">
        <x:v>0</x:v>
      </x:c>
      <x:c r="AK60" s="650">
        <x:v>0</x:v>
      </x:c>
      <x:c r="AL60" s="650">
        <x:v>0</x:v>
      </x:c>
      <x:c r="AM60" s="650">
        <x:v>0</x:v>
      </x:c>
      <x:c r="AN60" s="650">
        <x:v>0</x:v>
      </x:c>
      <x:c r="AO60" s="650">
        <x:v>0</x:v>
      </x:c>
      <x:c r="AP60" s="650">
        <x:v>0</x:v>
      </x:c>
      <x:c r="BN60" s="624"/>
    </x:row>
    <x:row r="61" spans="1:66" x14ac:dyDescent="0.2">
      <x:c r="C61" s="770"/>
      <x:c r="D61" s="768"/>
      <x:c r="E61" s="649" t="s">
        <x:v>73</x:v>
      </x:c>
      <x:c r="F61" s="650">
        <x:v>0</x:v>
      </x:c>
      <x:c r="G61" s="627"/>
      <x:c r="H61" s="627"/>
      <x:c r="I61" s="627"/>
      <x:c r="J61" s="627"/>
      <x:c r="K61" s="627"/>
      <x:c r="L61" s="627"/>
      <x:c r="M61" s="627"/>
      <x:c r="N61" s="627"/>
      <x:c r="O61" s="627"/>
      <x:c r="P61" s="627"/>
      <x:c r="Q61" s="627"/>
      <x:c r="R61" s="627"/>
      <x:c r="BN61" s="624"/>
    </x:row>
    <x:row r="62" spans="1:66" ht="15" x14ac:dyDescent="0.25">
      <x:c r="A62" s="625"/>
      <x:c r="C62" s="50"/>
      <x:c r="F62" s="627"/>
      <x:c r="G62" s="627"/>
      <x:c r="H62" s="627"/>
      <x:c r="I62" s="627"/>
      <x:c r="J62" s="627"/>
      <x:c r="K62" s="627"/>
      <x:c r="L62" s="627"/>
      <x:c r="M62" s="627"/>
      <x:c r="N62" s="627"/>
      <x:c r="O62" s="627"/>
      <x:c r="P62" s="627"/>
      <x:c r="Q62" s="627"/>
      <x:c r="R62" s="627"/>
      <x:c r="S62" s="627"/>
      <x:c r="BN62" s="624"/>
    </x:row>
    <x:row r="63" spans="1:66" x14ac:dyDescent="0.2">
      <x:c r="C63" s="770" t="s">
        <x:v>155</x:v>
      </x:c>
      <x:c r="D63" s="768" t="s">
        <x:v>132</x:v>
      </x:c>
      <x:c r="E63" s="651" t="s">
        <x:v>70</x:v>
      </x:c>
      <x:c r="F63" s="652">
        <x:f>F40+F21+F8-L8-L21</x:f>
        <x:v>0</x:v>
      </x:c>
      <x:c r="G63" s="652">
        <x:f>G21+G8</x:f>
        <x:v>0</x:v>
      </x:c>
      <x:c r="H63" s="652">
        <x:f t="shared" ref="H63:AP63" si="2">H21+H8</x:f>
        <x:v>0</x:v>
      </x:c>
      <x:c r="I63" s="652">
        <x:f t="shared" si="2"/>
        <x:v>0</x:v>
      </x:c>
      <x:c r="J63" s="652">
        <x:f t="shared" si="2"/>
        <x:v>0</x:v>
      </x:c>
      <x:c r="K63" s="652">
        <x:f t="shared" si="2"/>
        <x:v>0</x:v>
      </x:c>
      <x:c r="L63" s="652">
        <x:f t="shared" si="2"/>
        <x:v>0</x:v>
      </x:c>
      <x:c r="M63" s="652">
        <x:f t="shared" si="2"/>
        <x:v>0</x:v>
      </x:c>
      <x:c r="N63" s="652">
        <x:f t="shared" si="2"/>
        <x:v>0</x:v>
      </x:c>
      <x:c r="O63" s="652">
        <x:f t="shared" si="2"/>
        <x:v>0</x:v>
      </x:c>
      <x:c r="P63" s="652">
        <x:f t="shared" si="2"/>
        <x:v>0</x:v>
      </x:c>
      <x:c r="Q63" s="652">
        <x:f t="shared" si="2"/>
        <x:v>0</x:v>
      </x:c>
      <x:c r="R63" s="652">
        <x:f t="shared" si="2"/>
        <x:v>0</x:v>
      </x:c>
      <x:c r="S63" s="652">
        <x:f t="shared" si="2"/>
        <x:v>0</x:v>
      </x:c>
      <x:c r="T63" s="652">
        <x:f t="shared" si="2"/>
        <x:v>0</x:v>
      </x:c>
      <x:c r="U63" s="652">
        <x:f t="shared" si="2"/>
        <x:v>0</x:v>
      </x:c>
      <x:c r="V63" s="652">
        <x:f t="shared" si="2"/>
        <x:v>0</x:v>
      </x:c>
      <x:c r="W63" s="652">
        <x:f t="shared" si="2"/>
        <x:v>0</x:v>
      </x:c>
      <x:c r="X63" s="652">
        <x:f t="shared" si="2"/>
        <x:v>0</x:v>
      </x:c>
      <x:c r="Y63" s="652">
        <x:f t="shared" si="2"/>
        <x:v>0</x:v>
      </x:c>
      <x:c r="Z63" s="652">
        <x:f t="shared" si="2"/>
        <x:v>0</x:v>
      </x:c>
      <x:c r="AA63" s="652">
        <x:f t="shared" si="2"/>
        <x:v>0</x:v>
      </x:c>
      <x:c r="AB63" s="652">
        <x:f t="shared" si="2"/>
        <x:v>0</x:v>
      </x:c>
      <x:c r="AC63" s="652">
        <x:f t="shared" si="2"/>
        <x:v>0</x:v>
      </x:c>
      <x:c r="AD63" s="652">
        <x:f t="shared" si="2"/>
        <x:v>0</x:v>
      </x:c>
      <x:c r="AE63" s="652">
        <x:f t="shared" si="2"/>
        <x:v>0</x:v>
      </x:c>
      <x:c r="AF63" s="652">
        <x:f t="shared" si="2"/>
        <x:v>0</x:v>
      </x:c>
      <x:c r="AG63" s="652">
        <x:f t="shared" si="2"/>
        <x:v>0</x:v>
      </x:c>
      <x:c r="AH63" s="652">
        <x:f t="shared" si="2"/>
        <x:v>0</x:v>
      </x:c>
      <x:c r="AI63" s="652">
        <x:f t="shared" si="2"/>
        <x:v>0</x:v>
      </x:c>
      <x:c r="AJ63" s="652">
        <x:f t="shared" si="2"/>
        <x:v>0</x:v>
      </x:c>
      <x:c r="AK63" s="652">
        <x:f t="shared" si="2"/>
        <x:v>0</x:v>
      </x:c>
      <x:c r="AL63" s="652">
        <x:f t="shared" si="2"/>
        <x:v>0</x:v>
      </x:c>
      <x:c r="AM63" s="652">
        <x:f t="shared" si="2"/>
        <x:v>0</x:v>
      </x:c>
      <x:c r="AN63" s="652">
        <x:f t="shared" si="2"/>
        <x:v>0</x:v>
      </x:c>
      <x:c r="AO63" s="652">
        <x:f t="shared" si="2"/>
        <x:v>0</x:v>
      </x:c>
      <x:c r="AP63" s="652">
        <x:f t="shared" si="2"/>
        <x:v>0</x:v>
      </x:c>
      <x:c r="BN63" s="624"/>
    </x:row>
    <x:row r="64" spans="1:66" x14ac:dyDescent="0.2">
      <x:c r="C64" s="770"/>
      <x:c r="D64" s="768"/>
      <x:c r="E64" s="651" t="s">
        <x:v>73</x:v>
      </x:c>
      <x:c r="F64" s="652">
        <x:f>F40</x:f>
        <x:v>0</x:v>
      </x:c>
      <x:c r="G64" s="627"/>
      <x:c r="H64" s="627"/>
      <x:c r="I64" s="627"/>
      <x:c r="J64" s="627"/>
      <x:c r="K64" s="627"/>
      <x:c r="L64" s="627"/>
      <x:c r="M64" s="627"/>
      <x:c r="N64" s="627"/>
      <x:c r="O64" s="627"/>
      <x:c r="P64" s="627"/>
      <x:c r="Q64" s="627"/>
      <x:c r="R64" s="627"/>
      <x:c r="S64" s="627"/>
      <x:c r="BN64" s="624"/>
    </x:row>
    <x:row r="65" spans="1:66" x14ac:dyDescent="0.2">
      <x:c r="B65" s="653"/>
      <x:c r="C65" s="770"/>
      <x:c r="D65" s="768" t="s">
        <x:v>133</x:v>
      </x:c>
      <x:c r="E65" s="629" t="s">
        <x:v>70</x:v>
      </x:c>
      <x:c r="F65" s="630">
        <x:f>F36+F16-L16</x:f>
        <x:v>0</x:v>
      </x:c>
      <x:c r="G65" s="630">
        <x:f>G16</x:f>
        <x:v>0</x:v>
      </x:c>
      <x:c r="H65" s="630">
        <x:f t="shared" ref="H65:AP65" si="3">H16</x:f>
        <x:v>0</x:v>
      </x:c>
      <x:c r="I65" s="630">
        <x:f t="shared" si="3"/>
        <x:v>0</x:v>
      </x:c>
      <x:c r="J65" s="630">
        <x:f t="shared" si="3"/>
        <x:v>0</x:v>
      </x:c>
      <x:c r="K65" s="630">
        <x:f t="shared" si="3"/>
        <x:v>0</x:v>
      </x:c>
      <x:c r="L65" s="630">
        <x:f t="shared" si="3"/>
        <x:v>0</x:v>
      </x:c>
      <x:c r="M65" s="630">
        <x:f t="shared" si="3"/>
        <x:v>0</x:v>
      </x:c>
      <x:c r="N65" s="630">
        <x:f t="shared" si="3"/>
        <x:v>0</x:v>
      </x:c>
      <x:c r="O65" s="630">
        <x:f t="shared" si="3"/>
        <x:v>0</x:v>
      </x:c>
      <x:c r="P65" s="630">
        <x:f t="shared" si="3"/>
        <x:v>0</x:v>
      </x:c>
      <x:c r="Q65" s="630">
        <x:f t="shared" si="3"/>
        <x:v>0</x:v>
      </x:c>
      <x:c r="R65" s="630">
        <x:f t="shared" si="3"/>
        <x:v>0</x:v>
      </x:c>
      <x:c r="S65" s="630">
        <x:f t="shared" si="3"/>
        <x:v>0</x:v>
      </x:c>
      <x:c r="T65" s="630">
        <x:f t="shared" si="3"/>
        <x:v>0</x:v>
      </x:c>
      <x:c r="U65" s="630">
        <x:f t="shared" si="3"/>
        <x:v>0</x:v>
      </x:c>
      <x:c r="V65" s="630">
        <x:f t="shared" si="3"/>
        <x:v>0</x:v>
      </x:c>
      <x:c r="W65" s="630">
        <x:f t="shared" si="3"/>
        <x:v>0</x:v>
      </x:c>
      <x:c r="X65" s="630">
        <x:f t="shared" si="3"/>
        <x:v>0</x:v>
      </x:c>
      <x:c r="Y65" s="630">
        <x:f t="shared" si="3"/>
        <x:v>0</x:v>
      </x:c>
      <x:c r="Z65" s="630">
        <x:f t="shared" si="3"/>
        <x:v>0</x:v>
      </x:c>
      <x:c r="AA65" s="630">
        <x:f t="shared" si="3"/>
        <x:v>0</x:v>
      </x:c>
      <x:c r="AB65" s="630">
        <x:f t="shared" si="3"/>
        <x:v>0</x:v>
      </x:c>
      <x:c r="AC65" s="630">
        <x:f t="shared" si="3"/>
        <x:v>0</x:v>
      </x:c>
      <x:c r="AD65" s="630">
        <x:f t="shared" si="3"/>
        <x:v>0</x:v>
      </x:c>
      <x:c r="AE65" s="630">
        <x:f t="shared" si="3"/>
        <x:v>0</x:v>
      </x:c>
      <x:c r="AF65" s="630">
        <x:f t="shared" si="3"/>
        <x:v>0</x:v>
      </x:c>
      <x:c r="AG65" s="630">
        <x:f t="shared" si="3"/>
        <x:v>0</x:v>
      </x:c>
      <x:c r="AH65" s="630">
        <x:f t="shared" si="3"/>
        <x:v>0</x:v>
      </x:c>
      <x:c r="AI65" s="630">
        <x:f t="shared" si="3"/>
        <x:v>0</x:v>
      </x:c>
      <x:c r="AJ65" s="630">
        <x:f t="shared" si="3"/>
        <x:v>0</x:v>
      </x:c>
      <x:c r="AK65" s="630">
        <x:f t="shared" si="3"/>
        <x:v>0</x:v>
      </x:c>
      <x:c r="AL65" s="630">
        <x:f t="shared" si="3"/>
        <x:v>0</x:v>
      </x:c>
      <x:c r="AM65" s="630">
        <x:f t="shared" si="3"/>
        <x:v>0</x:v>
      </x:c>
      <x:c r="AN65" s="630">
        <x:f t="shared" si="3"/>
        <x:v>0</x:v>
      </x:c>
      <x:c r="AO65" s="630">
        <x:f t="shared" si="3"/>
        <x:v>0</x:v>
      </x:c>
      <x:c r="AP65" s="630">
        <x:f t="shared" si="3"/>
        <x:v>0</x:v>
      </x:c>
      <x:c r="BN65" s="624"/>
    </x:row>
    <x:row r="66" spans="1:66" x14ac:dyDescent="0.2">
      <x:c r="B66" s="653"/>
      <x:c r="C66" s="770"/>
      <x:c r="D66" s="768"/>
      <x:c r="E66" s="629" t="s">
        <x:v>73</x:v>
      </x:c>
      <x:c r="F66" s="630">
        <x:f>F36</x:f>
        <x:v>0</x:v>
      </x:c>
      <x:c r="G66" s="627"/>
      <x:c r="H66" s="627"/>
      <x:c r="I66" s="627"/>
      <x:c r="J66" s="627"/>
      <x:c r="K66" s="627"/>
      <x:c r="L66" s="627"/>
      <x:c r="M66" s="627"/>
      <x:c r="N66" s="627"/>
      <x:c r="O66" s="627"/>
      <x:c r="P66" s="627"/>
      <x:c r="Q66" s="627"/>
      <x:c r="R66" s="627"/>
      <x:c r="BN66" s="624"/>
    </x:row>
    <x:row r="67" spans="1:66" ht="15" x14ac:dyDescent="0.25">
      <x:c r="A67" s="625"/>
      <x:c r="C67" s="50"/>
      <x:c r="F67" s="627"/>
      <x:c r="G67" s="627"/>
      <x:c r="H67" s="627"/>
      <x:c r="I67" s="627"/>
      <x:c r="J67" s="627"/>
      <x:c r="K67" s="627"/>
      <x:c r="L67" s="627"/>
      <x:c r="M67" s="627"/>
      <x:c r="N67" s="627"/>
      <x:c r="O67" s="627"/>
      <x:c r="P67" s="627"/>
      <x:c r="Q67" s="627"/>
      <x:c r="R67" s="627"/>
      <x:c r="S67" s="627"/>
      <x:c r="BN67" s="624"/>
    </x:row>
    <x:row r="68" spans="1:66" x14ac:dyDescent="0.2">
      <x:c r="C68" s="771" t="s">
        <x:v>326</x:v>
      </x:c>
      <x:c r="D68" s="768" t="s">
        <x:v>132</x:v>
      </x:c>
      <x:c r="E68" s="654" t="s">
        <x:v>70</x:v>
      </x:c>
      <x:c r="F68" s="655">
        <x:v>0</x:v>
      </x:c>
      <x:c r="G68" s="655">
        <x:v>0</x:v>
      </x:c>
      <x:c r="H68" s="655">
        <x:v>0</x:v>
      </x:c>
      <x:c r="I68" s="655">
        <x:v>0</x:v>
      </x:c>
      <x:c r="J68" s="655">
        <x:v>0</x:v>
      </x:c>
      <x:c r="K68" s="655">
        <x:v>0</x:v>
      </x:c>
      <x:c r="L68" s="655">
        <x:v>0</x:v>
      </x:c>
      <x:c r="M68" s="655">
        <x:v>0</x:v>
      </x:c>
      <x:c r="N68" s="655">
        <x:v>0</x:v>
      </x:c>
      <x:c r="O68" s="655">
        <x:v>0</x:v>
      </x:c>
      <x:c r="P68" s="655">
        <x:v>0</x:v>
      </x:c>
      <x:c r="Q68" s="655">
        <x:v>0</x:v>
      </x:c>
      <x:c r="R68" s="655">
        <x:v>0</x:v>
      </x:c>
      <x:c r="S68" s="655">
        <x:v>0</x:v>
      </x:c>
      <x:c r="T68" s="655">
        <x:v>0</x:v>
      </x:c>
      <x:c r="U68" s="655">
        <x:v>0</x:v>
      </x:c>
      <x:c r="V68" s="655">
        <x:v>0</x:v>
      </x:c>
      <x:c r="W68" s="655">
        <x:v>0</x:v>
      </x:c>
      <x:c r="X68" s="655">
        <x:v>0</x:v>
      </x:c>
      <x:c r="Y68" s="655">
        <x:v>0</x:v>
      </x:c>
      <x:c r="Z68" s="655">
        <x:v>0</x:v>
      </x:c>
      <x:c r="AA68" s="655">
        <x:v>0</x:v>
      </x:c>
      <x:c r="AB68" s="655">
        <x:v>0</x:v>
      </x:c>
      <x:c r="AC68" s="655">
        <x:v>0</x:v>
      </x:c>
      <x:c r="AD68" s="655">
        <x:v>0</x:v>
      </x:c>
      <x:c r="AE68" s="655">
        <x:v>0</x:v>
      </x:c>
      <x:c r="AF68" s="655">
        <x:v>0</x:v>
      </x:c>
      <x:c r="AG68" s="655">
        <x:v>0</x:v>
      </x:c>
      <x:c r="AH68" s="655">
        <x:v>0</x:v>
      </x:c>
      <x:c r="AI68" s="655">
        <x:v>0</x:v>
      </x:c>
      <x:c r="AJ68" s="655">
        <x:v>0</x:v>
      </x:c>
      <x:c r="AK68" s="655">
        <x:v>0</x:v>
      </x:c>
      <x:c r="AL68" s="655">
        <x:v>0</x:v>
      </x:c>
      <x:c r="AM68" s="655">
        <x:v>0</x:v>
      </x:c>
      <x:c r="AN68" s="655">
        <x:v>0</x:v>
      </x:c>
      <x:c r="AO68" s="655">
        <x:v>0</x:v>
      </x:c>
      <x:c r="BN68" s="624"/>
    </x:row>
    <x:row r="69" spans="1:66" x14ac:dyDescent="0.2">
      <x:c r="C69" s="771"/>
      <x:c r="D69" s="768"/>
      <x:c r="E69" s="654" t="s">
        <x:v>73</x:v>
      </x:c>
      <x:c r="F69" s="655">
        <x:v>0</x:v>
      </x:c>
      <x:c r="G69" s="627"/>
      <x:c r="H69" s="627"/>
      <x:c r="I69" s="627"/>
      <x:c r="J69" s="627"/>
      <x:c r="K69" s="627"/>
      <x:c r="L69" s="627"/>
      <x:c r="M69" s="627"/>
      <x:c r="N69" s="627"/>
      <x:c r="O69" s="627"/>
      <x:c r="P69" s="627"/>
      <x:c r="Q69" s="627"/>
      <x:c r="R69" s="627"/>
      <x:c r="S69" s="627"/>
      <x:c r="BN69" s="624"/>
    </x:row>
    <x:row r="70" spans="1:66" x14ac:dyDescent="0.2">
      <x:c r="C70" s="771"/>
      <x:c r="D70" s="768" t="s">
        <x:v>133</x:v>
      </x:c>
      <x:c r="E70" s="656" t="s">
        <x:v>70</x:v>
      </x:c>
      <x:c r="F70" s="657">
        <x:v>0</x:v>
      </x:c>
      <x:c r="G70" s="657">
        <x:v>0</x:v>
      </x:c>
      <x:c r="H70" s="657">
        <x:v>0</x:v>
      </x:c>
      <x:c r="I70" s="657">
        <x:v>0</x:v>
      </x:c>
      <x:c r="J70" s="657">
        <x:v>0</x:v>
      </x:c>
      <x:c r="K70" s="657">
        <x:v>0</x:v>
      </x:c>
      <x:c r="L70" s="657">
        <x:v>0</x:v>
      </x:c>
      <x:c r="M70" s="657">
        <x:v>0</x:v>
      </x:c>
      <x:c r="N70" s="657">
        <x:v>0</x:v>
      </x:c>
      <x:c r="O70" s="657">
        <x:v>0</x:v>
      </x:c>
      <x:c r="P70" s="657">
        <x:v>0</x:v>
      </x:c>
      <x:c r="Q70" s="657">
        <x:v>0</x:v>
      </x:c>
      <x:c r="R70" s="657">
        <x:v>0</x:v>
      </x:c>
      <x:c r="S70" s="657">
        <x:v>0</x:v>
      </x:c>
      <x:c r="T70" s="657">
        <x:v>0</x:v>
      </x:c>
      <x:c r="U70" s="657">
        <x:v>0</x:v>
      </x:c>
      <x:c r="V70" s="657">
        <x:v>0</x:v>
      </x:c>
      <x:c r="W70" s="657">
        <x:v>0</x:v>
      </x:c>
      <x:c r="X70" s="657">
        <x:v>0</x:v>
      </x:c>
      <x:c r="Y70" s="657">
        <x:v>0</x:v>
      </x:c>
      <x:c r="Z70" s="657">
        <x:v>0</x:v>
      </x:c>
      <x:c r="AA70" s="657">
        <x:v>0</x:v>
      </x:c>
      <x:c r="AB70" s="657">
        <x:v>0</x:v>
      </x:c>
      <x:c r="AC70" s="657">
        <x:v>0</x:v>
      </x:c>
      <x:c r="AD70" s="657">
        <x:v>0</x:v>
      </x:c>
      <x:c r="AE70" s="657">
        <x:v>0</x:v>
      </x:c>
      <x:c r="AF70" s="657">
        <x:v>0</x:v>
      </x:c>
      <x:c r="AG70" s="657">
        <x:v>0</x:v>
      </x:c>
      <x:c r="AH70" s="657">
        <x:v>0</x:v>
      </x:c>
      <x:c r="AI70" s="657">
        <x:v>0</x:v>
      </x:c>
      <x:c r="AJ70" s="657">
        <x:v>0</x:v>
      </x:c>
      <x:c r="AK70" s="657">
        <x:v>0</x:v>
      </x:c>
      <x:c r="AL70" s="657">
        <x:v>0</x:v>
      </x:c>
      <x:c r="AM70" s="657">
        <x:v>0</x:v>
      </x:c>
      <x:c r="AN70" s="657">
        <x:v>0</x:v>
      </x:c>
      <x:c r="AO70" s="657">
        <x:v>0</x:v>
      </x:c>
      <x:c r="BN70" s="624"/>
    </x:row>
    <x:row r="71" spans="1:66" x14ac:dyDescent="0.2">
      <x:c r="C71" s="771"/>
      <x:c r="D71" s="768"/>
      <x:c r="E71" s="656" t="s">
        <x:v>73</x:v>
      </x:c>
      <x:c r="F71" s="657">
        <x:v>0</x:v>
      </x:c>
      <x:c r="G71" s="627"/>
      <x:c r="H71" s="627"/>
      <x:c r="I71" s="627"/>
      <x:c r="J71" s="627"/>
      <x:c r="K71" s="627"/>
      <x:c r="L71" s="627"/>
      <x:c r="M71" s="627"/>
      <x:c r="N71" s="627"/>
      <x:c r="O71" s="627"/>
      <x:c r="P71" s="627"/>
      <x:c r="Q71" s="627"/>
      <x:c r="R71" s="627"/>
      <x:c r="BN71" s="624"/>
    </x:row>
    <x:row r="72" spans="1:66" ht="15" x14ac:dyDescent="0.25">
      <x:c r="A72" s="625"/>
      <x:c r="C72" s="50"/>
      <x:c r="F72" s="627"/>
      <x:c r="G72" s="627"/>
      <x:c r="H72" s="627"/>
      <x:c r="I72" s="627"/>
      <x:c r="J72" s="627"/>
      <x:c r="K72" s="627"/>
      <x:c r="L72" s="627"/>
      <x:c r="M72" s="627"/>
      <x:c r="N72" s="627"/>
      <x:c r="O72" s="627"/>
      <x:c r="P72" s="627"/>
      <x:c r="Q72" s="627"/>
      <x:c r="R72" s="627"/>
      <x:c r="S72" s="627"/>
      <x:c r="BN72" s="624"/>
    </x:row>
    <x:row r="73" spans="1:66" x14ac:dyDescent="0.2">
      <x:c r="C73" s="770" t="s">
        <x:v>119</x:v>
      </x:c>
      <x:c r="D73" s="768" t="s">
        <x:v>132</x:v>
      </x:c>
      <x:c r="E73" s="632" t="s">
        <x:v>70</x:v>
      </x:c>
      <x:c r="F73" s="633">
        <x:f>F47+F31+F11-L11-L31</x:f>
        <x:v>0</x:v>
      </x:c>
      <x:c r="G73" s="633">
        <x:f t="shared" ref="G73:AP73" si="4">G31+G11</x:f>
        <x:v>0</x:v>
      </x:c>
      <x:c r="H73" s="633">
        <x:f t="shared" si="4"/>
        <x:v>0</x:v>
      </x:c>
      <x:c r="I73" s="633">
        <x:f t="shared" si="4"/>
        <x:v>0</x:v>
      </x:c>
      <x:c r="J73" s="633">
        <x:f t="shared" si="4"/>
        <x:v>0</x:v>
      </x:c>
      <x:c r="K73" s="633">
        <x:f t="shared" si="4"/>
        <x:v>0</x:v>
      </x:c>
      <x:c r="L73" s="633">
        <x:f t="shared" si="4"/>
        <x:v>0</x:v>
      </x:c>
      <x:c r="M73" s="633">
        <x:f t="shared" si="4"/>
        <x:v>0</x:v>
      </x:c>
      <x:c r="N73" s="633">
        <x:f t="shared" si="4"/>
        <x:v>0</x:v>
      </x:c>
      <x:c r="O73" s="633">
        <x:f t="shared" si="4"/>
        <x:v>0</x:v>
      </x:c>
      <x:c r="P73" s="633">
        <x:f t="shared" si="4"/>
        <x:v>0</x:v>
      </x:c>
      <x:c r="Q73" s="633">
        <x:f t="shared" si="4"/>
        <x:v>0</x:v>
      </x:c>
      <x:c r="R73" s="633">
        <x:f t="shared" si="4"/>
        <x:v>0</x:v>
      </x:c>
      <x:c r="S73" s="633">
        <x:f t="shared" si="4"/>
        <x:v>0</x:v>
      </x:c>
      <x:c r="T73" s="633">
        <x:f t="shared" si="4"/>
        <x:v>0</x:v>
      </x:c>
      <x:c r="U73" s="633">
        <x:f t="shared" si="4"/>
        <x:v>0</x:v>
      </x:c>
      <x:c r="V73" s="633">
        <x:f t="shared" si="4"/>
        <x:v>0</x:v>
      </x:c>
      <x:c r="W73" s="633">
        <x:f t="shared" si="4"/>
        <x:v>0</x:v>
      </x:c>
      <x:c r="X73" s="633">
        <x:f t="shared" si="4"/>
        <x:v>0</x:v>
      </x:c>
      <x:c r="Y73" s="633">
        <x:f t="shared" si="4"/>
        <x:v>0</x:v>
      </x:c>
      <x:c r="Z73" s="633">
        <x:f t="shared" si="4"/>
        <x:v>0</x:v>
      </x:c>
      <x:c r="AA73" s="633">
        <x:f t="shared" si="4"/>
        <x:v>0</x:v>
      </x:c>
      <x:c r="AB73" s="633">
        <x:f t="shared" si="4"/>
        <x:v>0</x:v>
      </x:c>
      <x:c r="AC73" s="633">
        <x:f t="shared" si="4"/>
        <x:v>0</x:v>
      </x:c>
      <x:c r="AD73" s="633">
        <x:f t="shared" si="4"/>
        <x:v>0</x:v>
      </x:c>
      <x:c r="AE73" s="633">
        <x:f t="shared" si="4"/>
        <x:v>0</x:v>
      </x:c>
      <x:c r="AF73" s="633">
        <x:f t="shared" si="4"/>
        <x:v>0</x:v>
      </x:c>
      <x:c r="AG73" s="633">
        <x:f t="shared" si="4"/>
        <x:v>0</x:v>
      </x:c>
      <x:c r="AH73" s="633">
        <x:f t="shared" si="4"/>
        <x:v>0</x:v>
      </x:c>
      <x:c r="AI73" s="633">
        <x:f t="shared" si="4"/>
        <x:v>0</x:v>
      </x:c>
      <x:c r="AJ73" s="633">
        <x:f t="shared" si="4"/>
        <x:v>0</x:v>
      </x:c>
      <x:c r="AK73" s="633">
        <x:f t="shared" si="4"/>
        <x:v>0</x:v>
      </x:c>
      <x:c r="AL73" s="633">
        <x:f t="shared" si="4"/>
        <x:v>0</x:v>
      </x:c>
      <x:c r="AM73" s="633">
        <x:f t="shared" si="4"/>
        <x:v>0</x:v>
      </x:c>
      <x:c r="AN73" s="633">
        <x:f t="shared" si="4"/>
        <x:v>0</x:v>
      </x:c>
      <x:c r="AO73" s="633">
        <x:f t="shared" si="4"/>
        <x:v>0</x:v>
      </x:c>
      <x:c r="AP73" s="633">
        <x:f t="shared" si="4"/>
        <x:v>0</x:v>
      </x:c>
      <x:c r="BN73" s="624"/>
    </x:row>
    <x:row r="74" spans="1:66" x14ac:dyDescent="0.2">
      <x:c r="C74" s="770"/>
      <x:c r="D74" s="768"/>
      <x:c r="E74" s="632" t="s">
        <x:v>73</x:v>
      </x:c>
      <x:c r="F74" s="633">
        <x:f>F47</x:f>
        <x:v>0</x:v>
      </x:c>
      <x:c r="G74" s="627"/>
      <x:c r="H74" s="627"/>
      <x:c r="I74" s="627"/>
      <x:c r="J74" s="627"/>
      <x:c r="K74" s="627"/>
      <x:c r="L74" s="627"/>
      <x:c r="M74" s="627"/>
      <x:c r="N74" s="627"/>
      <x:c r="O74" s="627"/>
      <x:c r="P74" s="627"/>
      <x:c r="Q74" s="627"/>
      <x:c r="R74" s="627"/>
      <x:c r="S74" s="627"/>
      <x:c r="BN74" s="624"/>
    </x:row>
    <x:row r="75" spans="1:66" x14ac:dyDescent="0.2">
      <x:c r="C75" s="770"/>
      <x:c r="D75" s="768" t="s">
        <x:v>133</x:v>
      </x:c>
      <x:c r="E75" s="658" t="s">
        <x:v>70</x:v>
      </x:c>
      <x:c r="F75" s="659">
        <x:v>0</x:v>
      </x:c>
      <x:c r="G75" s="659">
        <x:v>0</x:v>
      </x:c>
      <x:c r="H75" s="659">
        <x:v>0</x:v>
      </x:c>
      <x:c r="I75" s="659">
        <x:v>0</x:v>
      </x:c>
      <x:c r="J75" s="659">
        <x:v>0</x:v>
      </x:c>
      <x:c r="K75" s="659">
        <x:v>0</x:v>
      </x:c>
      <x:c r="L75" s="659">
        <x:v>0</x:v>
      </x:c>
      <x:c r="M75" s="659">
        <x:v>0</x:v>
      </x:c>
      <x:c r="N75" s="659">
        <x:v>0</x:v>
      </x:c>
      <x:c r="O75" s="659">
        <x:v>0</x:v>
      </x:c>
      <x:c r="P75" s="659">
        <x:v>0</x:v>
      </x:c>
      <x:c r="Q75" s="659">
        <x:v>0</x:v>
      </x:c>
      <x:c r="R75" s="659">
        <x:v>0</x:v>
      </x:c>
      <x:c r="S75" s="659">
        <x:v>0</x:v>
      </x:c>
      <x:c r="T75" s="659">
        <x:v>0</x:v>
      </x:c>
      <x:c r="U75" s="659">
        <x:v>0</x:v>
      </x:c>
      <x:c r="V75" s="659">
        <x:v>0</x:v>
      </x:c>
      <x:c r="W75" s="659">
        <x:v>0</x:v>
      </x:c>
      <x:c r="X75" s="659">
        <x:v>0</x:v>
      </x:c>
      <x:c r="Y75" s="659">
        <x:v>0</x:v>
      </x:c>
      <x:c r="Z75" s="659">
        <x:v>0</x:v>
      </x:c>
      <x:c r="AA75" s="659">
        <x:v>0</x:v>
      </x:c>
      <x:c r="AB75" s="659">
        <x:v>0</x:v>
      </x:c>
      <x:c r="AC75" s="659">
        <x:v>0</x:v>
      </x:c>
      <x:c r="AD75" s="659">
        <x:v>0</x:v>
      </x:c>
      <x:c r="AE75" s="659">
        <x:v>0</x:v>
      </x:c>
      <x:c r="AF75" s="659">
        <x:v>0</x:v>
      </x:c>
      <x:c r="AG75" s="659">
        <x:v>0</x:v>
      </x:c>
      <x:c r="AH75" s="659">
        <x:v>0</x:v>
      </x:c>
      <x:c r="AI75" s="659">
        <x:v>0</x:v>
      </x:c>
      <x:c r="AJ75" s="659">
        <x:v>0</x:v>
      </x:c>
      <x:c r="AK75" s="659">
        <x:v>0</x:v>
      </x:c>
      <x:c r="AL75" s="659">
        <x:v>0</x:v>
      </x:c>
      <x:c r="AM75" s="659">
        <x:v>0</x:v>
      </x:c>
      <x:c r="AN75" s="659">
        <x:v>0</x:v>
      </x:c>
      <x:c r="AO75" s="659">
        <x:v>0</x:v>
      </x:c>
      <x:c r="AP75" s="659">
        <x:v>0</x:v>
      </x:c>
      <x:c r="BN75" s="624"/>
    </x:row>
    <x:row r="76" spans="1:66" x14ac:dyDescent="0.2">
      <x:c r="C76" s="770"/>
      <x:c r="D76" s="768"/>
      <x:c r="E76" s="658" t="s">
        <x:v>73</x:v>
      </x:c>
      <x:c r="F76" s="659">
        <x:v>0</x:v>
      </x:c>
      <x:c r="G76" s="627"/>
      <x:c r="H76" s="627"/>
      <x:c r="I76" s="627"/>
      <x:c r="J76" s="627"/>
      <x:c r="K76" s="627"/>
      <x:c r="L76" s="627"/>
      <x:c r="M76" s="627"/>
      <x:c r="N76" s="627"/>
      <x:c r="O76" s="627"/>
      <x:c r="P76" s="627"/>
      <x:c r="Q76" s="627"/>
      <x:c r="R76" s="627"/>
      <x:c r="BN76" s="624"/>
    </x:row>
    <x:row r="77" spans="1:66" ht="15" x14ac:dyDescent="0.25">
      <x:c r="A77" s="625"/>
      <x:c r="C77" s="50"/>
      <x:c r="F77" s="627"/>
      <x:c r="G77" s="627"/>
      <x:c r="H77" s="627"/>
      <x:c r="I77" s="627"/>
      <x:c r="J77" s="627"/>
      <x:c r="K77" s="627"/>
      <x:c r="L77" s="627"/>
      <x:c r="M77" s="627"/>
      <x:c r="N77" s="627"/>
      <x:c r="O77" s="627"/>
      <x:c r="P77" s="627"/>
      <x:c r="Q77" s="627"/>
      <x:c r="R77" s="627"/>
      <x:c r="S77" s="627"/>
      <x:c r="BN77" s="624"/>
    </x:row>
    <x:row r="78" spans="1:66" x14ac:dyDescent="0.2">
      <x:c r="C78" s="769" t="s">
        <x:v>161</x:v>
      </x:c>
      <x:c r="D78" s="768" t="s">
        <x:v>132</x:v>
      </x:c>
      <x:c r="E78" s="661" t="s">
        <x:v>70</x:v>
      </x:c>
      <x:c r="F78" s="662">
        <x:v>0</x:v>
      </x:c>
      <x:c r="G78" s="662">
        <x:v>0</x:v>
      </x:c>
      <x:c r="H78" s="662">
        <x:v>0</x:v>
      </x:c>
      <x:c r="I78" s="662">
        <x:v>0</x:v>
      </x:c>
      <x:c r="J78" s="662">
        <x:v>0</x:v>
      </x:c>
      <x:c r="K78" s="662">
        <x:v>0</x:v>
      </x:c>
      <x:c r="L78" s="662">
        <x:v>0</x:v>
      </x:c>
      <x:c r="M78" s="662">
        <x:v>0</x:v>
      </x:c>
      <x:c r="N78" s="662">
        <x:v>0</x:v>
      </x:c>
      <x:c r="O78" s="662">
        <x:v>0</x:v>
      </x:c>
      <x:c r="P78" s="662">
        <x:v>0</x:v>
      </x:c>
      <x:c r="Q78" s="662">
        <x:v>0</x:v>
      </x:c>
      <x:c r="R78" s="662">
        <x:v>0</x:v>
      </x:c>
      <x:c r="S78" s="662">
        <x:v>0</x:v>
      </x:c>
      <x:c r="T78" s="662">
        <x:v>0</x:v>
      </x:c>
      <x:c r="U78" s="662">
        <x:v>0</x:v>
      </x:c>
      <x:c r="V78" s="662">
        <x:v>0</x:v>
      </x:c>
      <x:c r="W78" s="662">
        <x:v>0</x:v>
      </x:c>
      <x:c r="X78" s="662">
        <x:v>0</x:v>
      </x:c>
      <x:c r="Y78" s="662">
        <x:v>0</x:v>
      </x:c>
      <x:c r="Z78" s="662">
        <x:v>0</x:v>
      </x:c>
      <x:c r="AA78" s="662">
        <x:v>0</x:v>
      </x:c>
      <x:c r="AB78" s="662">
        <x:v>0</x:v>
      </x:c>
      <x:c r="AC78" s="662">
        <x:v>0</x:v>
      </x:c>
      <x:c r="AD78" s="662">
        <x:v>0</x:v>
      </x:c>
      <x:c r="AE78" s="662">
        <x:v>0</x:v>
      </x:c>
      <x:c r="AF78" s="662">
        <x:v>0</x:v>
      </x:c>
      <x:c r="AG78" s="662">
        <x:v>0</x:v>
      </x:c>
      <x:c r="AH78" s="662">
        <x:v>0</x:v>
      </x:c>
      <x:c r="AI78" s="662">
        <x:v>0</x:v>
      </x:c>
      <x:c r="AJ78" s="662">
        <x:v>0</x:v>
      </x:c>
      <x:c r="AK78" s="662">
        <x:v>0</x:v>
      </x:c>
      <x:c r="AL78" s="662">
        <x:v>0</x:v>
      </x:c>
      <x:c r="AM78" s="662">
        <x:v>0</x:v>
      </x:c>
      <x:c r="AN78" s="662">
        <x:v>0</x:v>
      </x:c>
      <x:c r="AO78" s="662">
        <x:v>0</x:v>
      </x:c>
      <x:c r="AP78" s="662">
        <x:v>0</x:v>
      </x:c>
      <x:c r="BN78" s="624"/>
    </x:row>
    <x:row r="79" spans="1:66" x14ac:dyDescent="0.2">
      <x:c r="C79" s="769"/>
      <x:c r="D79" s="768"/>
      <x:c r="E79" s="661" t="s">
        <x:v>73</x:v>
      </x:c>
      <x:c r="F79" s="662">
        <x:v>0</x:v>
      </x:c>
      <x:c r="G79" s="627"/>
      <x:c r="H79" s="627"/>
      <x:c r="I79" s="627"/>
      <x:c r="J79" s="627"/>
      <x:c r="K79" s="627"/>
      <x:c r="L79" s="627"/>
      <x:c r="M79" s="627"/>
      <x:c r="N79" s="627"/>
      <x:c r="O79" s="627"/>
      <x:c r="P79" s="627"/>
      <x:c r="Q79" s="627"/>
      <x:c r="R79" s="627"/>
      <x:c r="S79" s="627"/>
      <x:c r="BN79" s="624"/>
    </x:row>
    <x:row r="80" spans="1:66" x14ac:dyDescent="0.2">
      <x:c r="C80" s="769"/>
      <x:c r="D80" s="768" t="s">
        <x:v>133</x:v>
      </x:c>
      <x:c r="E80" s="663" t="s">
        <x:v>70</x:v>
      </x:c>
      <x:c r="F80" s="664">
        <x:v>0</x:v>
      </x:c>
      <x:c r="G80" s="664">
        <x:v>0</x:v>
      </x:c>
      <x:c r="H80" s="664">
        <x:v>0</x:v>
      </x:c>
      <x:c r="I80" s="664">
        <x:v>0</x:v>
      </x:c>
      <x:c r="J80" s="664">
        <x:v>0</x:v>
      </x:c>
      <x:c r="K80" s="664">
        <x:v>0</x:v>
      </x:c>
      <x:c r="L80" s="664">
        <x:v>0</x:v>
      </x:c>
      <x:c r="M80" s="664">
        <x:v>0</x:v>
      </x:c>
      <x:c r="N80" s="664">
        <x:v>0</x:v>
      </x:c>
      <x:c r="O80" s="664">
        <x:v>0</x:v>
      </x:c>
      <x:c r="P80" s="664">
        <x:v>0</x:v>
      </x:c>
      <x:c r="Q80" s="664">
        <x:v>0</x:v>
      </x:c>
      <x:c r="R80" s="664">
        <x:v>0</x:v>
      </x:c>
      <x:c r="S80" s="664">
        <x:v>0</x:v>
      </x:c>
      <x:c r="T80" s="664">
        <x:v>0</x:v>
      </x:c>
      <x:c r="U80" s="664">
        <x:v>0</x:v>
      </x:c>
      <x:c r="V80" s="664">
        <x:v>0</x:v>
      </x:c>
      <x:c r="W80" s="664">
        <x:v>0</x:v>
      </x:c>
      <x:c r="X80" s="664">
        <x:v>0</x:v>
      </x:c>
      <x:c r="Y80" s="664">
        <x:v>0</x:v>
      </x:c>
      <x:c r="Z80" s="664">
        <x:v>0</x:v>
      </x:c>
      <x:c r="AA80" s="664">
        <x:v>0</x:v>
      </x:c>
      <x:c r="AB80" s="664">
        <x:v>0</x:v>
      </x:c>
      <x:c r="AC80" s="664">
        <x:v>0</x:v>
      </x:c>
      <x:c r="AD80" s="664">
        <x:v>0</x:v>
      </x:c>
      <x:c r="AE80" s="664">
        <x:v>0</x:v>
      </x:c>
      <x:c r="AF80" s="664">
        <x:v>0</x:v>
      </x:c>
      <x:c r="AG80" s="664">
        <x:v>0</x:v>
      </x:c>
      <x:c r="AH80" s="664">
        <x:v>0</x:v>
      </x:c>
      <x:c r="AI80" s="664">
        <x:v>0</x:v>
      </x:c>
      <x:c r="AJ80" s="664">
        <x:v>0</x:v>
      </x:c>
      <x:c r="AK80" s="664">
        <x:v>0</x:v>
      </x:c>
      <x:c r="AL80" s="664">
        <x:v>0</x:v>
      </x:c>
      <x:c r="AM80" s="664">
        <x:v>0</x:v>
      </x:c>
      <x:c r="AN80" s="664">
        <x:v>0</x:v>
      </x:c>
      <x:c r="AO80" s="664">
        <x:v>0</x:v>
      </x:c>
      <x:c r="AP80" s="664">
        <x:v>0</x:v>
      </x:c>
      <x:c r="BN80" s="624"/>
    </x:row>
    <x:row r="81" spans="1:66" x14ac:dyDescent="0.2">
      <x:c r="C81" s="769"/>
      <x:c r="D81" s="768"/>
      <x:c r="E81" s="663" t="s">
        <x:v>73</x:v>
      </x:c>
      <x:c r="F81" s="664">
        <x:v>0</x:v>
      </x:c>
      <x:c r="G81" s="627"/>
      <x:c r="H81" s="627"/>
      <x:c r="I81" s="627"/>
      <x:c r="J81" s="627"/>
      <x:c r="K81" s="627"/>
      <x:c r="L81" s="627"/>
      <x:c r="M81" s="627"/>
      <x:c r="N81" s="627"/>
      <x:c r="O81" s="627"/>
      <x:c r="P81" s="627"/>
      <x:c r="Q81" s="627"/>
      <x:c r="R81" s="627"/>
      <x:c r="BN81" s="624"/>
    </x:row>
    <x:row r="82" spans="1:66" ht="15" x14ac:dyDescent="0.2">
      <x:c r="C82" s="660"/>
      <x:c r="D82" s="644"/>
      <x:c r="E82" s="625"/>
      <x:c r="F82" s="627"/>
      <x:c r="G82" s="627"/>
      <x:c r="H82" s="627"/>
      <x:c r="I82" s="627"/>
      <x:c r="J82" s="627"/>
      <x:c r="K82" s="627"/>
      <x:c r="L82" s="627"/>
      <x:c r="M82" s="627"/>
      <x:c r="N82" s="627"/>
      <x:c r="O82" s="627"/>
      <x:c r="P82" s="627"/>
      <x:c r="Q82" s="627"/>
      <x:c r="R82" s="627"/>
      <x:c r="BN82" s="624"/>
    </x:row>
    <x:row r="83" spans="1:66" x14ac:dyDescent="0.2">
      <x:c r="D83" s="634" t="s">
        <x:v>185</x:v>
      </x:c>
      <x:c r="E83" s="665" t="s">
        <x:v>70</x:v>
      </x:c>
      <x:c r="F83" s="666">
        <x:f t="shared" ref="F83:AP83" si="5">F13</x:f>
        <x:v>0</x:v>
      </x:c>
      <x:c r="G83" s="666">
        <x:f t="shared" si="5"/>
        <x:v>0</x:v>
      </x:c>
      <x:c r="H83" s="666">
        <x:f t="shared" si="5"/>
        <x:v>0</x:v>
      </x:c>
      <x:c r="I83" s="666">
        <x:f t="shared" si="5"/>
        <x:v>0</x:v>
      </x:c>
      <x:c r="J83" s="666">
        <x:f t="shared" si="5"/>
        <x:v>0</x:v>
      </x:c>
      <x:c r="K83" s="666">
        <x:f t="shared" si="5"/>
        <x:v>0</x:v>
      </x:c>
      <x:c r="L83" s="666">
        <x:f t="shared" si="5"/>
        <x:v>0</x:v>
      </x:c>
      <x:c r="M83" s="666">
        <x:f t="shared" si="5"/>
        <x:v>0</x:v>
      </x:c>
      <x:c r="N83" s="666">
        <x:f t="shared" si="5"/>
        <x:v>0</x:v>
      </x:c>
      <x:c r="O83" s="666">
        <x:f t="shared" si="5"/>
        <x:v>0</x:v>
      </x:c>
      <x:c r="P83" s="666">
        <x:f t="shared" si="5"/>
        <x:v>0</x:v>
      </x:c>
      <x:c r="Q83" s="666">
        <x:f t="shared" si="5"/>
        <x:v>0</x:v>
      </x:c>
      <x:c r="R83" s="666">
        <x:f t="shared" si="5"/>
        <x:v>0</x:v>
      </x:c>
      <x:c r="S83" s="666">
        <x:f t="shared" si="5"/>
        <x:v>0</x:v>
      </x:c>
      <x:c r="T83" s="666">
        <x:f t="shared" si="5"/>
        <x:v>0</x:v>
      </x:c>
      <x:c r="U83" s="666">
        <x:f t="shared" si="5"/>
        <x:v>0</x:v>
      </x:c>
      <x:c r="V83" s="666">
        <x:f t="shared" si="5"/>
        <x:v>0</x:v>
      </x:c>
      <x:c r="W83" s="666">
        <x:f t="shared" si="5"/>
        <x:v>0</x:v>
      </x:c>
      <x:c r="X83" s="666">
        <x:f t="shared" si="5"/>
        <x:v>0</x:v>
      </x:c>
      <x:c r="Y83" s="666">
        <x:f t="shared" si="5"/>
        <x:v>0</x:v>
      </x:c>
      <x:c r="Z83" s="666">
        <x:f t="shared" si="5"/>
        <x:v>0</x:v>
      </x:c>
      <x:c r="AA83" s="666">
        <x:f t="shared" si="5"/>
        <x:v>0</x:v>
      </x:c>
      <x:c r="AB83" s="666">
        <x:f t="shared" si="5"/>
        <x:v>0</x:v>
      </x:c>
      <x:c r="AC83" s="666">
        <x:f t="shared" si="5"/>
        <x:v>0</x:v>
      </x:c>
      <x:c r="AD83" s="666">
        <x:f t="shared" si="5"/>
        <x:v>0</x:v>
      </x:c>
      <x:c r="AE83" s="666">
        <x:f t="shared" si="5"/>
        <x:v>0</x:v>
      </x:c>
      <x:c r="AF83" s="666">
        <x:f t="shared" si="5"/>
        <x:v>0</x:v>
      </x:c>
      <x:c r="AG83" s="666">
        <x:f t="shared" si="5"/>
        <x:v>0</x:v>
      </x:c>
      <x:c r="AH83" s="666">
        <x:f t="shared" si="5"/>
        <x:v>0</x:v>
      </x:c>
      <x:c r="AI83" s="666">
        <x:f t="shared" si="5"/>
        <x:v>0</x:v>
      </x:c>
      <x:c r="AJ83" s="666">
        <x:f t="shared" si="5"/>
        <x:v>0</x:v>
      </x:c>
      <x:c r="AK83" s="666">
        <x:f t="shared" si="5"/>
        <x:v>0</x:v>
      </x:c>
      <x:c r="AL83" s="666">
        <x:f t="shared" si="5"/>
        <x:v>0</x:v>
      </x:c>
      <x:c r="AM83" s="666">
        <x:f t="shared" si="5"/>
        <x:v>0</x:v>
      </x:c>
      <x:c r="AN83" s="666">
        <x:f t="shared" si="5"/>
        <x:v>0</x:v>
      </x:c>
      <x:c r="AO83" s="666">
        <x:f t="shared" si="5"/>
        <x:v>0</x:v>
      </x:c>
      <x:c r="AP83" s="666">
        <x:f t="shared" si="5"/>
        <x:v>0</x:v>
      </x:c>
      <x:c r="BN83" s="624"/>
    </x:row>
    <x:row r="84" spans="1:66" ht="15" x14ac:dyDescent="0.2">
      <x:c r="C84" s="660"/>
      <x:c r="D84" s="644"/>
      <x:c r="E84" s="625"/>
      <x:c r="F84" s="627"/>
      <x:c r="G84" s="627"/>
      <x:c r="H84" s="627"/>
      <x:c r="I84" s="627"/>
      <x:c r="J84" s="627"/>
      <x:c r="K84" s="627"/>
      <x:c r="L84" s="627"/>
      <x:c r="M84" s="627"/>
      <x:c r="N84" s="627"/>
      <x:c r="O84" s="627"/>
      <x:c r="P84" s="627"/>
      <x:c r="Q84" s="627"/>
      <x:c r="R84" s="627"/>
      <x:c r="BN84" s="624"/>
    </x:row>
    <x:row r="85" spans="1:66" x14ac:dyDescent="0.2">
      <x:c r="A85" s="624"/>
      <x:c r="B85" s="624"/>
      <x:c r="C85" s="624"/>
      <x:c r="D85" s="624"/>
      <x:c r="E85" s="624"/>
      <x:c r="F85" s="624"/>
      <x:c r="G85" s="624"/>
      <x:c r="H85" s="624"/>
      <x:c r="I85" s="624"/>
      <x:c r="J85" s="624"/>
      <x:c r="K85" s="624"/>
      <x:c r="L85" s="624"/>
      <x:c r="M85" s="624"/>
      <x:c r="N85" s="624"/>
      <x:c r="O85" s="624"/>
      <x:c r="P85" s="624"/>
      <x:c r="Q85" s="624"/>
      <x:c r="R85" s="624"/>
      <x:c r="S85" s="624"/>
      <x:c r="T85" s="624"/>
      <x:c r="U85" s="624"/>
      <x:c r="V85" s="624"/>
      <x:c r="W85" s="624"/>
      <x:c r="X85" s="624"/>
      <x:c r="Y85" s="624"/>
      <x:c r="Z85" s="624"/>
      <x:c r="AA85" s="624"/>
      <x:c r="AB85" s="624"/>
      <x:c r="AC85" s="624"/>
      <x:c r="AD85" s="624"/>
      <x:c r="AE85" s="624"/>
      <x:c r="AF85" s="624"/>
      <x:c r="AG85" s="624"/>
      <x:c r="AH85" s="624"/>
      <x:c r="AI85" s="624"/>
      <x:c r="AJ85" s="624"/>
      <x:c r="AK85" s="624"/>
      <x:c r="AL85" s="624"/>
      <x:c r="AM85" s="624"/>
      <x:c r="AN85" s="624"/>
      <x:c r="AO85" s="624"/>
      <x:c r="AP85" s="624"/>
      <x:c r="AQ85" s="624"/>
      <x:c r="AR85" s="624"/>
      <x:c r="AS85" s="624"/>
      <x:c r="AT85" s="624"/>
      <x:c r="AU85" s="624"/>
      <x:c r="AV85" s="624"/>
      <x:c r="AW85" s="624"/>
      <x:c r="AX85" s="624"/>
      <x:c r="AY85" s="624"/>
      <x:c r="AZ85" s="624"/>
      <x:c r="BA85" s="624"/>
      <x:c r="BB85" s="624"/>
      <x:c r="BC85" s="624"/>
      <x:c r="BD85" s="624"/>
      <x:c r="BE85" s="624"/>
      <x:c r="BF85" s="624"/>
      <x:c r="BG85" s="624"/>
      <x:c r="BH85" s="624"/>
      <x:c r="BI85" s="624"/>
      <x:c r="BJ85" s="624"/>
      <x:c r="BK85" s="624"/>
      <x:c r="BL85" s="624"/>
      <x:c r="BM85" s="624"/>
      <x:c r="BN85" s="624"/>
    </x:row>
    <x:row r="86" spans="1:66" ht="15" x14ac:dyDescent="0.25">
      <x:c r="A86" s="625"/>
      <x:c r="B86" s="50" t="s">
        <x:v>75</x:v>
      </x:c>
      <x:c r="E86" s="627"/>
      <x:c r="F86" s="627"/>
      <x:c r="G86" s="627"/>
      <x:c r="H86" s="627"/>
      <x:c r="I86" s="627"/>
      <x:c r="J86" s="627"/>
      <x:c r="K86" s="627"/>
      <x:c r="L86" s="627"/>
      <x:c r="M86" s="627"/>
      <x:c r="N86" s="627"/>
      <x:c r="O86" s="627"/>
      <x:c r="P86" s="627"/>
      <x:c r="Q86" s="627"/>
      <x:c r="R86" s="627"/>
      <x:c r="BN86" s="624"/>
    </x:row>
    <x:row r="87" spans="1:66" s="50" customFormat="1" ht="30" x14ac:dyDescent="0.25">
      <x:c r="F87" s="669" t="s">
        <x:v>70</x:v>
      </x:c>
      <x:c r="G87" s="669" t="s">
        <x:v>64</x:v>
      </x:c>
      <x:c r="H87" s="669" t="s">
        <x:v>65</x:v>
      </x:c>
      <x:c r="I87" s="626" t="s">
        <x:v>164</x:v>
      </x:c>
      <x:c r="J87" s="669" t="s">
        <x:v>69</x:v>
      </x:c>
      <x:c r="K87" s="669" t="s">
        <x:v>68</x:v>
      </x:c>
      <x:c r="L87" s="669" t="s">
        <x:v>71</x:v>
      </x:c>
      <x:c r="M87" s="669" t="s">
        <x:v>66</x:v>
      </x:c>
      <x:c r="N87" s="669" t="s">
        <x:v>63</x:v>
      </x:c>
      <x:c r="O87" s="669" t="s">
        <x:v>61</x:v>
      </x:c>
      <x:c r="P87" s="669" t="s">
        <x:v>62</x:v>
      </x:c>
      <x:c r="Q87" s="669" t="s">
        <x:v>67</x:v>
      </x:c>
      <x:c r="R87" s="669" t="s">
        <x:v>77</x:v>
      </x:c>
      <x:c r="S87" s="669" t="s">
        <x:v>80</x:v>
      </x:c>
      <x:c r="T87" s="669" t="s">
        <x:v>135</x:v>
      </x:c>
      <x:c r="U87" s="669" t="s">
        <x:v>222</x:v>
      </x:c>
      <x:c r="V87" s="669" t="s">
        <x:v>223</x:v>
      </x:c>
      <x:c r="W87" s="669" t="s">
        <x:v>172</x:v>
      </x:c>
      <x:c r="X87" s="50" t="s">
        <x:v>166</x:v>
      </x:c>
      <x:c r="Y87" s="669" t="s">
        <x:v>135</x:v>
      </x:c>
      <x:c r="Z87" s="669" t="s">
        <x:v>166</x:v>
      </x:c>
      <x:c r="BN87" s="618"/>
    </x:row>
    <x:row r="88" spans="1:66" x14ac:dyDescent="0.2">
      <x:c r="A88"/>
      <x:c r="B88"/>
      <x:c r="C88"/>
      <x:c r="D88"/>
      <x:c r="E88" s="25" t="inlineStr">
        <x:is>
          <x:t>Vlr Servicio</x:t>
        </x:is>
      </x:c>
      <x:c r="F88" s="627" t="n">
        <x:v>-381705.66</x:v>
      </x:c>
      <x:c r="G88" s="627" t="n">
        <x:v>-34085.26</x:v>
      </x:c>
      <x:c r="H88" s="627" t="n">
        <x:v>-14480.34</x:v>
      </x:c>
      <x:c r="I88" s="671" t="n">
        <x:v>-6323.59</x:v>
      </x:c>
      <x:c r="J88" s="627" t="n">
        <x:v>-75196.47</x:v>
      </x:c>
      <x:c r="K88" s="627" t="n">
        <x:v>-3165.32</x:v>
      </x:c>
      <x:c r="L88" s="627" t="n">
        <x:v>0</x:v>
      </x:c>
      <x:c r="M88" s="627" t="n">
        <x:v>-27767.22</x:v>
      </x:c>
      <x:c r="N88" s="627" t="n">
        <x:v>-34797.83</x:v>
      </x:c>
      <x:c r="O88" s="627" t="n">
        <x:v>-116911.93</x:v>
      </x:c>
      <x:c r="P88" s="627" t="n">
        <x:v>-63812.98</x:v>
      </x:c>
      <x:c r="Q88" s="627" t="n">
        <x:v>-5164.72</x:v>
      </x:c>
      <x:c r="R88" s="627" t="n">
        <x:v>0</x:v>
      </x:c>
      <x:c r="S88" s="627" t="n">
        <x:v>0</x:v>
      </x:c>
      <x:c r="T88" s="627" t="n">
        <x:v>0</x:v>
      </x:c>
      <x:c r="U88" s="627">
        <x:v>0</x:v>
      </x:c>
      <x:c r="V88" s="627">
        <x:v>0</x:v>
      </x:c>
      <x:c r="W88" s="627">
        <x:v>0</x:v>
      </x:c>
      <x:c r="X88" s="653">
        <x:v>0</x:v>
      </x:c>
      <x:c r="Y88" s="627">
        <x:v>0</x:v>
      </x:c>
      <x:c r="Z88" s="627" t="n">
        <x:v>0</x:v>
      </x:c>
      <x:c r="BN88" s="624"/>
    </x:row>
    <x:row r="89" spans="1:66" x14ac:dyDescent="0.2">
      <x:c r="A89"/>
      <x:c r="B89"/>
      <x:c r="C89"/>
      <x:c r="D89" s="25" t="inlineStr">
        <x:is>
          <x:t>E</x:t>
        </x:is>
      </x:c>
      <x:c r="E89" s="25" t="inlineStr">
        <x:is>
          <x:t>Total</x:t>
        </x:is>
      </x:c>
      <x:c r="F89" s="627" t="n">
        <x:v>-381705.66</x:v>
      </x:c>
      <x:c r="G89" s="627" t="n">
        <x:v>-34085.26</x:v>
      </x:c>
      <x:c r="H89" s="627" t="n">
        <x:v>-14480.34</x:v>
      </x:c>
      <x:c r="I89" s="671" t="n">
        <x:v>-6323.59</x:v>
      </x:c>
      <x:c r="J89" s="627" t="n">
        <x:v>-75196.47</x:v>
      </x:c>
      <x:c r="K89" s="627" t="n">
        <x:v>-3165.32</x:v>
      </x:c>
      <x:c r="L89" s="627" t="n">
        <x:v>0</x:v>
      </x:c>
      <x:c r="M89" s="627" t="n">
        <x:v>-27767.22</x:v>
      </x:c>
      <x:c r="N89" s="627" t="n">
        <x:v>-34797.83</x:v>
      </x:c>
      <x:c r="O89" s="627" t="n">
        <x:v>-116911.93</x:v>
      </x:c>
      <x:c r="P89" s="627" t="n">
        <x:v>-63812.98</x:v>
      </x:c>
      <x:c r="Q89" s="627" t="n">
        <x:v>-5164.72</x:v>
      </x:c>
      <x:c r="R89" s="627" t="n">
        <x:v>0</x:v>
      </x:c>
      <x:c r="S89" s="627" t="n">
        <x:v>0</x:v>
      </x:c>
      <x:c r="T89" s="627" t="n">
        <x:v>0</x:v>
      </x:c>
      <x:c r="U89" s="627">
        <x:v>0</x:v>
      </x:c>
      <x:c r="V89" s="627">
        <x:v>0</x:v>
      </x:c>
      <x:c r="W89" s="627">
        <x:v>0</x:v>
      </x:c>
      <x:c r="X89" s="653">
        <x:v>0</x:v>
      </x:c>
      <x:c r="Y89" s="627">
        <x:v>0</x:v>
      </x:c>
      <x:c r="Z89" s="627" t="n">
        <x:v>0</x:v>
      </x:c>
      <x:c r="BN89" s="624"/>
    </x:row>
    <x:row r="90" spans="1:66" x14ac:dyDescent="0.2">
      <x:c r="A90" s="628"/>
      <x:c r="B90" s="628"/>
      <x:c r="C90" s="628" t="inlineStr">
        <x:is>
          <x:t>ENEL</x:t>
        </x:is>
      </x:c>
      <x:c r="D90" s="628" t="inlineStr">
        <x:is>
          <x:t>Total</x:t>
        </x:is>
      </x:c>
      <x:c r="E90" s="629"/>
      <x:c r="F90" s="630" t="n">
        <x:v>-381705.66</x:v>
      </x:c>
      <x:c r="G90" s="630" t="n">
        <x:v>-34085.26</x:v>
      </x:c>
      <x:c r="H90" s="630" t="n">
        <x:v>-14480.34</x:v>
      </x:c>
      <x:c r="I90" s="630" t="n">
        <x:v>-6323.59</x:v>
      </x:c>
      <x:c r="J90" s="630" t="n">
        <x:v>-75196.47</x:v>
      </x:c>
      <x:c r="K90" s="630" t="n">
        <x:v>-3165.32</x:v>
      </x:c>
      <x:c r="L90" s="630" t="n">
        <x:v>0</x:v>
      </x:c>
      <x:c r="M90" s="630" t="n">
        <x:v>-27767.22</x:v>
      </x:c>
      <x:c r="N90" s="630" t="n">
        <x:v>-34797.83</x:v>
      </x:c>
      <x:c r="O90" s="630" t="n">
        <x:v>-116911.93</x:v>
      </x:c>
      <x:c r="P90" s="630" t="n">
        <x:v>-63812.98</x:v>
      </x:c>
      <x:c r="Q90" s="630" t="n">
        <x:v>-5164.72</x:v>
      </x:c>
      <x:c r="R90" s="630" t="n">
        <x:v>0</x:v>
      </x:c>
      <x:c r="S90" s="630" t="n">
        <x:v>0</x:v>
      </x:c>
      <x:c r="T90" s="630" t="n">
        <x:v>0</x:v>
      </x:c>
      <x:c r="U90" s="630">
        <x:v>0</x:v>
      </x:c>
      <x:c r="V90" s="630">
        <x:v>0</x:v>
      </x:c>
      <x:c r="W90" s="630">
        <x:v>0</x:v>
      </x:c>
      <x:c r="X90" s="630">
        <x:v>0</x:v>
      </x:c>
      <x:c r="Y90" s="630">
        <x:v>0</x:v>
      </x:c>
      <x:c r="Z90" s="630" t="n">
        <x:v>0</x:v>
      </x:c>
      <x:c r="AA90" s="628"/>
      <x:c r="AB90" s="628"/>
      <x:c r="AC90" s="628"/>
      <x:c r="AD90" s="628"/>
      <x:c r="AE90" s="628"/>
      <x:c r="AF90" s="628"/>
      <x:c r="AG90" s="628"/>
      <x:c r="AH90" s="628"/>
      <x:c r="AI90" s="628"/>
      <x:c r="AJ90" s="628"/>
      <x:c r="AK90" s="628"/>
      <x:c r="AL90" s="628"/>
      <x:c r="AM90" s="628"/>
      <x:c r="AN90" s="628"/>
      <x:c r="AO90" s="628"/>
      <x:c r="AP90" s="628"/>
      <x:c r="AQ90" s="628"/>
      <x:c r="AR90" s="628"/>
      <x:c r="AS90" s="628"/>
      <x:c r="AT90" s="628"/>
      <x:c r="AU90" s="628"/>
      <x:c r="AV90" s="628"/>
      <x:c r="AW90" s="628"/>
      <x:c r="AX90" s="628"/>
      <x:c r="AY90" s="628"/>
      <x:c r="AZ90" s="628"/>
      <x:c r="BA90" s="628"/>
      <x:c r="BB90" s="628"/>
      <x:c r="BC90" s="628"/>
      <x:c r="BD90" s="628"/>
      <x:c r="BE90" s="628"/>
      <x:c r="BF90" s="628"/>
      <x:c r="BG90" s="628"/>
      <x:c r="BH90" s="628"/>
      <x:c r="BI90" s="628"/>
      <x:c r="BJ90" s="628"/>
      <x:c r="BK90" s="628"/>
      <x:c r="BL90" s="628"/>
      <x:c r="BM90" s="628"/>
      <x:c r="BN90" s="624"/>
    </x:row>
    <x:row r="91" spans="1:66" x14ac:dyDescent="0.2">
      <x:c r="A91"/>
      <x:c r="B91"/>
      <x:c r="C91"/>
      <x:c r="D91"/>
      <x:c r="E91" s="625" t="inlineStr">
        <x:is>
          <x:t>Vlr Servicio</x:t>
        </x:is>
      </x:c>
      <x:c r="F91" s="627" t="n">
        <x:v>-24201.09</x:v>
      </x:c>
      <x:c r="G91" s="627" t="n">
        <x:v>-2167.98</x:v>
      </x:c>
      <x:c r="H91" s="627" t="n">
        <x:v>-921.01</x:v>
      </x:c>
      <x:c r="I91" s="627" t="n">
        <x:v>-402.21</x:v>
      </x:c>
      <x:c r="J91" s="627" t="n">
        <x:v>-4825.89</x:v>
      </x:c>
      <x:c r="K91" s="627" t="n">
        <x:v>-199.14</x:v>
      </x:c>
      <x:c r="L91" s="627" t="n">
        <x:v>0</x:v>
      </x:c>
      <x:c r="M91" s="627" t="n">
        <x:v>-1746.78</x:v>
      </x:c>
      <x:c r="N91" s="627" t="n">
        <x:v>-2190.07</x:v>
      </x:c>
      <x:c r="O91" s="627" t="n">
        <x:v>-7354.7</x:v>
      </x:c>
      <x:c r="P91" s="627" t="n">
        <x:v>-4068.42</x:v>
      </x:c>
      <x:c r="Q91" s="627" t="n">
        <x:v>-324.89</x:v>
      </x:c>
      <x:c r="R91" s="627" t="n">
        <x:v>0</x:v>
      </x:c>
      <x:c r="S91" s="627" t="n">
        <x:v>0</x:v>
      </x:c>
      <x:c r="T91" s="627" t="n">
        <x:v>0</x:v>
      </x:c>
      <x:c r="U91" s="627">
        <x:v>0</x:v>
      </x:c>
      <x:c r="V91" s="627">
        <x:v>0</x:v>
      </x:c>
      <x:c r="W91" s="627">
        <x:v>0</x:v>
      </x:c>
      <x:c r="X91" s="653">
        <x:v>0</x:v>
      </x:c>
      <x:c r="Y91" s="653">
        <x:v>0</x:v>
      </x:c>
      <x:c r="Z91" s="653" t="n">
        <x:v>0</x:v>
      </x:c>
      <x:c r="BN91" s="624"/>
    </x:row>
    <x:row r="92" spans="1:66" x14ac:dyDescent="0.2">
      <x:c r="A92"/>
      <x:c r="B92"/>
      <x:c r="C92"/>
      <x:c r="D92" s="25" t="inlineStr">
        <x:is>
          <x:t>O</x:t>
        </x:is>
      </x:c>
      <x:c r="E92" s="625" t="inlineStr">
        <x:is>
          <x:t>Total</x:t>
        </x:is>
      </x:c>
      <x:c r="F92" s="627" t="n">
        <x:v>-24201.09</x:v>
      </x:c>
      <x:c r="G92" s="627" t="n">
        <x:v>-2167.98</x:v>
      </x:c>
      <x:c r="H92" s="627" t="n">
        <x:v>-921.01</x:v>
      </x:c>
      <x:c r="I92" s="627" t="n">
        <x:v>-402.21</x:v>
      </x:c>
      <x:c r="J92" s="627" t="n">
        <x:v>-4825.89</x:v>
      </x:c>
      <x:c r="K92" s="627" t="n">
        <x:v>-199.14</x:v>
      </x:c>
      <x:c r="L92" s="627" t="n">
        <x:v>0</x:v>
      </x:c>
      <x:c r="M92" s="627" t="n">
        <x:v>-1746.78</x:v>
      </x:c>
      <x:c r="N92" s="627" t="n">
        <x:v>-2190.07</x:v>
      </x:c>
      <x:c r="O92" s="627" t="n">
        <x:v>-7354.7</x:v>
      </x:c>
      <x:c r="P92" s="627" t="n">
        <x:v>-4068.42</x:v>
      </x:c>
      <x:c r="Q92" s="627" t="n">
        <x:v>-324.89</x:v>
      </x:c>
      <x:c r="R92" s="627" t="n">
        <x:v>0</x:v>
      </x:c>
      <x:c r="S92" s="627" t="n">
        <x:v>0</x:v>
      </x:c>
      <x:c r="T92" s="627" t="n">
        <x:v>0</x:v>
      </x:c>
      <x:c r="U92" s="627">
        <x:v>0</x:v>
      </x:c>
      <x:c r="V92" s="627">
        <x:v>0</x:v>
      </x:c>
      <x:c r="W92" s="627">
        <x:v>0</x:v>
      </x:c>
      <x:c r="X92" s="653">
        <x:v>0</x:v>
      </x:c>
      <x:c r="Y92" s="653">
        <x:v>0</x:v>
      </x:c>
      <x:c r="Z92" s="653" t="n">
        <x:v>0</x:v>
      </x:c>
      <x:c r="BN92" s="624"/>
    </x:row>
    <x:row r="93" spans="1:66" x14ac:dyDescent="0.2">
      <x:c r="A93" s="631"/>
      <x:c r="B93" s="631"/>
      <x:c r="C93" s="632" t="inlineStr">
        <x:is>
          <x:t>OCCIDENTE</x:t>
        </x:is>
      </x:c>
      <x:c r="D93" s="632" t="inlineStr">
        <x:is>
          <x:t>Total</x:t>
        </x:is>
      </x:c>
      <x:c r="E93" s="631"/>
      <x:c r="F93" s="633" t="n">
        <x:v>-24201.09</x:v>
      </x:c>
      <x:c r="G93" s="633" t="n">
        <x:v>-2167.98</x:v>
      </x:c>
      <x:c r="H93" s="633" t="n">
        <x:v>-921.01</x:v>
      </x:c>
      <x:c r="I93" s="633" t="n">
        <x:v>-402.21</x:v>
      </x:c>
      <x:c r="J93" s="633" t="n">
        <x:v>-4825.89</x:v>
      </x:c>
      <x:c r="K93" s="633" t="n">
        <x:v>-199.14</x:v>
      </x:c>
      <x:c r="L93" s="633" t="n">
        <x:v>0</x:v>
      </x:c>
      <x:c r="M93" s="633" t="n">
        <x:v>-1746.78</x:v>
      </x:c>
      <x:c r="N93" s="633" t="n">
        <x:v>-2190.07</x:v>
      </x:c>
      <x:c r="O93" s="633" t="n">
        <x:v>-7354.7</x:v>
      </x:c>
      <x:c r="P93" s="633" t="n">
        <x:v>-4068.42</x:v>
      </x:c>
      <x:c r="Q93" s="633" t="n">
        <x:v>-324.89</x:v>
      </x:c>
      <x:c r="R93" s="633" t="n">
        <x:v>0</x:v>
      </x:c>
      <x:c r="S93" s="633" t="n">
        <x:v>0</x:v>
      </x:c>
      <x:c r="T93" s="633" t="n">
        <x:v>0</x:v>
      </x:c>
      <x:c r="U93" s="633">
        <x:v>0</x:v>
      </x:c>
      <x:c r="V93" s="633">
        <x:v>0</x:v>
      </x:c>
      <x:c r="W93" s="633">
        <x:v>0</x:v>
      </x:c>
      <x:c r="X93" s="633">
        <x:v>0</x:v>
      </x:c>
      <x:c r="Y93" s="633">
        <x:v>0</x:v>
      </x:c>
      <x:c r="Z93" s="633" t="n">
        <x:v>0</x:v>
      </x:c>
      <x:c r="AA93" s="631"/>
      <x:c r="AB93" s="631"/>
      <x:c r="AC93" s="631"/>
      <x:c r="AD93" s="631"/>
      <x:c r="AE93" s="631"/>
      <x:c r="AF93" s="631"/>
      <x:c r="AG93" s="631"/>
      <x:c r="AH93" s="631"/>
      <x:c r="AI93" s="631"/>
      <x:c r="AJ93" s="631"/>
      <x:c r="AK93" s="631"/>
      <x:c r="AL93" s="631"/>
      <x:c r="AM93" s="631"/>
      <x:c r="AN93" s="631"/>
      <x:c r="AO93" s="631"/>
      <x:c r="AP93" s="631"/>
      <x:c r="AQ93" s="631"/>
      <x:c r="AR93" s="631"/>
      <x:c r="AS93" s="631"/>
      <x:c r="AT93" s="631"/>
      <x:c r="AU93" s="631"/>
      <x:c r="AV93" s="631"/>
      <x:c r="AW93" s="631"/>
      <x:c r="AX93" s="631"/>
      <x:c r="AY93" s="631"/>
      <x:c r="AZ93" s="631"/>
      <x:c r="BA93" s="631"/>
      <x:c r="BB93" s="631"/>
      <x:c r="BC93" s="631"/>
      <x:c r="BD93" s="631"/>
      <x:c r="BE93" s="631"/>
      <x:c r="BF93" s="631"/>
      <x:c r="BG93" s="631"/>
      <x:c r="BH93" s="631"/>
      <x:c r="BI93" s="631"/>
      <x:c r="BJ93" s="631"/>
      <x:c r="BK93" s="631"/>
      <x:c r="BL93" s="631"/>
      <x:c r="BM93" s="631"/>
      <x:c r="BN93" s="624"/>
    </x:row>
    <x:row r="94" spans="1:66" x14ac:dyDescent="0.2">
      <x:c r="A94"/>
      <x:c r="B94" s="625" t="inlineStr">
        <x:is>
          <x:t>Mes</x:t>
        </x:is>
      </x:c>
      <x:c r="C94" s="625" t="inlineStr">
        <x:is>
          <x:t>Total</x:t>
        </x:is>
      </x:c>
      <x:c r="D94"/>
      <x:c r="E94"/>
      <x:c r="F94" s="627" t="n">
        <x:v>-405906.75</x:v>
      </x:c>
      <x:c r="G94" s="627" t="n">
        <x:v>-36253.24</x:v>
      </x:c>
      <x:c r="H94" s="627" t="n">
        <x:v>-15401.35</x:v>
      </x:c>
      <x:c r="I94" s="627" t="n">
        <x:v>-6725.8</x:v>
      </x:c>
      <x:c r="J94" s="627" t="n">
        <x:v>-80022.36</x:v>
      </x:c>
      <x:c r="K94" s="627" t="n">
        <x:v>-3364.46</x:v>
      </x:c>
      <x:c r="L94" s="627" t="n">
        <x:v>0</x:v>
      </x:c>
      <x:c r="M94" s="627" t="n">
        <x:v>-29514</x:v>
      </x:c>
      <x:c r="N94" s="627" t="n">
        <x:v>-36987.9</x:v>
      </x:c>
      <x:c r="O94" s="627" t="n">
        <x:v>-124266.63</x:v>
      </x:c>
      <x:c r="P94" s="627" t="n">
        <x:v>-67881.4</x:v>
      </x:c>
      <x:c r="Q94" s="627" t="n">
        <x:v>-5489.61</x:v>
      </x:c>
      <x:c r="R94" s="627" t="n">
        <x:v>0</x:v>
      </x:c>
      <x:c r="S94" s="627" t="n">
        <x:v>0</x:v>
      </x:c>
      <x:c r="T94" s="653" t="n">
        <x:v>0</x:v>
      </x:c>
      <x:c r="U94" s="653">
        <x:v>0</x:v>
      </x:c>
      <x:c r="V94" s="653">
        <x:v>0</x:v>
      </x:c>
      <x:c r="W94" s="653">
        <x:v>0</x:v>
      </x:c>
      <x:c r="X94" s="653">
        <x:v>0</x:v>
      </x:c>
      <x:c r="Y94" s="627">
        <x:v>0</x:v>
      </x:c>
      <x:c r="Z94" s="653" t="n">
        <x:v>0</x:v>
      </x:c>
      <x:c r="BN94" s="624"/>
    </x:row>
    <x:row r="95" spans="1:66" x14ac:dyDescent="0.2">
      <x:c r="A95" s="634" t="inlineStr">
        <x:is>
          <x:t>AFaseo</x:t>
        </x:is>
      </x:c>
      <x:c r="B95" s="634" t="inlineStr">
        <x:is>
          <x:t>Total</x:t>
        </x:is>
      </x:c>
      <x:c r="C95" s="634"/>
      <x:c r="D95" s="634"/>
      <x:c r="E95" s="634"/>
      <x:c r="F95" s="670" t="n">
        <x:v>-405906.75</x:v>
      </x:c>
      <x:c r="G95" s="670" t="n">
        <x:v>-36253.24</x:v>
      </x:c>
      <x:c r="H95" s="670" t="n">
        <x:v>-15401.35</x:v>
      </x:c>
      <x:c r="I95" s="670" t="n">
        <x:v>-6725.8</x:v>
      </x:c>
      <x:c r="J95" s="670" t="n">
        <x:v>-80022.36</x:v>
      </x:c>
      <x:c r="K95" s="670" t="n">
        <x:v>-3364.46</x:v>
      </x:c>
      <x:c r="L95" s="670" t="n">
        <x:v>0</x:v>
      </x:c>
      <x:c r="M95" s="670" t="n">
        <x:v>-29514</x:v>
      </x:c>
      <x:c r="N95" s="670" t="n">
        <x:v>-36987.9</x:v>
      </x:c>
      <x:c r="O95" s="670" t="n">
        <x:v>-124266.63</x:v>
      </x:c>
      <x:c r="P95" s="670" t="n">
        <x:v>-67881.4</x:v>
      </x:c>
      <x:c r="Q95" s="670" t="n">
        <x:v>-5489.61</x:v>
      </x:c>
      <x:c r="R95" s="670" t="n">
        <x:v>0</x:v>
      </x:c>
      <x:c r="S95" s="670" t="n">
        <x:v>0</x:v>
      </x:c>
      <x:c r="T95" s="670" t="n">
        <x:v>0</x:v>
      </x:c>
      <x:c r="U95" s="670">
        <x:v>0</x:v>
      </x:c>
      <x:c r="V95" s="670">
        <x:v>0</x:v>
      </x:c>
      <x:c r="W95" s="670">
        <x:v>0</x:v>
      </x:c>
      <x:c r="X95" s="670">
        <x:v>0</x:v>
      </x:c>
      <x:c r="Y95" s="670">
        <x:v>0</x:v>
      </x:c>
      <x:c r="Z95" s="670" t="n">
        <x:v>0</x:v>
      </x:c>
      <x:c r="AA95" s="634"/>
      <x:c r="AB95" s="634"/>
      <x:c r="AC95" s="634"/>
      <x:c r="AD95" s="634"/>
      <x:c r="AE95" s="634"/>
      <x:c r="AF95" s="634"/>
      <x:c r="AG95" s="634"/>
      <x:c r="AH95" s="634"/>
      <x:c r="AI95" s="634"/>
      <x:c r="AJ95" s="634"/>
      <x:c r="AK95" s="634"/>
      <x:c r="AL95" s="634"/>
      <x:c r="AM95" s="634"/>
      <x:c r="AN95" s="634"/>
      <x:c r="AO95" s="634"/>
      <x:c r="AP95" s="634"/>
      <x:c r="AQ95" s="634"/>
      <x:c r="AR95" s="634"/>
      <x:c r="AS95" s="634"/>
      <x:c r="AT95" s="634"/>
      <x:c r="AU95" s="634"/>
      <x:c r="AV95" s="634"/>
      <x:c r="AW95" s="634"/>
      <x:c r="AX95" s="634"/>
      <x:c r="AY95" s="634"/>
      <x:c r="AZ95" s="634"/>
      <x:c r="BA95" s="634"/>
      <x:c r="BB95" s="634"/>
      <x:c r="BC95" s="634"/>
      <x:c r="BD95" s="634"/>
      <x:c r="BE95" s="634"/>
      <x:c r="BF95" s="634"/>
      <x:c r="BG95" s="634"/>
      <x:c r="BH95" s="634"/>
      <x:c r="BI95" s="634"/>
      <x:c r="BJ95" s="634"/>
      <x:c r="BK95" s="634"/>
      <x:c r="BL95" s="634"/>
      <x:c r="BM95" s="634"/>
      <x:c r="BN95" s="624"/>
    </x:row>
    <x:row r="96" spans="1:66" x14ac:dyDescent="0.2">
      <x:c r="A96"/>
      <x:c r="B96"/>
      <x:c r="C96"/>
      <x:c r="D96"/>
      <x:c r="E96" s="625" t="inlineStr">
        <x:is>
          <x:t>Vlr Servicio</x:t>
        </x:is>
      </x:c>
      <x:c r="F96" s="627" t="n">
        <x:v>29151843.97</x:v>
      </x:c>
      <x:c r="G96" s="627" t="n">
        <x:v>7443854.02</x:v>
      </x:c>
      <x:c r="H96" s="627" t="n">
        <x:v>4208102.86</x:v>
      </x:c>
      <x:c r="I96" s="627" t="n">
        <x:v>2229592.12</x:v>
      </x:c>
      <x:c r="J96" s="627" t="n">
        <x:v>106030.3</x:v>
      </x:c>
      <x:c r="K96" s="627" t="n">
        <x:v>3346.71</x:v>
      </x:c>
      <x:c r="L96" s="627" t="n">
        <x:v>0</x:v>
      </x:c>
      <x:c r="M96" s="627" t="n">
        <x:v>29357.04</x:v>
      </x:c>
      <x:c r="N96" s="627" t="n">
        <x:v>33413.22</x:v>
      </x:c>
      <x:c r="O96" s="627" t="n">
        <x:v>155851.47</x:v>
      </x:c>
      <x:c r="P96" s="627" t="n">
        <x:v>14936833.09</x:v>
      </x:c>
      <x:c r="Q96" s="627" t="n">
        <x:v>5460.42</x:v>
      </x:c>
      <x:c r="R96" s="627" t="n">
        <x:v>2.72</x:v>
      </x:c>
      <x:c r="S96" s="627" t="n">
        <x:v>0</x:v>
      </x:c>
      <x:c r="T96" s="627" t="n">
        <x:v>0</x:v>
      </x:c>
      <x:c r="U96" s="627">
        <x:v>0</x:v>
      </x:c>
      <x:c r="V96" s="627">
        <x:v>0</x:v>
      </x:c>
      <x:c r="W96" s="627">
        <x:v>0</x:v>
      </x:c>
      <x:c r="X96" s="653">
        <x:v>0</x:v>
      </x:c>
      <x:c r="Y96" s="653">
        <x:v>0</x:v>
      </x:c>
      <x:c r="Z96" s="653" t="n">
        <x:v>0</x:v>
      </x:c>
      <x:c r="BN96" s="624"/>
    </x:row>
    <x:row r="97" spans="1:66" x14ac:dyDescent="0.2">
      <x:c r="A97"/>
      <x:c r="B97"/>
      <x:c r="C97"/>
      <x:c r="D97"/>
      <x:c r="E97" s="625" t="inlineStr">
        <x:is>
          <x:t>Vlr Intereses</x:t>
        </x:is>
      </x:c>
      <x:c r="F97" s="627" t="n">
        <x:v>992415.4</x:v>
      </x:c>
      <x:c r="G97" s="627" t="n">
        <x:v>253115.22</x:v>
      </x:c>
      <x:c r="H97" s="627" t="n">
        <x:v>143337.73</x:v>
      </x:c>
      <x:c r="I97" s="627" t="n">
        <x:v>76924.18</x:v>
      </x:c>
      <x:c r="J97" s="627" t="n">
        <x:v>1233.39</x:v>
      </x:c>
      <x:c r="K97" s="627" t="n">
        <x:v>29.74</x:v>
      </x:c>
      <x:c r="L97" s="627" t="n">
        <x:v>0</x:v>
      </x:c>
      <x:c r="M97" s="627" t="n">
        <x:v>260.94</x:v>
      </x:c>
      <x:c r="N97" s="627" t="n">
        <x:v>382.11</x:v>
      </x:c>
      <x:c r="O97" s="627" t="n">
        <x:v>1741.16</x:v>
      </x:c>
      <x:c r="P97" s="627" t="n">
        <x:v>515342.29</x:v>
      </x:c>
      <x:c r="Q97" s="627" t="n">
        <x:v>48.53</x:v>
      </x:c>
      <x:c r="R97" s="627" t="n">
        <x:v>0.11</x:v>
      </x:c>
      <x:c r="S97" s="627" t="n">
        <x:v>0</x:v>
      </x:c>
      <x:c r="T97" s="627" t="n">
        <x:v>0</x:v>
      </x:c>
      <x:c r="U97" s="627">
        <x:v>0</x:v>
      </x:c>
      <x:c r="V97" s="627">
        <x:v>0</x:v>
      </x:c>
      <x:c r="W97" s="627">
        <x:v>0</x:v>
      </x:c>
      <x:c r="X97" s="653">
        <x:v>0</x:v>
      </x:c>
      <x:c r="Y97" s="653">
        <x:v>0</x:v>
      </x:c>
      <x:c r="Z97" s="653" t="n">
        <x:v>0</x:v>
      </x:c>
      <x:c r="BN97" s="624"/>
    </x:row>
    <x:row r="98" spans="1:66" x14ac:dyDescent="0.2">
      <x:c r="A98"/>
      <x:c r="B98"/>
      <x:c r="C98"/>
      <x:c r="D98" s="25" t="inlineStr">
        <x:is>
          <x:t>E</x:t>
        </x:is>
      </x:c>
      <x:c r="E98" s="625" t="inlineStr">
        <x:is>
          <x:t>Total</x:t>
        </x:is>
      </x:c>
      <x:c r="F98" s="627" t="n">
        <x:v>30144259.37</x:v>
      </x:c>
      <x:c r="G98" s="627" t="n">
        <x:v>7696969.24</x:v>
      </x:c>
      <x:c r="H98" s="627" t="n">
        <x:v>4351440.59</x:v>
      </x:c>
      <x:c r="I98" s="627" t="n">
        <x:v>2306516.3</x:v>
      </x:c>
      <x:c r="J98" s="627" t="n">
        <x:v>107263.69</x:v>
      </x:c>
      <x:c r="K98" s="627" t="n">
        <x:v>3376.45</x:v>
      </x:c>
      <x:c r="L98" s="627" t="n">
        <x:v>0</x:v>
      </x:c>
      <x:c r="M98" s="627" t="n">
        <x:v>29617.98</x:v>
      </x:c>
      <x:c r="N98" s="627" t="n">
        <x:v>33795.33</x:v>
      </x:c>
      <x:c r="O98" s="627" t="n">
        <x:v>157592.63</x:v>
      </x:c>
      <x:c r="P98" s="627" t="n">
        <x:v>15452175.38</x:v>
      </x:c>
      <x:c r="Q98" s="627" t="n">
        <x:v>5508.95</x:v>
      </x:c>
      <x:c r="R98" s="627" t="n">
        <x:v>2.83</x:v>
      </x:c>
      <x:c r="S98" s="627" t="n">
        <x:v>0</x:v>
      </x:c>
      <x:c r="T98" s="627" t="n">
        <x:v>0</x:v>
      </x:c>
      <x:c r="U98" s="627">
        <x:v>0</x:v>
      </x:c>
      <x:c r="V98" s="627">
        <x:v>0</x:v>
      </x:c>
      <x:c r="W98" s="627">
        <x:v>0</x:v>
      </x:c>
      <x:c r="X98" s="653">
        <x:v>0</x:v>
      </x:c>
      <x:c r="Y98" s="653">
        <x:v>0</x:v>
      </x:c>
      <x:c r="Z98" s="653" t="n">
        <x:v>0</x:v>
      </x:c>
      <x:c r="BN98" s="624"/>
    </x:row>
    <x:row r="99" spans="1:66" x14ac:dyDescent="0.2">
      <x:c r="A99" s="628"/>
      <x:c r="B99" s="628"/>
      <x:c r="C99" s="628" t="inlineStr">
        <x:is>
          <x:t>ENEL</x:t>
        </x:is>
      </x:c>
      <x:c r="D99" s="628" t="inlineStr">
        <x:is>
          <x:t>Total</x:t>
        </x:is>
      </x:c>
      <x:c r="E99" s="629"/>
      <x:c r="F99" s="630" t="n">
        <x:v>30144259.37</x:v>
      </x:c>
      <x:c r="G99" s="630" t="n">
        <x:v>7696969.24</x:v>
      </x:c>
      <x:c r="H99" s="630" t="n">
        <x:v>4351440.59</x:v>
      </x:c>
      <x:c r="I99" s="630" t="n">
        <x:v>2306516.3</x:v>
      </x:c>
      <x:c r="J99" s="630" t="n">
        <x:v>107263.69</x:v>
      </x:c>
      <x:c r="K99" s="630" t="n">
        <x:v>3376.45</x:v>
      </x:c>
      <x:c r="L99" s="630" t="n">
        <x:v>0</x:v>
      </x:c>
      <x:c r="M99" s="630" t="n">
        <x:v>29617.98</x:v>
      </x:c>
      <x:c r="N99" s="630" t="n">
        <x:v>33795.33</x:v>
      </x:c>
      <x:c r="O99" s="630" t="n">
        <x:v>157592.63</x:v>
      </x:c>
      <x:c r="P99" s="630" t="n">
        <x:v>15452175.38</x:v>
      </x:c>
      <x:c r="Q99" s="630" t="n">
        <x:v>5508.95</x:v>
      </x:c>
      <x:c r="R99" s="630" t="n">
        <x:v>2.83</x:v>
      </x:c>
      <x:c r="S99" s="630" t="n">
        <x:v>0</x:v>
      </x:c>
      <x:c r="T99" s="630" t="n">
        <x:v>0</x:v>
      </x:c>
      <x:c r="U99" s="630">
        <x:v>0</x:v>
      </x:c>
      <x:c r="V99" s="630">
        <x:v>0</x:v>
      </x:c>
      <x:c r="W99" s="630">
        <x:v>0</x:v>
      </x:c>
      <x:c r="X99" s="630">
        <x:v>0</x:v>
      </x:c>
      <x:c r="Y99" s="630">
        <x:v>0</x:v>
      </x:c>
      <x:c r="Z99" s="630" t="n">
        <x:v>0</x:v>
      </x:c>
      <x:c r="AA99" s="628"/>
      <x:c r="AB99" s="628"/>
      <x:c r="AC99" s="628"/>
      <x:c r="AD99" s="628"/>
      <x:c r="AE99" s="628"/>
      <x:c r="AF99" s="628"/>
      <x:c r="AG99" s="628"/>
      <x:c r="AH99" s="628"/>
      <x:c r="AI99" s="628"/>
      <x:c r="AJ99" s="628"/>
      <x:c r="AK99" s="628"/>
      <x:c r="AL99" s="628"/>
      <x:c r="AM99" s="628"/>
      <x:c r="AN99" s="628"/>
      <x:c r="AO99" s="628"/>
      <x:c r="AP99" s="628"/>
      <x:c r="AQ99" s="628"/>
      <x:c r="AR99" s="628"/>
      <x:c r="AS99" s="628"/>
      <x:c r="AT99" s="628"/>
      <x:c r="AU99" s="628"/>
      <x:c r="AV99" s="628"/>
      <x:c r="AW99" s="628"/>
      <x:c r="AX99" s="628"/>
      <x:c r="AY99" s="628"/>
      <x:c r="AZ99" s="628"/>
      <x:c r="BA99" s="628"/>
      <x:c r="BB99" s="628"/>
      <x:c r="BC99" s="628"/>
      <x:c r="BD99" s="628"/>
      <x:c r="BE99" s="628"/>
      <x:c r="BF99" s="628"/>
      <x:c r="BG99" s="628"/>
      <x:c r="BH99" s="628"/>
      <x:c r="BI99" s="628"/>
      <x:c r="BJ99" s="628"/>
      <x:c r="BK99" s="628"/>
      <x:c r="BL99" s="628"/>
      <x:c r="BM99" s="628"/>
      <x:c r="BN99" s="624"/>
    </x:row>
    <x:row r="100" spans="1:66" x14ac:dyDescent="0.2">
      <x:c r="A100"/>
      <x:c r="B100"/>
      <x:c r="C100"/>
      <x:c r="D100"/>
      <x:c r="E100" s="625" t="inlineStr">
        <x:is>
          <x:t>Vlr Servicio</x:t>
        </x:is>
      </x:c>
      <x:c r="F100" s="627" t="n">
        <x:v>188747.7</x:v>
      </x:c>
      <x:c r="G100" s="627" t="n">
        <x:v>8807.75</x:v>
      </x:c>
      <x:c r="H100" s="627" t="n">
        <x:v>4981.6</x:v>
      </x:c>
      <x:c r="I100" s="627" t="n">
        <x:v>2648.47</x:v>
      </x:c>
      <x:c r="J100" s="627" t="n">
        <x:v>50746.9</x:v>
      </x:c>
      <x:c r="K100" s="627" t="n">
        <x:v>1551.38</x:v>
      </x:c>
      <x:c r="L100" s="627" t="n">
        <x:v>0</x:v>
      </x:c>
      <x:c r="M100" s="627" t="n">
        <x:v>13608.5</x:v>
      </x:c>
      <x:c r="N100" s="627" t="n">
        <x:v>15187.5</x:v>
      </x:c>
      <x:c r="O100" s="627" t="n">
        <x:v>70935.25</x:v>
      </x:c>
      <x:c r="P100" s="627" t="n">
        <x:v>17748.1</x:v>
      </x:c>
      <x:c r="Q100" s="627" t="n">
        <x:v>2531.18</x:v>
      </x:c>
      <x:c r="R100" s="627" t="n">
        <x:v>1.07</x:v>
      </x:c>
      <x:c r="S100" s="627" t="n">
        <x:v>0</x:v>
      </x:c>
      <x:c r="T100" s="627" t="n">
        <x:v>0</x:v>
      </x:c>
      <x:c r="U100" s="627">
        <x:v>0</x:v>
      </x:c>
      <x:c r="V100" s="627">
        <x:v>0</x:v>
      </x:c>
      <x:c r="W100" s="627">
        <x:v>0</x:v>
      </x:c>
      <x:c r="X100" s="653">
        <x:v>0</x:v>
      </x:c>
      <x:c r="Y100" s="653">
        <x:v>0</x:v>
      </x:c>
      <x:c r="Z100" s="653" t="n">
        <x:v>0</x:v>
      </x:c>
      <x:c r="BN100" s="624"/>
    </x:row>
    <x:row r="101" spans="1:66" x14ac:dyDescent="0.2">
      <x:c r="A101"/>
      <x:c r="B101"/>
      <x:c r="C101"/>
      <x:c r="D101"/>
      <x:c r="E101" s="625" t="inlineStr">
        <x:is>
          <x:t>Vlr Intereses</x:t>
        </x:is>
      </x:c>
      <x:c r="F101" s="627" t="n">
        <x:v>529.67</x:v>
      </x:c>
      <x:c r="G101" s="627" t="n">
        <x:v>26.68</x:v>
      </x:c>
      <x:c r="H101" s="627" t="n">
        <x:v>15.11</x:v>
      </x:c>
      <x:c r="I101" s="627" t="n">
        <x:v>8.09</x:v>
      </x:c>
      <x:c r="J101" s="627" t="n">
        <x:v>141.21</x:v>
      </x:c>
      <x:c r="K101" s="627" t="n">
        <x:v>3.52</x:v>
      </x:c>
      <x:c r="L101" s="627" t="n">
        <x:v>0</x:v>
      </x:c>
      <x:c r="M101" s="627" t="n">
        <x:v>30.82</x:v>
      </x:c>
      <x:c r="N101" s="627" t="n">
        <x:v>43.87</x:v>
      </x:c>
      <x:c r="O101" s="627" t="n">
        <x:v>200.36</x:v>
      </x:c>
      <x:c r="P101" s="627" t="n">
        <x:v>54.25</x:v>
      </x:c>
      <x:c r="Q101" s="627" t="n">
        <x:v>5.73</x:v>
      </x:c>
      <x:c r="R101" s="627" t="n">
        <x:v>0.03</x:v>
      </x:c>
      <x:c r="S101" s="627" t="n">
        <x:v>0</x:v>
      </x:c>
      <x:c r="T101" s="627" t="n">
        <x:v>0</x:v>
      </x:c>
      <x:c r="U101" s="627">
        <x:v>0</x:v>
      </x:c>
      <x:c r="V101" s="627">
        <x:v>0</x:v>
      </x:c>
      <x:c r="W101" s="627">
        <x:v>0</x:v>
      </x:c>
      <x:c r="X101" s="653">
        <x:v>0</x:v>
      </x:c>
      <x:c r="Y101" s="653">
        <x:v>0</x:v>
      </x:c>
      <x:c r="Z101" s="653" t="n">
        <x:v>0</x:v>
      </x:c>
      <x:c r="BN101" s="624"/>
    </x:row>
    <x:row r="102" spans="1:66" x14ac:dyDescent="0.2">
      <x:c r="A102"/>
      <x:c r="B102"/>
      <x:c r="C102"/>
      <x:c r="D102" s="25" t="inlineStr">
        <x:is>
          <x:t>O</x:t>
        </x:is>
      </x:c>
      <x:c r="E102" s="625" t="inlineStr">
        <x:is>
          <x:t>Total</x:t>
        </x:is>
      </x:c>
      <x:c r="F102" s="627" t="n">
        <x:v>189277.37</x:v>
      </x:c>
      <x:c r="G102" s="627" t="n">
        <x:v>8834.43</x:v>
      </x:c>
      <x:c r="H102" s="627" t="n">
        <x:v>4996.71</x:v>
      </x:c>
      <x:c r="I102" s="627" t="n">
        <x:v>2656.56</x:v>
      </x:c>
      <x:c r="J102" s="627" t="n">
        <x:v>50888.11</x:v>
      </x:c>
      <x:c r="K102" s="627" t="n">
        <x:v>1554.9</x:v>
      </x:c>
      <x:c r="L102" s="627" t="n">
        <x:v>0</x:v>
      </x:c>
      <x:c r="M102" s="627" t="n">
        <x:v>13639.32</x:v>
      </x:c>
      <x:c r="N102" s="627" t="n">
        <x:v>15231.37</x:v>
      </x:c>
      <x:c r="O102" s="627" t="n">
        <x:v>71135.61</x:v>
      </x:c>
      <x:c r="P102" s="627" t="n">
        <x:v>17802.35</x:v>
      </x:c>
      <x:c r="Q102" s="627" t="n">
        <x:v>2536.91</x:v>
      </x:c>
      <x:c r="R102" s="627" t="n">
        <x:v>1.1</x:v>
      </x:c>
      <x:c r="S102" s="627" t="n">
        <x:v>0</x:v>
      </x:c>
      <x:c r="T102" s="627" t="n">
        <x:v>0</x:v>
      </x:c>
      <x:c r="U102" s="627">
        <x:v>0</x:v>
      </x:c>
      <x:c r="V102" s="627">
        <x:v>0</x:v>
      </x:c>
      <x:c r="W102" s="627">
        <x:v>0</x:v>
      </x:c>
      <x:c r="X102" s="653">
        <x:v>0</x:v>
      </x:c>
      <x:c r="Y102" s="653">
        <x:v>0</x:v>
      </x:c>
      <x:c r="Z102" s="653" t="n">
        <x:v>0</x:v>
      </x:c>
      <x:c r="BN102" s="624"/>
    </x:row>
    <x:row r="103" spans="1:66" x14ac:dyDescent="0.2">
      <x:c r="A103"/>
      <x:c r="B103"/>
      <x:c r="C103"/>
      <x:c r="D103"/>
      <x:c r="E103" s="625" t="inlineStr">
        <x:is>
          <x:t>Vlr Servicio</x:t>
        </x:is>
      </x:c>
      <x:c r="F103" s="627" t="n">
        <x:v>59523.21</x:v>
      </x:c>
      <x:c r="G103" s="627" t="n">
        <x:v>3111.79</x:v>
      </x:c>
      <x:c r="H103" s="627" t="n">
        <x:v>1764.74</x:v>
      </x:c>
      <x:c r="I103" s="627" t="n">
        <x:v>956.87</x:v>
      </x:c>
      <x:c r="J103" s="627" t="n">
        <x:v>15677.68</x:v>
      </x:c>
      <x:c r="K103" s="627" t="n">
        <x:v>377.39</x:v>
      </x:c>
      <x:c r="L103" s="627" t="n">
        <x:v>0</x:v>
      </x:c>
      <x:c r="M103" s="627" t="n">
        <x:v>3310.46</x:v>
      </x:c>
      <x:c r="N103" s="627" t="n">
        <x:v>4880.88</x:v>
      </x:c>
      <x:c r="O103" s="627" t="n">
        <x:v>22562.4</x:v>
      </x:c>
      <x:c r="P103" s="627" t="n">
        <x:v>6269.57</x:v>
      </x:c>
      <x:c r="Q103" s="627" t="n">
        <x:v>615.74</x:v>
      </x:c>
      <x:c r="R103" s="627" t="n">
        <x:v>-4.31</x:v>
      </x:c>
      <x:c r="S103" s="627" t="n">
        <x:v>0</x:v>
      </x:c>
      <x:c r="T103" s="627" t="n">
        <x:v>0</x:v>
      </x:c>
      <x:c r="U103" s="627">
        <x:v>0</x:v>
      </x:c>
      <x:c r="V103" s="627">
        <x:v>0</x:v>
      </x:c>
      <x:c r="W103" s="627">
        <x:v>0</x:v>
      </x:c>
      <x:c r="X103" s="653">
        <x:v>0</x:v>
      </x:c>
      <x:c r="Y103" s="653">
        <x:v>0</x:v>
      </x:c>
      <x:c r="Z103" s="653" t="n">
        <x:v>0</x:v>
      </x:c>
      <x:c r="BN103" s="624"/>
    </x:row>
    <x:row r="104" spans="1:66" x14ac:dyDescent="0.2">
      <x:c r="A104"/>
      <x:c r="B104"/>
      <x:c r="C104"/>
      <x:c r="D104"/>
      <x:c r="E104" s="625" t="inlineStr">
        <x:is>
          <x:t>Vlr Intereses</x:t>
        </x:is>
      </x:c>
      <x:c r="F104" s="627" t="n">
        <x:v>371.68</x:v>
      </x:c>
      <x:c r="G104" s="627" t="n">
        <x:v>19.44</x:v>
      </x:c>
      <x:c r="H104" s="627" t="n">
        <x:v>11.01</x:v>
      </x:c>
      <x:c r="I104" s="627" t="n">
        <x:v>5.98</x:v>
      </x:c>
      <x:c r="J104" s="627" t="n">
        <x:v>97.9</x:v>
      </x:c>
      <x:c r="K104" s="627" t="n">
        <x:v>2.35</x:v>
      </x:c>
      <x:c r="L104" s="627" t="n">
        <x:v>0</x:v>
      </x:c>
      <x:c r="M104" s="627" t="n">
        <x:v>20.67</x:v>
      </x:c>
      <x:c r="N104" s="627" t="n">
        <x:v>30.48</x:v>
      </x:c>
      <x:c r="O104" s="627" t="n">
        <x:v>140.88</x:v>
      </x:c>
      <x:c r="P104" s="627" t="n">
        <x:v>39.15</x:v>
      </x:c>
      <x:c r="Q104" s="627" t="n">
        <x:v>3.85</x:v>
      </x:c>
      <x:c r="R104" s="627" t="n">
        <x:v>-0.03</x:v>
      </x:c>
      <x:c r="S104" s="627" t="n">
        <x:v>0</x:v>
      </x:c>
      <x:c r="T104" s="627" t="n">
        <x:v>0</x:v>
      </x:c>
      <x:c r="U104" s="627">
        <x:v>0</x:v>
      </x:c>
      <x:c r="V104" s="627">
        <x:v>0</x:v>
      </x:c>
      <x:c r="W104" s="627">
        <x:v>0</x:v>
      </x:c>
      <x:c r="X104" s="653">
        <x:v>0</x:v>
      </x:c>
      <x:c r="Y104" s="653">
        <x:v>0</x:v>
      </x:c>
      <x:c r="Z104" s="653" t="n">
        <x:v>0</x:v>
      </x:c>
      <x:c r="BN104" s="624"/>
    </x:row>
    <x:row r="105" spans="1:66" x14ac:dyDescent="0.2">
      <x:c r="A105"/>
      <x:c r="B105"/>
      <x:c r="C105"/>
      <x:c r="D105" s="25" t="inlineStr">
        <x:is>
          <x:t>T</x:t>
        </x:is>
      </x:c>
      <x:c r="E105" s="625" t="inlineStr">
        <x:is>
          <x:t>Total</x:t>
        </x:is>
      </x:c>
      <x:c r="F105" s="627" t="n">
        <x:v>59894.89</x:v>
      </x:c>
      <x:c r="G105" s="627" t="n">
        <x:v>3131.23</x:v>
      </x:c>
      <x:c r="H105" s="627" t="n">
        <x:v>1775.75</x:v>
      </x:c>
      <x:c r="I105" s="627" t="n">
        <x:v>962.85</x:v>
      </x:c>
      <x:c r="J105" s="627" t="n">
        <x:v>15775.58</x:v>
      </x:c>
      <x:c r="K105" s="627" t="n">
        <x:v>379.74</x:v>
      </x:c>
      <x:c r="L105" s="627" t="n">
        <x:v>0</x:v>
      </x:c>
      <x:c r="M105" s="627" t="n">
        <x:v>3331.13</x:v>
      </x:c>
      <x:c r="N105" s="627" t="n">
        <x:v>4911.36</x:v>
      </x:c>
      <x:c r="O105" s="627" t="n">
        <x:v>22703.28</x:v>
      </x:c>
      <x:c r="P105" s="627" t="n">
        <x:v>6308.72</x:v>
      </x:c>
      <x:c r="Q105" s="627" t="n">
        <x:v>619.59</x:v>
      </x:c>
      <x:c r="R105" s="627" t="n">
        <x:v>-4.34</x:v>
      </x:c>
      <x:c r="S105" s="627" t="n">
        <x:v>0</x:v>
      </x:c>
      <x:c r="T105" s="627" t="n">
        <x:v>0</x:v>
      </x:c>
      <x:c r="U105" s="627">
        <x:v>0</x:v>
      </x:c>
      <x:c r="V105" s="627">
        <x:v>0</x:v>
      </x:c>
      <x:c r="W105" s="627">
        <x:v>0</x:v>
      </x:c>
      <x:c r="X105" s="653">
        <x:v>0</x:v>
      </x:c>
      <x:c r="Y105" s="653">
        <x:v>0</x:v>
      </x:c>
      <x:c r="Z105" s="653" t="n">
        <x:v>0</x:v>
      </x:c>
      <x:c r="BN105" s="624"/>
    </x:row>
    <x:row r="106" spans="1:66" x14ac:dyDescent="0.2">
      <x:c r="A106" s="631"/>
      <x:c r="B106" s="631"/>
      <x:c r="C106" s="632" t="inlineStr">
        <x:is>
          <x:t>OCCIDENTE</x:t>
        </x:is>
      </x:c>
      <x:c r="D106" s="632" t="inlineStr">
        <x:is>
          <x:t>Total</x:t>
        </x:is>
      </x:c>
      <x:c r="E106" s="631"/>
      <x:c r="F106" s="633" t="n">
        <x:v>249172.26</x:v>
      </x:c>
      <x:c r="G106" s="633" t="n">
        <x:v>11965.66</x:v>
      </x:c>
      <x:c r="H106" s="633" t="n">
        <x:v>6772.46</x:v>
      </x:c>
      <x:c r="I106" s="633" t="n">
        <x:v>3619.41</x:v>
      </x:c>
      <x:c r="J106" s="633" t="n">
        <x:v>66663.69</x:v>
      </x:c>
      <x:c r="K106" s="633" t="n">
        <x:v>1934.64</x:v>
      </x:c>
      <x:c r="L106" s="633" t="n">
        <x:v>0</x:v>
      </x:c>
      <x:c r="M106" s="633" t="n">
        <x:v>16970.45</x:v>
      </x:c>
      <x:c r="N106" s="633" t="n">
        <x:v>20142.73</x:v>
      </x:c>
      <x:c r="O106" s="633" t="n">
        <x:v>93838.89</x:v>
      </x:c>
      <x:c r="P106" s="633" t="n">
        <x:v>24111.07</x:v>
      </x:c>
      <x:c r="Q106" s="633" t="n">
        <x:v>3156.5</x:v>
      </x:c>
      <x:c r="R106" s="633" t="n">
        <x:v>-3.24</x:v>
      </x:c>
      <x:c r="S106" s="633" t="n">
        <x:v>0</x:v>
      </x:c>
      <x:c r="T106" s="633" t="n">
        <x:v>0</x:v>
      </x:c>
      <x:c r="U106" s="633">
        <x:v>0</x:v>
      </x:c>
      <x:c r="V106" s="633">
        <x:v>0</x:v>
      </x:c>
      <x:c r="W106" s="633">
        <x:v>0</x:v>
      </x:c>
      <x:c r="X106" s="633">
        <x:v>0</x:v>
      </x:c>
      <x:c r="Y106" s="633">
        <x:v>0</x:v>
      </x:c>
      <x:c r="Z106" s="633" t="n">
        <x:v>0</x:v>
      </x:c>
      <x:c r="AA106" s="631"/>
      <x:c r="AB106" s="631"/>
      <x:c r="AC106" s="631"/>
      <x:c r="AD106" s="631"/>
      <x:c r="AE106" s="631"/>
      <x:c r="AF106" s="631"/>
      <x:c r="AG106" s="631"/>
      <x:c r="AH106" s="631"/>
      <x:c r="AI106" s="631"/>
      <x:c r="AJ106" s="631"/>
      <x:c r="AK106" s="631"/>
      <x:c r="AL106" s="631"/>
      <x:c r="AM106" s="631"/>
      <x:c r="AN106" s="631"/>
      <x:c r="AO106" s="631"/>
      <x:c r="AP106" s="631"/>
      <x:c r="AQ106" s="631"/>
      <x:c r="AR106" s="631"/>
      <x:c r="AS106" s="631"/>
      <x:c r="AT106" s="631"/>
      <x:c r="AU106" s="631"/>
      <x:c r="AV106" s="631"/>
      <x:c r="AW106" s="631"/>
      <x:c r="AX106" s="631"/>
      <x:c r="AY106" s="631"/>
      <x:c r="AZ106" s="631"/>
      <x:c r="BA106" s="631"/>
      <x:c r="BB106" s="631"/>
      <x:c r="BC106" s="631"/>
      <x:c r="BD106" s="631"/>
      <x:c r="BE106" s="631"/>
      <x:c r="BF106" s="631"/>
      <x:c r="BG106" s="631"/>
      <x:c r="BH106" s="631"/>
      <x:c r="BI106" s="631"/>
      <x:c r="BJ106" s="631"/>
      <x:c r="BK106" s="631"/>
      <x:c r="BL106" s="631"/>
      <x:c r="BM106" s="631"/>
      <x:c r="BN106" s="624"/>
    </x:row>
    <x:row r="107" spans="1:66" x14ac:dyDescent="0.2">
      <x:c r="A107" s="635"/>
      <x:c r="B107" s="635" t="inlineStr">
        <x:is>
          <x:t>Aplicacion nuevos x reversion</x:t>
        </x:is>
      </x:c>
      <x:c r="C107" s="635" t="inlineStr">
        <x:is>
          <x:t>Total</x:t>
        </x:is>
      </x:c>
      <x:c r="D107" s="635"/>
      <x:c r="E107" s="636"/>
      <x:c r="F107" s="637" t="n">
        <x:v>30393431.63</x:v>
      </x:c>
      <x:c r="G107" s="637" t="n">
        <x:v>7708934.9</x:v>
      </x:c>
      <x:c r="H107" s="637" t="n">
        <x:v>4358213.05</x:v>
      </x:c>
      <x:c r="I107" s="637" t="n">
        <x:v>2310135.71</x:v>
      </x:c>
      <x:c r="J107" s="637" t="n">
        <x:v>173927.38</x:v>
      </x:c>
      <x:c r="K107" s="637" t="n">
        <x:v>5311.09</x:v>
      </x:c>
      <x:c r="L107" s="637" t="n">
        <x:v>0</x:v>
      </x:c>
      <x:c r="M107" s="637" t="n">
        <x:v>46588.43</x:v>
      </x:c>
      <x:c r="N107" s="637" t="n">
        <x:v>53938.06</x:v>
      </x:c>
      <x:c r="O107" s="637" t="n">
        <x:v>251431.52</x:v>
      </x:c>
      <x:c r="P107" s="637" t="n">
        <x:v>15476286.45</x:v>
      </x:c>
      <x:c r="Q107" s="637" t="n">
        <x:v>8665.45</x:v>
      </x:c>
      <x:c r="R107" s="637" t="n">
        <x:v>-0.409999999999999</x:v>
      </x:c>
      <x:c r="S107" s="637" t="n">
        <x:v>0</x:v>
      </x:c>
      <x:c r="T107" s="637" t="n">
        <x:v>0</x:v>
      </x:c>
      <x:c r="U107" s="637">
        <x:v>0</x:v>
      </x:c>
      <x:c r="V107" s="637">
        <x:v>0</x:v>
      </x:c>
      <x:c r="W107" s="637">
        <x:v>0</x:v>
      </x:c>
      <x:c r="X107" s="637">
        <x:v>0</x:v>
      </x:c>
      <x:c r="Y107" s="637">
        <x:v>0</x:v>
      </x:c>
      <x:c r="Z107" s="637" t="n">
        <x:v>0</x:v>
      </x:c>
      <x:c r="AA107" s="635"/>
      <x:c r="AB107" s="635"/>
      <x:c r="AC107" s="635"/>
      <x:c r="AD107" s="635"/>
      <x:c r="AE107" s="635"/>
      <x:c r="AF107" s="635"/>
      <x:c r="AG107" s="635"/>
      <x:c r="AH107" s="635"/>
      <x:c r="AI107" s="635"/>
      <x:c r="AJ107" s="635"/>
      <x:c r="AK107" s="635"/>
      <x:c r="AL107" s="635"/>
      <x:c r="AM107" s="635"/>
      <x:c r="AN107" s="635"/>
      <x:c r="AO107" s="635"/>
      <x:c r="AP107" s="635"/>
      <x:c r="AQ107" s="635"/>
      <x:c r="AR107" s="635"/>
      <x:c r="AS107" s="635"/>
      <x:c r="AT107" s="635"/>
      <x:c r="AU107" s="635"/>
      <x:c r="AV107" s="635"/>
      <x:c r="AW107" s="635"/>
      <x:c r="AX107" s="635"/>
      <x:c r="AY107" s="635"/>
      <x:c r="AZ107" s="635"/>
      <x:c r="BA107" s="635"/>
      <x:c r="BB107" s="635"/>
      <x:c r="BC107" s="635"/>
      <x:c r="BD107" s="635"/>
      <x:c r="BE107" s="635"/>
      <x:c r="BF107" s="635"/>
      <x:c r="BG107" s="635"/>
      <x:c r="BH107" s="635"/>
      <x:c r="BI107" s="635"/>
      <x:c r="BJ107" s="635"/>
      <x:c r="BK107" s="635"/>
      <x:c r="BL107" s="635"/>
      <x:c r="BM107" s="635"/>
      <x:c r="BN107" s="624"/>
    </x:row>
    <x:row r="108" spans="1:66" x14ac:dyDescent="0.2">
      <x:c r="A108"/>
      <x:c r="B108"/>
      <x:c r="C108"/>
      <x:c r="D108"/>
      <x:c r="E108" s="625" t="inlineStr">
        <x:is>
          <x:t>Vlr Servicio</x:t>
        </x:is>
      </x:c>
      <x:c r="F108" s="627" t="n">
        <x:v>23902898063.38</x:v>
      </x:c>
      <x:c r="G108" s="627" t="n">
        <x:v>1381350603.32</x:v>
      </x:c>
      <x:c r="H108" s="627" t="n">
        <x:v>776537530.45</x:v>
      </x:c>
      <x:c r="I108" s="627" t="n">
        <x:v>407911355.66</x:v>
      </x:c>
      <x:c r="J108" s="627" t="n">
        <x:v>5537035232.24</x:v>
      </x:c>
      <x:c r="K108" s="627" t="n">
        <x:v>214461078.68</x:v>
      </x:c>
      <x:c r="L108" s="627" t="n">
        <x:v>24255269.25</x:v>
      </x:c>
      <x:c r="M108" s="627" t="n">
        <x:v>1879555764.02</x:v>
      </x:c>
      <x:c r="N108" s="627" t="n">
        <x:v>1854401852.35</x:v>
      </x:c>
      <x:c r="O108" s="627" t="n">
        <x:v>8755909642.47</x:v>
      </x:c>
      <x:c r="P108" s="627" t="n">
        <x:v>2720975584.04</x:v>
      </x:c>
      <x:c r="Q108" s="627" t="n">
        <x:v>350419003.26</x:v>
      </x:c>
      <x:c r="R108" s="627" t="n">
        <x:v>85147.64</x:v>
      </x:c>
      <x:c r="S108" s="627" t="n">
        <x:v>0</x:v>
      </x:c>
      <x:c r="T108" s="627" t="n">
        <x:v>0</x:v>
      </x:c>
      <x:c r="U108" s="627">
        <x:v>0</x:v>
      </x:c>
      <x:c r="V108" s="627">
        <x:v>0</x:v>
      </x:c>
      <x:c r="W108" s="627">
        <x:v>0</x:v>
      </x:c>
      <x:c r="X108" s="653">
        <x:v>0</x:v>
      </x:c>
      <x:c r="Y108" s="653">
        <x:v>0</x:v>
      </x:c>
      <x:c r="Z108" s="653" t="n">
        <x:v>0</x:v>
      </x:c>
      <x:c r="BN108" s="624"/>
    </x:row>
    <x:row r="109" spans="1:66" x14ac:dyDescent="0.2">
      <x:c r="A109"/>
      <x:c r="B109"/>
      <x:c r="C109"/>
      <x:c r="D109"/>
      <x:c r="E109" s="625" t="inlineStr">
        <x:is>
          <x:t>Vlr Intereses</x:t>
        </x:is>
      </x:c>
      <x:c r="F109" s="627" t="n">
        <x:v>161922359.95</x:v>
      </x:c>
      <x:c r="G109" s="627" t="n">
        <x:v>18825772.87</x:v>
      </x:c>
      <x:c r="H109" s="627" t="n">
        <x:v>8911778.56</x:v>
      </x:c>
      <x:c r="I109" s="627" t="n">
        <x:v>4071687.82</x:v>
      </x:c>
      <x:c r="J109" s="627" t="n">
        <x:v>30018521.53</x:v>
      </x:c>
      <x:c r="K109" s="627" t="n">
        <x:v>1044885.63</x:v>
      </x:c>
      <x:c r="L109" s="627" t="n">
        <x:v>17960.64</x:v>
      </x:c>
      <x:c r="M109" s="627" t="n">
        <x:v>9163599.1</x:v>
      </x:c>
      <x:c r="N109" s="627" t="n">
        <x:v>10764552.54</x:v>
      </x:c>
      <x:c r="O109" s="627" t="n">
        <x:v>40397442.39</x:v>
      </x:c>
      <x:c r="P109" s="627" t="n">
        <x:v>36995764.23</x:v>
      </x:c>
      <x:c r="Q109" s="627" t="n">
        <x:v>1705687.47</x:v>
      </x:c>
      <x:c r="R109" s="627" t="n">
        <x:v>4816.78</x:v>
      </x:c>
      <x:c r="S109" s="627" t="n">
        <x:v>-70.86</x:v>
      </x:c>
      <x:c r="T109" s="627" t="n">
        <x:v>4.14</x:v>
      </x:c>
      <x:c r="U109" s="627">
        <x:v>0</x:v>
      </x:c>
      <x:c r="V109" s="627">
        <x:v>0</x:v>
      </x:c>
      <x:c r="W109" s="627">
        <x:v>0</x:v>
      </x:c>
      <x:c r="X109" s="653">
        <x:v>0</x:v>
      </x:c>
      <x:c r="Y109" s="653">
        <x:v>0</x:v>
      </x:c>
      <x:c r="Z109" s="653" t="n">
        <x:v>-42.89</x:v>
      </x:c>
      <x:c r="BN109" s="624"/>
    </x:row>
    <x:row r="110" spans="1:66" x14ac:dyDescent="0.2">
      <x:c r="A110"/>
      <x:c r="B110"/>
      <x:c r="C110"/>
      <x:c r="D110" s="25" t="inlineStr">
        <x:is>
          <x:t>E</x:t>
        </x:is>
      </x:c>
      <x:c r="E110" s="625" t="inlineStr">
        <x:is>
          <x:t>Total</x:t>
        </x:is>
      </x:c>
      <x:c r="F110" s="627" t="n">
        <x:v>24064820423.33</x:v>
      </x:c>
      <x:c r="G110" s="627" t="n">
        <x:v>1400176376.19</x:v>
      </x:c>
      <x:c r="H110" s="627" t="n">
        <x:v>785449309.01</x:v>
      </x:c>
      <x:c r="I110" s="627" t="n">
        <x:v>411983043.48</x:v>
      </x:c>
      <x:c r="J110" s="627" t="n">
        <x:v>5567053753.77</x:v>
      </x:c>
      <x:c r="K110" s="627" t="n">
        <x:v>215505964.31</x:v>
      </x:c>
      <x:c r="L110" s="627" t="n">
        <x:v>24273229.89</x:v>
      </x:c>
      <x:c r="M110" s="627" t="n">
        <x:v>1888719363.12</x:v>
      </x:c>
      <x:c r="N110" s="627" t="n">
        <x:v>1865166404.89</x:v>
      </x:c>
      <x:c r="O110" s="627" t="n">
        <x:v>8796307084.86</x:v>
      </x:c>
      <x:c r="P110" s="627" t="n">
        <x:v>2757971348.27</x:v>
      </x:c>
      <x:c r="Q110" s="627" t="n">
        <x:v>352124690.73</x:v>
      </x:c>
      <x:c r="R110" s="627" t="n">
        <x:v>89964.42</x:v>
      </x:c>
      <x:c r="S110" s="627" t="n">
        <x:v>-70.86</x:v>
      </x:c>
      <x:c r="T110" s="627" t="n">
        <x:v>4.14</x:v>
      </x:c>
      <x:c r="U110" s="627">
        <x:v>0</x:v>
      </x:c>
      <x:c r="V110" s="627">
        <x:v>0</x:v>
      </x:c>
      <x:c r="W110" s="627">
        <x:v>0</x:v>
      </x:c>
      <x:c r="X110" s="653">
        <x:v>0</x:v>
      </x:c>
      <x:c r="Y110" s="653">
        <x:v>0</x:v>
      </x:c>
      <x:c r="Z110" s="653" t="n">
        <x:v>-42.89</x:v>
      </x:c>
      <x:c r="BN110" s="624"/>
    </x:row>
    <x:row r="111" spans="1:66" x14ac:dyDescent="0.2">
      <x:c r="A111" s="628"/>
      <x:c r="B111" s="628"/>
      <x:c r="C111" s="628" t="inlineStr">
        <x:is>
          <x:t>ENEL</x:t>
        </x:is>
      </x:c>
      <x:c r="D111" s="628" t="inlineStr">
        <x:is>
          <x:t>Total</x:t>
        </x:is>
      </x:c>
      <x:c r="E111" s="629"/>
      <x:c r="F111" s="630" t="n">
        <x:v>24064820423.33</x:v>
      </x:c>
      <x:c r="G111" s="630" t="n">
        <x:v>1400176376.19</x:v>
      </x:c>
      <x:c r="H111" s="630" t="n">
        <x:v>785449309.01</x:v>
      </x:c>
      <x:c r="I111" s="630" t="n">
        <x:v>411983043.48</x:v>
      </x:c>
      <x:c r="J111" s="630" t="n">
        <x:v>5567053753.77</x:v>
      </x:c>
      <x:c r="K111" s="630" t="n">
        <x:v>215505964.31</x:v>
      </x:c>
      <x:c r="L111" s="630" t="n">
        <x:v>24273229.89</x:v>
      </x:c>
      <x:c r="M111" s="630" t="n">
        <x:v>1888719363.12</x:v>
      </x:c>
      <x:c r="N111" s="630" t="n">
        <x:v>1865166404.89</x:v>
      </x:c>
      <x:c r="O111" s="630" t="n">
        <x:v>8796307084.86</x:v>
      </x:c>
      <x:c r="P111" s="630" t="n">
        <x:v>2757971348.27</x:v>
      </x:c>
      <x:c r="Q111" s="630" t="n">
        <x:v>352124690.73</x:v>
      </x:c>
      <x:c r="R111" s="630" t="n">
        <x:v>89964.42</x:v>
      </x:c>
      <x:c r="S111" s="630" t="n">
        <x:v>-70.86</x:v>
      </x:c>
      <x:c r="T111" s="630" t="n">
        <x:v>4.14</x:v>
      </x:c>
      <x:c r="U111" s="630">
        <x:v>0</x:v>
      </x:c>
      <x:c r="V111" s="630">
        <x:v>0</x:v>
      </x:c>
      <x:c r="W111" s="630">
        <x:v>0</x:v>
      </x:c>
      <x:c r="X111" s="630">
        <x:v>0</x:v>
      </x:c>
      <x:c r="Y111" s="630">
        <x:v>0</x:v>
      </x:c>
      <x:c r="Z111" s="630" t="n">
        <x:v>-42.89</x:v>
      </x:c>
      <x:c r="AA111" s="628"/>
      <x:c r="AB111" s="628"/>
      <x:c r="AC111" s="628"/>
      <x:c r="AD111" s="628"/>
      <x:c r="AE111" s="628"/>
      <x:c r="AF111" s="628"/>
      <x:c r="AG111" s="628"/>
      <x:c r="AH111" s="628"/>
      <x:c r="AI111" s="628"/>
      <x:c r="AJ111" s="628"/>
      <x:c r="AK111" s="628"/>
      <x:c r="AL111" s="628"/>
      <x:c r="AM111" s="628"/>
      <x:c r="AN111" s="628"/>
      <x:c r="AO111" s="628"/>
      <x:c r="AP111" s="628"/>
      <x:c r="AQ111" s="628"/>
      <x:c r="AR111" s="628"/>
      <x:c r="AS111" s="628"/>
      <x:c r="AT111" s="628"/>
      <x:c r="AU111" s="628"/>
      <x:c r="AV111" s="628"/>
      <x:c r="AW111" s="628"/>
      <x:c r="AX111" s="628"/>
      <x:c r="AY111" s="628"/>
      <x:c r="AZ111" s="628"/>
      <x:c r="BA111" s="628"/>
      <x:c r="BB111" s="628"/>
      <x:c r="BC111" s="628"/>
      <x:c r="BD111" s="628"/>
      <x:c r="BE111" s="628"/>
      <x:c r="BF111" s="628"/>
      <x:c r="BG111" s="628"/>
      <x:c r="BH111" s="628"/>
      <x:c r="BI111" s="628"/>
      <x:c r="BJ111" s="628"/>
      <x:c r="BK111" s="628"/>
      <x:c r="BL111" s="628"/>
      <x:c r="BM111" s="628"/>
      <x:c r="BN111" s="624"/>
    </x:row>
    <x:row r="112" spans="1:66" x14ac:dyDescent="0.2">
      <x:c r="A112"/>
      <x:c r="B112"/>
      <x:c r="C112"/>
      <x:c r="D112" s="625"/>
      <x:c r="E112" s="625" t="inlineStr">
        <x:is>
          <x:t>Vlr Servicio</x:t>
        </x:is>
      </x:c>
      <x:c r="F112" s="627" t="n">
        <x:v>1971431.11</x:v>
      </x:c>
      <x:c r="G112" s="627" t="n">
        <x:v>107001.83</x:v>
      </x:c>
      <x:c r="H112" s="627" t="n">
        <x:v>51575.5</x:v>
      </x:c>
      <x:c r="I112" s="627" t="n">
        <x:v>29270.41</x:v>
      </x:c>
      <x:c r="J112" s="627" t="n">
        <x:v>520554.47</x:v>
      </x:c>
      <x:c r="K112" s="627" t="n">
        <x:v>14389.55</x:v>
      </x:c>
      <x:c r="L112" s="627" t="n">
        <x:v>0</x:v>
      </x:c>
      <x:c r="M112" s="627" t="n">
        <x:v>126225.52</x:v>
      </x:c>
      <x:c r="N112" s="627" t="n">
        <x:v>157541.67</x:v>
      </x:c>
      <x:c r="O112" s="627" t="n">
        <x:v>726381.08</x:v>
      </x:c>
      <x:c r="P112" s="627" t="n">
        <x:v>215014.43</x:v>
      </x:c>
      <x:c r="Q112" s="627" t="n">
        <x:v>23478.09</x:v>
      </x:c>
      <x:c r="R112" s="627" t="n">
        <x:v>-1.44</x:v>
      </x:c>
      <x:c r="S112" s="627" t="n">
        <x:v>0</x:v>
      </x:c>
      <x:c r="T112" s="627" t="n">
        <x:v>0</x:v>
      </x:c>
      <x:c r="U112" s="627">
        <x:v>0</x:v>
      </x:c>
      <x:c r="V112" s="627">
        <x:v>0</x:v>
      </x:c>
      <x:c r="W112" s="627">
        <x:v>0</x:v>
      </x:c>
      <x:c r="X112" s="653">
        <x:v>0</x:v>
      </x:c>
      <x:c r="Y112" s="653">
        <x:v>0</x:v>
      </x:c>
      <x:c r="Z112" s="653" t="n">
        <x:v>0</x:v>
      </x:c>
      <x:c r="BN112" s="624"/>
    </x:row>
    <x:row r="113" spans="1:66" x14ac:dyDescent="0.2">
      <x:c r="A113"/>
      <x:c r="B113"/>
      <x:c r="C113"/>
      <x:c r="D113" s="625"/>
      <x:c r="E113" s="625" t="inlineStr">
        <x:is>
          <x:t>Vlr Intereses</x:t>
        </x:is>
      </x:c>
      <x:c r="F113" s="627" t="n">
        <x:v>45276.38</x:v>
      </x:c>
      <x:c r="G113" s="627" t="n">
        <x:v>3165.1</x:v>
      </x:c>
      <x:c r="H113" s="627" t="n">
        <x:v>1469.01</x:v>
      </x:c>
      <x:c r="I113" s="627" t="n">
        <x:v>833.37</x:v>
      </x:c>
      <x:c r="J113" s="627" t="n">
        <x:v>12201.77</x:v>
      </x:c>
      <x:c r="K113" s="627" t="n">
        <x:v>287.71</x:v>
      </x:c>
      <x:c r="L113" s="627" t="n">
        <x:v>0</x:v>
      </x:c>
      <x:c r="M113" s="627" t="n">
        <x:v>2524.3</x:v>
      </x:c>
      <x:c r="N113" s="627" t="n">
        <x:v>3179.87</x:v>
      </x:c>
      <x:c r="O113" s="627" t="n">
        <x:v>14776.64</x:v>
      </x:c>
      <x:c r="P113" s="627" t="n">
        <x:v>6369.21</x:v>
      </x:c>
      <x:c r="Q113" s="627" t="n">
        <x:v>469.35</x:v>
      </x:c>
      <x:c r="R113" s="627" t="n">
        <x:v>0.12</x:v>
      </x:c>
      <x:c r="S113" s="627" t="n">
        <x:v>0</x:v>
      </x:c>
      <x:c r="T113" s="627" t="n">
        <x:v>0</x:v>
      </x:c>
      <x:c r="U113" s="627">
        <x:v>0</x:v>
      </x:c>
      <x:c r="V113" s="627">
        <x:v>0</x:v>
      </x:c>
      <x:c r="W113" s="627">
        <x:v>0</x:v>
      </x:c>
      <x:c r="X113" s="653">
        <x:v>0</x:v>
      </x:c>
      <x:c r="Y113" s="653">
        <x:v>0</x:v>
      </x:c>
      <x:c r="Z113" s="653" t="n">
        <x:v>-0.07</x:v>
      </x:c>
      <x:c r="BN113" s="624"/>
    </x:row>
    <x:row r="114" spans="1:66" x14ac:dyDescent="0.2">
      <x:c r="A114"/>
      <x:c r="B114"/>
      <x:c r="C114"/>
      <x:c r="D114" s="625" t="inlineStr">
        <x:is>
          <x:t>1</x:t>
        </x:is>
      </x:c>
      <x:c r="E114" s="625" t="inlineStr">
        <x:is>
          <x:t>Total</x:t>
        </x:is>
      </x:c>
      <x:c r="F114" s="627" t="n">
        <x:v>2016707.49</x:v>
      </x:c>
      <x:c r="G114" s="627" t="n">
        <x:v>110166.93</x:v>
      </x:c>
      <x:c r="H114" s="627" t="n">
        <x:v>53044.51</x:v>
      </x:c>
      <x:c r="I114" s="627" t="n">
        <x:v>30103.78</x:v>
      </x:c>
      <x:c r="J114" s="627" t="n">
        <x:v>532756.24</x:v>
      </x:c>
      <x:c r="K114" s="627" t="n">
        <x:v>14677.26</x:v>
      </x:c>
      <x:c r="L114" s="627" t="n">
        <x:v>0</x:v>
      </x:c>
      <x:c r="M114" s="627" t="n">
        <x:v>128749.82</x:v>
      </x:c>
      <x:c r="N114" s="627" t="n">
        <x:v>160721.54</x:v>
      </x:c>
      <x:c r="O114" s="627" t="n">
        <x:v>741157.72</x:v>
      </x:c>
      <x:c r="P114" s="627" t="n">
        <x:v>221383.64</x:v>
      </x:c>
      <x:c r="Q114" s="627" t="n">
        <x:v>23947.44</x:v>
      </x:c>
      <x:c r="R114" s="627" t="n">
        <x:v>-1.32</x:v>
      </x:c>
      <x:c r="S114" s="627" t="n">
        <x:v>0</x:v>
      </x:c>
      <x:c r="T114" s="627" t="n">
        <x:v>0</x:v>
      </x:c>
      <x:c r="U114" s="627">
        <x:v>0</x:v>
      </x:c>
      <x:c r="V114" s="627">
        <x:v>0</x:v>
      </x:c>
      <x:c r="W114" s="627">
        <x:v>0</x:v>
      </x:c>
      <x:c r="X114" s="653">
        <x:v>0</x:v>
      </x:c>
      <x:c r="Y114" s="653">
        <x:v>0</x:v>
      </x:c>
      <x:c r="Z114" s="653" t="n">
        <x:v>-0.07</x:v>
      </x:c>
      <x:c r="BN114" s="624"/>
    </x:row>
    <x:row r="115" spans="1:66" x14ac:dyDescent="0.2">
      <x:c r="A115"/>
      <x:c r="B115"/>
      <x:c r="C115"/>
      <x:c r="D115" s="625"/>
      <x:c r="E115" s="625" t="inlineStr">
        <x:is>
          <x:t>Vlr Servicio</x:t>
        </x:is>
      </x:c>
      <x:c r="F115" s="627" t="n">
        <x:v>419516.23</x:v>
      </x:c>
      <x:c r="G115" s="627" t="n">
        <x:v>25972.88</x:v>
      </x:c>
      <x:c r="H115" s="627" t="n">
        <x:v>12592.54</x:v>
      </x:c>
      <x:c r="I115" s="627" t="n">
        <x:v>6939.94</x:v>
      </x:c>
      <x:c r="J115" s="627" t="n">
        <x:v>120301.92</x:v>
      </x:c>
      <x:c r="K115" s="627" t="n">
        <x:v>2941.24</x:v>
      </x:c>
      <x:c r="L115" s="627" t="n">
        <x:v>0</x:v>
      </x:c>
      <x:c r="M115" s="627" t="n">
        <x:v>25800.7</x:v>
      </x:c>
      <x:c r="N115" s="627" t="n">
        <x:v>30113.79</x:v>
      </x:c>
      <x:c r="O115" s="627" t="n">
        <x:v>139376.88</x:v>
      </x:c>
      <x:c r="P115" s="627" t="n">
        <x:v>50670.06</x:v>
      </x:c>
      <x:c r="Q115" s="627" t="n">
        <x:v>4798.96</x:v>
      </x:c>
      <x:c r="R115" s="627" t="n">
        <x:v>7.32</x:v>
      </x:c>
      <x:c r="S115" s="627" t="n">
        <x:v>0</x:v>
      </x:c>
      <x:c r="T115" s="627" t="n">
        <x:v>0</x:v>
      </x:c>
      <x:c r="U115" s="627">
        <x:v>0</x:v>
      </x:c>
      <x:c r="V115" s="627">
        <x:v>0</x:v>
      </x:c>
      <x:c r="W115" s="627">
        <x:v>0</x:v>
      </x:c>
      <x:c r="X115" s="653">
        <x:v>0</x:v>
      </x:c>
      <x:c r="Y115" s="653">
        <x:v>0</x:v>
      </x:c>
      <x:c r="Z115" s="653" t="n">
        <x:v>0</x:v>
      </x:c>
      <x:c r="BN115" s="624"/>
    </x:row>
    <x:row r="116" spans="1:66" x14ac:dyDescent="0.2">
      <x:c r="A116"/>
      <x:c r="B116"/>
      <x:c r="C116"/>
      <x:c r="D116" s="625"/>
      <x:c r="E116" s="625" t="inlineStr">
        <x:is>
          <x:t>Vlr Intereses</x:t>
        </x:is>
      </x:c>
      <x:c r="F116" s="627" t="n">
        <x:v>7178.99</x:v>
      </x:c>
      <x:c r="G116" s="627" t="n">
        <x:v>374.66</x:v>
      </x:c>
      <x:c r="H116" s="627" t="n">
        <x:v>168.63</x:v>
      </x:c>
      <x:c r="I116" s="627" t="n">
        <x:v>100.33</x:v>
      </x:c>
      <x:c r="J116" s="627" t="n">
        <x:v>2116.03</x:v>
      </x:c>
      <x:c r="K116" s="627" t="n">
        <x:v>48.58</x:v>
      </x:c>
      <x:c r="L116" s="627" t="n">
        <x:v>0</x:v>
      </x:c>
      <x:c r="M116" s="627" t="n">
        <x:v>425.77</x:v>
      </x:c>
      <x:c r="N116" s="627" t="n">
        <x:v>547.15</x:v>
      </x:c>
      <x:c r="O116" s="627" t="n">
        <x:v>2568.7</x:v>
      </x:c>
      <x:c r="P116" s="627" t="n">
        <x:v>749.68</x:v>
      </x:c>
      <x:c r="Q116" s="627" t="n">
        <x:v>79.23</x:v>
      </x:c>
      <x:c r="R116" s="627" t="n">
        <x:v>0.23</x:v>
      </x:c>
      <x:c r="S116" s="627" t="n">
        <x:v>0</x:v>
      </x:c>
      <x:c r="T116" s="627" t="n">
        <x:v>0</x:v>
      </x:c>
      <x:c r="U116" s="627">
        <x:v>0</x:v>
      </x:c>
      <x:c r="V116" s="627">
        <x:v>0</x:v>
      </x:c>
      <x:c r="W116" s="627">
        <x:v>0</x:v>
      </x:c>
      <x:c r="X116" s="653">
        <x:v>0</x:v>
      </x:c>
      <x:c r="Y116" s="653">
        <x:v>0</x:v>
      </x:c>
      <x:c r="Z116" s="653" t="n">
        <x:v>0</x:v>
      </x:c>
      <x:c r="BN116" s="624"/>
    </x:row>
    <x:row r="117" spans="1:66" x14ac:dyDescent="0.2">
      <x:c r="A117"/>
      <x:c r="B117"/>
      <x:c r="C117"/>
      <x:c r="D117" s="25" t="inlineStr">
        <x:is>
          <x:t>2</x:t>
        </x:is>
      </x:c>
      <x:c r="E117" s="625" t="inlineStr">
        <x:is>
          <x:t>Total</x:t>
        </x:is>
      </x:c>
      <x:c r="F117" s="627" t="n">
        <x:v>426695.22</x:v>
      </x:c>
      <x:c r="G117" s="627" t="n">
        <x:v>26347.54</x:v>
      </x:c>
      <x:c r="H117" s="627" t="n">
        <x:v>12761.17</x:v>
      </x:c>
      <x:c r="I117" s="627" t="n">
        <x:v>7040.27</x:v>
      </x:c>
      <x:c r="J117" s="627" t="n">
        <x:v>122417.95</x:v>
      </x:c>
      <x:c r="K117" s="627" t="n">
        <x:v>2989.82</x:v>
      </x:c>
      <x:c r="L117" s="627" t="n">
        <x:v>0</x:v>
      </x:c>
      <x:c r="M117" s="627" t="n">
        <x:v>26226.47</x:v>
      </x:c>
      <x:c r="N117" s="627" t="n">
        <x:v>30660.94</x:v>
      </x:c>
      <x:c r="O117" s="627" t="n">
        <x:v>141945.58</x:v>
      </x:c>
      <x:c r="P117" s="627" t="n">
        <x:v>51419.74</x:v>
      </x:c>
      <x:c r="Q117" s="627" t="n">
        <x:v>4878.19</x:v>
      </x:c>
      <x:c r="R117" s="627" t="n">
        <x:v>7.55</x:v>
      </x:c>
      <x:c r="S117" s="627" t="n">
        <x:v>0</x:v>
      </x:c>
      <x:c r="T117" s="627" t="n">
        <x:v>0</x:v>
      </x:c>
      <x:c r="U117" s="627">
        <x:v>0</x:v>
      </x:c>
      <x:c r="V117" s="627">
        <x:v>0</x:v>
      </x:c>
      <x:c r="W117" s="627">
        <x:v>0</x:v>
      </x:c>
      <x:c r="X117" s="653">
        <x:v>0</x:v>
      </x:c>
      <x:c r="Y117" s="653">
        <x:v>0</x:v>
      </x:c>
      <x:c r="Z117" s="653" t="n">
        <x:v>0</x:v>
      </x:c>
      <x:c r="BN117" s="624"/>
    </x:row>
    <x:row r="118" spans="1:66" x14ac:dyDescent="0.2">
      <x:c r="A118"/>
      <x:c r="B118"/>
      <x:c r="C118"/>
      <x:c r="D118" s="625"/>
      <x:c r="E118" s="625" t="inlineStr">
        <x:is>
          <x:t>Vlr Servicio</x:t>
        </x:is>
      </x:c>
      <x:c r="F118" s="627" t="n">
        <x:v>12785198.32</x:v>
      </x:c>
      <x:c r="G118" s="627" t="n">
        <x:v>703609.95</x:v>
      </x:c>
      <x:c r="H118" s="627" t="n">
        <x:v>387545.6</x:v>
      </x:c>
      <x:c r="I118" s="627" t="n">
        <x:v>207630.35</x:v>
      </x:c>
      <x:c r="J118" s="627" t="n">
        <x:v>3187955.94</x:v>
      </x:c>
      <x:c r="K118" s="627" t="n">
        <x:v>106822.11</x:v>
      </x:c>
      <x:c r="L118" s="627" t="n">
        <x:v>0</x:v>
      </x:c>
      <x:c r="M118" s="627" t="n">
        <x:v>942031.97</x:v>
      </x:c>
      <x:c r="N118" s="627" t="n">
        <x:v>1002072.56</x:v>
      </x:c>
      <x:c r="O118" s="627" t="n">
        <x:v>4691016.74</x:v>
      </x:c>
      <x:c r="P118" s="627" t="n">
        <x:v>1381254.47</x:v>
      </x:c>
      <x:c r="Q118" s="627" t="n">
        <x:v>175192.74</x:v>
      </x:c>
      <x:c r="R118" s="627" t="n">
        <x:v>65.89</x:v>
      </x:c>
      <x:c r="S118" s="627" t="n">
        <x:v>0</x:v>
      </x:c>
      <x:c r="T118" s="627" t="n">
        <x:v>0</x:v>
      </x:c>
      <x:c r="U118" s="627">
        <x:v>0</x:v>
      </x:c>
      <x:c r="V118" s="627">
        <x:v>0</x:v>
      </x:c>
      <x:c r="W118" s="627">
        <x:v>0</x:v>
      </x:c>
      <x:c r="X118" s="653">
        <x:v>0</x:v>
      </x:c>
      <x:c r="Y118" s="653">
        <x:v>0</x:v>
      </x:c>
      <x:c r="Z118" s="653" t="n">
        <x:v>0</x:v>
      </x:c>
      <x:c r="BN118" s="624"/>
    </x:row>
    <x:row r="119" spans="1:66" x14ac:dyDescent="0.2">
      <x:c r="A119"/>
      <x:c r="B119"/>
      <x:c r="C119"/>
      <x:c r="D119"/>
      <x:c r="E119" s="625" t="inlineStr">
        <x:is>
          <x:t>Vlr Intereses</x:t>
        </x:is>
      </x:c>
      <x:c r="F119" s="627" t="n">
        <x:v>74732.16</x:v>
      </x:c>
      <x:c r="G119" s="627" t="n">
        <x:v>6320.89</x:v>
      </x:c>
      <x:c r="H119" s="627" t="n">
        <x:v>3463.36</x:v>
      </x:c>
      <x:c r="I119" s="627" t="n">
        <x:v>1859.06</x:v>
      </x:c>
      <x:c r="J119" s="627" t="n">
        <x:v>16027.83</x:v>
      </x:c>
      <x:c r="K119" s="627" t="n">
        <x:v>531.94</x:v>
      </x:c>
      <x:c r="L119" s="627" t="n">
        <x:v>0</x:v>
      </x:c>
      <x:c r="M119" s="627" t="n">
        <x:v>4669.95</x:v>
      </x:c>
      <x:c r="N119" s="627" t="n">
        <x:v>5098.07</x:v>
      </x:c>
      <x:c r="O119" s="627" t="n">
        <x:v>23528.73</x:v>
      </x:c>
      <x:c r="P119" s="627" t="n">
        <x:v>12364.11</x:v>
      </x:c>
      <x:c r="Q119" s="627" t="n">
        <x:v>868.28</x:v>
      </x:c>
      <x:c r="R119" s="627" t="n">
        <x:v>-0.06</x:v>
      </x:c>
      <x:c r="S119" s="627" t="n">
        <x:v>0</x:v>
      </x:c>
      <x:c r="T119" s="627" t="n">
        <x:v>0</x:v>
      </x:c>
      <x:c r="U119" s="627">
        <x:v>0</x:v>
      </x:c>
      <x:c r="V119" s="627">
        <x:v>0</x:v>
      </x:c>
      <x:c r="W119" s="627">
        <x:v>0</x:v>
      </x:c>
      <x:c r="X119" s="653">
        <x:v>0</x:v>
      </x:c>
      <x:c r="Y119" s="653">
        <x:v>0</x:v>
      </x:c>
      <x:c r="Z119" s="653" t="n">
        <x:v>0</x:v>
      </x:c>
      <x:c r="BN119" s="624"/>
    </x:row>
    <x:row r="120" spans="1:66" x14ac:dyDescent="0.2">
      <x:c r="A120"/>
      <x:c r="B120"/>
      <x:c r="C120"/>
      <x:c r="D120" s="25" t="inlineStr">
        <x:is>
          <x:t>5</x:t>
        </x:is>
      </x:c>
      <x:c r="E120" s="625" t="inlineStr">
        <x:is>
          <x:t>Total</x:t>
        </x:is>
      </x:c>
      <x:c r="F120" s="627" t="n">
        <x:v>12859930.48</x:v>
      </x:c>
      <x:c r="G120" s="627" t="n">
        <x:v>709930.84</x:v>
      </x:c>
      <x:c r="H120" s="627" t="n">
        <x:v>391008.96</x:v>
      </x:c>
      <x:c r="I120" s="627" t="n">
        <x:v>209489.41</x:v>
      </x:c>
      <x:c r="J120" s="627" t="n">
        <x:v>3203983.77</x:v>
      </x:c>
      <x:c r="K120" s="627" t="n">
        <x:v>107354.05</x:v>
      </x:c>
      <x:c r="L120" s="627" t="n">
        <x:v>0</x:v>
      </x:c>
      <x:c r="M120" s="627" t="n">
        <x:v>946701.92</x:v>
      </x:c>
      <x:c r="N120" s="627" t="n">
        <x:v>1007170.63</x:v>
      </x:c>
      <x:c r="O120" s="627" t="n">
        <x:v>4714545.47</x:v>
      </x:c>
      <x:c r="P120" s="627" t="n">
        <x:v>1393618.58</x:v>
      </x:c>
      <x:c r="Q120" s="627" t="n">
        <x:v>176061.02</x:v>
      </x:c>
      <x:c r="R120" s="627" t="n">
        <x:v>65.83</x:v>
      </x:c>
      <x:c r="S120" s="627" t="n">
        <x:v>0</x:v>
      </x:c>
      <x:c r="T120" s="627" t="n">
        <x:v>0</x:v>
      </x:c>
      <x:c r="U120" s="627">
        <x:v>0</x:v>
      </x:c>
      <x:c r="V120" s="627">
        <x:v>0</x:v>
      </x:c>
      <x:c r="W120" s="627">
        <x:v>0</x:v>
      </x:c>
      <x:c r="X120" s="653">
        <x:v>0</x:v>
      </x:c>
      <x:c r="Y120" s="653">
        <x:v>0</x:v>
      </x:c>
      <x:c r="Z120" s="653" t="n">
        <x:v>0</x:v>
      </x:c>
      <x:c r="BN120" s="624"/>
    </x:row>
    <x:row r="121" spans="1:66" x14ac:dyDescent="0.2">
      <x:c r="A121" s="667"/>
      <x:c r="B121" s="667"/>
      <x:c r="C121" s="647" t="inlineStr">
        <x:is>
          <x:t>NUEVO ESQUEMA</x:t>
        </x:is>
      </x:c>
      <x:c r="D121" s="647" t="inlineStr">
        <x:is>
          <x:t>Total</x:t>
        </x:is>
      </x:c>
      <x:c r="E121" s="667"/>
      <x:c r="F121" s="648" t="n">
        <x:v>15303333.19</x:v>
      </x:c>
      <x:c r="G121" s="648" t="n">
        <x:v>846445.31</x:v>
      </x:c>
      <x:c r="H121" s="648" t="n">
        <x:v>456814.64</x:v>
      </x:c>
      <x:c r="I121" s="648" t="n">
        <x:v>246633.46</x:v>
      </x:c>
      <x:c r="J121" s="648" t="n">
        <x:v>3859157.96</x:v>
      </x:c>
      <x:c r="K121" s="648" t="n">
        <x:v>125021.13</x:v>
      </x:c>
      <x:c r="L121" s="648" t="n">
        <x:v>0</x:v>
      </x:c>
      <x:c r="M121" s="648" t="n">
        <x:v>1101678.21</x:v>
      </x:c>
      <x:c r="N121" s="648" t="n">
        <x:v>1198553.11</x:v>
      </x:c>
      <x:c r="O121" s="648" t="n">
        <x:v>5597648.77</x:v>
      </x:c>
      <x:c r="P121" s="648" t="n">
        <x:v>1666421.96</x:v>
      </x:c>
      <x:c r="Q121" s="648" t="n">
        <x:v>204886.65</x:v>
      </x:c>
      <x:c r="R121" s="648" t="n">
        <x:v>72.06</x:v>
      </x:c>
      <x:c r="S121" s="648" t="n">
        <x:v>0</x:v>
      </x:c>
      <x:c r="T121" s="648" t="n">
        <x:v>0</x:v>
      </x:c>
      <x:c r="U121" s="648">
        <x:v>0</x:v>
      </x:c>
      <x:c r="V121" s="648">
        <x:v>0</x:v>
      </x:c>
      <x:c r="W121" s="648">
        <x:v>0</x:v>
      </x:c>
      <x:c r="X121" s="672">
        <x:v>0</x:v>
      </x:c>
      <x:c r="Y121" s="672">
        <x:v>0</x:v>
      </x:c>
      <x:c r="Z121" s="672" t="n">
        <x:v>-0.07</x:v>
      </x:c>
      <x:c r="AA121" s="667"/>
      <x:c r="AB121" s="667"/>
      <x:c r="AC121" s="667"/>
      <x:c r="AD121" s="667"/>
      <x:c r="AE121" s="667"/>
      <x:c r="AF121" s="667"/>
      <x:c r="AG121" s="667"/>
      <x:c r="AH121" s="667"/>
      <x:c r="AI121" s="667"/>
      <x:c r="AJ121" s="667"/>
      <x:c r="AK121" s="667"/>
      <x:c r="AL121" s="667"/>
      <x:c r="AM121" s="667"/>
      <x:c r="AN121" s="667"/>
      <x:c r="AO121" s="667"/>
      <x:c r="AP121" s="667"/>
      <x:c r="AQ121" s="667"/>
      <x:c r="AR121" s="667"/>
      <x:c r="AS121" s="667"/>
      <x:c r="AT121" s="667"/>
      <x:c r="AU121" s="667"/>
      <x:c r="AV121" s="667"/>
      <x:c r="AW121" s="667"/>
      <x:c r="AX121" s="667"/>
      <x:c r="AY121" s="667"/>
      <x:c r="AZ121" s="667"/>
      <x:c r="BA121" s="667"/>
      <x:c r="BB121" s="667"/>
      <x:c r="BC121" s="667"/>
      <x:c r="BD121" s="667"/>
      <x:c r="BE121" s="667"/>
      <x:c r="BF121" s="667"/>
      <x:c r="BG121" s="667"/>
      <x:c r="BH121" s="667"/>
      <x:c r="BI121" s="667"/>
      <x:c r="BJ121" s="667"/>
      <x:c r="BK121" s="667"/>
      <x:c r="BL121" s="667"/>
      <x:c r="BM121" s="667"/>
      <x:c r="BN121" s="624"/>
    </x:row>
    <x:row r="122" spans="1:66" x14ac:dyDescent="0.2">
      <x:c r="A122"/>
      <x:c r="B122"/>
      <x:c r="C122" s="625"/>
      <x:c r="D122" s="625"/>
      <x:c r="E122" s="25" t="inlineStr">
        <x:is>
          <x:t>Vlr Servicio</x:t>
        </x:is>
      </x:c>
      <x:c r="F122" s="627" t="n">
        <x:v>455939001.99</x:v>
      </x:c>
      <x:c r="G122" s="627" t="n">
        <x:v>31166168.33</x:v>
      </x:c>
      <x:c r="H122" s="627" t="n">
        <x:v>17414261.35</x:v>
      </x:c>
      <x:c r="I122" s="627" t="n">
        <x:v>9320448.56</x:v>
      </x:c>
      <x:c r="J122" s="627" t="n">
        <x:v>107716548.78</x:v>
      </x:c>
      <x:c r="K122" s="627" t="n">
        <x:v>2778581.48</x:v>
      </x:c>
      <x:c r="L122" s="627" t="n">
        <x:v>223000</x:v>
      </x:c>
      <x:c r="M122" s="627" t="n">
        <x:v>24356285.66</x:v>
      </x:c>
      <x:c r="N122" s="627" t="n">
        <x:v>34967660.87</x:v>
      </x:c>
      <x:c r="O122" s="627" t="n">
        <x:v>161072747.18</x:v>
      </x:c>
      <x:c r="P122" s="627" t="n">
        <x:v>62379437.01</x:v>
      </x:c>
      <x:c r="Q122" s="627" t="n">
        <x:v>4546029.75</x:v>
      </x:c>
      <x:c r="R122" s="627" t="n">
        <x:v>-2166.98</x:v>
      </x:c>
      <x:c r="S122" s="627" t="n">
        <x:v>0</x:v>
      </x:c>
      <x:c r="T122" s="627" t="n">
        <x:v>0</x:v>
      </x:c>
      <x:c r="U122" s="627">
        <x:v>0</x:v>
      </x:c>
      <x:c r="V122" s="627">
        <x:v>0</x:v>
      </x:c>
      <x:c r="W122" s="627">
        <x:v>0</x:v>
      </x:c>
      <x:c r="X122" s="653">
        <x:v>0</x:v>
      </x:c>
      <x:c r="Y122" s="653">
        <x:v>0</x:v>
      </x:c>
      <x:c r="Z122" s="653" t="n">
        <x:v>0</x:v>
      </x:c>
      <x:c r="BN122" s="624"/>
    </x:row>
    <x:row r="123" spans="1:66" x14ac:dyDescent="0.2">
      <x:c r="A123"/>
      <x:c r="B123"/>
      <x:c r="C123" s="625"/>
      <x:c r="D123" s="625"/>
      <x:c r="E123" s="25" t="inlineStr">
        <x:is>
          <x:t>Vlr Intereses</x:t>
        </x:is>
      </x:c>
      <x:c r="F123" s="627" t="n">
        <x:v>4505253.39</x:v>
      </x:c>
      <x:c r="G123" s="627" t="n">
        <x:v>686613.92</x:v>
      </x:c>
      <x:c r="H123" s="627" t="n">
        <x:v>335505.83</x:v>
      </x:c>
      <x:c r="I123" s="627" t="n">
        <x:v>186385.59</x:v>
      </x:c>
      <x:c r="J123" s="627" t="n">
        <x:v>633051.63</x:v>
      </x:c>
      <x:c r="K123" s="627" t="n">
        <x:v>16253.71</x:v>
      </x:c>
      <x:c r="L123" s="627" t="n">
        <x:v>423.43</x:v>
      </x:c>
      <x:c r="M123" s="627" t="n">
        <x:v>141566.92</x:v>
      </x:c>
      <x:c r="N123" s="627" t="n">
        <x:v>197973.31</x:v>
      </x:c>
      <x:c r="O123" s="627" t="n">
        <x:v>907304.36</x:v>
      </x:c>
      <x:c r="P123" s="627" t="n">
        <x:v>1373624.55</x:v>
      </x:c>
      <x:c r="Q123" s="627" t="n">
        <x:v>26555.9</x:v>
      </x:c>
      <x:c r="R123" s="627" t="n">
        <x:v>-5.38</x:v>
      </x:c>
      <x:c r="S123" s="627" t="n">
        <x:v>0</x:v>
      </x:c>
      <x:c r="T123" s="627" t="n">
        <x:v>0</x:v>
      </x:c>
      <x:c r="U123" s="627">
        <x:v>0</x:v>
      </x:c>
      <x:c r="V123" s="627">
        <x:v>0</x:v>
      </x:c>
      <x:c r="W123" s="627">
        <x:v>0</x:v>
      </x:c>
      <x:c r="X123" s="653">
        <x:v>0</x:v>
      </x:c>
      <x:c r="Y123" s="653">
        <x:v>0</x:v>
      </x:c>
      <x:c r="Z123" s="653" t="n">
        <x:v>-0.38</x:v>
      </x:c>
      <x:c r="BN123" s="624"/>
    </x:row>
    <x:row r="124" spans="1:66" x14ac:dyDescent="0.2">
      <x:c r="A124"/>
      <x:c r="B124"/>
      <x:c r="C124"/>
      <x:c r="D124" s="25" t="inlineStr">
        <x:is>
          <x:t>H</x:t>
        </x:is>
      </x:c>
      <x:c r="E124" s="625" t="inlineStr">
        <x:is>
          <x:t>Total</x:t>
        </x:is>
      </x:c>
      <x:c r="F124" s="627" t="n">
        <x:v>460444255.38</x:v>
      </x:c>
      <x:c r="G124" s="627" t="n">
        <x:v>31852782.25</x:v>
      </x:c>
      <x:c r="H124" s="627" t="n">
        <x:v>17749767.18</x:v>
      </x:c>
      <x:c r="I124" s="627" t="n">
        <x:v>9506834.15</x:v>
      </x:c>
      <x:c r="J124" s="627" t="n">
        <x:v>108349600.41</x:v>
      </x:c>
      <x:c r="K124" s="627" t="n">
        <x:v>2794835.19</x:v>
      </x:c>
      <x:c r="L124" s="627" t="n">
        <x:v>223423.43</x:v>
      </x:c>
      <x:c r="M124" s="627" t="n">
        <x:v>24497852.58</x:v>
      </x:c>
      <x:c r="N124" s="627" t="n">
        <x:v>35165634.18</x:v>
      </x:c>
      <x:c r="O124" s="627" t="n">
        <x:v>161980051.54</x:v>
      </x:c>
      <x:c r="P124" s="627" t="n">
        <x:v>63753061.56</x:v>
      </x:c>
      <x:c r="Q124" s="627" t="n">
        <x:v>4572585.65</x:v>
      </x:c>
      <x:c r="R124" s="627" t="n">
        <x:v>-2172.36</x:v>
      </x:c>
      <x:c r="S124" s="627" t="n">
        <x:v>0</x:v>
      </x:c>
      <x:c r="T124" s="627" t="n">
        <x:v>0</x:v>
      </x:c>
      <x:c r="U124" s="627">
        <x:v>0</x:v>
      </x:c>
      <x:c r="V124" s="627">
        <x:v>0</x:v>
      </x:c>
      <x:c r="W124" s="627">
        <x:v>0</x:v>
      </x:c>
      <x:c r="X124" s="653">
        <x:v>0</x:v>
      </x:c>
      <x:c r="Y124" s="653">
        <x:v>0</x:v>
      </x:c>
      <x:c r="Z124" s="653" t="n">
        <x:v>-0.38</x:v>
      </x:c>
      <x:c r="BN124" s="624"/>
    </x:row>
    <x:row r="125" spans="1:66" x14ac:dyDescent="0.2">
      <x:c r="A125"/>
      <x:c r="B125"/>
      <x:c r="C125"/>
      <x:c r="D125"/>
      <x:c r="E125" s="625" t="inlineStr">
        <x:is>
          <x:t>Vlr Servicio</x:t>
        </x:is>
      </x:c>
      <x:c r="F125" s="627" t="n">
        <x:v>193966389.73</x:v>
      </x:c>
      <x:c r="G125" s="627" t="n">
        <x:v>18753395.74</x:v>
      </x:c>
      <x:c r="H125" s="627" t="n">
        <x:v>10057409.18</x:v>
      </x:c>
      <x:c r="I125" s="627" t="n">
        <x:v>5168574.85</x:v>
      </x:c>
      <x:c r="J125" s="627" t="n">
        <x:v>37118799.35</x:v>
      </x:c>
      <x:c r="K125" s="627" t="n">
        <x:v>1216758.52</x:v>
      </x:c>
      <x:c r="L125" s="627" t="n">
        <x:v>1204189.42</x:v>
      </x:c>
      <x:c r="M125" s="627" t="n">
        <x:v>10633285.03</x:v>
      </x:c>
      <x:c r="N125" s="627" t="n">
        <x:v>12932629.94</x:v>
      </x:c>
      <x:c r="O125" s="627" t="n">
        <x:v>57515757.55</x:v>
      </x:c>
      <x:c r="P125" s="627" t="n">
        <x:v>37372824.68</x:v>
      </x:c>
      <x:c r="Q125" s="627" t="n">
        <x:v>1993046.78</x:v>
      </x:c>
      <x:c r="R125" s="627" t="n">
        <x:v>-281.31</x:v>
      </x:c>
      <x:c r="S125" s="627" t="n">
        <x:v>0</x:v>
      </x:c>
      <x:c r="T125" s="627" t="n">
        <x:v>0</x:v>
      </x:c>
      <x:c r="U125" s="627">
        <x:v>0</x:v>
      </x:c>
      <x:c r="V125" s="627">
        <x:v>0</x:v>
      </x:c>
      <x:c r="W125" s="627">
        <x:v>0</x:v>
      </x:c>
      <x:c r="X125" s="653">
        <x:v>0</x:v>
      </x:c>
      <x:c r="Y125" s="653">
        <x:v>0</x:v>
      </x:c>
      <x:c r="Z125" s="653" t="n">
        <x:v>0</x:v>
      </x:c>
      <x:c r="BN125" s="624"/>
    </x:row>
    <x:row r="126" spans="1:66" x14ac:dyDescent="0.2">
      <x:c r="A126"/>
      <x:c r="B126"/>
      <x:c r="C126"/>
      <x:c r="D126" s="625"/>
      <x:c r="E126" s="625" t="inlineStr">
        <x:is>
          <x:t>Vlr Intereses</x:t>
        </x:is>
      </x:c>
      <x:c r="F126" s="627" t="n">
        <x:v>9166147.28</x:v>
      </x:c>
      <x:c r="G126" s="627" t="n">
        <x:v>1183506.74</x:v>
      </x:c>
      <x:c r="H126" s="627" t="n">
        <x:v>586131.58</x:v>
      </x:c>
      <x:c r="I126" s="627" t="n">
        <x:v>271123.56</x:v>
      </x:c>
      <x:c r="J126" s="627" t="n">
        <x:v>1563968.47</x:v>
      </x:c>
      <x:c r="K126" s="627" t="n">
        <x:v>53802.28</x:v>
      </x:c>
      <x:c r="L126" s="627" t="n">
        <x:v>0</x:v>
      </x:c>
      <x:c r="M126" s="627" t="n">
        <x:v>473676.04</x:v>
      </x:c>
      <x:c r="N126" s="627" t="n">
        <x:v>570702.61</x:v>
      </x:c>
      <x:c r="O126" s="627" t="n">
        <x:v>2048592.22</x:v>
      </x:c>
      <x:c r="P126" s="627" t="n">
        <x:v>2326821.14</x:v>
      </x:c>
      <x:c r="Q126" s="627" t="n">
        <x:v>87828.33</x:v>
      </x:c>
      <x:c r="R126" s="627" t="n">
        <x:v>7.07</x:v>
      </x:c>
      <x:c r="S126" s="627" t="n">
        <x:v>-12.38</x:v>
      </x:c>
      <x:c r="T126" s="627" t="n">
        <x:v>0.04</x:v>
      </x:c>
      <x:c r="U126" s="627">
        <x:v>0</x:v>
      </x:c>
      <x:c r="V126" s="627">
        <x:v>0</x:v>
      </x:c>
      <x:c r="W126" s="627">
        <x:v>0</x:v>
      </x:c>
      <x:c r="X126" s="653">
        <x:v>0</x:v>
      </x:c>
      <x:c r="Y126" s="653">
        <x:v>0</x:v>
      </x:c>
      <x:c r="Z126" s="653" t="n">
        <x:v>-0.42</x:v>
      </x:c>
      <x:c r="BN126" s="624"/>
    </x:row>
    <x:row r="127" spans="1:66" x14ac:dyDescent="0.2">
      <x:c r="A127"/>
      <x:c r="B127"/>
      <x:c r="C127"/>
      <x:c r="D127" s="25" t="inlineStr">
        <x:is>
          <x:t>O</x:t>
        </x:is>
      </x:c>
      <x:c r="E127" s="625" t="inlineStr">
        <x:is>
          <x:t>Total</x:t>
        </x:is>
      </x:c>
      <x:c r="F127" s="627" t="n">
        <x:v>203132537.01</x:v>
      </x:c>
      <x:c r="G127" s="627" t="n">
        <x:v>19936902.48</x:v>
      </x:c>
      <x:c r="H127" s="627" t="n">
        <x:v>10643540.76</x:v>
      </x:c>
      <x:c r="I127" s="627" t="n">
        <x:v>5439698.41</x:v>
      </x:c>
      <x:c r="J127" s="627" t="n">
        <x:v>38682767.82</x:v>
      </x:c>
      <x:c r="K127" s="627" t="n">
        <x:v>1270560.8</x:v>
      </x:c>
      <x:c r="L127" s="627" t="n">
        <x:v>1204189.42</x:v>
      </x:c>
      <x:c r="M127" s="627" t="n">
        <x:v>11106961.07</x:v>
      </x:c>
      <x:c r="N127" s="627" t="n">
        <x:v>13503332.55</x:v>
      </x:c>
      <x:c r="O127" s="627" t="n">
        <x:v>59564349.77</x:v>
      </x:c>
      <x:c r="P127" s="627" t="n">
        <x:v>39699645.82</x:v>
      </x:c>
      <x:c r="Q127" s="627" t="n">
        <x:v>2080875.11</x:v>
      </x:c>
      <x:c r="R127" s="627" t="n">
        <x:v>-274.24</x:v>
      </x:c>
      <x:c r="S127" s="627" t="n">
        <x:v>-12.38</x:v>
      </x:c>
      <x:c r="T127" s="627" t="n">
        <x:v>0.04</x:v>
      </x:c>
      <x:c r="U127" s="627">
        <x:v>0</x:v>
      </x:c>
      <x:c r="V127" s="627">
        <x:v>0</x:v>
      </x:c>
      <x:c r="W127" s="627">
        <x:v>0</x:v>
      </x:c>
      <x:c r="X127" s="653">
        <x:v>0</x:v>
      </x:c>
      <x:c r="Y127" s="653">
        <x:v>0</x:v>
      </x:c>
      <x:c r="Z127" s="653" t="n">
        <x:v>-0.42</x:v>
      </x:c>
      <x:c r="BN127" s="624"/>
    </x:row>
    <x:row r="128" spans="1:66" x14ac:dyDescent="0.2">
      <x:c r="A128"/>
      <x:c r="B128"/>
      <x:c r="C128"/>
      <x:c r="D128"/>
      <x:c r="E128" s="625" t="inlineStr">
        <x:is>
          <x:t>Vlr Servicio</x:t>
        </x:is>
      </x:c>
      <x:c r="F128" s="627" t="n">
        <x:v>661355110.55</x:v>
      </x:c>
      <x:c r="G128" s="627" t="n">
        <x:v>121001900.95</x:v>
      </x:c>
      <x:c r="H128" s="627" t="n">
        <x:v>68302622.36</x:v>
      </x:c>
      <x:c r="I128" s="627" t="n">
        <x:v>36083615.55</x:v>
      </x:c>
      <x:c r="J128" s="627" t="n">
        <x:v>52633126.53</x:v>
      </x:c>
      <x:c r="K128" s="627" t="n">
        <x:v>1383826.41</x:v>
      </x:c>
      <x:c r="L128" s="627" t="n">
        <x:v>27689500</x:v>
      </x:c>
      <x:c r="M128" s="627" t="n">
        <x:v>12143895.78</x:v>
      </x:c>
      <x:c r="N128" s="627" t="n">
        <x:v>17276124.08</x:v>
      </x:c>
      <x:c r="O128" s="627" t="n">
        <x:v>82150350.08</x:v>
      </x:c>
      <x:c r="P128" s="627" t="n">
        <x:v>240422477.77</x:v>
      </x:c>
      <x:c r="Q128" s="627" t="n">
        <x:v>2268567.74</x:v>
      </x:c>
      <x:c r="R128" s="627" t="n">
        <x:v>-896.7</x:v>
      </x:c>
      <x:c r="S128" s="627" t="n">
        <x:v>0</x:v>
      </x:c>
      <x:c r="T128" s="627" t="n">
        <x:v>0</x:v>
      </x:c>
      <x:c r="U128" s="627">
        <x:v>0</x:v>
      </x:c>
      <x:c r="V128" s="627">
        <x:v>0</x:v>
      </x:c>
      <x:c r="W128" s="627">
        <x:v>0</x:v>
      </x:c>
      <x:c r="X128" s="653">
        <x:v>0</x:v>
      </x:c>
      <x:c r="Y128" s="653">
        <x:v>0</x:v>
      </x:c>
      <x:c r="Z128" s="653" t="n">
        <x:v>0</x:v>
      </x:c>
      <x:c r="BN128" s="624"/>
    </x:row>
    <x:row r="129" spans="1:66" x14ac:dyDescent="0.2">
      <x:c r="A129"/>
      <x:c r="B129"/>
      <x:c r="C129"/>
      <x:c r="D129" s="625"/>
      <x:c r="E129" s="625" t="inlineStr">
        <x:is>
          <x:t>Vlr Intereses</x:t>
        </x:is>
      </x:c>
      <x:c r="F129" s="627" t="n">
        <x:v>6600836.3</x:v>
      </x:c>
      <x:c r="G129" s="627" t="n">
        <x:v>1349445.39</x:v>
      </x:c>
      <x:c r="H129" s="627" t="n">
        <x:v>757512.17</x:v>
      </x:c>
      <x:c r="I129" s="627" t="n">
        <x:v>404376.25</x:v>
      </x:c>
      <x:c r="J129" s="627" t="n">
        <x:v>441370.36</x:v>
      </x:c>
      <x:c r="K129" s="627" t="n">
        <x:v>10958.07</x:v>
      </x:c>
      <x:c r="L129" s="627" t="n">
        <x:v>63878.54</x:v>
      </x:c>
      <x:c r="M129" s="627" t="n">
        <x:v>95989.48</x:v>
      </x:c>
      <x:c r="N129" s="627" t="n">
        <x:v>135954.56</x:v>
      </x:c>
      <x:c r="O129" s="627" t="n">
        <x:v>626871.1</x:v>
      </x:c>
      <x:c r="P129" s="627" t="n">
        <x:v>2696583.37</x:v>
      </x:c>
      <x:c r="Q129" s="627" t="n">
        <x:v>17899.55</x:v>
      </x:c>
      <x:c r="R129" s="627" t="n">
        <x:v>-2.15</x:v>
      </x:c>
      <x:c r="S129" s="627" t="n">
        <x:v>-0.39</x:v>
      </x:c>
      <x:c r="T129" s="627" t="n">
        <x:v>0</x:v>
      </x:c>
      <x:c r="U129" s="627">
        <x:v>0</x:v>
      </x:c>
      <x:c r="V129" s="627">
        <x:v>0</x:v>
      </x:c>
      <x:c r="W129" s="627">
        <x:v>0</x:v>
      </x:c>
      <x:c r="X129" s="653">
        <x:v>0</x:v>
      </x:c>
      <x:c r="Y129" s="653">
        <x:v>0</x:v>
      </x:c>
      <x:c r="Z129" s="653" t="n">
        <x:v>0</x:v>
      </x:c>
      <x:c r="BN129" s="624"/>
    </x:row>
    <x:row r="130" spans="1:66" x14ac:dyDescent="0.2">
      <x:c r="A130"/>
      <x:c r="B130"/>
      <x:c r="C130"/>
      <x:c r="D130" s="25" t="inlineStr">
        <x:is>
          <x:t>T</x:t>
        </x:is>
      </x:c>
      <x:c r="E130" s="625" t="inlineStr">
        <x:is>
          <x:t>Total</x:t>
        </x:is>
      </x:c>
      <x:c r="F130" s="627" t="n">
        <x:v>667955946.85</x:v>
      </x:c>
      <x:c r="G130" s="627" t="n">
        <x:v>122351346.34</x:v>
      </x:c>
      <x:c r="H130" s="627" t="n">
        <x:v>69060134.53</x:v>
      </x:c>
      <x:c r="I130" s="627" t="n">
        <x:v>36487991.8</x:v>
      </x:c>
      <x:c r="J130" s="627" t="n">
        <x:v>53074496.89</x:v>
      </x:c>
      <x:c r="K130" s="627" t="n">
        <x:v>1394784.48</x:v>
      </x:c>
      <x:c r="L130" s="627" t="n">
        <x:v>27753378.54</x:v>
      </x:c>
      <x:c r="M130" s="627" t="n">
        <x:v>12239885.26</x:v>
      </x:c>
      <x:c r="N130" s="627" t="n">
        <x:v>17412078.64</x:v>
      </x:c>
      <x:c r="O130" s="627" t="n">
        <x:v>82777221.18</x:v>
      </x:c>
      <x:c r="P130" s="627" t="n">
        <x:v>243119061.14</x:v>
      </x:c>
      <x:c r="Q130" s="627" t="n">
        <x:v>2286467.29</x:v>
      </x:c>
      <x:c r="R130" s="627" t="n">
        <x:v>-898.85</x:v>
      </x:c>
      <x:c r="S130" s="627" t="n">
        <x:v>-0.39</x:v>
      </x:c>
      <x:c r="T130" s="627" t="n">
        <x:v>0</x:v>
      </x:c>
      <x:c r="U130" s="627">
        <x:v>0</x:v>
      </x:c>
      <x:c r="V130" s="627">
        <x:v>0</x:v>
      </x:c>
      <x:c r="W130" s="627">
        <x:v>0</x:v>
      </x:c>
      <x:c r="X130" s="653">
        <x:v>0</x:v>
      </x:c>
      <x:c r="Y130" s="653">
        <x:v>0</x:v>
      </x:c>
      <x:c r="Z130" s="653" t="n">
        <x:v>0</x:v>
      </x:c>
      <x:c r="BN130" s="624"/>
    </x:row>
    <x:row r="131" spans="1:66" x14ac:dyDescent="0.2">
      <x:c r="A131" s="631"/>
      <x:c r="B131" s="631"/>
      <x:c r="C131" s="632" t="inlineStr">
        <x:is>
          <x:t>OCCIDENTE</x:t>
        </x:is>
      </x:c>
      <x:c r="D131" s="632" t="inlineStr">
        <x:is>
          <x:t>Total</x:t>
        </x:is>
      </x:c>
      <x:c r="E131" s="631"/>
      <x:c r="F131" s="633" t="n">
        <x:v>1331532739.24</x:v>
      </x:c>
      <x:c r="G131" s="633" t="n">
        <x:v>174141031.07</x:v>
      </x:c>
      <x:c r="H131" s="633" t="n">
        <x:v>97453442.47</x:v>
      </x:c>
      <x:c r="I131" s="633" t="n">
        <x:v>51434524.36</x:v>
      </x:c>
      <x:c r="J131" s="633" t="n">
        <x:v>200106865.12</x:v>
      </x:c>
      <x:c r="K131" s="633" t="n">
        <x:v>5460180.47</x:v>
      </x:c>
      <x:c r="L131" s="633" t="n">
        <x:v>29180991.39</x:v>
      </x:c>
      <x:c r="M131" s="633" t="n">
        <x:v>47844698.91</x:v>
      </x:c>
      <x:c r="N131" s="633" t="n">
        <x:v>66081045.37</x:v>
      </x:c>
      <x:c r="O131" s="633" t="n">
        <x:v>304321622.49</x:v>
      </x:c>
      <x:c r="P131" s="633" t="n">
        <x:v>346571768.52</x:v>
      </x:c>
      <x:c r="Q131" s="633" t="n">
        <x:v>8939928.05</x:v>
      </x:c>
      <x:c r="R131" s="633" t="n">
        <x:v>-3345.45</x:v>
      </x:c>
      <x:c r="S131" s="633" t="n">
        <x:v>-12.77</x:v>
      </x:c>
      <x:c r="T131" s="633" t="n">
        <x:v>0.04</x:v>
      </x:c>
      <x:c r="U131" s="633">
        <x:v>0</x:v>
      </x:c>
      <x:c r="V131" s="633">
        <x:v>0</x:v>
      </x:c>
      <x:c r="W131" s="633">
        <x:v>0</x:v>
      </x:c>
      <x:c r="X131" s="633">
        <x:v>0</x:v>
      </x:c>
      <x:c r="Y131" s="633">
        <x:v>0</x:v>
      </x:c>
      <x:c r="Z131" s="633" t="n">
        <x:v>-0.8</x:v>
      </x:c>
      <x:c r="AA131" s="631"/>
      <x:c r="AB131" s="631"/>
      <x:c r="AC131" s="631"/>
      <x:c r="AD131" s="631"/>
      <x:c r="AE131" s="631"/>
      <x:c r="AF131" s="631"/>
      <x:c r="AG131" s="631"/>
      <x:c r="AH131" s="631"/>
      <x:c r="AI131" s="631"/>
      <x:c r="AJ131" s="631"/>
      <x:c r="AK131" s="631"/>
      <x:c r="AL131" s="631"/>
      <x:c r="AM131" s="631"/>
      <x:c r="AN131" s="631"/>
      <x:c r="AO131" s="631"/>
      <x:c r="AP131" s="631"/>
      <x:c r="AQ131" s="631"/>
      <x:c r="AR131" s="631"/>
      <x:c r="AS131" s="631"/>
      <x:c r="AT131" s="631"/>
      <x:c r="AU131" s="631"/>
      <x:c r="AV131" s="631"/>
      <x:c r="AW131" s="631"/>
      <x:c r="AX131" s="631"/>
      <x:c r="AY131" s="631"/>
      <x:c r="AZ131" s="631"/>
      <x:c r="BA131" s="631"/>
      <x:c r="BB131" s="631"/>
      <x:c r="BC131" s="631"/>
      <x:c r="BD131" s="631"/>
      <x:c r="BE131" s="631"/>
      <x:c r="BF131" s="631"/>
      <x:c r="BG131" s="631"/>
      <x:c r="BH131" s="631"/>
      <x:c r="BI131" s="631"/>
      <x:c r="BJ131" s="631"/>
      <x:c r="BK131" s="631"/>
      <x:c r="BL131" s="631"/>
      <x:c r="BM131" s="631"/>
      <x:c r="BN131" s="624"/>
    </x:row>
    <x:row r="132" spans="1:66" x14ac:dyDescent="0.2">
      <x:c r="A132" s="638"/>
      <x:c r="B132" s="639" t="inlineStr">
        <x:is>
          <x:t>Mes</x:t>
        </x:is>
      </x:c>
      <x:c r="C132" s="639" t="inlineStr">
        <x:is>
          <x:t>Total</x:t>
        </x:is>
      </x:c>
      <x:c r="D132" s="638"/>
      <x:c r="E132" s="638"/>
      <x:c r="F132" s="640" t="n">
        <x:v>25411656495.76</x:v>
      </x:c>
      <x:c r="G132" s="640" t="n">
        <x:v>1575163852.57</x:v>
      </x:c>
      <x:c r="H132" s="640" t="n">
        <x:v>883359566.12</x:v>
      </x:c>
      <x:c r="I132" s="640" t="n">
        <x:v>463664201.3</x:v>
      </x:c>
      <x:c r="J132" s="640" t="n">
        <x:v>5771019776.85</x:v>
      </x:c>
      <x:c r="K132" s="640" t="n">
        <x:v>221091165.91</x:v>
      </x:c>
      <x:c r="L132" s="640" t="n">
        <x:v>53454221.28</x:v>
      </x:c>
      <x:c r="M132" s="640" t="n">
        <x:v>1937665740.24</x:v>
      </x:c>
      <x:c r="N132" s="640" t="n">
        <x:v>1932446003.37</x:v>
      </x:c>
      <x:c r="O132" s="640" t="n">
        <x:v>9106226356.12</x:v>
      </x:c>
      <x:c r="P132" s="640" t="n">
        <x:v>3106209538.75</x:v>
      </x:c>
      <x:c r="Q132" s="640" t="n">
        <x:v>361269505.43</x:v>
      </x:c>
      <x:c r="R132" s="640" t="n">
        <x:v>86691.03</x:v>
      </x:c>
      <x:c r="S132" s="640" t="n">
        <x:v>-83.63</x:v>
      </x:c>
      <x:c r="T132" s="640" t="n">
        <x:v>4.18</x:v>
      </x:c>
      <x:c r="U132" s="640">
        <x:v>0</x:v>
      </x:c>
      <x:c r="V132" s="640">
        <x:v>0</x:v>
      </x:c>
      <x:c r="W132" s="640">
        <x:v>0</x:v>
      </x:c>
      <x:c r="X132" s="640">
        <x:v>0</x:v>
      </x:c>
      <x:c r="Y132" s="640">
        <x:v>0</x:v>
      </x:c>
      <x:c r="Z132" s="640" t="n">
        <x:v>-43.76</x:v>
      </x:c>
      <x:c r="AA132" s="638"/>
      <x:c r="AB132" s="638"/>
      <x:c r="AC132" s="638"/>
      <x:c r="AD132" s="638"/>
      <x:c r="AE132" s="638"/>
      <x:c r="AF132" s="638"/>
      <x:c r="AG132" s="638"/>
      <x:c r="AH132" s="638"/>
      <x:c r="AI132" s="638"/>
      <x:c r="AJ132" s="638"/>
      <x:c r="AK132" s="638"/>
      <x:c r="AL132" s="638"/>
      <x:c r="AM132" s="638"/>
      <x:c r="AN132" s="638"/>
      <x:c r="AO132" s="638"/>
      <x:c r="AP132" s="638"/>
      <x:c r="AQ132" s="638"/>
      <x:c r="AR132" s="638"/>
      <x:c r="AS132" s="638"/>
      <x:c r="AT132" s="638"/>
      <x:c r="AU132" s="638"/>
      <x:c r="AV132" s="638"/>
      <x:c r="AW132" s="638"/>
      <x:c r="AX132" s="638"/>
      <x:c r="AY132" s="638"/>
      <x:c r="AZ132" s="638"/>
      <x:c r="BA132" s="638"/>
      <x:c r="BB132" s="638"/>
      <x:c r="BC132" s="638"/>
      <x:c r="BD132" s="638"/>
      <x:c r="BE132" s="638"/>
      <x:c r="BF132" s="638"/>
      <x:c r="BG132" s="638"/>
      <x:c r="BH132" s="638"/>
      <x:c r="BI132" s="638"/>
      <x:c r="BJ132" s="638"/>
      <x:c r="BK132" s="638"/>
      <x:c r="BL132" s="638"/>
      <x:c r="BM132" s="638"/>
      <x:c r="BN132" s="624"/>
    </x:row>
    <x:row r="133" spans="1:66" x14ac:dyDescent="0.2">
      <x:c r="A133" s="25" t="inlineStr">
        <x:is>
          <x:t>Componente</x:t>
        </x:is>
      </x:c>
      <x:c r="B133" s="625" t="inlineStr">
        <x:is>
          <x:t>Total</x:t>
        </x:is>
      </x:c>
      <x:c r="C133" s="625"/>
      <x:c r="D133"/>
      <x:c r="E133"/>
      <x:c r="F133" s="627" t="n">
        <x:v>25442049927.39</x:v>
      </x:c>
      <x:c r="G133" s="627" t="n">
        <x:v>1582872787.47</x:v>
      </x:c>
      <x:c r="H133" s="627" t="n">
        <x:v>887717779.17</x:v>
      </x:c>
      <x:c r="I133" s="627" t="n">
        <x:v>465974337.01</x:v>
      </x:c>
      <x:c r="J133" s="627" t="n">
        <x:v>5771193704.23</x:v>
      </x:c>
      <x:c r="K133" s="627" t="n">
        <x:v>221096477</x:v>
      </x:c>
      <x:c r="L133" s="627" t="n">
        <x:v>53454221.28</x:v>
      </x:c>
      <x:c r="M133" s="627" t="n">
        <x:v>1937712328.67</x:v>
      </x:c>
      <x:c r="N133" s="627" t="n">
        <x:v>1932499941.43</x:v>
      </x:c>
      <x:c r="O133" s="627" t="n">
        <x:v>9106477787.64</x:v>
      </x:c>
      <x:c r="P133" s="627" t="n">
        <x:v>3121685825.2</x:v>
      </x:c>
      <x:c r="Q133" s="627" t="n">
        <x:v>361278170.88</x:v>
      </x:c>
      <x:c r="R133" s="627" t="n">
        <x:v>86690.62</x:v>
      </x:c>
      <x:c r="S133" s="627" t="n">
        <x:v>-83.63</x:v>
      </x:c>
      <x:c r="T133" s="627" t="n">
        <x:v>4.18</x:v>
      </x:c>
      <x:c r="U133" s="627">
        <x:v>0</x:v>
      </x:c>
      <x:c r="V133" s="627">
        <x:v>0</x:v>
      </x:c>
      <x:c r="W133" s="627">
        <x:v>0</x:v>
      </x:c>
      <x:c r="X133" s="653">
        <x:v>0</x:v>
      </x:c>
      <x:c r="Y133" s="653">
        <x:v>0</x:v>
      </x:c>
      <x:c r="Z133" s="653" t="n">
        <x:v>-43.76</x:v>
      </x:c>
      <x:c r="BN133" s="624"/>
    </x:row>
    <x:row r="134" spans="1:66" x14ac:dyDescent="0.2">
      <x:c r="A134"/>
      <x:c r="B134" s="625"/>
      <x:c r="C134" s="625"/>
      <x:c r="D134"/>
      <x:c r="E134" s="25" t="inlineStr">
        <x:is>
          <x:t>Subsidio(-)/Contribucion(+)</x:t>
        </x:is>
      </x:c>
      <x:c r="F134" s="627" t="n">
        <x:v>25934600.63</x:v>
      </x:c>
      <x:c r="G134" s="627" t="n">
        <x:v>6682708.85</x:v>
      </x:c>
      <x:c r="H134" s="627" t="n">
        <x:v>3777829.13</x:v>
      </x:c>
      <x:c r="I134" s="627" t="n">
        <x:v>2001663.41</x:v>
      </x:c>
      <x:c r="J134" s="627" t="n">
        <x:v>21059.44</x:v>
      </x:c>
      <x:c r="K134" s="627" t="n">
        <x:v>388.78</x:v>
      </x:c>
      <x:c r="L134" s="627" t="n">
        <x:v>0</x:v>
      </x:c>
      <x:c r="M134" s="627" t="n">
        <x:v>3410.32</x:v>
      </x:c>
      <x:c r="N134" s="627" t="n">
        <x:v>6455.7</x:v>
      </x:c>
      <x:c r="O134" s="627" t="n">
        <x:v>30601.34</x:v>
      </x:c>
      <x:c r="P134" s="627" t="n">
        <x:v>13409849.35</x:v>
      </x:c>
      <x:c r="Q134" s="627" t="n">
        <x:v>634.31</x:v>
      </x:c>
      <x:c r="R134" s="627" t="n">
        <x:v>0</x:v>
      </x:c>
      <x:c r="S134" s="627" t="n">
        <x:v>0</x:v>
      </x:c>
      <x:c r="T134" s="627" t="n">
        <x:v>0</x:v>
      </x:c>
      <x:c r="U134" s="627">
        <x:v>0</x:v>
      </x:c>
      <x:c r="V134" s="627">
        <x:v>0</x:v>
      </x:c>
      <x:c r="W134" s="627">
        <x:v>0</x:v>
      </x:c>
      <x:c r="X134" s="653">
        <x:v>0</x:v>
      </x:c>
      <x:c r="Y134" s="653">
        <x:v>0</x:v>
      </x:c>
      <x:c r="Z134" s="653" t="n">
        <x:v>0</x:v>
      </x:c>
      <x:c r="BN134" s="624"/>
    </x:row>
    <x:row r="135" spans="1:66" x14ac:dyDescent="0.2">
      <x:c r="A135"/>
      <x:c r="B135" s="625"/>
      <x:c r="C135" s="625"/>
      <x:c r="D135" s="25" t="inlineStr">
        <x:is>
          <x:t>E</x:t>
        </x:is>
      </x:c>
      <x:c r="E135" s="25" t="inlineStr">
        <x:is>
          <x:t>Total</x:t>
        </x:is>
      </x:c>
      <x:c r="F135" s="627" t="n">
        <x:v>25934600.63</x:v>
      </x:c>
      <x:c r="G135" s="627" t="n">
        <x:v>6682708.85</x:v>
      </x:c>
      <x:c r="H135" s="627" t="n">
        <x:v>3777829.13</x:v>
      </x:c>
      <x:c r="I135" s="627" t="n">
        <x:v>2001663.41</x:v>
      </x:c>
      <x:c r="J135" s="627" t="n">
        <x:v>21059.44</x:v>
      </x:c>
      <x:c r="K135" s="627" t="n">
        <x:v>388.78</x:v>
      </x:c>
      <x:c r="L135" s="627" t="n">
        <x:v>0</x:v>
      </x:c>
      <x:c r="M135" s="627" t="n">
        <x:v>3410.32</x:v>
      </x:c>
      <x:c r="N135" s="627" t="n">
        <x:v>6455.7</x:v>
      </x:c>
      <x:c r="O135" s="627" t="n">
        <x:v>30601.34</x:v>
      </x:c>
      <x:c r="P135" s="627" t="n">
        <x:v>13409849.35</x:v>
      </x:c>
      <x:c r="Q135" s="627" t="n">
        <x:v>634.31</x:v>
      </x:c>
      <x:c r="R135" s="627" t="n">
        <x:v>0</x:v>
      </x:c>
      <x:c r="S135" s="627" t="n">
        <x:v>0</x:v>
      </x:c>
      <x:c r="T135" s="627" t="n">
        <x:v>0</x:v>
      </x:c>
      <x:c r="U135" s="627">
        <x:v>0</x:v>
      </x:c>
      <x:c r="V135" s="627">
        <x:v>0</x:v>
      </x:c>
      <x:c r="W135" s="627">
        <x:v>0</x:v>
      </x:c>
      <x:c r="X135" s="653">
        <x:v>0</x:v>
      </x:c>
      <x:c r="Y135" s="653">
        <x:v>0</x:v>
      </x:c>
      <x:c r="Z135" s="653" t="n">
        <x:v>0</x:v>
      </x:c>
      <x:c r="BN135" s="624"/>
    </x:row>
    <x:row r="136" spans="1:66" x14ac:dyDescent="0.2">
      <x:c r="A136" s="628"/>
      <x:c r="B136" s="628"/>
      <x:c r="C136" s="628" t="inlineStr">
        <x:is>
          <x:t>ENEL</x:t>
        </x:is>
      </x:c>
      <x:c r="D136" s="628" t="inlineStr">
        <x:is>
          <x:t>Total</x:t>
        </x:is>
      </x:c>
      <x:c r="E136" s="629"/>
      <x:c r="F136" s="630" t="n">
        <x:v>25934600.63</x:v>
      </x:c>
      <x:c r="G136" s="630" t="n">
        <x:v>6682708.85</x:v>
      </x:c>
      <x:c r="H136" s="630" t="n">
        <x:v>3777829.13</x:v>
      </x:c>
      <x:c r="I136" s="630" t="n">
        <x:v>2001663.41</x:v>
      </x:c>
      <x:c r="J136" s="630" t="n">
        <x:v>21059.44</x:v>
      </x:c>
      <x:c r="K136" s="630" t="n">
        <x:v>388.78</x:v>
      </x:c>
      <x:c r="L136" s="630" t="n">
        <x:v>0</x:v>
      </x:c>
      <x:c r="M136" s="630" t="n">
        <x:v>3410.32</x:v>
      </x:c>
      <x:c r="N136" s="630" t="n">
        <x:v>6455.7</x:v>
      </x:c>
      <x:c r="O136" s="630" t="n">
        <x:v>30601.34</x:v>
      </x:c>
      <x:c r="P136" s="630" t="n">
        <x:v>13409849.35</x:v>
      </x:c>
      <x:c r="Q136" s="630" t="n">
        <x:v>634.31</x:v>
      </x:c>
      <x:c r="R136" s="630" t="n">
        <x:v>0</x:v>
      </x:c>
      <x:c r="S136" s="630" t="n">
        <x:v>0</x:v>
      </x:c>
      <x:c r="T136" s="630" t="n">
        <x:v>0</x:v>
      </x:c>
      <x:c r="U136" s="630">
        <x:v>0</x:v>
      </x:c>
      <x:c r="V136" s="630">
        <x:v>0</x:v>
      </x:c>
      <x:c r="W136" s="630">
        <x:v>0</x:v>
      </x:c>
      <x:c r="X136" s="630">
        <x:v>0</x:v>
      </x:c>
      <x:c r="Y136" s="630">
        <x:v>0</x:v>
      </x:c>
      <x:c r="Z136" s="630" t="n">
        <x:v>0</x:v>
      </x:c>
      <x:c r="AA136" s="628"/>
      <x:c r="AB136" s="628"/>
      <x:c r="AC136" s="628"/>
      <x:c r="AD136" s="628"/>
      <x:c r="AE136" s="628"/>
      <x:c r="AF136" s="628"/>
      <x:c r="AG136" s="628"/>
      <x:c r="AH136" s="628"/>
      <x:c r="AI136" s="628"/>
      <x:c r="AJ136" s="628"/>
      <x:c r="AK136" s="628"/>
      <x:c r="AL136" s="628"/>
      <x:c r="AM136" s="628"/>
      <x:c r="AN136" s="628"/>
      <x:c r="AO136" s="628"/>
      <x:c r="AP136" s="628"/>
      <x:c r="AQ136" s="628"/>
      <x:c r="AR136" s="628"/>
      <x:c r="AS136" s="628"/>
      <x:c r="AT136" s="628"/>
      <x:c r="AU136" s="628"/>
      <x:c r="AV136" s="628"/>
      <x:c r="AW136" s="628"/>
      <x:c r="AX136" s="628"/>
      <x:c r="AY136" s="628"/>
      <x:c r="AZ136" s="628"/>
      <x:c r="BA136" s="628"/>
      <x:c r="BB136" s="628"/>
      <x:c r="BC136" s="628"/>
      <x:c r="BD136" s="628"/>
      <x:c r="BE136" s="628"/>
      <x:c r="BF136" s="628"/>
      <x:c r="BG136" s="628"/>
      <x:c r="BH136" s="628"/>
      <x:c r="BI136" s="628"/>
      <x:c r="BJ136" s="628"/>
      <x:c r="BK136" s="628"/>
      <x:c r="BL136" s="628"/>
      <x:c r="BM136" s="628"/>
      <x:c r="BN136" s="624"/>
    </x:row>
    <x:row r="137" spans="1:66" x14ac:dyDescent="0.2">
      <x:c r="A137"/>
      <x:c r="B137" s="625"/>
      <x:c r="C137" s="625"/>
      <x:c r="D137"/>
      <x:c r="E137" s="25" t="inlineStr">
        <x:is>
          <x:t>Subsidio(-)/Contribucion(+)</x:t>
        </x:is>
      </x:c>
      <x:c r="F137" s="627" t="n">
        <x:v>-128977.37</x:v>
      </x:c>
      <x:c r="G137" s="627" t="n">
        <x:v>-6033.92</x:v>
      </x:c>
      <x:c r="H137" s="627" t="n">
        <x:v>-3410.66</x:v>
      </x:c>
      <x:c r="I137" s="627" t="n">
        <x:v>-1805.06</x:v>
      </x:c>
      <x:c r="J137" s="627" t="n">
        <x:v>-34653.02</x:v>
      </x:c>
      <x:c r="K137" s="627" t="n">
        <x:v>-1065.44</x:v>
      </x:c>
      <x:c r="L137" s="627" t="n">
        <x:v>0</x:v>
      </x:c>
      <x:c r="M137" s="627" t="n">
        <x:v>-9345.88</x:v>
      </x:c>
      <x:c r="N137" s="627" t="n">
        <x:v>-10375.78</x:v>
      </x:c>
      <x:c r="O137" s="627" t="n">
        <x:v>-48453.07</x:v>
      </x:c>
      <x:c r="P137" s="627" t="n">
        <x:v>-12096.2</x:v>
      </x:c>
      <x:c r="Q137" s="627" t="n">
        <x:v>-1738.34</x:v>
      </x:c>
      <x:c r="R137" s="627" t="n">
        <x:v>0</x:v>
      </x:c>
      <x:c r="S137" s="627" t="n">
        <x:v>0</x:v>
      </x:c>
      <x:c r="T137" s="627" t="n">
        <x:v>0</x:v>
      </x:c>
      <x:c r="U137" s="627">
        <x:v>0</x:v>
      </x:c>
      <x:c r="V137" s="627">
        <x:v>0</x:v>
      </x:c>
      <x:c r="W137" s="627">
        <x:v>0</x:v>
      </x:c>
      <x:c r="X137" s="653">
        <x:v>0</x:v>
      </x:c>
      <x:c r="Y137" s="653">
        <x:v>0</x:v>
      </x:c>
      <x:c r="Z137" s="653" t="n">
        <x:v>0</x:v>
      </x:c>
      <x:c r="BN137" s="624"/>
    </x:row>
    <x:row r="138" spans="1:66" x14ac:dyDescent="0.2">
      <x:c r="A138"/>
      <x:c r="B138" s="625"/>
      <x:c r="C138" s="625"/>
      <x:c r="D138" s="25" t="inlineStr">
        <x:is>
          <x:t>O</x:t>
        </x:is>
      </x:c>
      <x:c r="E138" s="25" t="inlineStr">
        <x:is>
          <x:t>Total</x:t>
        </x:is>
      </x:c>
      <x:c r="F138" s="627" t="n">
        <x:v>-128977.37</x:v>
      </x:c>
      <x:c r="G138" s="627" t="n">
        <x:v>-6033.92</x:v>
      </x:c>
      <x:c r="H138" s="627" t="n">
        <x:v>-3410.66</x:v>
      </x:c>
      <x:c r="I138" s="627" t="n">
        <x:v>-1805.06</x:v>
      </x:c>
      <x:c r="J138" s="627" t="n">
        <x:v>-34653.02</x:v>
      </x:c>
      <x:c r="K138" s="627" t="n">
        <x:v>-1065.44</x:v>
      </x:c>
      <x:c r="L138" s="627" t="n">
        <x:v>0</x:v>
      </x:c>
      <x:c r="M138" s="627" t="n">
        <x:v>-9345.88</x:v>
      </x:c>
      <x:c r="N138" s="627" t="n">
        <x:v>-10375.78</x:v>
      </x:c>
      <x:c r="O138" s="627" t="n">
        <x:v>-48453.07</x:v>
      </x:c>
      <x:c r="P138" s="627" t="n">
        <x:v>-12096.2</x:v>
      </x:c>
      <x:c r="Q138" s="627" t="n">
        <x:v>-1738.34</x:v>
      </x:c>
      <x:c r="R138" s="627" t="n">
        <x:v>0</x:v>
      </x:c>
      <x:c r="S138" s="627" t="n">
        <x:v>0</x:v>
      </x:c>
      <x:c r="T138" s="627" t="n">
        <x:v>0</x:v>
      </x:c>
      <x:c r="U138" s="627">
        <x:v>0</x:v>
      </x:c>
      <x:c r="V138" s="627">
        <x:v>0</x:v>
      </x:c>
      <x:c r="W138" s="627">
        <x:v>0</x:v>
      </x:c>
      <x:c r="X138" s="653">
        <x:v>0</x:v>
      </x:c>
      <x:c r="Y138" s="653">
        <x:v>0</x:v>
      </x:c>
      <x:c r="Z138" s="653" t="n">
        <x:v>0</x:v>
      </x:c>
      <x:c r="BN138" s="624"/>
    </x:row>
    <x:row r="139" spans="1:66" x14ac:dyDescent="0.2">
      <x:c r="A139"/>
      <x:c r="B139" s="625"/>
      <x:c r="C139" s="625"/>
      <x:c r="D139"/>
      <x:c r="E139" s="25" t="inlineStr">
        <x:is>
          <x:t>Subsidio(-)/Contribucion(+)</x:t>
        </x:is>
      </x:c>
      <x:c r="F139" s="627" t="n">
        <x:v>-8984.89</x:v>
      </x:c>
      <x:c r="G139" s="627" t="n">
        <x:v>-469.66</x:v>
      </x:c>
      <x:c r="H139" s="627" t="n">
        <x:v>-266.35</x:v>
      </x:c>
      <x:c r="I139" s="627" t="n">
        <x:v>-144.42</x:v>
      </x:c>
      <x:c r="J139" s="627" t="n">
        <x:v>-2366.48</x:v>
      </x:c>
      <x:c r="K139" s="627" t="n">
        <x:v>-56.96</x:v>
      </x:c>
      <x:c r="L139" s="627" t="n">
        <x:v>0</x:v>
      </x:c>
      <x:c r="M139" s="627" t="n">
        <x:v>-499.71</x:v>
      </x:c>
      <x:c r="N139" s="627" t="n">
        <x:v>-736.71</x:v>
      </x:c>
      <x:c r="O139" s="627" t="n">
        <x:v>-3405.27</x:v>
      </x:c>
      <x:c r="P139" s="627" t="n">
        <x:v>-946.38</x:v>
      </x:c>
      <x:c r="Q139" s="627" t="n">
        <x:v>-92.95</x:v>
      </x:c>
      <x:c r="R139" s="627" t="n">
        <x:v>0</x:v>
      </x:c>
      <x:c r="S139" s="627" t="n">
        <x:v>0</x:v>
      </x:c>
      <x:c r="T139" s="627" t="n">
        <x:v>0</x:v>
      </x:c>
      <x:c r="U139" s="627">
        <x:v>0</x:v>
      </x:c>
      <x:c r="V139" s="627">
        <x:v>0</x:v>
      </x:c>
      <x:c r="W139" s="627">
        <x:v>0</x:v>
      </x:c>
      <x:c r="X139" s="653">
        <x:v>0</x:v>
      </x:c>
      <x:c r="Y139" s="653">
        <x:v>0</x:v>
      </x:c>
      <x:c r="Z139" s="653" t="n">
        <x:v>0</x:v>
      </x:c>
      <x:c r="BN139" s="624"/>
    </x:row>
    <x:row r="140" spans="1:66" x14ac:dyDescent="0.2">
      <x:c r="A140"/>
      <x:c r="B140" s="625"/>
      <x:c r="C140" s="625"/>
      <x:c r="D140" s="25" t="inlineStr">
        <x:is>
          <x:t>T</x:t>
        </x:is>
      </x:c>
      <x:c r="E140" s="25" t="inlineStr">
        <x:is>
          <x:t>Total</x:t>
        </x:is>
      </x:c>
      <x:c r="F140" s="627" t="n">
        <x:v>-8984.89</x:v>
      </x:c>
      <x:c r="G140" s="627" t="n">
        <x:v>-469.66</x:v>
      </x:c>
      <x:c r="H140" s="627" t="n">
        <x:v>-266.35</x:v>
      </x:c>
      <x:c r="I140" s="627" t="n">
        <x:v>-144.42</x:v>
      </x:c>
      <x:c r="J140" s="627" t="n">
        <x:v>-2366.48</x:v>
      </x:c>
      <x:c r="K140" s="627" t="n">
        <x:v>-56.96</x:v>
      </x:c>
      <x:c r="L140" s="627" t="n">
        <x:v>0</x:v>
      </x:c>
      <x:c r="M140" s="627" t="n">
        <x:v>-499.71</x:v>
      </x:c>
      <x:c r="N140" s="627" t="n">
        <x:v>-736.71</x:v>
      </x:c>
      <x:c r="O140" s="627" t="n">
        <x:v>-3405.27</x:v>
      </x:c>
      <x:c r="P140" s="627" t="n">
        <x:v>-946.38</x:v>
      </x:c>
      <x:c r="Q140" s="627" t="n">
        <x:v>-92.95</x:v>
      </x:c>
      <x:c r="R140" s="627" t="n">
        <x:v>0</x:v>
      </x:c>
      <x:c r="S140" s="627" t="n">
        <x:v>0</x:v>
      </x:c>
      <x:c r="T140" s="627" t="n">
        <x:v>0</x:v>
      </x:c>
      <x:c r="U140" s="627">
        <x:v>0</x:v>
      </x:c>
      <x:c r="V140" s="627">
        <x:v>0</x:v>
      </x:c>
      <x:c r="W140" s="627">
        <x:v>0</x:v>
      </x:c>
      <x:c r="X140" s="653">
        <x:v>0</x:v>
      </x:c>
      <x:c r="Y140" s="653">
        <x:v>0</x:v>
      </x:c>
      <x:c r="Z140" s="653" t="n">
        <x:v>0</x:v>
      </x:c>
      <x:c r="BN140" s="624"/>
    </x:row>
    <x:row r="141" spans="1:66" x14ac:dyDescent="0.2">
      <x:c r="A141" s="631"/>
      <x:c r="B141" s="631"/>
      <x:c r="C141" s="632" t="inlineStr">
        <x:is>
          <x:t>OCCIDENTE</x:t>
        </x:is>
      </x:c>
      <x:c r="D141" s="632" t="inlineStr">
        <x:is>
          <x:t>Total</x:t>
        </x:is>
      </x:c>
      <x:c r="E141" s="631"/>
      <x:c r="F141" s="633" t="n">
        <x:v>-137962.26</x:v>
      </x:c>
      <x:c r="G141" s="633" t="n">
        <x:v>-6503.58</x:v>
      </x:c>
      <x:c r="H141" s="633" t="n">
        <x:v>-3677.01</x:v>
      </x:c>
      <x:c r="I141" s="633" t="n">
        <x:v>-1949.48</x:v>
      </x:c>
      <x:c r="J141" s="633" t="n">
        <x:v>-37019.5</x:v>
      </x:c>
      <x:c r="K141" s="633" t="n">
        <x:v>-1122.4</x:v>
      </x:c>
      <x:c r="L141" s="633" t="n">
        <x:v>0</x:v>
      </x:c>
      <x:c r="M141" s="633" t="n">
        <x:v>-9845.59</x:v>
      </x:c>
      <x:c r="N141" s="633" t="n">
        <x:v>-11112.49</x:v>
      </x:c>
      <x:c r="O141" s="633" t="n">
        <x:v>-51858.34</x:v>
      </x:c>
      <x:c r="P141" s="633" t="n">
        <x:v>-13042.58</x:v>
      </x:c>
      <x:c r="Q141" s="633" t="n">
        <x:v>-1831.29</x:v>
      </x:c>
      <x:c r="R141" s="633" t="n">
        <x:v>0</x:v>
      </x:c>
      <x:c r="S141" s="633" t="n">
        <x:v>0</x:v>
      </x:c>
      <x:c r="T141" s="633" t="n">
        <x:v>0</x:v>
      </x:c>
      <x:c r="U141" s="633">
        <x:v>0</x:v>
      </x:c>
      <x:c r="V141" s="633">
        <x:v>0</x:v>
      </x:c>
      <x:c r="W141" s="633">
        <x:v>0</x:v>
      </x:c>
      <x:c r="X141" s="633">
        <x:v>0</x:v>
      </x:c>
      <x:c r="Y141" s="633">
        <x:v>0</x:v>
      </x:c>
      <x:c r="Z141" s="633" t="n">
        <x:v>0</x:v>
      </x:c>
      <x:c r="AA141" s="631"/>
      <x:c r="AB141" s="631"/>
      <x:c r="AC141" s="631"/>
      <x:c r="AD141" s="631"/>
      <x:c r="AE141" s="631"/>
      <x:c r="AF141" s="631"/>
      <x:c r="AG141" s="631"/>
      <x:c r="AH141" s="631"/>
      <x:c r="AI141" s="631"/>
      <x:c r="AJ141" s="631"/>
      <x:c r="AK141" s="631"/>
      <x:c r="AL141" s="631"/>
      <x:c r="AM141" s="631"/>
      <x:c r="AN141" s="631"/>
      <x:c r="AO141" s="631"/>
      <x:c r="AP141" s="631"/>
      <x:c r="AQ141" s="631"/>
      <x:c r="AR141" s="631"/>
      <x:c r="AS141" s="631"/>
      <x:c r="AT141" s="631"/>
      <x:c r="AU141" s="631"/>
      <x:c r="AV141" s="631"/>
      <x:c r="AW141" s="631"/>
      <x:c r="AX141" s="631"/>
      <x:c r="AY141" s="631"/>
      <x:c r="AZ141" s="631"/>
      <x:c r="BA141" s="631"/>
      <x:c r="BB141" s="631"/>
      <x:c r="BC141" s="631"/>
      <x:c r="BD141" s="631"/>
      <x:c r="BE141" s="631"/>
      <x:c r="BF141" s="631"/>
      <x:c r="BG141" s="631"/>
      <x:c r="BH141" s="631"/>
      <x:c r="BI141" s="631"/>
      <x:c r="BJ141" s="631"/>
      <x:c r="BK141" s="631"/>
      <x:c r="BL141" s="631"/>
      <x:c r="BM141" s="631"/>
      <x:c r="BN141" s="624"/>
    </x:row>
    <x:row r="142" spans="1:66" x14ac:dyDescent="0.2">
      <x:c r="A142" s="635"/>
      <x:c r="B142" s="635" t="inlineStr">
        <x:is>
          <x:t>Aplicacion nuevos x reversion</x:t>
        </x:is>
      </x:c>
      <x:c r="C142" s="635" t="inlineStr">
        <x:is>
          <x:t>Total</x:t>
        </x:is>
      </x:c>
      <x:c r="D142" s="635"/>
      <x:c r="E142" s="636"/>
      <x:c r="F142" s="637" t="n">
        <x:v>25796638.37</x:v>
      </x:c>
      <x:c r="G142" s="637" t="n">
        <x:v>6676205.27</x:v>
      </x:c>
      <x:c r="H142" s="637" t="n">
        <x:v>3774152.12</x:v>
      </x:c>
      <x:c r="I142" s="637" t="n">
        <x:v>1999713.93</x:v>
      </x:c>
      <x:c r="J142" s="637" t="n">
        <x:v>-15960.06</x:v>
      </x:c>
      <x:c r="K142" s="637" t="n">
        <x:v>-733.62</x:v>
      </x:c>
      <x:c r="L142" s="637" t="n">
        <x:v>0</x:v>
      </x:c>
      <x:c r="M142" s="637" t="n">
        <x:v>-6435.27</x:v>
      </x:c>
      <x:c r="N142" s="637" t="n">
        <x:v>-4656.79</x:v>
      </x:c>
      <x:c r="O142" s="637" t="n">
        <x:v>-21257</x:v>
      </x:c>
      <x:c r="P142" s="637" t="n">
        <x:v>13396806.77</x:v>
      </x:c>
      <x:c r="Q142" s="637" t="n">
        <x:v>-1196.98</x:v>
      </x:c>
      <x:c r="R142" s="637" t="n">
        <x:v>0</x:v>
      </x:c>
      <x:c r="S142" s="637" t="n">
        <x:v>0</x:v>
      </x:c>
      <x:c r="T142" s="637" t="n">
        <x:v>0</x:v>
      </x:c>
      <x:c r="U142" s="637">
        <x:v>0</x:v>
      </x:c>
      <x:c r="V142" s="637">
        <x:v>0</x:v>
      </x:c>
      <x:c r="W142" s="637">
        <x:v>0</x:v>
      </x:c>
      <x:c r="X142" s="637">
        <x:v>0</x:v>
      </x:c>
      <x:c r="Y142" s="637">
        <x:v>0</x:v>
      </x:c>
      <x:c r="Z142" s="637" t="n">
        <x:v>0</x:v>
      </x:c>
      <x:c r="AA142" s="635"/>
      <x:c r="AB142" s="635"/>
      <x:c r="AC142" s="635"/>
      <x:c r="AD142" s="635"/>
      <x:c r="AE142" s="635"/>
      <x:c r="AF142" s="635"/>
      <x:c r="AG142" s="635"/>
      <x:c r="AH142" s="635"/>
      <x:c r="AI142" s="635"/>
      <x:c r="AJ142" s="635"/>
      <x:c r="AK142" s="635"/>
      <x:c r="AL142" s="635"/>
      <x:c r="AM142" s="635"/>
      <x:c r="AN142" s="635"/>
      <x:c r="AO142" s="635"/>
      <x:c r="AP142" s="635"/>
      <x:c r="AQ142" s="635"/>
      <x:c r="AR142" s="635"/>
      <x:c r="AS142" s="635"/>
      <x:c r="AT142" s="635"/>
      <x:c r="AU142" s="635"/>
      <x:c r="AV142" s="635"/>
      <x:c r="AW142" s="635"/>
      <x:c r="AX142" s="635"/>
      <x:c r="AY142" s="635"/>
      <x:c r="AZ142" s="635"/>
      <x:c r="BA142" s="635"/>
      <x:c r="BB142" s="635"/>
      <x:c r="BC142" s="635"/>
      <x:c r="BD142" s="635"/>
      <x:c r="BE142" s="635"/>
      <x:c r="BF142" s="635"/>
      <x:c r="BG142" s="635"/>
      <x:c r="BH142" s="635"/>
      <x:c r="BI142" s="635"/>
      <x:c r="BJ142" s="635"/>
      <x:c r="BK142" s="635"/>
      <x:c r="BL142" s="635"/>
      <x:c r="BM142" s="635"/>
      <x:c r="BN142" s="624"/>
    </x:row>
    <x:row r="143" spans="1:66" x14ac:dyDescent="0.2">
      <x:c r="A143"/>
      <x:c r="B143"/>
      <x:c r="C143"/>
      <x:c r="D143"/>
      <x:c r="E143" s="625" t="inlineStr">
        <x:is>
          <x:t>Subsidio(-)/Contribucion(+)</x:t>
        </x:is>
      </x:c>
      <x:c r="F143" s="627" t="n">
        <x:v>-5016640264.67</x:v>
      </x:c>
      <x:c r="G143" s="627" t="n">
        <x:v>-120615699.15</x:v>
      </x:c>
      <x:c r="H143" s="627" t="n">
        <x:v>-67567315.69</x:v>
      </x:c>
      <x:c r="I143" s="627" t="n">
        <x:v>-35149668.94</x:v>
      </x:c>
      <x:c r="J143" s="627" t="n">
        <x:v>-1363592731.79</x:v>
      </x:c>
      <x:c r="K143" s="627" t="n">
        <x:v>-52548443.06</x:v>
      </x:c>
      <x:c r="L143" s="627" t="n">
        <x:v>0</x:v>
      </x:c>
      <x:c r="M143" s="627" t="n">
        <x:v>-460998533.55</x:v>
      </x:c>
      <x:c r="N143" s="627" t="n">
        <x:v>-454669135.03</x:v>
      </x:c>
      <x:c r="O143" s="627" t="n">
        <x:v>-2143895846.29</x:v>
      </x:c>
      <x:c r="P143" s="627" t="n">
        <x:v>-231862522.76</x:v>
      </x:c>
      <x:c r="Q143" s="627" t="n">
        <x:v>-85740368.41</x:v>
      </x:c>
      <x:c r="R143" s="627" t="n">
        <x:v>0</x:v>
      </x:c>
      <x:c r="S143" s="627" t="n">
        <x:v>0</x:v>
      </x:c>
      <x:c r="T143" s="627" t="n">
        <x:v>0</x:v>
      </x:c>
      <x:c r="U143" s="627">
        <x:v>0</x:v>
      </x:c>
      <x:c r="V143" s="627">
        <x:v>0</x:v>
      </x:c>
      <x:c r="W143" s="627">
        <x:v>0</x:v>
      </x:c>
      <x:c r="X143" s="653">
        <x:v>0</x:v>
      </x:c>
      <x:c r="Y143" s="653">
        <x:v>0</x:v>
      </x:c>
      <x:c r="Z143" s="653" t="n">
        <x:v>0</x:v>
      </x:c>
      <x:c r="BN143" s="624"/>
    </x:row>
    <x:row r="144" spans="1:66" x14ac:dyDescent="0.2">
      <x:c r="A144"/>
      <x:c r="B144"/>
      <x:c r="C144"/>
      <x:c r="D144" s="625" t="inlineStr">
        <x:is>
          <x:t>E</x:t>
        </x:is>
      </x:c>
      <x:c r="E144" s="625" t="inlineStr">
        <x:is>
          <x:t>Total</x:t>
        </x:is>
      </x:c>
      <x:c r="F144" s="627" t="n">
        <x:v>-5016640264.67</x:v>
      </x:c>
      <x:c r="G144" s="627" t="n">
        <x:v>-120615699.15</x:v>
      </x:c>
      <x:c r="H144" s="627" t="n">
        <x:v>-67567315.69</x:v>
      </x:c>
      <x:c r="I144" s="627" t="n">
        <x:v>-35149668.94</x:v>
      </x:c>
      <x:c r="J144" s="627" t="n">
        <x:v>-1363592731.79</x:v>
      </x:c>
      <x:c r="K144" s="627" t="n">
        <x:v>-52548443.06</x:v>
      </x:c>
      <x:c r="L144" s="627" t="n">
        <x:v>0</x:v>
      </x:c>
      <x:c r="M144" s="627" t="n">
        <x:v>-460998533.55</x:v>
      </x:c>
      <x:c r="N144" s="627" t="n">
        <x:v>-454669135.03</x:v>
      </x:c>
      <x:c r="O144" s="627" t="n">
        <x:v>-2143895846.29</x:v>
      </x:c>
      <x:c r="P144" s="627" t="n">
        <x:v>-231862522.76</x:v>
      </x:c>
      <x:c r="Q144" s="627" t="n">
        <x:v>-85740368.41</x:v>
      </x:c>
      <x:c r="R144" s="627" t="n">
        <x:v>0</x:v>
      </x:c>
      <x:c r="S144" s="627" t="n">
        <x:v>0</x:v>
      </x:c>
      <x:c r="T144" s="627" t="n">
        <x:v>0</x:v>
      </x:c>
      <x:c r="U144" s="627">
        <x:v>0</x:v>
      </x:c>
      <x:c r="V144" s="627">
        <x:v>0</x:v>
      </x:c>
      <x:c r="W144" s="627">
        <x:v>0</x:v>
      </x:c>
      <x:c r="X144" s="653">
        <x:v>0</x:v>
      </x:c>
      <x:c r="Y144" s="653">
        <x:v>0</x:v>
      </x:c>
      <x:c r="Z144" s="653" t="n">
        <x:v>0</x:v>
      </x:c>
      <x:c r="BN144" s="624"/>
    </x:row>
    <x:row r="145" spans="1:66" x14ac:dyDescent="0.2">
      <x:c r="A145" s="628"/>
      <x:c r="B145" s="628"/>
      <x:c r="C145" s="628" t="inlineStr">
        <x:is>
          <x:t>ENEL</x:t>
        </x:is>
      </x:c>
      <x:c r="D145" s="628" t="inlineStr">
        <x:is>
          <x:t>Total</x:t>
        </x:is>
      </x:c>
      <x:c r="E145" s="629"/>
      <x:c r="F145" s="630" t="n">
        <x:v>-5016640264.67</x:v>
      </x:c>
      <x:c r="G145" s="630" t="n">
        <x:v>-120615699.15</x:v>
      </x:c>
      <x:c r="H145" s="630" t="n">
        <x:v>-67567315.69</x:v>
      </x:c>
      <x:c r="I145" s="630" t="n">
        <x:v>-35149668.94</x:v>
      </x:c>
      <x:c r="J145" s="630" t="n">
        <x:v>-1363592731.79</x:v>
      </x:c>
      <x:c r="K145" s="630" t="n">
        <x:v>-52548443.06</x:v>
      </x:c>
      <x:c r="L145" s="630" t="n">
        <x:v>0</x:v>
      </x:c>
      <x:c r="M145" s="630" t="n">
        <x:v>-460998533.55</x:v>
      </x:c>
      <x:c r="N145" s="630" t="n">
        <x:v>-454669135.03</x:v>
      </x:c>
      <x:c r="O145" s="630" t="n">
        <x:v>-2143895846.29</x:v>
      </x:c>
      <x:c r="P145" s="630" t="n">
        <x:v>-231862522.76</x:v>
      </x:c>
      <x:c r="Q145" s="630" t="n">
        <x:v>-85740368.41</x:v>
      </x:c>
      <x:c r="R145" s="630" t="n">
        <x:v>0</x:v>
      </x:c>
      <x:c r="S145" s="630" t="n">
        <x:v>0</x:v>
      </x:c>
      <x:c r="T145" s="630" t="n">
        <x:v>0</x:v>
      </x:c>
      <x:c r="U145" s="630">
        <x:v>0</x:v>
      </x:c>
      <x:c r="V145" s="630">
        <x:v>0</x:v>
      </x:c>
      <x:c r="W145" s="630">
        <x:v>0</x:v>
      </x:c>
      <x:c r="X145" s="630">
        <x:v>0</x:v>
      </x:c>
      <x:c r="Y145" s="630">
        <x:v>0</x:v>
      </x:c>
      <x:c r="Z145" s="630" t="n">
        <x:v>0</x:v>
      </x:c>
      <x:c r="AA145" s="628"/>
      <x:c r="AB145" s="628"/>
      <x:c r="AC145" s="628"/>
      <x:c r="AD145" s="628"/>
      <x:c r="AE145" s="628"/>
      <x:c r="AF145" s="628"/>
      <x:c r="AG145" s="628"/>
      <x:c r="AH145" s="628"/>
      <x:c r="AI145" s="628"/>
      <x:c r="AJ145" s="628"/>
      <x:c r="AK145" s="628"/>
      <x:c r="AL145" s="628"/>
      <x:c r="AM145" s="628"/>
      <x:c r="AN145" s="628"/>
      <x:c r="AO145" s="628"/>
      <x:c r="AP145" s="628"/>
      <x:c r="AQ145" s="628"/>
      <x:c r="AR145" s="628"/>
      <x:c r="AS145" s="628"/>
      <x:c r="AT145" s="628"/>
      <x:c r="AU145" s="628"/>
      <x:c r="AV145" s="628"/>
      <x:c r="AW145" s="628"/>
      <x:c r="AX145" s="628"/>
      <x:c r="AY145" s="628"/>
      <x:c r="AZ145" s="628"/>
      <x:c r="BA145" s="628"/>
      <x:c r="BB145" s="628"/>
      <x:c r="BC145" s="628"/>
      <x:c r="BD145" s="628"/>
      <x:c r="BE145" s="628"/>
      <x:c r="BF145" s="628"/>
      <x:c r="BG145" s="628"/>
      <x:c r="BH145" s="628"/>
      <x:c r="BI145" s="628"/>
      <x:c r="BJ145" s="628"/>
      <x:c r="BK145" s="628"/>
      <x:c r="BL145" s="628"/>
      <x:c r="BM145" s="628"/>
      <x:c r="BN145" s="624"/>
    </x:row>
    <x:row r="146" spans="1:66" x14ac:dyDescent="0.2">
      <x:c r="A146"/>
      <x:c r="B146"/>
      <x:c r="C146"/>
      <x:c r="D146" s="625"/>
      <x:c r="E146" s="625" t="inlineStr">
        <x:is>
          <x:t>Subsidio(-)/Contribucion(+)</x:t>
        </x:is>
      </x:c>
      <x:c r="F146" s="627" t="n">
        <x:v>-328437.49</x:v>
      </x:c>
      <x:c r="G146" s="627" t="n">
        <x:v>-11613.87</x:v>
      </x:c>
      <x:c r="H146" s="627" t="n">
        <x:v>-5643.65</x:v>
      </x:c>
      <x:c r="I146" s="627" t="n">
        <x:v>-3115.56</x:v>
      </x:c>
      <x:c r="J146" s="627" t="n">
        <x:v>-94908.85</x:v>
      </x:c>
      <x:c r="K146" s="627" t="n">
        <x:v>-2649.28</x:v>
      </x:c>
      <x:c r="L146" s="627" t="n">
        <x:v>0</x:v>
      </x:c>
      <x:c r="M146" s="627" t="n">
        <x:v>-23240.44</x:v>
      </x:c>
      <x:c r="N146" s="627" t="n">
        <x:v>-28376.91</x:v>
      </x:c>
      <x:c r="O146" s="627" t="n">
        <x:v>-131234.69</x:v>
      </x:c>
      <x:c r="P146" s="627" t="n">
        <x:v>-23331.45</x:v>
      </x:c>
      <x:c r="Q146" s="627" t="n">
        <x:v>-4322.79</x:v>
      </x:c>
      <x:c r="R146" s="627" t="n">
        <x:v>0</x:v>
      </x:c>
      <x:c r="S146" s="627" t="n">
        <x:v>0</x:v>
      </x:c>
      <x:c r="T146" s="627" t="n">
        <x:v>0</x:v>
      </x:c>
      <x:c r="U146" s="627">
        <x:v>0</x:v>
      </x:c>
      <x:c r="V146" s="627">
        <x:v>0</x:v>
      </x:c>
      <x:c r="W146" s="627">
        <x:v>0</x:v>
      </x:c>
      <x:c r="X146" s="653">
        <x:v>0</x:v>
      </x:c>
      <x:c r="Y146" s="653">
        <x:v>0</x:v>
      </x:c>
      <x:c r="Z146" s="653" t="n">
        <x:v>0</x:v>
      </x:c>
      <x:c r="BN146" s="624"/>
    </x:row>
    <x:row r="147" spans="1:66" x14ac:dyDescent="0.2">
      <x:c r="A147"/>
      <x:c r="B147"/>
      <x:c r="C147"/>
      <x:c r="D147" s="625" t="inlineStr">
        <x:is>
          <x:t>1</x:t>
        </x:is>
      </x:c>
      <x:c r="E147" s="625" t="inlineStr">
        <x:is>
          <x:t>Total</x:t>
        </x:is>
      </x:c>
      <x:c r="F147" s="627" t="n">
        <x:v>-328437.49</x:v>
      </x:c>
      <x:c r="G147" s="627" t="n">
        <x:v>-11613.87</x:v>
      </x:c>
      <x:c r="H147" s="627" t="n">
        <x:v>-5643.65</x:v>
      </x:c>
      <x:c r="I147" s="627" t="n">
        <x:v>-3115.56</x:v>
      </x:c>
      <x:c r="J147" s="627" t="n">
        <x:v>-94908.85</x:v>
      </x:c>
      <x:c r="K147" s="627" t="n">
        <x:v>-2649.28</x:v>
      </x:c>
      <x:c r="L147" s="627" t="n">
        <x:v>0</x:v>
      </x:c>
      <x:c r="M147" s="627" t="n">
        <x:v>-23240.44</x:v>
      </x:c>
      <x:c r="N147" s="627" t="n">
        <x:v>-28376.91</x:v>
      </x:c>
      <x:c r="O147" s="627" t="n">
        <x:v>-131234.69</x:v>
      </x:c>
      <x:c r="P147" s="627" t="n">
        <x:v>-23331.45</x:v>
      </x:c>
      <x:c r="Q147" s="627" t="n">
        <x:v>-4322.79</x:v>
      </x:c>
      <x:c r="R147" s="627" t="n">
        <x:v>0</x:v>
      </x:c>
      <x:c r="S147" s="627" t="n">
        <x:v>0</x:v>
      </x:c>
      <x:c r="T147" s="627" t="n">
        <x:v>0</x:v>
      </x:c>
      <x:c r="U147" s="627">
        <x:v>0</x:v>
      </x:c>
      <x:c r="V147" s="627">
        <x:v>0</x:v>
      </x:c>
      <x:c r="W147" s="627">
        <x:v>0</x:v>
      </x:c>
      <x:c r="X147" s="653">
        <x:v>0</x:v>
      </x:c>
      <x:c r="Y147" s="653">
        <x:v>0</x:v>
      </x:c>
      <x:c r="Z147" s="653" t="n">
        <x:v>0</x:v>
      </x:c>
      <x:c r="BN147" s="624"/>
    </x:row>
    <x:row r="148" spans="1:66" x14ac:dyDescent="0.2">
      <x:c r="A148"/>
      <x:c r="B148"/>
      <x:c r="C148"/>
      <x:c r="D148" s="625"/>
      <x:c r="E148" s="625" t="inlineStr">
        <x:is>
          <x:t>Subsidio(-)/Contribucion(+)</x:t>
        </x:is>
      </x:c>
      <x:c r="F148" s="627" t="n">
        <x:v>-112415.22</x:v>
      </x:c>
      <x:c r="G148" s="627" t="n">
        <x:v>-4551.45</x:v>
      </x:c>
      <x:c r="H148" s="627" t="n">
        <x:v>-1756.71</x:v>
      </x:c>
      <x:c r="I148" s="627" t="n">
        <x:v>-1018.9</x:v>
      </x:c>
      <x:c r="J148" s="627" t="n">
        <x:v>-37031.17</x:v>
      </x:c>
      <x:c r="K148" s="627" t="n">
        <x:v>-812.03</x:v>
      </x:c>
      <x:c r="L148" s="627" t="n">
        <x:v>0</x:v>
      </x:c>
      <x:c r="M148" s="627" t="n">
        <x:v>-7123.15</x:v>
      </x:c>
      <x:c r="N148" s="627" t="n">
        <x:v>-9135.71</x:v>
      </x:c>
      <x:c r="O148" s="627" t="n">
        <x:v>-41432.52</x:v>
      </x:c>
      <x:c r="P148" s="627" t="n">
        <x:v>-8228.67</x:v>
      </x:c>
      <x:c r="Q148" s="627" t="n">
        <x:v>-1324.91</x:v>
      </x:c>
      <x:c r="R148" s="627" t="n">
        <x:v>0</x:v>
      </x:c>
      <x:c r="S148" s="627" t="n">
        <x:v>0</x:v>
      </x:c>
      <x:c r="T148" s="627" t="n">
        <x:v>0</x:v>
      </x:c>
      <x:c r="U148" s="627">
        <x:v>0</x:v>
      </x:c>
      <x:c r="V148" s="627">
        <x:v>0</x:v>
      </x:c>
      <x:c r="W148" s="627">
        <x:v>0</x:v>
      </x:c>
      <x:c r="X148" s="653">
        <x:v>0</x:v>
      </x:c>
      <x:c r="Y148" s="653">
        <x:v>0</x:v>
      </x:c>
      <x:c r="Z148" s="653" t="n">
        <x:v>0</x:v>
      </x:c>
      <x:c r="BN148" s="624"/>
    </x:row>
    <x:row r="149" spans="1:66" x14ac:dyDescent="0.2">
      <x:c r="A149"/>
      <x:c r="B149"/>
      <x:c r="C149"/>
      <x:c r="D149" s="625" t="inlineStr">
        <x:is>
          <x:t>2</x:t>
        </x:is>
      </x:c>
      <x:c r="E149" s="625" t="inlineStr">
        <x:is>
          <x:t>Total</x:t>
        </x:is>
      </x:c>
      <x:c r="F149" s="627" t="n">
        <x:v>-112415.22</x:v>
      </x:c>
      <x:c r="G149" s="627" t="n">
        <x:v>-4551.45</x:v>
      </x:c>
      <x:c r="H149" s="627" t="n">
        <x:v>-1756.71</x:v>
      </x:c>
      <x:c r="I149" s="627" t="n">
        <x:v>-1018.9</x:v>
      </x:c>
      <x:c r="J149" s="627" t="n">
        <x:v>-37031.17</x:v>
      </x:c>
      <x:c r="K149" s="627" t="n">
        <x:v>-812.03</x:v>
      </x:c>
      <x:c r="L149" s="627" t="n">
        <x:v>0</x:v>
      </x:c>
      <x:c r="M149" s="627" t="n">
        <x:v>-7123.15</x:v>
      </x:c>
      <x:c r="N149" s="627" t="n">
        <x:v>-9135.71</x:v>
      </x:c>
      <x:c r="O149" s="627" t="n">
        <x:v>-41432.52</x:v>
      </x:c>
      <x:c r="P149" s="627" t="n">
        <x:v>-8228.67</x:v>
      </x:c>
      <x:c r="Q149" s="627" t="n">
        <x:v>-1324.91</x:v>
      </x:c>
      <x:c r="R149" s="627" t="n">
        <x:v>0</x:v>
      </x:c>
      <x:c r="S149" s="627" t="n">
        <x:v>0</x:v>
      </x:c>
      <x:c r="T149" s="627" t="n">
        <x:v>0</x:v>
      </x:c>
      <x:c r="U149" s="627">
        <x:v>0</x:v>
      </x:c>
      <x:c r="V149" s="627">
        <x:v>0</x:v>
      </x:c>
      <x:c r="W149" s="627">
        <x:v>0</x:v>
      </x:c>
      <x:c r="X149" s="653">
        <x:v>0</x:v>
      </x:c>
      <x:c r="Y149" s="653">
        <x:v>0</x:v>
      </x:c>
      <x:c r="Z149" s="653" t="n">
        <x:v>0</x:v>
      </x:c>
      <x:c r="BN149" s="624"/>
    </x:row>
    <x:row r="150" spans="1:66" x14ac:dyDescent="0.2">
      <x:c r="A150"/>
      <x:c r="B150"/>
      <x:c r="C150"/>
      <x:c r="D150"/>
      <x:c r="E150" s="625" t="inlineStr">
        <x:is>
          <x:t>Subsidio(-)/Contribucion(+)</x:t>
        </x:is>
      </x:c>
      <x:c r="F150" s="627" t="n">
        <x:v>-3451240.48</x:v>
      </x:c>
      <x:c r="G150" s="627" t="n">
        <x:v>-135031.02</x:v>
      </x:c>
      <x:c r="H150" s="627" t="n">
        <x:v>-72868.27</x:v>
      </x:c>
      <x:c r="I150" s="627" t="n">
        <x:v>-38986.63</x:v>
      </x:c>
      <x:c r="J150" s="627" t="n">
        <x:v>-945786.81</x:v>
      </x:c>
      <x:c r="K150" s="627" t="n">
        <x:v>-30905.95</x:v>
      </x:c>
      <x:c r="L150" s="627" t="n">
        <x:v>0</x:v>
      </x:c>
      <x:c r="M150" s="627" t="n">
        <x:v>-271103.17</x:v>
      </x:c>
      <x:c r="N150" s="627" t="n">
        <x:v>-289542.81</x:v>
      </x:c>
      <x:c r="O150" s="627" t="n">
        <x:v>-1357719.27</x:v>
      </x:c>
      <x:c r="P150" s="627" t="n">
        <x:v>-258871.15</x:v>
      </x:c>
      <x:c r="Q150" s="627" t="n">
        <x:v>-50425.4</x:v>
      </x:c>
      <x:c r="R150" s="627" t="n">
        <x:v>0</x:v>
      </x:c>
      <x:c r="S150" s="627" t="n">
        <x:v>0</x:v>
      </x:c>
      <x:c r="T150" s="627" t="n">
        <x:v>0</x:v>
      </x:c>
      <x:c r="U150" s="627">
        <x:v>0</x:v>
      </x:c>
      <x:c r="V150" s="627">
        <x:v>0</x:v>
      </x:c>
      <x:c r="W150" s="627">
        <x:v>0</x:v>
      </x:c>
      <x:c r="X150" s="653">
        <x:v>0</x:v>
      </x:c>
      <x:c r="Y150" s="653">
        <x:v>0</x:v>
      </x:c>
      <x:c r="Z150" s="653" t="n">
        <x:v>0</x:v>
      </x:c>
      <x:c r="BN150" s="624"/>
    </x:row>
    <x:row r="151" spans="1:66" x14ac:dyDescent="0.2">
      <x:c r="A151"/>
      <x:c r="B151"/>
      <x:c r="C151"/>
      <x:c r="D151" s="625" t="inlineStr">
        <x:is>
          <x:t>5</x:t>
        </x:is>
      </x:c>
      <x:c r="E151" s="625" t="inlineStr">
        <x:is>
          <x:t>Total</x:t>
        </x:is>
      </x:c>
      <x:c r="F151" s="627" t="n">
        <x:v>-3451240.48</x:v>
      </x:c>
      <x:c r="G151" s="627" t="n">
        <x:v>-135031.02</x:v>
      </x:c>
      <x:c r="H151" s="627" t="n">
        <x:v>-72868.27</x:v>
      </x:c>
      <x:c r="I151" s="627" t="n">
        <x:v>-38986.63</x:v>
      </x:c>
      <x:c r="J151" s="627" t="n">
        <x:v>-945786.81</x:v>
      </x:c>
      <x:c r="K151" s="627" t="n">
        <x:v>-30905.95</x:v>
      </x:c>
      <x:c r="L151" s="627" t="n">
        <x:v>0</x:v>
      </x:c>
      <x:c r="M151" s="627" t="n">
        <x:v>-271103.17</x:v>
      </x:c>
      <x:c r="N151" s="627" t="n">
        <x:v>-289542.81</x:v>
      </x:c>
      <x:c r="O151" s="627" t="n">
        <x:v>-1357719.27</x:v>
      </x:c>
      <x:c r="P151" s="627" t="n">
        <x:v>-258871.15</x:v>
      </x:c>
      <x:c r="Q151" s="627" t="n">
        <x:v>-50425.4</x:v>
      </x:c>
      <x:c r="R151" s="627" t="n">
        <x:v>0</x:v>
      </x:c>
      <x:c r="S151" s="627" t="n">
        <x:v>0</x:v>
      </x:c>
      <x:c r="T151" s="627" t="n">
        <x:v>0</x:v>
      </x:c>
      <x:c r="U151" s="627">
        <x:v>0</x:v>
      </x:c>
      <x:c r="V151" s="627">
        <x:v>0</x:v>
      </x:c>
      <x:c r="W151" s="627">
        <x:v>0</x:v>
      </x:c>
      <x:c r="X151" s="653">
        <x:v>0</x:v>
      </x:c>
      <x:c r="Y151" s="653">
        <x:v>0</x:v>
      </x:c>
      <x:c r="Z151" s="653" t="n">
        <x:v>0</x:v>
      </x:c>
      <x:c r="BN151" s="624"/>
    </x:row>
    <x:row r="152" spans="1:66" x14ac:dyDescent="0.2">
      <x:c r="A152" s="667"/>
      <x:c r="B152" s="667"/>
      <x:c r="C152" s="647" t="inlineStr">
        <x:is>
          <x:t>NUEVO ESQUEMA</x:t>
        </x:is>
      </x:c>
      <x:c r="D152" s="647" t="inlineStr">
        <x:is>
          <x:t>Total</x:t>
        </x:is>
      </x:c>
      <x:c r="E152" s="667"/>
      <x:c r="F152" s="648" t="n">
        <x:v>-3892093.19</x:v>
      </x:c>
      <x:c r="G152" s="648" t="n">
        <x:v>-151196.34</x:v>
      </x:c>
      <x:c r="H152" s="648" t="n">
        <x:v>-80268.63</x:v>
      </x:c>
      <x:c r="I152" s="648" t="n">
        <x:v>-43121.09</x:v>
      </x:c>
      <x:c r="J152" s="648" t="n">
        <x:v>-1077726.83</x:v>
      </x:c>
      <x:c r="K152" s="648" t="n">
        <x:v>-34367.26</x:v>
      </x:c>
      <x:c r="L152" s="648" t="n">
        <x:v>0</x:v>
      </x:c>
      <x:c r="M152" s="648" t="n">
        <x:v>-301466.76</x:v>
      </x:c>
      <x:c r="N152" s="648" t="n">
        <x:v>-327055.43</x:v>
      </x:c>
      <x:c r="O152" s="648" t="n">
        <x:v>-1530386.48</x:v>
      </x:c>
      <x:c r="P152" s="648" t="n">
        <x:v>-290431.27</x:v>
      </x:c>
      <x:c r="Q152" s="648" t="n">
        <x:v>-56073.1</x:v>
      </x:c>
      <x:c r="R152" s="648" t="n">
        <x:v>0</x:v>
      </x:c>
      <x:c r="S152" s="648" t="n">
        <x:v>0</x:v>
      </x:c>
      <x:c r="T152" s="648" t="n">
        <x:v>0</x:v>
      </x:c>
      <x:c r="U152" s="648">
        <x:v>0</x:v>
      </x:c>
      <x:c r="V152" s="648">
        <x:v>0</x:v>
      </x:c>
      <x:c r="W152" s="648">
        <x:v>0</x:v>
      </x:c>
      <x:c r="X152" s="672">
        <x:v>0</x:v>
      </x:c>
      <x:c r="Y152" s="672">
        <x:v>0</x:v>
      </x:c>
      <x:c r="Z152" s="672" t="n">
        <x:v>0</x:v>
      </x:c>
      <x:c r="AA152" s="667"/>
      <x:c r="AB152" s="667"/>
      <x:c r="AC152" s="667"/>
      <x:c r="AD152" s="667"/>
      <x:c r="AE152" s="667"/>
      <x:c r="AF152" s="667"/>
      <x:c r="AG152" s="667"/>
      <x:c r="AH152" s="667"/>
      <x:c r="AI152" s="667"/>
      <x:c r="AJ152" s="667"/>
      <x:c r="AK152" s="667"/>
      <x:c r="AL152" s="667"/>
      <x:c r="AM152" s="667"/>
      <x:c r="AN152" s="667"/>
      <x:c r="AO152" s="667"/>
      <x:c r="AP152" s="667"/>
      <x:c r="AQ152" s="667"/>
      <x:c r="AR152" s="667"/>
      <x:c r="AS152" s="667"/>
      <x:c r="AT152" s="667"/>
      <x:c r="AU152" s="667"/>
      <x:c r="AV152" s="667"/>
      <x:c r="AW152" s="667"/>
      <x:c r="AX152" s="667"/>
      <x:c r="AY152" s="667"/>
      <x:c r="AZ152" s="667"/>
      <x:c r="BA152" s="667"/>
      <x:c r="BB152" s="667"/>
      <x:c r="BC152" s="667"/>
      <x:c r="BD152" s="667"/>
      <x:c r="BE152" s="667"/>
      <x:c r="BF152" s="667"/>
      <x:c r="BG152" s="667"/>
      <x:c r="BH152" s="667"/>
      <x:c r="BI152" s="667"/>
      <x:c r="BJ152" s="667"/>
      <x:c r="BK152" s="667"/>
      <x:c r="BL152" s="667"/>
      <x:c r="BM152" s="667"/>
      <x:c r="BN152" s="624"/>
    </x:row>
    <x:row r="153" spans="1:66" x14ac:dyDescent="0.2">
      <x:c r="A153"/>
      <x:c r="B153"/>
      <x:c r="C153"/>
      <x:c r="D153"/>
      <x:c r="E153" s="625" t="inlineStr">
        <x:is>
          <x:t>Subsidio(-)/Contribucion(+)</x:t>
        </x:is>
      </x:c>
      <x:c r="F153" s="627" t="n">
        <x:v>-42013168.38</x:v>
      </x:c>
      <x:c r="G153" s="627" t="n">
        <x:v>1551885.63</x:v>
      </x:c>
      <x:c r="H153" s="627" t="n">
        <x:v>903751.08</x:v>
      </x:c>
      <x:c r="I153" s="627" t="n">
        <x:v>494344.81</x:v>
      </x:c>
      <x:c r="J153" s="627" t="n">
        <x:v>-15659485.85</x:v>
      </x:c>
      <x:c r="K153" s="627" t="n">
        <x:v>-397964.69</x:v>
      </x:c>
      <x:c r="L153" s="627" t="n">
        <x:v>0</x:v>
      </x:c>
      <x:c r="M153" s="627" t="n">
        <x:v>-3500779.72</x:v>
      </x:c>
      <x:c r="N153" s="627" t="n">
        <x:v>-5014588.16</x:v>
      </x:c>
      <x:c r="O153" s="627" t="n">
        <x:v>-23024162.74</x:v>
      </x:c>
      <x:c r="P153" s="627" t="n">
        <x:v>3283440.05</x:v>
      </x:c>
      <x:c r="Q153" s="627" t="n">
        <x:v>-649608.79</x:v>
      </x:c>
      <x:c r="R153" s="627" t="n">
        <x:v>0</x:v>
      </x:c>
      <x:c r="S153" s="627" t="n">
        <x:v>0</x:v>
      </x:c>
      <x:c r="T153" s="627" t="n">
        <x:v>0</x:v>
      </x:c>
      <x:c r="U153" s="627">
        <x:v>0</x:v>
      </x:c>
      <x:c r="V153" s="627">
        <x:v>0</x:v>
      </x:c>
      <x:c r="W153" s="627">
        <x:v>0</x:v>
      </x:c>
      <x:c r="X153" s="653">
        <x:v>0</x:v>
      </x:c>
      <x:c r="Y153" s="653">
        <x:v>0</x:v>
      </x:c>
      <x:c r="Z153" s="653" t="n">
        <x:v>0</x:v>
      </x:c>
      <x:c r="BN153" s="624"/>
    </x:row>
    <x:row r="154" spans="1:66" x14ac:dyDescent="0.2">
      <x:c r="A154"/>
      <x:c r="B154"/>
      <x:c r="C154"/>
      <x:c r="D154" s="625" t="inlineStr">
        <x:is>
          <x:t>H</x:t>
        </x:is>
      </x:c>
      <x:c r="E154" s="625" t="inlineStr">
        <x:is>
          <x:t>Total</x:t>
        </x:is>
      </x:c>
      <x:c r="F154" s="627" t="n">
        <x:v>-42013168.38</x:v>
      </x:c>
      <x:c r="G154" s="627" t="n">
        <x:v>1551885.63</x:v>
      </x:c>
      <x:c r="H154" s="627" t="n">
        <x:v>903751.08</x:v>
      </x:c>
      <x:c r="I154" s="627" t="n">
        <x:v>494344.81</x:v>
      </x:c>
      <x:c r="J154" s="627" t="n">
        <x:v>-15659485.85</x:v>
      </x:c>
      <x:c r="K154" s="627" t="n">
        <x:v>-397964.69</x:v>
      </x:c>
      <x:c r="L154" s="627" t="n">
        <x:v>0</x:v>
      </x:c>
      <x:c r="M154" s="627" t="n">
        <x:v>-3500779.72</x:v>
      </x:c>
      <x:c r="N154" s="627" t="n">
        <x:v>-5014588.16</x:v>
      </x:c>
      <x:c r="O154" s="627" t="n">
        <x:v>-23024162.74</x:v>
      </x:c>
      <x:c r="P154" s="627" t="n">
        <x:v>3283440.05</x:v>
      </x:c>
      <x:c r="Q154" s="627" t="n">
        <x:v>-649608.79</x:v>
      </x:c>
      <x:c r="R154" s="627" t="n">
        <x:v>0</x:v>
      </x:c>
      <x:c r="S154" s="627" t="n">
        <x:v>0</x:v>
      </x:c>
      <x:c r="T154" s="627" t="n">
        <x:v>0</x:v>
      </x:c>
      <x:c r="U154" s="627">
        <x:v>0</x:v>
      </x:c>
      <x:c r="V154" s="627">
        <x:v>0</x:v>
      </x:c>
      <x:c r="W154" s="627">
        <x:v>0</x:v>
      </x:c>
      <x:c r="X154" s="653">
        <x:v>0</x:v>
      </x:c>
      <x:c r="Y154" s="653">
        <x:v>0</x:v>
      </x:c>
      <x:c r="Z154" s="653" t="n">
        <x:v>0</x:v>
      </x:c>
      <x:c r="BN154" s="624"/>
    </x:row>
    <x:row r="155" spans="1:66" x14ac:dyDescent="0.2">
      <x:c r="A155"/>
      <x:c r="B155"/>
      <x:c r="C155"/>
      <x:c r="D155"/>
      <x:c r="E155" s="625" t="inlineStr">
        <x:is>
          <x:t>Subsidio(-)/Contribucion(+)</x:t>
        </x:is>
      </x:c>
      <x:c r="F155" s="627" t="n">
        <x:v>5200539.08</x:v>
      </x:c>
      <x:c r="G155" s="627" t="n">
        <x:v>4284652.66</x:v>
      </x:c>
      <x:c r="H155" s="627" t="n">
        <x:v>2271169.16</x:v>
      </x:c>
      <x:c r="I155" s="627" t="n">
        <x:v>1160829.6</x:v>
      </x:c>
      <x:c r="J155" s="627" t="n">
        <x:v>-3512101.13</x:v>
      </x:c>
      <x:c r="K155" s="627" t="n">
        <x:v>-95526.76</x:v>
      </x:c>
      <x:c r="L155" s="627" t="n">
        <x:v>0</x:v>
      </x:c>
      <x:c r="M155" s="627" t="n">
        <x:v>-838541.47</x:v>
      </x:c>
      <x:c r="N155" s="627" t="n">
        <x:v>-1042638.62</x:v>
      </x:c>
      <x:c r="O155" s="627" t="n">
        <x:v>-5481137.81</x:v>
      </x:c>
      <x:c r="P155" s="627" t="n">
        <x:v>8609797.88</x:v>
      </x:c>
      <x:c r="Q155" s="627" t="n">
        <x:v>-155964.43</x:v>
      </x:c>
      <x:c r="R155" s="627" t="n">
        <x:v>0</x:v>
      </x:c>
      <x:c r="S155" s="627" t="n">
        <x:v>0</x:v>
      </x:c>
      <x:c r="T155" s="627" t="n">
        <x:v>0</x:v>
      </x:c>
      <x:c r="U155" s="627">
        <x:v>0</x:v>
      </x:c>
      <x:c r="V155" s="627">
        <x:v>0</x:v>
      </x:c>
      <x:c r="W155" s="627">
        <x:v>0</x:v>
      </x:c>
      <x:c r="X155" s="653">
        <x:v>0</x:v>
      </x:c>
      <x:c r="Y155" s="653">
        <x:v>0</x:v>
      </x:c>
      <x:c r="Z155" s="653" t="n">
        <x:v>0</x:v>
      </x:c>
      <x:c r="BN155" s="624"/>
    </x:row>
    <x:row r="156" spans="1:66" x14ac:dyDescent="0.2">
      <x:c r="A156"/>
      <x:c r="B156"/>
      <x:c r="C156"/>
      <x:c r="D156" s="625" t="inlineStr">
        <x:is>
          <x:t>O</x:t>
        </x:is>
      </x:c>
      <x:c r="E156" s="625" t="inlineStr">
        <x:is>
          <x:t>Total</x:t>
        </x:is>
      </x:c>
      <x:c r="F156" s="627" t="n">
        <x:v>5200539.08</x:v>
      </x:c>
      <x:c r="G156" s="627" t="n">
        <x:v>4284652.66</x:v>
      </x:c>
      <x:c r="H156" s="627" t="n">
        <x:v>2271169.16</x:v>
      </x:c>
      <x:c r="I156" s="627" t="n">
        <x:v>1160829.6</x:v>
      </x:c>
      <x:c r="J156" s="627" t="n">
        <x:v>-3512101.13</x:v>
      </x:c>
      <x:c r="K156" s="627" t="n">
        <x:v>-95526.76</x:v>
      </x:c>
      <x:c r="L156" s="627" t="n">
        <x:v>0</x:v>
      </x:c>
      <x:c r="M156" s="627" t="n">
        <x:v>-838541.47</x:v>
      </x:c>
      <x:c r="N156" s="627" t="n">
        <x:v>-1042638.62</x:v>
      </x:c>
      <x:c r="O156" s="627" t="n">
        <x:v>-5481137.81</x:v>
      </x:c>
      <x:c r="P156" s="627" t="n">
        <x:v>8609797.88</x:v>
      </x:c>
      <x:c r="Q156" s="627" t="n">
        <x:v>-155964.43</x:v>
      </x:c>
      <x:c r="R156" s="627" t="n">
        <x:v>0</x:v>
      </x:c>
      <x:c r="S156" s="627" t="n">
        <x:v>0</x:v>
      </x:c>
      <x:c r="T156" s="627" t="n">
        <x:v>0</x:v>
      </x:c>
      <x:c r="U156" s="627">
        <x:v>0</x:v>
      </x:c>
      <x:c r="V156" s="627">
        <x:v>0</x:v>
      </x:c>
      <x:c r="W156" s="627">
        <x:v>0</x:v>
      </x:c>
      <x:c r="X156" s="653">
        <x:v>0</x:v>
      </x:c>
      <x:c r="Y156" s="653">
        <x:v>0</x:v>
      </x:c>
      <x:c r="Z156" s="653" t="n">
        <x:v>0</x:v>
      </x:c>
      <x:c r="BN156" s="624"/>
    </x:row>
    <x:row r="157" spans="1:66" x14ac:dyDescent="0.2">
      <x:c r="A157"/>
      <x:c r="B157"/>
      <x:c r="C157"/>
      <x:c r="D157"/>
      <x:c r="E157" s="625" t="inlineStr">
        <x:is>
          <x:t>Subsidio(-)/Contribucion(+)</x:t>
        </x:is>
      </x:c>
      <x:c r="F157" s="627" t="n">
        <x:v>51817160.15</x:v>
      </x:c>
      <x:c r="G157" s="627" t="n">
        <x:v>15021525.93</x:v>
      </x:c>
      <x:c r="H157" s="627" t="n">
        <x:v>8504894.69</x:v>
      </x:c>
      <x:c r="I157" s="627" t="n">
        <x:v>4570984.68</x:v>
      </x:c>
      <x:c r="J157" s="627" t="n">
        <x:v>-1718924.16</x:v>
      </x:c>
      <x:c r="K157" s="627" t="n">
        <x:v>-58626.77</x:v>
      </x:c>
      <x:c r="L157" s="627" t="n">
        <x:v>0</x:v>
      </x:c>
      <x:c r="M157" s="627" t="n">
        <x:v>-521631.88</x:v>
      </x:c>
      <x:c r="N157" s="627" t="n">
        <x:v>-773257.11</x:v>
      </x:c>
      <x:c r="O157" s="627" t="n">
        <x:v>-3589904.61</x:v>
      </x:c>
      <x:c r="P157" s="627" t="n">
        <x:v>30477829.46</x:v>
      </x:c>
      <x:c r="Q157" s="627" t="n">
        <x:v>-95730.08</x:v>
      </x:c>
      <x:c r="R157" s="627" t="n">
        <x:v>0</x:v>
      </x:c>
      <x:c r="S157" s="627" t="n">
        <x:v>0</x:v>
      </x:c>
      <x:c r="T157" s="627" t="n">
        <x:v>0</x:v>
      </x:c>
      <x:c r="U157" s="627">
        <x:v>0</x:v>
      </x:c>
      <x:c r="V157" s="627">
        <x:v>0</x:v>
      </x:c>
      <x:c r="W157" s="627">
        <x:v>0</x:v>
      </x:c>
      <x:c r="X157" s="653">
        <x:v>0</x:v>
      </x:c>
      <x:c r="Y157" s="653">
        <x:v>0</x:v>
      </x:c>
      <x:c r="Z157" s="653" t="n">
        <x:v>0</x:v>
      </x:c>
      <x:c r="BN157" s="624"/>
    </x:row>
    <x:row r="158" spans="1:66" x14ac:dyDescent="0.2">
      <x:c r="A158"/>
      <x:c r="B158"/>
      <x:c r="C158"/>
      <x:c r="D158" s="625" t="inlineStr">
        <x:is>
          <x:t>T</x:t>
        </x:is>
      </x:c>
      <x:c r="E158" s="625" t="inlineStr">
        <x:is>
          <x:t>Total</x:t>
        </x:is>
      </x:c>
      <x:c r="F158" s="627" t="n">
        <x:v>51817160.15</x:v>
      </x:c>
      <x:c r="G158" s="627" t="n">
        <x:v>15021525.93</x:v>
      </x:c>
      <x:c r="H158" s="627" t="n">
        <x:v>8504894.69</x:v>
      </x:c>
      <x:c r="I158" s="627" t="n">
        <x:v>4570984.68</x:v>
      </x:c>
      <x:c r="J158" s="627" t="n">
        <x:v>-1718924.16</x:v>
      </x:c>
      <x:c r="K158" s="627" t="n">
        <x:v>-58626.77</x:v>
      </x:c>
      <x:c r="L158" s="627" t="n">
        <x:v>0</x:v>
      </x:c>
      <x:c r="M158" s="627" t="n">
        <x:v>-521631.88</x:v>
      </x:c>
      <x:c r="N158" s="627" t="n">
        <x:v>-773257.11</x:v>
      </x:c>
      <x:c r="O158" s="627" t="n">
        <x:v>-3589904.61</x:v>
      </x:c>
      <x:c r="P158" s="627" t="n">
        <x:v>30477829.46</x:v>
      </x:c>
      <x:c r="Q158" s="627" t="n">
        <x:v>-95730.08</x:v>
      </x:c>
      <x:c r="R158" s="627" t="n">
        <x:v>0</x:v>
      </x:c>
      <x:c r="S158" s="627" t="n">
        <x:v>0</x:v>
      </x:c>
      <x:c r="T158" s="627" t="n">
        <x:v>0</x:v>
      </x:c>
      <x:c r="U158" s="627">
        <x:v>0</x:v>
      </x:c>
      <x:c r="V158" s="627">
        <x:v>0</x:v>
      </x:c>
      <x:c r="W158" s="627">
        <x:v>0</x:v>
      </x:c>
      <x:c r="X158" s="653">
        <x:v>0</x:v>
      </x:c>
      <x:c r="Y158" s="653">
        <x:v>0</x:v>
      </x:c>
      <x:c r="Z158" s="653" t="n">
        <x:v>0</x:v>
      </x:c>
      <x:c r="BN158" s="624"/>
    </x:row>
    <x:row r="159" spans="1:66" x14ac:dyDescent="0.2">
      <x:c r="A159" s="631"/>
      <x:c r="B159" s="631"/>
      <x:c r="C159" s="632" t="inlineStr">
        <x:is>
          <x:t>OCCIDENTE</x:t>
        </x:is>
      </x:c>
      <x:c r="D159" s="632" t="inlineStr">
        <x:is>
          <x:t>Total</x:t>
        </x:is>
      </x:c>
      <x:c r="E159" s="631"/>
      <x:c r="F159" s="633" t="n">
        <x:v>15004530.85</x:v>
      </x:c>
      <x:c r="G159" s="633" t="n">
        <x:v>20858064.22</x:v>
      </x:c>
      <x:c r="H159" s="633" t="n">
        <x:v>11679814.93</x:v>
      </x:c>
      <x:c r="I159" s="633" t="n">
        <x:v>6226159.09</x:v>
      </x:c>
      <x:c r="J159" s="633" t="n">
        <x:v>-20890511.14</x:v>
      </x:c>
      <x:c r="K159" s="633" t="n">
        <x:v>-552118.22</x:v>
      </x:c>
      <x:c r="L159" s="633" t="n">
        <x:v>0</x:v>
      </x:c>
      <x:c r="M159" s="633" t="n">
        <x:v>-4860953.07</x:v>
      </x:c>
      <x:c r="N159" s="633" t="n">
        <x:v>-6830483.89</x:v>
      </x:c>
      <x:c r="O159" s="633" t="n">
        <x:v>-32095205.16</x:v>
      </x:c>
      <x:c r="P159" s="633" t="n">
        <x:v>42371067.39</x:v>
      </x:c>
      <x:c r="Q159" s="633" t="n">
        <x:v>-901303.3</x:v>
      </x:c>
      <x:c r="R159" s="633" t="n">
        <x:v>0</x:v>
      </x:c>
      <x:c r="S159" s="633" t="n">
        <x:v>0</x:v>
      </x:c>
      <x:c r="T159" s="633" t="n">
        <x:v>0</x:v>
      </x:c>
      <x:c r="U159" s="633">
        <x:v>0</x:v>
      </x:c>
      <x:c r="V159" s="633">
        <x:v>0</x:v>
      </x:c>
      <x:c r="W159" s="633">
        <x:v>0</x:v>
      </x:c>
      <x:c r="X159" s="633">
        <x:v>0</x:v>
      </x:c>
      <x:c r="Y159" s="633">
        <x:v>0</x:v>
      </x:c>
      <x:c r="Z159" s="633" t="n">
        <x:v>0</x:v>
      </x:c>
      <x:c r="AA159" s="631"/>
      <x:c r="AB159" s="631"/>
      <x:c r="AC159" s="631"/>
      <x:c r="AD159" s="631"/>
      <x:c r="AE159" s="631"/>
      <x:c r="AF159" s="631"/>
      <x:c r="AG159" s="631"/>
      <x:c r="AH159" s="631"/>
      <x:c r="AI159" s="631"/>
      <x:c r="AJ159" s="631"/>
      <x:c r="AK159" s="631"/>
      <x:c r="AL159" s="631"/>
      <x:c r="AM159" s="631"/>
      <x:c r="AN159" s="631"/>
      <x:c r="AO159" s="631"/>
      <x:c r="AP159" s="631"/>
      <x:c r="AQ159" s="631"/>
      <x:c r="AR159" s="631"/>
      <x:c r="AS159" s="631"/>
      <x:c r="AT159" s="631"/>
      <x:c r="AU159" s="631"/>
      <x:c r="AV159" s="631"/>
      <x:c r="AW159" s="631"/>
      <x:c r="AX159" s="631"/>
      <x:c r="AY159" s="631"/>
      <x:c r="AZ159" s="631"/>
      <x:c r="BA159" s="631"/>
      <x:c r="BB159" s="631"/>
      <x:c r="BC159" s="631"/>
      <x:c r="BD159" s="631"/>
      <x:c r="BE159" s="631"/>
      <x:c r="BF159" s="631"/>
      <x:c r="BG159" s="631"/>
      <x:c r="BH159" s="631"/>
      <x:c r="BI159" s="631"/>
      <x:c r="BJ159" s="631"/>
      <x:c r="BK159" s="631"/>
      <x:c r="BL159" s="631"/>
      <x:c r="BM159" s="631"/>
      <x:c r="BN159" s="624"/>
    </x:row>
    <x:row r="160" spans="1:66" x14ac:dyDescent="0.2">
      <x:c r="A160" s="638"/>
      <x:c r="B160" s="639" t="inlineStr">
        <x:is>
          <x:t>Mes</x:t>
        </x:is>
      </x:c>
      <x:c r="C160" s="639" t="inlineStr">
        <x:is>
          <x:t>Total</x:t>
        </x:is>
      </x:c>
      <x:c r="D160" s="638"/>
      <x:c r="E160" s="638"/>
      <x:c r="F160" s="640" t="n">
        <x:v>-5005527827.01</x:v>
      </x:c>
      <x:c r="G160" s="640" t="n">
        <x:v>-99908831.27</x:v>
      </x:c>
      <x:c r="H160" s="640" t="n">
        <x:v>-55967769.39</x:v>
      </x:c>
      <x:c r="I160" s="640" t="n">
        <x:v>-28966630.94</x:v>
      </x:c>
      <x:c r="J160" s="640" t="n">
        <x:v>-1385560969.76</x:v>
      </x:c>
      <x:c r="K160" s="640" t="n">
        <x:v>-53134928.54</x:v>
      </x:c>
      <x:c r="L160" s="640" t="n">
        <x:v>0</x:v>
      </x:c>
      <x:c r="M160" s="640" t="n">
        <x:v>-466160953.38</x:v>
      </x:c>
      <x:c r="N160" s="640" t="n">
        <x:v>-461826674.35</x:v>
      </x:c>
      <x:c r="O160" s="640" t="n">
        <x:v>-2177521437.93</x:v>
      </x:c>
      <x:c r="P160" s="640" t="n">
        <x:v>-189781886.64</x:v>
      </x:c>
      <x:c r="Q160" s="640" t="n">
        <x:v>-86697744.81</x:v>
      </x:c>
      <x:c r="R160" s="640" t="n">
        <x:v>0</x:v>
      </x:c>
      <x:c r="S160" s="640" t="n">
        <x:v>0</x:v>
      </x:c>
      <x:c r="T160" s="640" t="n">
        <x:v>0</x:v>
      </x:c>
      <x:c r="U160" s="640">
        <x:v>0</x:v>
      </x:c>
      <x:c r="V160" s="640">
        <x:v>0</x:v>
      </x:c>
      <x:c r="W160" s="640">
        <x:v>0</x:v>
      </x:c>
      <x:c r="X160" s="640">
        <x:v>0</x:v>
      </x:c>
      <x:c r="Y160" s="640">
        <x:v>0</x:v>
      </x:c>
      <x:c r="Z160" s="640" t="n">
        <x:v>0</x:v>
      </x:c>
      <x:c r="AA160" s="638"/>
      <x:c r="AB160" s="638"/>
      <x:c r="AC160" s="638"/>
      <x:c r="AD160" s="638"/>
      <x:c r="AE160" s="638"/>
      <x:c r="AF160" s="638"/>
      <x:c r="AG160" s="638"/>
      <x:c r="AH160" s="638"/>
      <x:c r="AI160" s="638"/>
      <x:c r="AJ160" s="638"/>
      <x:c r="AK160" s="638"/>
      <x:c r="AL160" s="638"/>
      <x:c r="AM160" s="638"/>
      <x:c r="AN160" s="638"/>
      <x:c r="AO160" s="638"/>
      <x:c r="AP160" s="638"/>
      <x:c r="AQ160" s="638"/>
      <x:c r="AR160" s="638"/>
      <x:c r="AS160" s="638"/>
      <x:c r="AT160" s="638"/>
      <x:c r="AU160" s="638"/>
      <x:c r="AV160" s="638"/>
      <x:c r="AW160" s="638"/>
      <x:c r="AX160" s="638"/>
      <x:c r="AY160" s="638"/>
      <x:c r="AZ160" s="638"/>
      <x:c r="BA160" s="638"/>
      <x:c r="BB160" s="638"/>
      <x:c r="BC160" s="638"/>
      <x:c r="BD160" s="638"/>
      <x:c r="BE160" s="638"/>
      <x:c r="BF160" s="638"/>
      <x:c r="BG160" s="638"/>
      <x:c r="BH160" s="638"/>
      <x:c r="BI160" s="638"/>
      <x:c r="BJ160" s="638"/>
      <x:c r="BK160" s="638"/>
      <x:c r="BL160" s="638"/>
      <x:c r="BM160" s="638"/>
      <x:c r="BN160" s="624"/>
    </x:row>
    <x:row r="161" spans="1:66" x14ac:dyDescent="0.2">
      <x:c r="A161" s="625" t="inlineStr">
        <x:is>
          <x:t>Subs/Cont</x:t>
        </x:is>
      </x:c>
      <x:c r="B161" s="625" t="inlineStr">
        <x:is>
          <x:t>Total</x:t>
        </x:is>
      </x:c>
      <x:c r="C161"/>
      <x:c r="D161"/>
      <x:c r="E161"/>
      <x:c r="F161" s="627" t="n">
        <x:v>-4979731188.64</x:v>
      </x:c>
      <x:c r="G161" s="627" t="n">
        <x:v>-93232626</x:v>
      </x:c>
      <x:c r="H161" s="627" t="n">
        <x:v>-52193617.27</x:v>
      </x:c>
      <x:c r="I161" s="627" t="n">
        <x:v>-26966917.01</x:v>
      </x:c>
      <x:c r="J161" s="627" t="n">
        <x:v>-1385576929.82</x:v>
      </x:c>
      <x:c r="K161" s="627" t="n">
        <x:v>-53135662.16</x:v>
      </x:c>
      <x:c r="L161" s="627" t="n">
        <x:v>0</x:v>
      </x:c>
      <x:c r="M161" s="627" t="n">
        <x:v>-466167388.65</x:v>
      </x:c>
      <x:c r="N161" s="627" t="n">
        <x:v>-461831331.14</x:v>
      </x:c>
      <x:c r="O161" s="627" t="n">
        <x:v>-2177542694.93</x:v>
      </x:c>
      <x:c r="P161" s="627" t="n">
        <x:v>-176385079.87</x:v>
      </x:c>
      <x:c r="Q161" s="627" t="n">
        <x:v>-86698941.79</x:v>
      </x:c>
      <x:c r="R161" s="627" t="n">
        <x:v>0</x:v>
      </x:c>
      <x:c r="S161" s="627" t="n">
        <x:v>0</x:v>
      </x:c>
      <x:c r="T161" s="627" t="n">
        <x:v>0</x:v>
      </x:c>
      <x:c r="U161" s="627">
        <x:v>0</x:v>
      </x:c>
      <x:c r="V161" s="627">
        <x:v>0</x:v>
      </x:c>
      <x:c r="W161" s="627">
        <x:v>0</x:v>
      </x:c>
      <x:c r="X161" s="653">
        <x:v>0</x:v>
      </x:c>
      <x:c r="Y161" s="653">
        <x:v>0</x:v>
      </x:c>
      <x:c r="Z161" s="653" t="n">
        <x:v>0</x:v>
      </x:c>
      <x:c r="BN161" s="624"/>
    </x:row>
    <x:row r="162" spans="1:66" x14ac:dyDescent="0.2">
      <x:c r="A162" s="625" t="inlineStr">
        <x:is>
          <x:t>Total</x:t>
        </x:is>
      </x:c>
      <x:c r="B162"/>
      <x:c r="C162"/>
      <x:c r="D162"/>
      <x:c r="E162"/>
      <x:c r="F162" s="627" t="n">
        <x:v>20461912832</x:v>
      </x:c>
      <x:c r="G162" s="627" t="n">
        <x:v>1489603908.23</x:v>
      </x:c>
      <x:c r="H162" s="627" t="n">
        <x:v>835508760.55</x:v>
      </x:c>
      <x:c r="I162" s="627" t="n">
        <x:v>439000694.2</x:v>
      </x:c>
      <x:c r="J162" s="627" t="n">
        <x:v>4385536752.05</x:v>
      </x:c>
      <x:c r="K162" s="627" t="n">
        <x:v>167957450.38</x:v>
      </x:c>
      <x:c r="L162" s="627" t="n">
        <x:v>53454221.28</x:v>
      </x:c>
      <x:c r="M162" s="627" t="n">
        <x:v>1471515426.02</x:v>
      </x:c>
      <x:c r="N162" s="627" t="n">
        <x:v>1470631622.39</x:v>
      </x:c>
      <x:c r="O162" s="627" t="n">
        <x:v>6928810826.08</x:v>
      </x:c>
      <x:c r="P162" s="627" t="n">
        <x:v>2945232863.93</x:v>
      </x:c>
      <x:c r="Q162" s="627" t="n">
        <x:v>274573739.48</x:v>
      </x:c>
      <x:c r="R162" s="627" t="n">
        <x:v>86690.62</x:v>
      </x:c>
      <x:c r="S162" s="627" t="n">
        <x:v>-83.63</x:v>
      </x:c>
      <x:c r="T162" s="627" t="n">
        <x:v>4.18</x:v>
      </x:c>
      <x:c r="U162" s="627">
        <x:v>0</x:v>
      </x:c>
      <x:c r="V162" s="627">
        <x:v>0</x:v>
      </x:c>
      <x:c r="W162" s="627">
        <x:v>0</x:v>
      </x:c>
      <x:c r="X162" s="653">
        <x:v>0</x:v>
      </x:c>
      <x:c r="Y162" s="653">
        <x:v>0</x:v>
      </x:c>
      <x:c r="Z162" s="653" t="n">
        <x:v>-43.76</x:v>
      </x:c>
      <x:c r="BN162" s="624"/>
    </x:row>
    <x:row r="163" spans="1:66" x14ac:dyDescent="0.2">
      <x:c r="A163" s="625"/>
      <x:c r="D163" s="625"/>
      <x:c r="E163" s="625"/>
      <x:c r="F163" s="627"/>
      <x:c r="G163" s="627"/>
      <x:c r="H163" s="627"/>
      <x:c r="I163" s="627"/>
      <x:c r="J163" s="627"/>
      <x:c r="K163" s="627"/>
      <x:c r="L163" s="627"/>
      <x:c r="M163" s="627"/>
      <x:c r="N163" s="627"/>
      <x:c r="O163" s="627"/>
      <x:c r="P163" s="627"/>
      <x:c r="Q163" s="627"/>
      <x:c r="R163" s="627"/>
      <x:c r="S163" s="627"/>
      <x:c r="BN163" s="624"/>
    </x:row>
    <x:row r="164" spans="1:66" x14ac:dyDescent="0.2">
      <x:c r="A164" s="625"/>
      <x:c r="C164" s="625"/>
      <x:c r="D164" s="625"/>
      <x:c r="F164" s="627"/>
      <x:c r="G164" s="627"/>
      <x:c r="H164" s="627"/>
      <x:c r="I164" s="627"/>
      <x:c r="J164" s="627"/>
      <x:c r="K164" s="627"/>
      <x:c r="L164" s="627"/>
      <x:c r="M164" s="627"/>
      <x:c r="N164" s="627"/>
      <x:c r="O164" s="627"/>
      <x:c r="P164" s="627"/>
      <x:c r="Q164" s="627"/>
      <x:c r="R164" s="627"/>
      <x:c r="S164" s="627"/>
      <x:c r="BN164" s="624"/>
    </x:row>
    <x:row r="165" spans="1:66" x14ac:dyDescent="0.2">
      <x:c r="A165" s="625"/>
      <x:c r="E165" s="625"/>
      <x:c r="F165" s="627"/>
      <x:c r="G165" s="627"/>
      <x:c r="H165" s="627"/>
      <x:c r="I165" s="627"/>
      <x:c r="J165" s="627"/>
      <x:c r="K165" s="627"/>
      <x:c r="L165" s="627"/>
      <x:c r="M165" s="627"/>
      <x:c r="N165" s="627"/>
      <x:c r="O165" s="627"/>
      <x:c r="P165" s="627"/>
      <x:c r="Q165" s="627"/>
      <x:c r="R165" s="627"/>
      <x:c r="S165" s="627"/>
      <x:c r="BN165" s="624"/>
    </x:row>
    <x:row r="166" spans="1:66" x14ac:dyDescent="0.2">
      <x:c r="A166" s="625"/>
      <x:c r="D166" s="625"/>
      <x:c r="E166" s="625"/>
      <x:c r="F166" s="627"/>
      <x:c r="G166" s="627"/>
      <x:c r="H166" s="627"/>
      <x:c r="I166" s="627"/>
      <x:c r="J166" s="627"/>
      <x:c r="K166" s="627"/>
      <x:c r="L166" s="627"/>
      <x:c r="M166" s="627"/>
      <x:c r="N166" s="627"/>
      <x:c r="O166" s="627"/>
      <x:c r="P166" s="627"/>
      <x:c r="Q166" s="627"/>
      <x:c r="R166" s="627"/>
      <x:c r="S166" s="627"/>
      <x:c r="BN166" s="624"/>
    </x:row>
    <x:row r="167" spans="1:66" x14ac:dyDescent="0.2">
      <x:c r="A167" s="625"/>
      <x:c r="E167" s="625"/>
      <x:c r="F167" s="627"/>
      <x:c r="G167" s="627"/>
      <x:c r="H167" s="627"/>
      <x:c r="I167" s="627"/>
      <x:c r="J167" s="627"/>
      <x:c r="K167" s="627"/>
      <x:c r="L167" s="627"/>
      <x:c r="M167" s="627"/>
      <x:c r="N167" s="627"/>
      <x:c r="O167" s="627"/>
      <x:c r="P167" s="627"/>
      <x:c r="Q167" s="627"/>
      <x:c r="R167" s="627"/>
      <x:c r="S167" s="627"/>
      <x:c r="BN167" s="624"/>
    </x:row>
    <x:row r="168" spans="1:66" x14ac:dyDescent="0.2">
      <x:c r="A168" s="625"/>
      <x:c r="D168" s="625"/>
      <x:c r="E168" s="625"/>
      <x:c r="F168" s="627"/>
      <x:c r="G168" s="627"/>
      <x:c r="H168" s="627"/>
      <x:c r="I168" s="627"/>
      <x:c r="J168" s="627"/>
      <x:c r="K168" s="627"/>
      <x:c r="L168" s="627"/>
      <x:c r="M168" s="627"/>
      <x:c r="N168" s="627"/>
      <x:c r="O168" s="627"/>
      <x:c r="P168" s="627"/>
      <x:c r="Q168" s="627"/>
      <x:c r="R168" s="627"/>
      <x:c r="S168" s="627"/>
      <x:c r="BN168" s="624"/>
    </x:row>
    <x:row r="169" spans="1:66" x14ac:dyDescent="0.2">
      <x:c r="A169" s="625"/>
      <x:c r="E169" s="625"/>
      <x:c r="F169" s="627"/>
      <x:c r="G169" s="627"/>
      <x:c r="H169" s="627"/>
      <x:c r="I169" s="627"/>
      <x:c r="J169" s="627"/>
      <x:c r="K169" s="627"/>
      <x:c r="L169" s="627"/>
      <x:c r="M169" s="627"/>
      <x:c r="N169" s="627"/>
      <x:c r="O169" s="627"/>
      <x:c r="P169" s="627"/>
      <x:c r="Q169" s="627"/>
      <x:c r="R169" s="627"/>
      <x:c r="S169" s="627"/>
      <x:c r="BN169" s="624"/>
    </x:row>
    <x:row r="170" spans="1:66" x14ac:dyDescent="0.2">
      <x:c r="A170" s="625"/>
      <x:c r="D170" s="625"/>
      <x:c r="E170" s="625"/>
      <x:c r="F170" s="627"/>
      <x:c r="G170" s="627"/>
      <x:c r="H170" s="627"/>
      <x:c r="I170" s="627"/>
      <x:c r="J170" s="627"/>
      <x:c r="K170" s="627"/>
      <x:c r="L170" s="627"/>
      <x:c r="M170" s="627"/>
      <x:c r="N170" s="627"/>
      <x:c r="O170" s="627"/>
      <x:c r="P170" s="627"/>
      <x:c r="Q170" s="627"/>
      <x:c r="R170" s="627"/>
      <x:c r="S170" s="627"/>
      <x:c r="BN170" s="624"/>
    </x:row>
    <x:row r="171" spans="1:66" x14ac:dyDescent="0.2">
      <x:c r="A171" s="625"/>
      <x:c r="C171" s="625"/>
      <x:c r="D171" s="625"/>
      <x:c r="F171" s="627"/>
      <x:c r="G171" s="627"/>
      <x:c r="H171" s="627"/>
      <x:c r="I171" s="627"/>
      <x:c r="J171" s="627"/>
      <x:c r="K171" s="627"/>
      <x:c r="L171" s="627"/>
      <x:c r="M171" s="627"/>
      <x:c r="N171" s="627"/>
      <x:c r="O171" s="627"/>
      <x:c r="P171" s="627"/>
      <x:c r="Q171" s="627"/>
      <x:c r="R171" s="627"/>
      <x:c r="S171" s="627"/>
      <x:c r="BN171" s="624"/>
    </x:row>
    <x:row r="172" spans="1:66" x14ac:dyDescent="0.2">
      <x:c r="A172" s="625"/>
      <x:c r="B172" s="625"/>
      <x:c r="C172" s="625"/>
      <x:c r="F172" s="627"/>
      <x:c r="G172" s="627"/>
      <x:c r="H172" s="627"/>
      <x:c r="I172" s="627"/>
      <x:c r="J172" s="627"/>
      <x:c r="K172" s="627"/>
      <x:c r="L172" s="627"/>
      <x:c r="M172" s="627"/>
      <x:c r="N172" s="627"/>
      <x:c r="O172" s="627"/>
      <x:c r="P172" s="627"/>
      <x:c r="Q172" s="627"/>
      <x:c r="R172" s="627"/>
      <x:c r="S172" s="627"/>
      <x:c r="BN172" s="624"/>
    </x:row>
    <x:row r="173" spans="1:66" x14ac:dyDescent="0.2">
      <x:c r="A173" s="625"/>
      <x:c r="B173" s="625"/>
      <x:c r="F173" s="627"/>
      <x:c r="G173" s="627"/>
      <x:c r="H173" s="627"/>
      <x:c r="I173" s="627"/>
      <x:c r="J173" s="627"/>
      <x:c r="K173" s="627"/>
      <x:c r="L173" s="627"/>
      <x:c r="M173" s="627"/>
      <x:c r="N173" s="627"/>
      <x:c r="O173" s="627"/>
      <x:c r="P173" s="627"/>
      <x:c r="Q173" s="627"/>
      <x:c r="R173" s="627"/>
      <x:c r="S173" s="627"/>
      <x:c r="BN173" s="624"/>
    </x:row>
    <x:row r="174" spans="1:66" x14ac:dyDescent="0.2">
      <x:c r="A174" s="625"/>
      <x:c r="F174" s="627"/>
      <x:c r="G174" s="627"/>
      <x:c r="H174" s="627"/>
      <x:c r="I174" s="627"/>
      <x:c r="J174" s="627"/>
      <x:c r="K174" s="627"/>
      <x:c r="L174" s="627"/>
      <x:c r="M174" s="627"/>
      <x:c r="N174" s="627"/>
      <x:c r="O174" s="627"/>
      <x:c r="P174" s="627"/>
      <x:c r="Q174" s="627"/>
      <x:c r="R174" s="627"/>
      <x:c r="S174" s="627"/>
      <x:c r="BN174" s="624"/>
    </x:row>
    <x:row r="175" spans="1:66" x14ac:dyDescent="0.2">
      <x:c r="A175" s="625"/>
      <x:c r="B175" s="625"/>
      <x:c r="F175" s="627"/>
      <x:c r="G175" s="627"/>
      <x:c r="H175" s="627"/>
      <x:c r="I175" s="627"/>
      <x:c r="J175" s="627"/>
      <x:c r="K175" s="627"/>
      <x:c r="L175" s="627"/>
      <x:c r="M175" s="627"/>
      <x:c r="N175" s="627"/>
      <x:c r="O175" s="627"/>
      <x:c r="P175" s="627"/>
      <x:c r="Q175" s="627"/>
      <x:c r="R175" s="627"/>
      <x:c r="S175" s="627"/>
      <x:c r="BN175" s="624"/>
    </x:row>
    <x:row r="176" spans="1:66" x14ac:dyDescent="0.2">
      <x:c r="A176" s="625"/>
      <x:c r="F176" s="627"/>
      <x:c r="G176" s="627"/>
      <x:c r="H176" s="627"/>
      <x:c r="I176" s="627"/>
      <x:c r="J176" s="627"/>
      <x:c r="K176" s="627"/>
      <x:c r="L176" s="627"/>
      <x:c r="M176" s="627"/>
      <x:c r="N176" s="627"/>
      <x:c r="O176" s="627"/>
      <x:c r="P176" s="627"/>
      <x:c r="Q176" s="627"/>
      <x:c r="R176" s="627"/>
      <x:c r="S176" s="627"/>
      <x:c r="BN176" s="624"/>
    </x:row>
    <x:row r="177" spans="1:66" x14ac:dyDescent="0.2">
      <x:c r="A177" s="625"/>
      <x:c r="F177" s="627"/>
      <x:c r="G177" s="627"/>
      <x:c r="H177" s="627"/>
      <x:c r="I177" s="627"/>
      <x:c r="J177" s="627"/>
      <x:c r="K177" s="627"/>
      <x:c r="L177" s="627"/>
      <x:c r="M177" s="627"/>
      <x:c r="N177" s="627"/>
      <x:c r="O177" s="627"/>
      <x:c r="P177" s="627"/>
      <x:c r="Q177" s="627"/>
      <x:c r="R177" s="627"/>
      <x:c r="S177" s="627"/>
      <x:c r="BN177" s="624"/>
    </x:row>
    <x:row r="178" spans="1:66" x14ac:dyDescent="0.2">
      <x:c r="A178" s="625"/>
      <x:c r="F178" s="627"/>
      <x:c r="G178" s="627"/>
      <x:c r="H178" s="627"/>
      <x:c r="I178" s="627"/>
      <x:c r="J178" s="627"/>
      <x:c r="K178" s="627"/>
      <x:c r="L178" s="627"/>
      <x:c r="M178" s="627"/>
      <x:c r="N178" s="627"/>
      <x:c r="O178" s="627"/>
      <x:c r="P178" s="627"/>
      <x:c r="Q178" s="627"/>
      <x:c r="R178" s="627"/>
      <x:c r="S178" s="627"/>
      <x:c r="BN178" s="624"/>
    </x:row>
    <x:row r="179" spans="1:66" x14ac:dyDescent="0.2">
      <x:c r="A179" s="625"/>
      <x:c r="F179" s="627"/>
      <x:c r="G179" s="627"/>
      <x:c r="H179" s="627"/>
      <x:c r="I179" s="627"/>
      <x:c r="J179" s="627"/>
      <x:c r="K179" s="627"/>
      <x:c r="L179" s="627"/>
      <x:c r="M179" s="627"/>
      <x:c r="N179" s="627"/>
      <x:c r="O179" s="627"/>
      <x:c r="P179" s="627"/>
      <x:c r="Q179" s="627"/>
      <x:c r="R179" s="627"/>
      <x:c r="S179" s="627"/>
      <x:c r="BN179" s="624"/>
    </x:row>
    <x:row r="180" spans="1:66" x14ac:dyDescent="0.2">
      <x:c r="A180" s="625"/>
      <x:c r="F180" s="627"/>
      <x:c r="G180" s="627"/>
      <x:c r="H180" s="627"/>
      <x:c r="I180" s="627"/>
      <x:c r="J180" s="627"/>
      <x:c r="K180" s="627"/>
      <x:c r="L180" s="627"/>
      <x:c r="M180" s="627"/>
      <x:c r="N180" s="627"/>
      <x:c r="O180" s="627"/>
      <x:c r="P180" s="627"/>
      <x:c r="Q180" s="627"/>
      <x:c r="R180" s="627"/>
      <x:c r="S180" s="627"/>
      <x:c r="BN180" s="624"/>
    </x:row>
    <x:row r="181" spans="1:66" x14ac:dyDescent="0.2">
      <x:c r="A181" s="625"/>
      <x:c r="F181" s="627"/>
      <x:c r="G181" s="627"/>
      <x:c r="H181" s="627"/>
      <x:c r="I181" s="627"/>
      <x:c r="J181" s="627"/>
      <x:c r="K181" s="627"/>
      <x:c r="L181" s="627"/>
      <x:c r="M181" s="627"/>
      <x:c r="N181" s="627"/>
      <x:c r="O181" s="627"/>
      <x:c r="P181" s="627"/>
      <x:c r="Q181" s="627"/>
      <x:c r="R181" s="627"/>
      <x:c r="S181" s="627"/>
      <x:c r="BN181" s="624"/>
    </x:row>
    <x:row r="182" spans="1:66" x14ac:dyDescent="0.2">
      <x:c r="A182" s="625"/>
      <x:c r="F182" s="627"/>
      <x:c r="G182" s="627"/>
      <x:c r="H182" s="627"/>
      <x:c r="I182" s="627"/>
      <x:c r="J182" s="627"/>
      <x:c r="K182" s="627"/>
      <x:c r="L182" s="627"/>
      <x:c r="M182" s="627"/>
      <x:c r="N182" s="627"/>
      <x:c r="O182" s="627"/>
      <x:c r="P182" s="627"/>
      <x:c r="Q182" s="627"/>
      <x:c r="R182" s="627"/>
      <x:c r="S182" s="627"/>
      <x:c r="BN182" s="624"/>
    </x:row>
    <x:row r="183" spans="1:66" x14ac:dyDescent="0.2">
      <x:c r="A183" s="625"/>
      <x:c r="F183" s="627"/>
      <x:c r="G183" s="627"/>
      <x:c r="H183" s="627"/>
      <x:c r="I183" s="627"/>
      <x:c r="J183" s="627"/>
      <x:c r="K183" s="627"/>
      <x:c r="L183" s="627"/>
      <x:c r="M183" s="627"/>
      <x:c r="N183" s="627"/>
      <x:c r="O183" s="627"/>
      <x:c r="P183" s="627"/>
      <x:c r="Q183" s="627"/>
      <x:c r="R183" s="627"/>
      <x:c r="S183" s="627"/>
      <x:c r="BN183" s="624"/>
    </x:row>
    <x:row r="184" spans="1:66" x14ac:dyDescent="0.2">
      <x:c r="A184" s="625"/>
      <x:c r="F184" s="627"/>
      <x:c r="G184" s="627"/>
      <x:c r="H184" s="627"/>
      <x:c r="I184" s="627"/>
      <x:c r="J184" s="627"/>
      <x:c r="K184" s="627"/>
      <x:c r="L184" s="627"/>
      <x:c r="M184" s="627"/>
      <x:c r="N184" s="627"/>
      <x:c r="O184" s="627"/>
      <x:c r="P184" s="627"/>
      <x:c r="Q184" s="627"/>
      <x:c r="R184" s="627"/>
      <x:c r="S184" s="627"/>
      <x:c r="BN184" s="624"/>
    </x:row>
    <x:row r="185" spans="1:66" x14ac:dyDescent="0.2">
      <x:c r="A185" s="625"/>
      <x:c r="F185" s="627"/>
      <x:c r="G185" s="627"/>
      <x:c r="H185" s="627"/>
      <x:c r="I185" s="627"/>
      <x:c r="J185" s="627"/>
      <x:c r="K185" s="627"/>
      <x:c r="L185" s="627"/>
      <x:c r="M185" s="627"/>
      <x:c r="N185" s="627"/>
      <x:c r="O185" s="627"/>
      <x:c r="P185" s="627"/>
      <x:c r="Q185" s="627"/>
      <x:c r="R185" s="627"/>
      <x:c r="S185" s="627"/>
      <x:c r="BN185" s="624"/>
    </x:row>
    <x:row r="186" spans="1:66" x14ac:dyDescent="0.2">
      <x:c r="A186" s="625"/>
      <x:c r="F186" s="627"/>
      <x:c r="G186" s="627"/>
      <x:c r="H186" s="627"/>
      <x:c r="I186" s="627"/>
      <x:c r="J186" s="627"/>
      <x:c r="K186" s="627"/>
      <x:c r="L186" s="627"/>
      <x:c r="M186" s="627"/>
      <x:c r="N186" s="627"/>
      <x:c r="O186" s="627"/>
      <x:c r="P186" s="627"/>
      <x:c r="Q186" s="627"/>
      <x:c r="R186" s="627"/>
      <x:c r="S186" s="627"/>
      <x:c r="BN186" s="624"/>
    </x:row>
    <x:row r="187" spans="1:66" x14ac:dyDescent="0.2">
      <x:c r="A187" s="625"/>
      <x:c r="F187" s="627"/>
      <x:c r="G187" s="627"/>
      <x:c r="H187" s="627"/>
      <x:c r="I187" s="627"/>
      <x:c r="J187" s="627"/>
      <x:c r="K187" s="627"/>
      <x:c r="L187" s="627"/>
      <x:c r="M187" s="627"/>
      <x:c r="N187" s="627"/>
      <x:c r="O187" s="627"/>
      <x:c r="P187" s="627"/>
      <x:c r="Q187" s="627"/>
      <x:c r="R187" s="627"/>
      <x:c r="S187" s="627"/>
      <x:c r="BN187" s="624"/>
    </x:row>
    <x:row r="188" spans="1:66" x14ac:dyDescent="0.2">
      <x:c r="A188" s="625"/>
      <x:c r="F188" s="627"/>
      <x:c r="G188" s="627"/>
      <x:c r="H188" s="627"/>
      <x:c r="I188" s="627"/>
      <x:c r="J188" s="627"/>
      <x:c r="K188" s="627"/>
      <x:c r="L188" s="627"/>
      <x:c r="M188" s="627"/>
      <x:c r="N188" s="627"/>
      <x:c r="O188" s="627"/>
      <x:c r="P188" s="627"/>
      <x:c r="Q188" s="627"/>
      <x:c r="R188" s="627"/>
      <x:c r="S188" s="627"/>
      <x:c r="BN188" s="624"/>
    </x:row>
    <x:row r="189" spans="1:66" x14ac:dyDescent="0.2">
      <x:c r="A189" s="625"/>
      <x:c r="F189" s="627"/>
      <x:c r="G189" s="627"/>
      <x:c r="H189" s="627"/>
      <x:c r="I189" s="627"/>
      <x:c r="J189" s="627"/>
      <x:c r="K189" s="627"/>
      <x:c r="L189" s="627"/>
      <x:c r="M189" s="627"/>
      <x:c r="N189" s="627"/>
      <x:c r="O189" s="627"/>
      <x:c r="P189" s="627"/>
      <x:c r="Q189" s="627"/>
      <x:c r="R189" s="627"/>
      <x:c r="S189" s="627"/>
      <x:c r="BN189" s="624"/>
    </x:row>
    <x:row r="190" spans="1:66" x14ac:dyDescent="0.2">
      <x:c r="A190" s="625"/>
      <x:c r="F190" s="627"/>
      <x:c r="G190" s="627"/>
      <x:c r="H190" s="627"/>
      <x:c r="I190" s="627"/>
      <x:c r="J190" s="627"/>
      <x:c r="K190" s="627"/>
      <x:c r="L190" s="627"/>
      <x:c r="M190" s="627"/>
      <x:c r="N190" s="627"/>
      <x:c r="O190" s="627"/>
      <x:c r="P190" s="627"/>
      <x:c r="Q190" s="627"/>
      <x:c r="R190" s="627"/>
      <x:c r="S190" s="627"/>
      <x:c r="BN190" s="624"/>
    </x:row>
    <x:row r="191" spans="1:66" x14ac:dyDescent="0.2">
      <x:c r="A191" s="625"/>
      <x:c r="F191" s="627"/>
      <x:c r="G191" s="627"/>
      <x:c r="H191" s="627"/>
      <x:c r="I191" s="627"/>
      <x:c r="J191" s="627"/>
      <x:c r="K191" s="627"/>
      <x:c r="L191" s="627"/>
      <x:c r="M191" s="627"/>
      <x:c r="N191" s="627"/>
      <x:c r="O191" s="627"/>
      <x:c r="P191" s="627"/>
      <x:c r="Q191" s="627"/>
      <x:c r="R191" s="627"/>
      <x:c r="S191" s="627"/>
      <x:c r="BN191" s="624"/>
    </x:row>
    <x:row r="192" spans="1:66" x14ac:dyDescent="0.2">
      <x:c r="A192" s="625"/>
      <x:c r="F192" s="627"/>
      <x:c r="G192" s="627"/>
      <x:c r="H192" s="627"/>
      <x:c r="I192" s="627"/>
      <x:c r="J192" s="627"/>
      <x:c r="K192" s="627"/>
      <x:c r="L192" s="627"/>
      <x:c r="M192" s="627"/>
      <x:c r="N192" s="627"/>
      <x:c r="O192" s="627"/>
      <x:c r="P192" s="627"/>
      <x:c r="Q192" s="627"/>
      <x:c r="R192" s="627"/>
      <x:c r="S192" s="627"/>
      <x:c r="BN192" s="624"/>
    </x:row>
    <x:row r="193" spans="1:66" x14ac:dyDescent="0.2">
      <x:c r="A193" s="625"/>
      <x:c r="F193" s="627"/>
      <x:c r="G193" s="627"/>
      <x:c r="H193" s="627"/>
      <x:c r="I193" s="627"/>
      <x:c r="J193" s="627"/>
      <x:c r="K193" s="627"/>
      <x:c r="L193" s="627"/>
      <x:c r="M193" s="627"/>
      <x:c r="N193" s="627"/>
      <x:c r="O193" s="627"/>
      <x:c r="P193" s="627"/>
      <x:c r="Q193" s="627"/>
      <x:c r="R193" s="627"/>
      <x:c r="S193" s="627"/>
      <x:c r="BN193" s="624"/>
    </x:row>
    <x:row r="194" spans="1:66" x14ac:dyDescent="0.2">
      <x:c r="A194" s="625"/>
      <x:c r="F194" s="627"/>
      <x:c r="G194" s="627"/>
      <x:c r="H194" s="627"/>
      <x:c r="I194" s="627"/>
      <x:c r="J194" s="627"/>
      <x:c r="K194" s="627"/>
      <x:c r="L194" s="627"/>
      <x:c r="M194" s="627"/>
      <x:c r="N194" s="627"/>
      <x:c r="O194" s="627"/>
      <x:c r="P194" s="627"/>
      <x:c r="Q194" s="627"/>
      <x:c r="R194" s="627"/>
      <x:c r="S194" s="627"/>
      <x:c r="BN194" s="624"/>
    </x:row>
    <x:row r="195" spans="1:66" x14ac:dyDescent="0.2">
      <x:c r="A195" s="625"/>
      <x:c r="F195" s="627"/>
      <x:c r="G195" s="627"/>
      <x:c r="H195" s="627"/>
      <x:c r="I195" s="627"/>
      <x:c r="J195" s="627"/>
      <x:c r="K195" s="627"/>
      <x:c r="L195" s="627"/>
      <x:c r="M195" s="627"/>
      <x:c r="N195" s="627"/>
      <x:c r="O195" s="627"/>
      <x:c r="P195" s="627"/>
      <x:c r="Q195" s="627"/>
      <x:c r="R195" s="627"/>
      <x:c r="S195" s="627"/>
      <x:c r="BN195" s="624"/>
    </x:row>
    <x:row r="196" spans="1:66" x14ac:dyDescent="0.2">
      <x:c r="A196" s="625"/>
      <x:c r="F196" s="627"/>
      <x:c r="G196" s="627"/>
      <x:c r="H196" s="627"/>
      <x:c r="I196" s="627"/>
      <x:c r="J196" s="627"/>
      <x:c r="K196" s="627"/>
      <x:c r="L196" s="627"/>
      <x:c r="M196" s="627"/>
      <x:c r="N196" s="627"/>
      <x:c r="O196" s="627"/>
      <x:c r="P196" s="627"/>
      <x:c r="Q196" s="627"/>
      <x:c r="R196" s="627"/>
      <x:c r="S196" s="627"/>
      <x:c r="BN196" s="624"/>
    </x:row>
    <x:row r="197" spans="1:66" x14ac:dyDescent="0.2">
      <x:c r="A197" s="625"/>
      <x:c r="F197" s="627"/>
      <x:c r="G197" s="627"/>
      <x:c r="H197" s="627"/>
      <x:c r="I197" s="627"/>
      <x:c r="J197" s="627"/>
      <x:c r="K197" s="627"/>
      <x:c r="L197" s="627"/>
      <x:c r="M197" s="627"/>
      <x:c r="N197" s="627"/>
      <x:c r="O197" s="627"/>
      <x:c r="P197" s="627"/>
      <x:c r="Q197" s="627"/>
      <x:c r="R197" s="627"/>
      <x:c r="S197" s="627"/>
      <x:c r="BN197" s="624"/>
    </x:row>
    <x:row r="198" spans="1:66" x14ac:dyDescent="0.2">
      <x:c r="A198" s="625"/>
      <x:c r="F198" s="627"/>
      <x:c r="G198" s="627"/>
      <x:c r="H198" s="627"/>
      <x:c r="I198" s="627"/>
      <x:c r="J198" s="627"/>
      <x:c r="K198" s="627"/>
      <x:c r="L198" s="627"/>
      <x:c r="M198" s="627"/>
      <x:c r="N198" s="627"/>
      <x:c r="O198" s="627"/>
      <x:c r="P198" s="627"/>
      <x:c r="Q198" s="627"/>
      <x:c r="R198" s="627"/>
      <x:c r="S198" s="627"/>
      <x:c r="BN198" s="624"/>
    </x:row>
    <x:row r="199" spans="1:66" x14ac:dyDescent="0.2">
      <x:c r="A199" s="625"/>
      <x:c r="F199" s="627"/>
      <x:c r="G199" s="627"/>
      <x:c r="H199" s="627"/>
      <x:c r="I199" s="627"/>
      <x:c r="J199" s="627"/>
      <x:c r="K199" s="627"/>
      <x:c r="L199" s="627"/>
      <x:c r="M199" s="627"/>
      <x:c r="N199" s="627"/>
      <x:c r="O199" s="627"/>
      <x:c r="P199" s="627"/>
      <x:c r="Q199" s="627"/>
      <x:c r="R199" s="627"/>
      <x:c r="S199" s="627"/>
      <x:c r="BN199" s="624"/>
    </x:row>
    <x:row r="200" spans="1:66" x14ac:dyDescent="0.2">
      <x:c r="A200" s="625"/>
      <x:c r="F200" s="627"/>
      <x:c r="G200" s="627"/>
      <x:c r="H200" s="627"/>
      <x:c r="I200" s="627"/>
      <x:c r="J200" s="627"/>
      <x:c r="K200" s="627"/>
      <x:c r="L200" s="627"/>
      <x:c r="M200" s="627"/>
      <x:c r="N200" s="627"/>
      <x:c r="O200" s="627"/>
      <x:c r="P200" s="627"/>
      <x:c r="Q200" s="627"/>
      <x:c r="R200" s="627"/>
      <x:c r="S200" s="627"/>
      <x:c r="BN200" s="624"/>
    </x:row>
    <x:row r="201" spans="1:66" x14ac:dyDescent="0.2">
      <x:c r="A201" s="625"/>
      <x:c r="F201" s="627"/>
      <x:c r="G201" s="627"/>
      <x:c r="H201" s="627"/>
      <x:c r="I201" s="627"/>
      <x:c r="J201" s="627"/>
      <x:c r="K201" s="627"/>
      <x:c r="L201" s="627"/>
      <x:c r="M201" s="627"/>
      <x:c r="N201" s="627"/>
      <x:c r="O201" s="627"/>
      <x:c r="P201" s="627"/>
      <x:c r="Q201" s="627"/>
      <x:c r="R201" s="627"/>
      <x:c r="S201" s="627"/>
      <x:c r="BN201" s="624"/>
    </x:row>
    <x:row r="202" spans="1:66" x14ac:dyDescent="0.2">
      <x:c r="A202" s="625"/>
      <x:c r="F202" s="627"/>
      <x:c r="G202" s="627"/>
      <x:c r="H202" s="627"/>
      <x:c r="I202" s="627"/>
      <x:c r="J202" s="627"/>
      <x:c r="K202" s="627"/>
      <x:c r="L202" s="627"/>
      <x:c r="M202" s="627"/>
      <x:c r="N202" s="627"/>
      <x:c r="O202" s="627"/>
      <x:c r="P202" s="627"/>
      <x:c r="Q202" s="627"/>
      <x:c r="R202" s="627"/>
      <x:c r="S202" s="627"/>
      <x:c r="BN202" s="624"/>
    </x:row>
    <x:row r="203" spans="1:66" x14ac:dyDescent="0.2">
      <x:c r="A203" s="625"/>
      <x:c r="F203" s="627"/>
      <x:c r="G203" s="627"/>
      <x:c r="H203" s="627"/>
      <x:c r="I203" s="627"/>
      <x:c r="J203" s="627"/>
      <x:c r="K203" s="627"/>
      <x:c r="L203" s="627"/>
      <x:c r="M203" s="627"/>
      <x:c r="N203" s="627"/>
      <x:c r="O203" s="627"/>
      <x:c r="P203" s="627"/>
      <x:c r="Q203" s="627"/>
      <x:c r="R203" s="627"/>
      <x:c r="S203" s="627"/>
      <x:c r="BN203" s="624"/>
    </x:row>
    <x:row r="204" spans="1:66" x14ac:dyDescent="0.2">
      <x:c r="A204" s="625"/>
      <x:c r="F204" s="627"/>
      <x:c r="G204" s="627"/>
      <x:c r="H204" s="627"/>
      <x:c r="I204" s="627"/>
      <x:c r="J204" s="627"/>
      <x:c r="K204" s="627"/>
      <x:c r="L204" s="627"/>
      <x:c r="M204" s="627"/>
      <x:c r="N204" s="627"/>
      <x:c r="O204" s="627"/>
      <x:c r="P204" s="627"/>
      <x:c r="Q204" s="627"/>
      <x:c r="R204" s="627"/>
      <x:c r="S204" s="627"/>
      <x:c r="BN204" s="624"/>
    </x:row>
    <x:row r="205" spans="1:66" x14ac:dyDescent="0.2">
      <x:c r="A205" s="625"/>
      <x:c r="F205" s="627"/>
      <x:c r="G205" s="627"/>
      <x:c r="H205" s="627"/>
      <x:c r="I205" s="627"/>
      <x:c r="J205" s="627"/>
      <x:c r="K205" s="627"/>
      <x:c r="L205" s="627"/>
      <x:c r="M205" s="627"/>
      <x:c r="N205" s="627"/>
      <x:c r="O205" s="627"/>
      <x:c r="P205" s="627"/>
      <x:c r="Q205" s="627"/>
      <x:c r="R205" s="627"/>
      <x:c r="S205" s="627"/>
      <x:c r="BN205" s="624"/>
    </x:row>
    <x:row r="206" spans="1:66" x14ac:dyDescent="0.2">
      <x:c r="C206" s="770" t="s">
        <x:v>2</x:v>
      </x:c>
      <x:c r="D206" s="768" t="s">
        <x:v>132</x:v>
      </x:c>
      <x:c r="E206" s="639" t="s">
        <x:v>70</x:v>
      </x:c>
      <x:c r="F206" s="640">
        <x:f>F132+F160-L132+F94-L94</x:f>
        <x:v>0</x:v>
      </x:c>
      <x:c r="G206" s="640">
        <x:f>G132+G94</x:f>
        <x:v>0</x:v>
      </x:c>
      <x:c r="H206" s="640">
        <x:f t="shared" ref="H206:AP206" si="6">H132+H94</x:f>
        <x:v>0</x:v>
      </x:c>
      <x:c r="I206" s="640">
        <x:f t="shared" si="6"/>
        <x:v>0</x:v>
      </x:c>
      <x:c r="J206" s="640">
        <x:f t="shared" si="6"/>
        <x:v>0</x:v>
      </x:c>
      <x:c r="K206" s="640">
        <x:f t="shared" si="6"/>
        <x:v>0</x:v>
      </x:c>
      <x:c r="L206" s="640">
        <x:f t="shared" si="6"/>
        <x:v>0</x:v>
      </x:c>
      <x:c r="M206" s="640">
        <x:f t="shared" si="6"/>
        <x:v>0</x:v>
      </x:c>
      <x:c r="N206" s="640">
        <x:f t="shared" si="6"/>
        <x:v>0</x:v>
      </x:c>
      <x:c r="O206" s="640">
        <x:f t="shared" si="6"/>
        <x:v>0</x:v>
      </x:c>
      <x:c r="P206" s="640">
        <x:f t="shared" si="6"/>
        <x:v>0</x:v>
      </x:c>
      <x:c r="Q206" s="640">
        <x:f t="shared" si="6"/>
        <x:v>0</x:v>
      </x:c>
      <x:c r="R206" s="640">
        <x:f t="shared" si="6"/>
        <x:v>0</x:v>
      </x:c>
      <x:c r="S206" s="640">
        <x:f t="shared" si="6"/>
        <x:v>0</x:v>
      </x:c>
      <x:c r="T206" s="640">
        <x:f t="shared" si="6"/>
        <x:v>0</x:v>
      </x:c>
      <x:c r="U206" s="640">
        <x:f t="shared" si="6"/>
        <x:v>0</x:v>
      </x:c>
      <x:c r="V206" s="640">
        <x:f t="shared" si="6"/>
        <x:v>0</x:v>
      </x:c>
      <x:c r="W206" s="640">
        <x:f t="shared" si="6"/>
        <x:v>0</x:v>
      </x:c>
      <x:c r="X206" s="640">
        <x:f t="shared" si="6"/>
        <x:v>0</x:v>
      </x:c>
      <x:c r="Y206" s="640">
        <x:f t="shared" si="6"/>
        <x:v>0</x:v>
      </x:c>
      <x:c r="Z206" s="640">
        <x:f t="shared" si="6"/>
        <x:v>0</x:v>
      </x:c>
      <x:c r="AA206" s="640">
        <x:f t="shared" si="6"/>
        <x:v>0</x:v>
      </x:c>
      <x:c r="AB206" s="640">
        <x:f t="shared" si="6"/>
        <x:v>0</x:v>
      </x:c>
      <x:c r="AC206" s="640">
        <x:f t="shared" si="6"/>
        <x:v>0</x:v>
      </x:c>
      <x:c r="AD206" s="640">
        <x:f t="shared" si="6"/>
        <x:v>0</x:v>
      </x:c>
      <x:c r="AE206" s="640">
        <x:f t="shared" si="6"/>
        <x:v>0</x:v>
      </x:c>
      <x:c r="AF206" s="640">
        <x:f t="shared" si="6"/>
        <x:v>0</x:v>
      </x:c>
      <x:c r="AG206" s="640">
        <x:f t="shared" si="6"/>
        <x:v>0</x:v>
      </x:c>
      <x:c r="AH206" s="640">
        <x:f t="shared" si="6"/>
        <x:v>0</x:v>
      </x:c>
      <x:c r="AI206" s="640">
        <x:f t="shared" si="6"/>
        <x:v>0</x:v>
      </x:c>
      <x:c r="AJ206" s="640">
        <x:f t="shared" si="6"/>
        <x:v>0</x:v>
      </x:c>
      <x:c r="AK206" s="640">
        <x:f t="shared" si="6"/>
        <x:v>0</x:v>
      </x:c>
      <x:c r="AL206" s="640">
        <x:f t="shared" si="6"/>
        <x:v>0</x:v>
      </x:c>
      <x:c r="AM206" s="640">
        <x:f t="shared" si="6"/>
        <x:v>0</x:v>
      </x:c>
      <x:c r="AN206" s="640">
        <x:f t="shared" si="6"/>
        <x:v>0</x:v>
      </x:c>
      <x:c r="AO206" s="640">
        <x:f t="shared" si="6"/>
        <x:v>0</x:v>
      </x:c>
      <x:c r="AP206" s="640">
        <x:f t="shared" si="6"/>
        <x:v>0</x:v>
      </x:c>
      <x:c r="BN206" s="624"/>
    </x:row>
    <x:row r="207" spans="1:66" x14ac:dyDescent="0.2">
      <x:c r="C207" s="770"/>
      <x:c r="D207" s="768"/>
      <x:c r="E207" s="639" t="s">
        <x:v>73</x:v>
      </x:c>
      <x:c r="F207" s="640">
        <x:f>F160</x:f>
        <x:v>0</x:v>
      </x:c>
      <x:c r="G207" s="627"/>
      <x:c r="H207" s="627"/>
      <x:c r="I207" s="627"/>
      <x:c r="J207" s="627"/>
      <x:c r="K207" s="627"/>
      <x:c r="L207" s="627"/>
      <x:c r="M207" s="627"/>
      <x:c r="N207" s="627"/>
      <x:c r="O207" s="627"/>
      <x:c r="P207" s="627"/>
      <x:c r="Q207" s="627"/>
      <x:c r="R207" s="627"/>
      <x:c r="S207" s="627"/>
      <x:c r="BN207" s="624"/>
    </x:row>
    <x:row r="208" spans="1:66" x14ac:dyDescent="0.2">
      <x:c r="C208" s="770"/>
      <x:c r="D208" s="768" t="s">
        <x:v>133</x:v>
      </x:c>
      <x:c r="E208" s="645" t="s">
        <x:v>70</x:v>
      </x:c>
      <x:c r="F208" s="646">
        <x:f>F142+F107-L107</x:f>
        <x:v>0</x:v>
      </x:c>
      <x:c r="G208" s="646">
        <x:f>G107</x:f>
        <x:v>0</x:v>
      </x:c>
      <x:c r="H208" s="646">
        <x:f t="shared" ref="H208:AP208" si="7">H107</x:f>
        <x:v>0</x:v>
      </x:c>
      <x:c r="I208" s="646">
        <x:f t="shared" si="7"/>
        <x:v>0</x:v>
      </x:c>
      <x:c r="J208" s="646">
        <x:f t="shared" si="7"/>
        <x:v>0</x:v>
      </x:c>
      <x:c r="K208" s="646">
        <x:f t="shared" si="7"/>
        <x:v>0</x:v>
      </x:c>
      <x:c r="L208" s="646">
        <x:f t="shared" si="7"/>
        <x:v>0</x:v>
      </x:c>
      <x:c r="M208" s="646">
        <x:f t="shared" si="7"/>
        <x:v>0</x:v>
      </x:c>
      <x:c r="N208" s="646">
        <x:f t="shared" si="7"/>
        <x:v>0</x:v>
      </x:c>
      <x:c r="O208" s="646">
        <x:f t="shared" si="7"/>
        <x:v>0</x:v>
      </x:c>
      <x:c r="P208" s="646">
        <x:f t="shared" si="7"/>
        <x:v>0</x:v>
      </x:c>
      <x:c r="Q208" s="646">
        <x:f t="shared" si="7"/>
        <x:v>0</x:v>
      </x:c>
      <x:c r="R208" s="646">
        <x:f t="shared" si="7"/>
        <x:v>0</x:v>
      </x:c>
      <x:c r="S208" s="646">
        <x:f t="shared" si="7"/>
        <x:v>0</x:v>
      </x:c>
      <x:c r="T208" s="646">
        <x:f t="shared" si="7"/>
        <x:v>0</x:v>
      </x:c>
      <x:c r="U208" s="646">
        <x:f t="shared" si="7"/>
        <x:v>0</x:v>
      </x:c>
      <x:c r="V208" s="646">
        <x:f t="shared" si="7"/>
        <x:v>0</x:v>
      </x:c>
      <x:c r="W208" s="646">
        <x:f t="shared" si="7"/>
        <x:v>0</x:v>
      </x:c>
      <x:c r="X208" s="646">
        <x:f t="shared" si="7"/>
        <x:v>0</x:v>
      </x:c>
      <x:c r="Y208" s="646">
        <x:f t="shared" si="7"/>
        <x:v>0</x:v>
      </x:c>
      <x:c r="Z208" s="646">
        <x:f t="shared" si="7"/>
        <x:v>0</x:v>
      </x:c>
      <x:c r="AA208" s="646">
        <x:f t="shared" si="7"/>
        <x:v>0</x:v>
      </x:c>
      <x:c r="AB208" s="646">
        <x:f t="shared" si="7"/>
        <x:v>0</x:v>
      </x:c>
      <x:c r="AC208" s="646">
        <x:f t="shared" si="7"/>
        <x:v>0</x:v>
      </x:c>
      <x:c r="AD208" s="646">
        <x:f t="shared" si="7"/>
        <x:v>0</x:v>
      </x:c>
      <x:c r="AE208" s="646">
        <x:f t="shared" si="7"/>
        <x:v>0</x:v>
      </x:c>
      <x:c r="AF208" s="646">
        <x:f t="shared" si="7"/>
        <x:v>0</x:v>
      </x:c>
      <x:c r="AG208" s="646">
        <x:f t="shared" si="7"/>
        <x:v>0</x:v>
      </x:c>
      <x:c r="AH208" s="646">
        <x:f t="shared" si="7"/>
        <x:v>0</x:v>
      </x:c>
      <x:c r="AI208" s="646">
        <x:f t="shared" si="7"/>
        <x:v>0</x:v>
      </x:c>
      <x:c r="AJ208" s="646">
        <x:f t="shared" si="7"/>
        <x:v>0</x:v>
      </x:c>
      <x:c r="AK208" s="646">
        <x:f t="shared" si="7"/>
        <x:v>0</x:v>
      </x:c>
      <x:c r="AL208" s="646">
        <x:f t="shared" si="7"/>
        <x:v>0</x:v>
      </x:c>
      <x:c r="AM208" s="646">
        <x:f t="shared" si="7"/>
        <x:v>0</x:v>
      </x:c>
      <x:c r="AN208" s="646">
        <x:f t="shared" si="7"/>
        <x:v>0</x:v>
      </x:c>
      <x:c r="AO208" s="646">
        <x:f t="shared" si="7"/>
        <x:v>0</x:v>
      </x:c>
      <x:c r="AP208" s="646">
        <x:f t="shared" si="7"/>
        <x:v>0</x:v>
      </x:c>
      <x:c r="BN208" s="624"/>
    </x:row>
    <x:row r="209" spans="1:66" x14ac:dyDescent="0.2">
      <x:c r="C209" s="770"/>
      <x:c r="D209" s="768"/>
      <x:c r="E209" s="645" t="s">
        <x:v>73</x:v>
      </x:c>
      <x:c r="F209" s="646">
        <x:f>F142</x:f>
        <x:v>0</x:v>
      </x:c>
      <x:c r="G209" s="627"/>
      <x:c r="H209" s="627"/>
      <x:c r="I209" s="627"/>
      <x:c r="J209" s="627"/>
      <x:c r="K209" s="627"/>
      <x:c r="L209" s="627"/>
      <x:c r="M209" s="627"/>
      <x:c r="N209" s="627"/>
      <x:c r="O209" s="627"/>
      <x:c r="P209" s="627"/>
      <x:c r="Q209" s="627"/>
      <x:c r="R209" s="627"/>
      <x:c r="BN209" s="624"/>
    </x:row>
    <x:row r="210" spans="1:66" ht="15" x14ac:dyDescent="0.25">
      <x:c r="A210" s="625"/>
      <x:c r="C210" s="50"/>
      <x:c r="F210" s="627"/>
      <x:c r="G210" s="627"/>
      <x:c r="H210" s="627"/>
      <x:c r="I210" s="627"/>
      <x:c r="J210" s="627"/>
      <x:c r="K210" s="627"/>
      <x:c r="L210" s="627"/>
      <x:c r="M210" s="627"/>
      <x:c r="N210" s="627"/>
      <x:c r="O210" s="627"/>
      <x:c r="P210" s="627"/>
      <x:c r="Q210" s="627"/>
      <x:c r="R210" s="627"/>
      <x:c r="S210" s="627"/>
      <x:c r="BN210" s="624"/>
    </x:row>
    <x:row r="211" spans="1:66" x14ac:dyDescent="0.2">
      <x:c r="C211" s="770" t="s">
        <x:v>160</x:v>
      </x:c>
      <x:c r="D211" s="768" t="s">
        <x:v>132</x:v>
      </x:c>
      <x:c r="E211" s="647" t="s">
        <x:v>70</x:v>
      </x:c>
      <x:c r="F211" s="648">
        <x:f>F152+F121-L121</x:f>
        <x:v>0</x:v>
      </x:c>
      <x:c r="G211" s="648">
        <x:f>G121</x:f>
        <x:v>0</x:v>
      </x:c>
      <x:c r="H211" s="648">
        <x:f t="shared" ref="H211:AP211" si="8">H121</x:f>
        <x:v>0</x:v>
      </x:c>
      <x:c r="I211" s="648">
        <x:f t="shared" si="8"/>
        <x:v>0</x:v>
      </x:c>
      <x:c r="J211" s="648">
        <x:f t="shared" si="8"/>
        <x:v>0</x:v>
      </x:c>
      <x:c r="K211" s="648">
        <x:f t="shared" si="8"/>
        <x:v>0</x:v>
      </x:c>
      <x:c r="L211" s="648">
        <x:f t="shared" si="8"/>
        <x:v>0</x:v>
      </x:c>
      <x:c r="M211" s="648">
        <x:f t="shared" si="8"/>
        <x:v>0</x:v>
      </x:c>
      <x:c r="N211" s="648">
        <x:f t="shared" si="8"/>
        <x:v>0</x:v>
      </x:c>
      <x:c r="O211" s="648">
        <x:f t="shared" si="8"/>
        <x:v>0</x:v>
      </x:c>
      <x:c r="P211" s="648">
        <x:f t="shared" si="8"/>
        <x:v>0</x:v>
      </x:c>
      <x:c r="Q211" s="648">
        <x:f t="shared" si="8"/>
        <x:v>0</x:v>
      </x:c>
      <x:c r="R211" s="648">
        <x:f t="shared" si="8"/>
        <x:v>0</x:v>
      </x:c>
      <x:c r="S211" s="648">
        <x:f t="shared" si="8"/>
        <x:v>0</x:v>
      </x:c>
      <x:c r="T211" s="648">
        <x:f t="shared" si="8"/>
        <x:v>0</x:v>
      </x:c>
      <x:c r="U211" s="648">
        <x:f t="shared" si="8"/>
        <x:v>0</x:v>
      </x:c>
      <x:c r="V211" s="648">
        <x:f t="shared" si="8"/>
        <x:v>0</x:v>
      </x:c>
      <x:c r="W211" s="648">
        <x:f t="shared" si="8"/>
        <x:v>0</x:v>
      </x:c>
      <x:c r="X211" s="648">
        <x:f t="shared" si="8"/>
        <x:v>0</x:v>
      </x:c>
      <x:c r="Y211" s="648">
        <x:f t="shared" si="8"/>
        <x:v>0</x:v>
      </x:c>
      <x:c r="Z211" s="648">
        <x:f t="shared" si="8"/>
        <x:v>0</x:v>
      </x:c>
      <x:c r="AA211" s="648">
        <x:f t="shared" si="8"/>
        <x:v>0</x:v>
      </x:c>
      <x:c r="AB211" s="648">
        <x:f t="shared" si="8"/>
        <x:v>0</x:v>
      </x:c>
      <x:c r="AC211" s="648">
        <x:f t="shared" si="8"/>
        <x:v>0</x:v>
      </x:c>
      <x:c r="AD211" s="648">
        <x:f t="shared" si="8"/>
        <x:v>0</x:v>
      </x:c>
      <x:c r="AE211" s="648">
        <x:f t="shared" si="8"/>
        <x:v>0</x:v>
      </x:c>
      <x:c r="AF211" s="648">
        <x:f t="shared" si="8"/>
        <x:v>0</x:v>
      </x:c>
      <x:c r="AG211" s="648">
        <x:f t="shared" si="8"/>
        <x:v>0</x:v>
      </x:c>
      <x:c r="AH211" s="648">
        <x:f t="shared" si="8"/>
        <x:v>0</x:v>
      </x:c>
      <x:c r="AI211" s="648">
        <x:f t="shared" si="8"/>
        <x:v>0</x:v>
      </x:c>
      <x:c r="AJ211" s="648">
        <x:f t="shared" si="8"/>
        <x:v>0</x:v>
      </x:c>
      <x:c r="AK211" s="648">
        <x:f t="shared" si="8"/>
        <x:v>0</x:v>
      </x:c>
      <x:c r="AL211" s="648">
        <x:f t="shared" si="8"/>
        <x:v>0</x:v>
      </x:c>
      <x:c r="AM211" s="648">
        <x:f t="shared" si="8"/>
        <x:v>0</x:v>
      </x:c>
      <x:c r="AN211" s="648">
        <x:f t="shared" si="8"/>
        <x:v>0</x:v>
      </x:c>
      <x:c r="AO211" s="648">
        <x:f t="shared" si="8"/>
        <x:v>0</x:v>
      </x:c>
      <x:c r="AP211" s="648">
        <x:f t="shared" si="8"/>
        <x:v>0</x:v>
      </x:c>
      <x:c r="BN211" s="624"/>
    </x:row>
    <x:row r="212" spans="1:66" x14ac:dyDescent="0.2">
      <x:c r="C212" s="770"/>
      <x:c r="D212" s="768"/>
      <x:c r="E212" s="647" t="s">
        <x:v>73</x:v>
      </x:c>
      <x:c r="F212" s="648">
        <x:f>F152</x:f>
        <x:v>0</x:v>
      </x:c>
      <x:c r="G212" s="627"/>
      <x:c r="H212" s="627"/>
      <x:c r="I212" s="627"/>
      <x:c r="J212" s="627"/>
      <x:c r="K212" s="627"/>
      <x:c r="L212" s="627"/>
      <x:c r="M212" s="627"/>
      <x:c r="N212" s="627"/>
      <x:c r="O212" s="627"/>
      <x:c r="P212" s="627"/>
      <x:c r="Q212" s="627"/>
      <x:c r="R212" s="627"/>
      <x:c r="S212" s="627"/>
      <x:c r="BN212" s="624"/>
    </x:row>
    <x:row r="213" spans="1:66" x14ac:dyDescent="0.2">
      <x:c r="C213" s="770"/>
      <x:c r="D213" s="768" t="s">
        <x:v>133</x:v>
      </x:c>
      <x:c r="E213" s="649" t="s">
        <x:v>70</x:v>
      </x:c>
      <x:c r="F213" s="650">
        <x:v>0</x:v>
      </x:c>
      <x:c r="G213" s="650">
        <x:v>0</x:v>
      </x:c>
      <x:c r="H213" s="650">
        <x:v>0</x:v>
      </x:c>
      <x:c r="I213" s="650">
        <x:v>0</x:v>
      </x:c>
      <x:c r="J213" s="650">
        <x:v>0</x:v>
      </x:c>
      <x:c r="K213" s="650">
        <x:v>0</x:v>
      </x:c>
      <x:c r="L213" s="650">
        <x:v>0</x:v>
      </x:c>
      <x:c r="M213" s="650">
        <x:v>0</x:v>
      </x:c>
      <x:c r="N213" s="650">
        <x:v>0</x:v>
      </x:c>
      <x:c r="O213" s="650">
        <x:v>0</x:v>
      </x:c>
      <x:c r="P213" s="650">
        <x:v>0</x:v>
      </x:c>
      <x:c r="Q213" s="650">
        <x:v>0</x:v>
      </x:c>
      <x:c r="R213" s="650">
        <x:v>0</x:v>
      </x:c>
      <x:c r="S213" s="650">
        <x:v>0</x:v>
      </x:c>
      <x:c r="T213" s="650">
        <x:v>0</x:v>
      </x:c>
      <x:c r="U213" s="650">
        <x:v>0</x:v>
      </x:c>
      <x:c r="V213" s="650">
        <x:v>0</x:v>
      </x:c>
      <x:c r="W213" s="650">
        <x:v>0</x:v>
      </x:c>
      <x:c r="X213" s="650">
        <x:v>0</x:v>
      </x:c>
      <x:c r="Y213" s="650">
        <x:v>0</x:v>
      </x:c>
      <x:c r="Z213" s="650">
        <x:v>0</x:v>
      </x:c>
      <x:c r="AA213" s="650">
        <x:v>0</x:v>
      </x:c>
      <x:c r="AB213" s="650">
        <x:v>0</x:v>
      </x:c>
      <x:c r="AC213" s="650">
        <x:v>0</x:v>
      </x:c>
      <x:c r="AD213" s="650">
        <x:v>0</x:v>
      </x:c>
      <x:c r="AE213" s="650">
        <x:v>0</x:v>
      </x:c>
      <x:c r="AF213" s="650">
        <x:v>0</x:v>
      </x:c>
      <x:c r="AG213" s="650">
        <x:v>0</x:v>
      </x:c>
      <x:c r="AH213" s="650">
        <x:v>0</x:v>
      </x:c>
      <x:c r="AI213" s="650">
        <x:v>0</x:v>
      </x:c>
      <x:c r="AJ213" s="650">
        <x:v>0</x:v>
      </x:c>
      <x:c r="AK213" s="650">
        <x:v>0</x:v>
      </x:c>
      <x:c r="AL213" s="650">
        <x:v>0</x:v>
      </x:c>
      <x:c r="AM213" s="650">
        <x:v>0</x:v>
      </x:c>
      <x:c r="AN213" s="650">
        <x:v>0</x:v>
      </x:c>
      <x:c r="AO213" s="650">
        <x:v>0</x:v>
      </x:c>
      <x:c r="AP213" s="650">
        <x:v>0</x:v>
      </x:c>
      <x:c r="BN213" s="624"/>
    </x:row>
    <x:row r="214" spans="1:66" x14ac:dyDescent="0.2">
      <x:c r="C214" s="770"/>
      <x:c r="D214" s="768"/>
      <x:c r="E214" s="649" t="s">
        <x:v>73</x:v>
      </x:c>
      <x:c r="F214" s="650">
        <x:v>0</x:v>
      </x:c>
      <x:c r="G214" s="627"/>
      <x:c r="H214" s="627"/>
      <x:c r="I214" s="627"/>
      <x:c r="J214" s="627"/>
      <x:c r="K214" s="627"/>
      <x:c r="L214" s="627"/>
      <x:c r="M214" s="627"/>
      <x:c r="N214" s="627"/>
      <x:c r="O214" s="627"/>
      <x:c r="P214" s="627"/>
      <x:c r="Q214" s="627"/>
      <x:c r="R214" s="627"/>
      <x:c r="BN214" s="624"/>
    </x:row>
    <x:row r="215" spans="1:66" ht="15" x14ac:dyDescent="0.25">
      <x:c r="A215" s="625"/>
      <x:c r="C215" s="50"/>
      <x:c r="F215" s="627"/>
      <x:c r="G215" s="627"/>
      <x:c r="H215" s="627"/>
      <x:c r="I215" s="627"/>
      <x:c r="J215" s="627"/>
      <x:c r="K215" s="627"/>
      <x:c r="L215" s="627"/>
      <x:c r="M215" s="627"/>
      <x:c r="N215" s="627"/>
      <x:c r="O215" s="627"/>
      <x:c r="P215" s="627"/>
      <x:c r="Q215" s="627"/>
      <x:c r="R215" s="627"/>
      <x:c r="S215" s="627"/>
      <x:c r="BN215" s="624"/>
    </x:row>
    <x:row r="216" spans="1:66" x14ac:dyDescent="0.2">
      <x:c r="C216" s="770" t="s">
        <x:v>155</x:v>
      </x:c>
      <x:c r="D216" s="768" t="s">
        <x:v>132</x:v>
      </x:c>
      <x:c r="E216" s="651" t="s">
        <x:v>70</x:v>
      </x:c>
      <x:c r="F216" s="652">
        <x:f>F145+F111+F90--L90-L111</x:f>
        <x:v>0</x:v>
      </x:c>
      <x:c r="G216" s="652">
        <x:f t="shared" ref="G216:AA216" si="9">G111+G90</x:f>
        <x:v>0</x:v>
      </x:c>
      <x:c r="H216" s="652">
        <x:f t="shared" si="9"/>
        <x:v>0</x:v>
      </x:c>
      <x:c r="I216" s="652">
        <x:f t="shared" si="9"/>
        <x:v>0</x:v>
      </x:c>
      <x:c r="J216" s="652">
        <x:f t="shared" si="9"/>
        <x:v>0</x:v>
      </x:c>
      <x:c r="K216" s="652">
        <x:f t="shared" si="9"/>
        <x:v>0</x:v>
      </x:c>
      <x:c r="L216" s="652">
        <x:f t="shared" si="9"/>
        <x:v>0</x:v>
      </x:c>
      <x:c r="M216" s="652">
        <x:f t="shared" si="9"/>
        <x:v>0</x:v>
      </x:c>
      <x:c r="N216" s="652">
        <x:f t="shared" si="9"/>
        <x:v>0</x:v>
      </x:c>
      <x:c r="O216" s="652">
        <x:f t="shared" si="9"/>
        <x:v>0</x:v>
      </x:c>
      <x:c r="P216" s="652">
        <x:f t="shared" si="9"/>
        <x:v>0</x:v>
      </x:c>
      <x:c r="Q216" s="652">
        <x:f t="shared" si="9"/>
        <x:v>0</x:v>
      </x:c>
      <x:c r="R216" s="652">
        <x:f t="shared" si="9"/>
        <x:v>0</x:v>
      </x:c>
      <x:c r="S216" s="652">
        <x:f t="shared" si="9"/>
        <x:v>0</x:v>
      </x:c>
      <x:c r="T216" s="652">
        <x:f t="shared" si="9"/>
        <x:v>0</x:v>
      </x:c>
      <x:c r="U216" s="652">
        <x:f t="shared" si="9"/>
        <x:v>0</x:v>
      </x:c>
      <x:c r="V216" s="652">
        <x:f t="shared" si="9"/>
        <x:v>0</x:v>
      </x:c>
      <x:c r="W216" s="652">
        <x:f t="shared" si="9"/>
        <x:v>0</x:v>
      </x:c>
      <x:c r="X216" s="652">
        <x:f t="shared" si="9"/>
        <x:v>0</x:v>
      </x:c>
      <x:c r="Y216" s="652">
        <x:f t="shared" si="9"/>
        <x:v>0</x:v>
      </x:c>
      <x:c r="Z216" s="652">
        <x:f t="shared" si="9"/>
        <x:v>0</x:v>
      </x:c>
      <x:c r="AA216" s="652">
        <x:f t="shared" si="9"/>
        <x:v>0</x:v>
      </x:c>
      <x:c r="BN216" s="624"/>
    </x:row>
    <x:row r="217" spans="1:66" x14ac:dyDescent="0.2">
      <x:c r="C217" s="770"/>
      <x:c r="D217" s="768"/>
      <x:c r="E217" s="651" t="s">
        <x:v>73</x:v>
      </x:c>
      <x:c r="F217" s="652">
        <x:f>F145</x:f>
        <x:v>0</x:v>
      </x:c>
      <x:c r="G217" s="627"/>
      <x:c r="H217" s="627"/>
      <x:c r="I217" s="627"/>
      <x:c r="J217" s="627"/>
      <x:c r="K217" s="627"/>
      <x:c r="L217" s="627"/>
      <x:c r="M217" s="627"/>
      <x:c r="N217" s="627"/>
      <x:c r="O217" s="627"/>
      <x:c r="P217" s="627"/>
      <x:c r="Q217" s="627"/>
      <x:c r="R217" s="627"/>
      <x:c r="S217" s="627"/>
      <x:c r="BN217" s="624"/>
    </x:row>
    <x:row r="218" spans="1:66" x14ac:dyDescent="0.2">
      <x:c r="C218" s="770"/>
      <x:c r="D218" s="768" t="s">
        <x:v>133</x:v>
      </x:c>
      <x:c r="E218" s="629" t="s">
        <x:v>70</x:v>
      </x:c>
      <x:c r="F218" s="630">
        <x:f>F136+F99-L99</x:f>
        <x:v>0</x:v>
      </x:c>
      <x:c r="G218" s="630">
        <x:f>G99</x:f>
        <x:v>0</x:v>
      </x:c>
      <x:c r="H218" s="630">
        <x:f t="shared" ref="H218:AA218" si="10">H99</x:f>
        <x:v>0</x:v>
      </x:c>
      <x:c r="I218" s="630">
        <x:f t="shared" si="10"/>
        <x:v>0</x:v>
      </x:c>
      <x:c r="J218" s="630">
        <x:f t="shared" si="10"/>
        <x:v>0</x:v>
      </x:c>
      <x:c r="K218" s="630">
        <x:f t="shared" si="10"/>
        <x:v>0</x:v>
      </x:c>
      <x:c r="L218" s="630">
        <x:f t="shared" si="10"/>
        <x:v>0</x:v>
      </x:c>
      <x:c r="M218" s="630">
        <x:f t="shared" si="10"/>
        <x:v>0</x:v>
      </x:c>
      <x:c r="N218" s="630">
        <x:f t="shared" si="10"/>
        <x:v>0</x:v>
      </x:c>
      <x:c r="O218" s="630">
        <x:f t="shared" si="10"/>
        <x:v>0</x:v>
      </x:c>
      <x:c r="P218" s="630">
        <x:f t="shared" si="10"/>
        <x:v>0</x:v>
      </x:c>
      <x:c r="Q218" s="630">
        <x:f t="shared" si="10"/>
        <x:v>0</x:v>
      </x:c>
      <x:c r="R218" s="630">
        <x:f t="shared" si="10"/>
        <x:v>0</x:v>
      </x:c>
      <x:c r="S218" s="630">
        <x:f t="shared" si="10"/>
        <x:v>0</x:v>
      </x:c>
      <x:c r="T218" s="630">
        <x:f t="shared" si="10"/>
        <x:v>0</x:v>
      </x:c>
      <x:c r="U218" s="630">
        <x:f t="shared" si="10"/>
        <x:v>0</x:v>
      </x:c>
      <x:c r="V218" s="630">
        <x:f t="shared" si="10"/>
        <x:v>0</x:v>
      </x:c>
      <x:c r="W218" s="630">
        <x:f t="shared" si="10"/>
        <x:v>0</x:v>
      </x:c>
      <x:c r="X218" s="630">
        <x:f t="shared" si="10"/>
        <x:v>0</x:v>
      </x:c>
      <x:c r="Y218" s="630">
        <x:f t="shared" si="10"/>
        <x:v>0</x:v>
      </x:c>
      <x:c r="Z218" s="630">
        <x:f t="shared" si="10"/>
        <x:v>0</x:v>
      </x:c>
      <x:c r="AA218" s="630">
        <x:f t="shared" si="10"/>
        <x:v>0</x:v>
      </x:c>
      <x:c r="BN218" s="624"/>
    </x:row>
    <x:row r="219" spans="1:66" x14ac:dyDescent="0.2">
      <x:c r="C219" s="770"/>
      <x:c r="D219" s="768"/>
      <x:c r="E219" s="629" t="s">
        <x:v>73</x:v>
      </x:c>
      <x:c r="F219" s="630">
        <x:f>F136</x:f>
        <x:v>0</x:v>
      </x:c>
      <x:c r="G219" s="627"/>
      <x:c r="H219" s="627"/>
      <x:c r="I219" s="627"/>
      <x:c r="J219" s="627"/>
      <x:c r="K219" s="627"/>
      <x:c r="L219" s="627"/>
      <x:c r="M219" s="627"/>
      <x:c r="N219" s="627"/>
      <x:c r="O219" s="627"/>
      <x:c r="P219" s="627"/>
      <x:c r="Q219" s="627"/>
      <x:c r="R219" s="627"/>
      <x:c r="BN219" s="624"/>
    </x:row>
    <x:row r="220" spans="1:66" ht="15" x14ac:dyDescent="0.25">
      <x:c r="A220" s="625"/>
      <x:c r="C220" s="50"/>
      <x:c r="F220" s="627"/>
      <x:c r="G220" s="627"/>
      <x:c r="H220" s="627"/>
      <x:c r="I220" s="627"/>
      <x:c r="J220" s="627"/>
      <x:c r="K220" s="627"/>
      <x:c r="L220" s="627"/>
      <x:c r="M220" s="627"/>
      <x:c r="N220" s="627"/>
      <x:c r="O220" s="627"/>
      <x:c r="P220" s="627"/>
      <x:c r="Q220" s="627"/>
      <x:c r="R220" s="627"/>
      <x:c r="S220" s="627"/>
      <x:c r="BN220" s="624"/>
    </x:row>
    <x:row r="221" spans="1:66" x14ac:dyDescent="0.2">
      <x:c r="C221" s="771" t="s">
        <x:v>326</x:v>
      </x:c>
      <x:c r="D221" s="768" t="s">
        <x:v>132</x:v>
      </x:c>
      <x:c r="E221" s="654" t="s">
        <x:v>70</x:v>
      </x:c>
      <x:c r="F221" s="655">
        <x:v>0</x:v>
      </x:c>
      <x:c r="G221" s="655">
        <x:v>0</x:v>
      </x:c>
      <x:c r="H221" s="655">
        <x:v>0</x:v>
      </x:c>
      <x:c r="I221" s="655">
        <x:v>0</x:v>
      </x:c>
      <x:c r="J221" s="655">
        <x:v>0</x:v>
      </x:c>
      <x:c r="K221" s="655">
        <x:v>0</x:v>
      </x:c>
      <x:c r="L221" s="655">
        <x:v>0</x:v>
      </x:c>
      <x:c r="M221" s="655">
        <x:v>0</x:v>
      </x:c>
      <x:c r="N221" s="655">
        <x:v>0</x:v>
      </x:c>
      <x:c r="O221" s="655">
        <x:v>0</x:v>
      </x:c>
      <x:c r="P221" s="655">
        <x:v>0</x:v>
      </x:c>
      <x:c r="Q221" s="655">
        <x:v>0</x:v>
      </x:c>
      <x:c r="R221" s="655">
        <x:v>0</x:v>
      </x:c>
      <x:c r="S221" s="655">
        <x:v>0</x:v>
      </x:c>
      <x:c r="T221" s="655">
        <x:v>0</x:v>
      </x:c>
      <x:c r="U221" s="655">
        <x:v>0</x:v>
      </x:c>
      <x:c r="V221" s="655">
        <x:v>0</x:v>
      </x:c>
      <x:c r="W221" s="655">
        <x:v>0</x:v>
      </x:c>
      <x:c r="X221" s="655">
        <x:v>0</x:v>
      </x:c>
      <x:c r="Y221" s="655">
        <x:v>0</x:v>
      </x:c>
      <x:c r="Z221" s="655">
        <x:v>0</x:v>
      </x:c>
      <x:c r="AA221" s="655">
        <x:v>0</x:v>
      </x:c>
      <x:c r="AB221" s="655">
        <x:v>0</x:v>
      </x:c>
      <x:c r="AC221" s="655">
        <x:v>0</x:v>
      </x:c>
      <x:c r="AD221" s="655">
        <x:v>0</x:v>
      </x:c>
      <x:c r="AE221" s="655">
        <x:v>0</x:v>
      </x:c>
      <x:c r="AF221" s="655">
        <x:v>0</x:v>
      </x:c>
      <x:c r="AG221" s="655">
        <x:v>0</x:v>
      </x:c>
      <x:c r="AH221" s="655">
        <x:v>0</x:v>
      </x:c>
      <x:c r="AI221" s="655">
        <x:v>0</x:v>
      </x:c>
      <x:c r="AJ221" s="655">
        <x:v>0</x:v>
      </x:c>
      <x:c r="AK221" s="655">
        <x:v>0</x:v>
      </x:c>
      <x:c r="AL221" s="655">
        <x:v>0</x:v>
      </x:c>
      <x:c r="AM221" s="655">
        <x:v>0</x:v>
      </x:c>
      <x:c r="AN221" s="655">
        <x:v>0</x:v>
      </x:c>
      <x:c r="AO221" s="655">
        <x:v>0</x:v>
      </x:c>
      <x:c r="BN221" s="624"/>
    </x:row>
    <x:row r="222" spans="1:66" x14ac:dyDescent="0.2">
      <x:c r="C222" s="771"/>
      <x:c r="D222" s="768"/>
      <x:c r="E222" s="654" t="s">
        <x:v>73</x:v>
      </x:c>
      <x:c r="F222" s="655">
        <x:v>0</x:v>
      </x:c>
      <x:c r="G222" s="627"/>
      <x:c r="H222" s="627"/>
      <x:c r="I222" s="627"/>
      <x:c r="J222" s="627"/>
      <x:c r="K222" s="627"/>
      <x:c r="L222" s="627"/>
      <x:c r="M222" s="627"/>
      <x:c r="N222" s="627"/>
      <x:c r="O222" s="627"/>
      <x:c r="P222" s="627"/>
      <x:c r="Q222" s="627"/>
      <x:c r="R222" s="627"/>
      <x:c r="S222" s="627"/>
      <x:c r="BN222" s="624"/>
    </x:row>
    <x:row r="223" spans="1:66" x14ac:dyDescent="0.2">
      <x:c r="C223" s="771"/>
      <x:c r="D223" s="768" t="s">
        <x:v>133</x:v>
      </x:c>
      <x:c r="E223" s="656" t="s">
        <x:v>70</x:v>
      </x:c>
      <x:c r="F223" s="657">
        <x:v>0</x:v>
      </x:c>
      <x:c r="G223" s="657">
        <x:v>0</x:v>
      </x:c>
      <x:c r="H223" s="657">
        <x:v>0</x:v>
      </x:c>
      <x:c r="I223" s="657">
        <x:v>0</x:v>
      </x:c>
      <x:c r="J223" s="657">
        <x:v>0</x:v>
      </x:c>
      <x:c r="K223" s="657">
        <x:v>0</x:v>
      </x:c>
      <x:c r="L223" s="657">
        <x:v>0</x:v>
      </x:c>
      <x:c r="M223" s="657">
        <x:v>0</x:v>
      </x:c>
      <x:c r="N223" s="657">
        <x:v>0</x:v>
      </x:c>
      <x:c r="O223" s="657">
        <x:v>0</x:v>
      </x:c>
      <x:c r="P223" s="657">
        <x:v>0</x:v>
      </x:c>
      <x:c r="Q223" s="657">
        <x:v>0</x:v>
      </x:c>
      <x:c r="R223" s="657">
        <x:v>0</x:v>
      </x:c>
      <x:c r="S223" s="657">
        <x:v>0</x:v>
      </x:c>
      <x:c r="T223" s="657">
        <x:v>0</x:v>
      </x:c>
      <x:c r="U223" s="657">
        <x:v>0</x:v>
      </x:c>
      <x:c r="V223" s="657">
        <x:v>0</x:v>
      </x:c>
      <x:c r="W223" s="657">
        <x:v>0</x:v>
      </x:c>
      <x:c r="X223" s="657">
        <x:v>0</x:v>
      </x:c>
      <x:c r="Y223" s="657">
        <x:v>0</x:v>
      </x:c>
      <x:c r="Z223" s="657">
        <x:v>0</x:v>
      </x:c>
      <x:c r="AA223" s="657">
        <x:v>0</x:v>
      </x:c>
      <x:c r="AB223" s="657">
        <x:v>0</x:v>
      </x:c>
      <x:c r="AC223" s="657">
        <x:v>0</x:v>
      </x:c>
      <x:c r="AD223" s="657">
        <x:v>0</x:v>
      </x:c>
      <x:c r="AE223" s="657">
        <x:v>0</x:v>
      </x:c>
      <x:c r="AF223" s="657">
        <x:v>0</x:v>
      </x:c>
      <x:c r="AG223" s="657">
        <x:v>0</x:v>
      </x:c>
      <x:c r="AH223" s="657">
        <x:v>0</x:v>
      </x:c>
      <x:c r="AI223" s="657">
        <x:v>0</x:v>
      </x:c>
      <x:c r="AJ223" s="657">
        <x:v>0</x:v>
      </x:c>
      <x:c r="AK223" s="657">
        <x:v>0</x:v>
      </x:c>
      <x:c r="AL223" s="657">
        <x:v>0</x:v>
      </x:c>
      <x:c r="AM223" s="657">
        <x:v>0</x:v>
      </x:c>
      <x:c r="AN223" s="657">
        <x:v>0</x:v>
      </x:c>
      <x:c r="AO223" s="657">
        <x:v>0</x:v>
      </x:c>
      <x:c r="BN223" s="624"/>
    </x:row>
    <x:row r="224" spans="1:66" x14ac:dyDescent="0.2">
      <x:c r="C224" s="771"/>
      <x:c r="D224" s="768"/>
      <x:c r="E224" s="656" t="s">
        <x:v>73</x:v>
      </x:c>
      <x:c r="F224" s="657">
        <x:v>0</x:v>
      </x:c>
      <x:c r="G224" s="627"/>
      <x:c r="H224" s="627"/>
      <x:c r="I224" s="627"/>
      <x:c r="J224" s="627"/>
      <x:c r="K224" s="627"/>
      <x:c r="L224" s="627"/>
      <x:c r="M224" s="627"/>
      <x:c r="N224" s="627"/>
      <x:c r="O224" s="627"/>
      <x:c r="P224" s="627"/>
      <x:c r="Q224" s="627"/>
      <x:c r="R224" s="627"/>
      <x:c r="BN224" s="624"/>
    </x:row>
    <x:row r="225" spans="1:66" ht="15" x14ac:dyDescent="0.25">
      <x:c r="A225" s="625"/>
      <x:c r="C225" s="50"/>
      <x:c r="F225" s="627"/>
      <x:c r="G225" s="627"/>
      <x:c r="H225" s="627"/>
      <x:c r="I225" s="627"/>
      <x:c r="J225" s="627"/>
      <x:c r="K225" s="627"/>
      <x:c r="L225" s="627"/>
      <x:c r="M225" s="627"/>
      <x:c r="N225" s="627"/>
      <x:c r="O225" s="627"/>
      <x:c r="P225" s="627"/>
      <x:c r="Q225" s="627"/>
      <x:c r="R225" s="627"/>
      <x:c r="S225" s="627"/>
      <x:c r="BN225" s="624"/>
    </x:row>
    <x:row r="226" spans="1:66" x14ac:dyDescent="0.2">
      <x:c r="C226" s="770" t="s">
        <x:v>119</x:v>
      </x:c>
      <x:c r="D226" s="768" t="s">
        <x:v>132</x:v>
      </x:c>
      <x:c r="E226" s="632" t="s">
        <x:v>70</x:v>
      </x:c>
      <x:c r="F226" s="633">
        <x:f>F159+F131+F93-L93-L131</x:f>
        <x:v>0</x:v>
      </x:c>
      <x:c r="G226" s="633">
        <x:f>G131+G93</x:f>
        <x:v>0</x:v>
      </x:c>
      <x:c r="H226" s="633">
        <x:f t="shared" ref="H226:AP226" si="11">H131+H93</x:f>
        <x:v>0</x:v>
      </x:c>
      <x:c r="I226" s="633">
        <x:f t="shared" si="11"/>
        <x:v>0</x:v>
      </x:c>
      <x:c r="J226" s="633">
        <x:f t="shared" si="11"/>
        <x:v>0</x:v>
      </x:c>
      <x:c r="K226" s="633">
        <x:f t="shared" si="11"/>
        <x:v>0</x:v>
      </x:c>
      <x:c r="L226" s="633">
        <x:f t="shared" si="11"/>
        <x:v>0</x:v>
      </x:c>
      <x:c r="M226" s="633">
        <x:f t="shared" si="11"/>
        <x:v>0</x:v>
      </x:c>
      <x:c r="N226" s="633">
        <x:f t="shared" si="11"/>
        <x:v>0</x:v>
      </x:c>
      <x:c r="O226" s="633">
        <x:f t="shared" si="11"/>
        <x:v>0</x:v>
      </x:c>
      <x:c r="P226" s="633">
        <x:f t="shared" si="11"/>
        <x:v>0</x:v>
      </x:c>
      <x:c r="Q226" s="633">
        <x:f t="shared" si="11"/>
        <x:v>0</x:v>
      </x:c>
      <x:c r="R226" s="633">
        <x:f t="shared" si="11"/>
        <x:v>0</x:v>
      </x:c>
      <x:c r="S226" s="633">
        <x:f t="shared" si="11"/>
        <x:v>0</x:v>
      </x:c>
      <x:c r="T226" s="633">
        <x:f t="shared" si="11"/>
        <x:v>0</x:v>
      </x:c>
      <x:c r="U226" s="633">
        <x:f t="shared" si="11"/>
        <x:v>0</x:v>
      </x:c>
      <x:c r="V226" s="633">
        <x:f t="shared" si="11"/>
        <x:v>0</x:v>
      </x:c>
      <x:c r="W226" s="633">
        <x:f t="shared" si="11"/>
        <x:v>0</x:v>
      </x:c>
      <x:c r="X226" s="633">
        <x:f t="shared" si="11"/>
        <x:v>0</x:v>
      </x:c>
      <x:c r="Y226" s="633">
        <x:f t="shared" si="11"/>
        <x:v>0</x:v>
      </x:c>
      <x:c r="Z226" s="633">
        <x:f t="shared" si="11"/>
        <x:v>0</x:v>
      </x:c>
      <x:c r="AA226" s="633">
        <x:f t="shared" si="11"/>
        <x:v>0</x:v>
      </x:c>
      <x:c r="AB226" s="633">
        <x:f t="shared" si="11"/>
        <x:v>0</x:v>
      </x:c>
      <x:c r="AC226" s="633">
        <x:f t="shared" si="11"/>
        <x:v>0</x:v>
      </x:c>
      <x:c r="AD226" s="633">
        <x:f t="shared" si="11"/>
        <x:v>0</x:v>
      </x:c>
      <x:c r="AE226" s="633">
        <x:f t="shared" si="11"/>
        <x:v>0</x:v>
      </x:c>
      <x:c r="AF226" s="633">
        <x:f t="shared" si="11"/>
        <x:v>0</x:v>
      </x:c>
      <x:c r="AG226" s="633">
        <x:f t="shared" si="11"/>
        <x:v>0</x:v>
      </x:c>
      <x:c r="AH226" s="633">
        <x:f t="shared" si="11"/>
        <x:v>0</x:v>
      </x:c>
      <x:c r="AI226" s="633">
        <x:f t="shared" si="11"/>
        <x:v>0</x:v>
      </x:c>
      <x:c r="AJ226" s="633">
        <x:f t="shared" si="11"/>
        <x:v>0</x:v>
      </x:c>
      <x:c r="AK226" s="633">
        <x:f t="shared" si="11"/>
        <x:v>0</x:v>
      </x:c>
      <x:c r="AL226" s="633">
        <x:f t="shared" si="11"/>
        <x:v>0</x:v>
      </x:c>
      <x:c r="AM226" s="633">
        <x:f t="shared" si="11"/>
        <x:v>0</x:v>
      </x:c>
      <x:c r="AN226" s="633">
        <x:f t="shared" si="11"/>
        <x:v>0</x:v>
      </x:c>
      <x:c r="AO226" s="633">
        <x:f t="shared" si="11"/>
        <x:v>0</x:v>
      </x:c>
      <x:c r="AP226" s="633">
        <x:f t="shared" si="11"/>
        <x:v>0</x:v>
      </x:c>
      <x:c r="BN226" s="624"/>
    </x:row>
    <x:row r="227" spans="1:66" x14ac:dyDescent="0.2">
      <x:c r="C227" s="770"/>
      <x:c r="D227" s="768"/>
      <x:c r="E227" s="632" t="s">
        <x:v>73</x:v>
      </x:c>
      <x:c r="F227" s="633">
        <x:f>F159</x:f>
        <x:v>0</x:v>
      </x:c>
      <x:c r="G227" s="627"/>
      <x:c r="H227" s="627"/>
      <x:c r="I227" s="627"/>
      <x:c r="J227" s="627"/>
      <x:c r="K227" s="627"/>
      <x:c r="L227" s="627"/>
      <x:c r="M227" s="627"/>
      <x:c r="N227" s="627"/>
      <x:c r="O227" s="627"/>
      <x:c r="P227" s="627"/>
      <x:c r="Q227" s="627"/>
      <x:c r="R227" s="627"/>
      <x:c r="S227" s="627"/>
      <x:c r="BN227" s="624"/>
    </x:row>
    <x:row r="228" spans="1:66" x14ac:dyDescent="0.2">
      <x:c r="C228" s="770"/>
      <x:c r="D228" s="768" t="s">
        <x:v>133</x:v>
      </x:c>
      <x:c r="E228" s="658" t="s">
        <x:v>70</x:v>
      </x:c>
      <x:c r="F228" s="659">
        <x:f>F141+F106-L106</x:f>
        <x:v>0</x:v>
      </x:c>
      <x:c r="G228" s="659">
        <x:f>G106</x:f>
        <x:v>0</x:v>
      </x:c>
      <x:c r="H228" s="659">
        <x:f t="shared" ref="H228:AP228" si="12">H106</x:f>
        <x:v>0</x:v>
      </x:c>
      <x:c r="I228" s="659">
        <x:f t="shared" si="12"/>
        <x:v>0</x:v>
      </x:c>
      <x:c r="J228" s="659">
        <x:f t="shared" si="12"/>
        <x:v>0</x:v>
      </x:c>
      <x:c r="K228" s="659">
        <x:f t="shared" si="12"/>
        <x:v>0</x:v>
      </x:c>
      <x:c r="L228" s="659">
        <x:f t="shared" si="12"/>
        <x:v>0</x:v>
      </x:c>
      <x:c r="M228" s="659">
        <x:f t="shared" si="12"/>
        <x:v>0</x:v>
      </x:c>
      <x:c r="N228" s="659">
        <x:f t="shared" si="12"/>
        <x:v>0</x:v>
      </x:c>
      <x:c r="O228" s="659">
        <x:f t="shared" si="12"/>
        <x:v>0</x:v>
      </x:c>
      <x:c r="P228" s="659">
        <x:f t="shared" si="12"/>
        <x:v>0</x:v>
      </x:c>
      <x:c r="Q228" s="659">
        <x:f t="shared" si="12"/>
        <x:v>0</x:v>
      </x:c>
      <x:c r="R228" s="659">
        <x:f t="shared" si="12"/>
        <x:v>0</x:v>
      </x:c>
      <x:c r="S228" s="659">
        <x:f t="shared" si="12"/>
        <x:v>0</x:v>
      </x:c>
      <x:c r="T228" s="659">
        <x:f t="shared" si="12"/>
        <x:v>0</x:v>
      </x:c>
      <x:c r="U228" s="659">
        <x:f t="shared" si="12"/>
        <x:v>0</x:v>
      </x:c>
      <x:c r="V228" s="659">
        <x:f t="shared" si="12"/>
        <x:v>0</x:v>
      </x:c>
      <x:c r="W228" s="659">
        <x:f t="shared" si="12"/>
        <x:v>0</x:v>
      </x:c>
      <x:c r="X228" s="659">
        <x:f t="shared" si="12"/>
        <x:v>0</x:v>
      </x:c>
      <x:c r="Y228" s="659">
        <x:f t="shared" si="12"/>
        <x:v>0</x:v>
      </x:c>
      <x:c r="Z228" s="659">
        <x:f t="shared" si="12"/>
        <x:v>0</x:v>
      </x:c>
      <x:c r="AA228" s="659">
        <x:f t="shared" si="12"/>
        <x:v>0</x:v>
      </x:c>
      <x:c r="AB228" s="659">
        <x:f t="shared" si="12"/>
        <x:v>0</x:v>
      </x:c>
      <x:c r="AC228" s="659">
        <x:f t="shared" si="12"/>
        <x:v>0</x:v>
      </x:c>
      <x:c r="AD228" s="659">
        <x:f t="shared" si="12"/>
        <x:v>0</x:v>
      </x:c>
      <x:c r="AE228" s="659">
        <x:f t="shared" si="12"/>
        <x:v>0</x:v>
      </x:c>
      <x:c r="AF228" s="659">
        <x:f t="shared" si="12"/>
        <x:v>0</x:v>
      </x:c>
      <x:c r="AG228" s="659">
        <x:f t="shared" si="12"/>
        <x:v>0</x:v>
      </x:c>
      <x:c r="AH228" s="659">
        <x:f t="shared" si="12"/>
        <x:v>0</x:v>
      </x:c>
      <x:c r="AI228" s="659">
        <x:f t="shared" si="12"/>
        <x:v>0</x:v>
      </x:c>
      <x:c r="AJ228" s="659">
        <x:f t="shared" si="12"/>
        <x:v>0</x:v>
      </x:c>
      <x:c r="AK228" s="659">
        <x:f t="shared" si="12"/>
        <x:v>0</x:v>
      </x:c>
      <x:c r="AL228" s="659">
        <x:f t="shared" si="12"/>
        <x:v>0</x:v>
      </x:c>
      <x:c r="AM228" s="659">
        <x:f t="shared" si="12"/>
        <x:v>0</x:v>
      </x:c>
      <x:c r="AN228" s="659">
        <x:f t="shared" si="12"/>
        <x:v>0</x:v>
      </x:c>
      <x:c r="AO228" s="659">
        <x:f t="shared" si="12"/>
        <x:v>0</x:v>
      </x:c>
      <x:c r="AP228" s="659">
        <x:f t="shared" si="12"/>
        <x:v>0</x:v>
      </x:c>
      <x:c r="BN228" s="624"/>
    </x:row>
    <x:row r="229" spans="1:66" x14ac:dyDescent="0.2">
      <x:c r="C229" s="770"/>
      <x:c r="D229" s="768"/>
      <x:c r="E229" s="658" t="s">
        <x:v>73</x:v>
      </x:c>
      <x:c r="F229" s="659">
        <x:f>F141</x:f>
        <x:v>0</x:v>
      </x:c>
      <x:c r="G229" s="627"/>
      <x:c r="H229" s="627"/>
      <x:c r="I229" s="627"/>
      <x:c r="J229" s="627"/>
      <x:c r="K229" s="627"/>
      <x:c r="L229" s="627"/>
      <x:c r="M229" s="627"/>
      <x:c r="N229" s="627"/>
      <x:c r="O229" s="627"/>
      <x:c r="P229" s="627"/>
      <x:c r="Q229" s="627"/>
      <x:c r="R229" s="627"/>
      <x:c r="BN229" s="624"/>
    </x:row>
    <x:row r="230" spans="1:66" ht="15" x14ac:dyDescent="0.25">
      <x:c r="A230" s="625"/>
      <x:c r="C230" s="50"/>
      <x:c r="F230" s="627"/>
      <x:c r="G230" s="627"/>
      <x:c r="H230" s="627"/>
      <x:c r="I230" s="627"/>
      <x:c r="J230" s="627"/>
      <x:c r="K230" s="627"/>
      <x:c r="L230" s="627"/>
      <x:c r="M230" s="627"/>
      <x:c r="N230" s="627"/>
      <x:c r="O230" s="627"/>
      <x:c r="P230" s="627"/>
      <x:c r="Q230" s="627"/>
      <x:c r="R230" s="627"/>
      <x:c r="S230" s="627"/>
      <x:c r="BN230" s="624"/>
    </x:row>
    <x:row r="231" spans="1:66" x14ac:dyDescent="0.2">
      <x:c r="C231" s="769" t="s">
        <x:v>161</x:v>
      </x:c>
      <x:c r="D231" s="768" t="s">
        <x:v>132</x:v>
      </x:c>
      <x:c r="E231" s="661" t="s">
        <x:v>70</x:v>
      </x:c>
      <x:c r="F231" s="662">
        <x:v>0</x:v>
      </x:c>
      <x:c r="G231" s="662">
        <x:v>0</x:v>
      </x:c>
      <x:c r="H231" s="662">
        <x:v>0</x:v>
      </x:c>
      <x:c r="I231" s="662">
        <x:v>0</x:v>
      </x:c>
      <x:c r="J231" s="662">
        <x:v>0</x:v>
      </x:c>
      <x:c r="K231" s="662">
        <x:v>0</x:v>
      </x:c>
      <x:c r="L231" s="662">
        <x:v>0</x:v>
      </x:c>
      <x:c r="M231" s="662">
        <x:v>0</x:v>
      </x:c>
      <x:c r="N231" s="662">
        <x:v>0</x:v>
      </x:c>
      <x:c r="O231" s="662">
        <x:v>0</x:v>
      </x:c>
      <x:c r="P231" s="662">
        <x:v>0</x:v>
      </x:c>
      <x:c r="Q231" s="662">
        <x:v>0</x:v>
      </x:c>
      <x:c r="R231" s="662">
        <x:v>0</x:v>
      </x:c>
      <x:c r="S231" s="662">
        <x:v>0</x:v>
      </x:c>
      <x:c r="T231" s="662">
        <x:v>0</x:v>
      </x:c>
      <x:c r="U231" s="662">
        <x:v>0</x:v>
      </x:c>
      <x:c r="V231" s="662">
        <x:v>0</x:v>
      </x:c>
      <x:c r="W231" s="662">
        <x:v>0</x:v>
      </x:c>
      <x:c r="X231" s="662">
        <x:v>0</x:v>
      </x:c>
      <x:c r="Y231" s="662"/>
      <x:c r="Z231" s="662">
        <x:v>0</x:v>
      </x:c>
      <x:c r="AA231" s="662">
        <x:v>0</x:v>
      </x:c>
      <x:c r="AB231" s="662">
        <x:v>0</x:v>
      </x:c>
      <x:c r="AC231" s="662">
        <x:v>0</x:v>
      </x:c>
      <x:c r="AD231" s="662">
        <x:v>0</x:v>
      </x:c>
      <x:c r="AE231" s="662">
        <x:v>0</x:v>
      </x:c>
      <x:c r="AF231" s="662">
        <x:v>0</x:v>
      </x:c>
      <x:c r="AG231" s="662">
        <x:v>0</x:v>
      </x:c>
      <x:c r="AH231" s="662">
        <x:v>0</x:v>
      </x:c>
      <x:c r="AI231" s="662">
        <x:v>0</x:v>
      </x:c>
      <x:c r="AJ231" s="662">
        <x:v>0</x:v>
      </x:c>
      <x:c r="AK231" s="662">
        <x:v>0</x:v>
      </x:c>
      <x:c r="AL231" s="662">
        <x:v>0</x:v>
      </x:c>
      <x:c r="AM231" s="662">
        <x:v>0</x:v>
      </x:c>
      <x:c r="AN231" s="662">
        <x:v>0</x:v>
      </x:c>
      <x:c r="AO231" s="662">
        <x:v>0</x:v>
      </x:c>
      <x:c r="AP231" s="662">
        <x:v>0</x:v>
      </x:c>
      <x:c r="BN231" s="624"/>
    </x:row>
    <x:row r="232" spans="1:66" x14ac:dyDescent="0.2">
      <x:c r="C232" s="769"/>
      <x:c r="D232" s="768"/>
      <x:c r="E232" s="661" t="s">
        <x:v>73</x:v>
      </x:c>
      <x:c r="F232" s="662">
        <x:v>0</x:v>
      </x:c>
      <x:c r="G232" s="627"/>
      <x:c r="H232" s="627"/>
      <x:c r="I232" s="627"/>
      <x:c r="J232" s="627"/>
      <x:c r="K232" s="627"/>
      <x:c r="L232" s="627"/>
      <x:c r="M232" s="627"/>
      <x:c r="N232" s="627"/>
      <x:c r="O232" s="627"/>
      <x:c r="P232" s="627"/>
      <x:c r="Q232" s="627"/>
      <x:c r="R232" s="627"/>
      <x:c r="S232" s="627"/>
      <x:c r="BN232" s="624"/>
    </x:row>
    <x:row r="233" spans="1:66" x14ac:dyDescent="0.2">
      <x:c r="C233" s="769"/>
      <x:c r="E233" s="663" t="s">
        <x:v>70</x:v>
      </x:c>
      <x:c r="F233" s="664">
        <x:v>0</x:v>
      </x:c>
      <x:c r="G233" s="664">
        <x:v>0</x:v>
      </x:c>
      <x:c r="H233" s="664">
        <x:v>0</x:v>
      </x:c>
      <x:c r="I233" s="664">
        <x:v>0</x:v>
      </x:c>
      <x:c r="J233" s="664">
        <x:v>0</x:v>
      </x:c>
      <x:c r="K233" s="664">
        <x:v>0</x:v>
      </x:c>
      <x:c r="L233" s="664">
        <x:v>0</x:v>
      </x:c>
      <x:c r="M233" s="664">
        <x:v>0</x:v>
      </x:c>
      <x:c r="N233" s="664">
        <x:v>0</x:v>
      </x:c>
      <x:c r="O233" s="664">
        <x:v>0</x:v>
      </x:c>
      <x:c r="P233" s="664">
        <x:v>0</x:v>
      </x:c>
      <x:c r="Q233" s="664">
        <x:v>0</x:v>
      </x:c>
      <x:c r="R233" s="664">
        <x:v>0</x:v>
      </x:c>
      <x:c r="S233" s="664">
        <x:v>0</x:v>
      </x:c>
      <x:c r="T233" s="664">
        <x:v>0</x:v>
      </x:c>
      <x:c r="U233" s="664">
        <x:v>0</x:v>
      </x:c>
      <x:c r="V233" s="664">
        <x:v>0</x:v>
      </x:c>
      <x:c r="W233" s="664">
        <x:v>0</x:v>
      </x:c>
      <x:c r="X233" s="664">
        <x:v>0</x:v>
      </x:c>
      <x:c r="Y233" s="664">
        <x:v>0</x:v>
      </x:c>
      <x:c r="Z233" s="664">
        <x:v>0</x:v>
      </x:c>
      <x:c r="AA233" s="664">
        <x:v>0</x:v>
      </x:c>
      <x:c r="BN233" s="624"/>
    </x:row>
    <x:row r="234" spans="1:66" x14ac:dyDescent="0.2">
      <x:c r="C234" s="769"/>
      <x:c r="D234" s="644" t="s">
        <x:v>132</x:v>
      </x:c>
      <x:c r="E234" s="663" t="s">
        <x:v>73</x:v>
      </x:c>
      <x:c r="F234" s="664">
        <x:v>0</x:v>
      </x:c>
      <x:c r="G234" s="627"/>
      <x:c r="H234" s="627"/>
      <x:c r="I234" s="627"/>
      <x:c r="J234" s="627"/>
      <x:c r="K234" s="627"/>
      <x:c r="L234" s="627"/>
      <x:c r="M234" s="627"/>
      <x:c r="N234" s="627"/>
      <x:c r="O234" s="627"/>
      <x:c r="P234" s="627"/>
      <x:c r="Q234" s="627"/>
      <x:c r="R234" s="627"/>
      <x:c r="BN234" s="624"/>
    </x:row>
    <x:row r="235" spans="1:66" ht="15" x14ac:dyDescent="0.2">
      <x:c r="C235" s="660"/>
      <x:c r="D235" s="644"/>
      <x:c r="E235" s="625"/>
      <x:c r="F235" s="627"/>
      <x:c r="G235" s="627"/>
      <x:c r="H235" s="627"/>
      <x:c r="I235" s="627"/>
      <x:c r="J235" s="627"/>
      <x:c r="K235" s="627"/>
      <x:c r="L235" s="627"/>
      <x:c r="M235" s="627"/>
      <x:c r="N235" s="627"/>
      <x:c r="O235" s="627"/>
      <x:c r="P235" s="627"/>
      <x:c r="Q235" s="627"/>
      <x:c r="R235" s="627"/>
      <x:c r="BN235" s="624"/>
    </x:row>
    <x:row r="236" spans="1:66" x14ac:dyDescent="0.2">
      <x:c r="D236" s="634" t="s">
        <x:v>185</x:v>
      </x:c>
      <x:c r="E236" s="665" t="s">
        <x:v>70</x:v>
      </x:c>
      <x:c r="F236" s="666">
        <x:f t="shared" ref="F236:AA236" si="13">F94</x:f>
        <x:v>0</x:v>
      </x:c>
      <x:c r="G236" s="666">
        <x:f t="shared" si="13"/>
        <x:v>0</x:v>
      </x:c>
      <x:c r="H236" s="666">
        <x:f t="shared" si="13"/>
        <x:v>0</x:v>
      </x:c>
      <x:c r="I236" s="666">
        <x:f t="shared" si="13"/>
        <x:v>0</x:v>
      </x:c>
      <x:c r="J236" s="666">
        <x:f t="shared" si="13"/>
        <x:v>0</x:v>
      </x:c>
      <x:c r="K236" s="666">
        <x:f t="shared" si="13"/>
        <x:v>0</x:v>
      </x:c>
      <x:c r="L236" s="666">
        <x:f t="shared" si="13"/>
        <x:v>0</x:v>
      </x:c>
      <x:c r="M236" s="666">
        <x:f t="shared" si="13"/>
        <x:v>0</x:v>
      </x:c>
      <x:c r="N236" s="666">
        <x:f t="shared" si="13"/>
        <x:v>0</x:v>
      </x:c>
      <x:c r="O236" s="666">
        <x:f t="shared" si="13"/>
        <x:v>0</x:v>
      </x:c>
      <x:c r="P236" s="666">
        <x:f t="shared" si="13"/>
        <x:v>0</x:v>
      </x:c>
      <x:c r="Q236" s="666">
        <x:f t="shared" si="13"/>
        <x:v>0</x:v>
      </x:c>
      <x:c r="R236" s="666">
        <x:f t="shared" si="13"/>
        <x:v>0</x:v>
      </x:c>
      <x:c r="S236" s="666">
        <x:f t="shared" si="13"/>
        <x:v>0</x:v>
      </x:c>
      <x:c r="T236" s="666">
        <x:f t="shared" si="13"/>
        <x:v>0</x:v>
      </x:c>
      <x:c r="U236" s="666">
        <x:f t="shared" si="13"/>
        <x:v>0</x:v>
      </x:c>
      <x:c r="V236" s="666">
        <x:f t="shared" si="13"/>
        <x:v>0</x:v>
      </x:c>
      <x:c r="W236" s="666">
        <x:f t="shared" si="13"/>
        <x:v>0</x:v>
      </x:c>
      <x:c r="X236" s="666">
        <x:f t="shared" si="13"/>
        <x:v>0</x:v>
      </x:c>
      <x:c r="Y236" s="666">
        <x:f t="shared" si="13"/>
        <x:v>0</x:v>
      </x:c>
      <x:c r="Z236" s="666">
        <x:f t="shared" si="13"/>
        <x:v>0</x:v>
      </x:c>
      <x:c r="AA236" s="666">
        <x:f t="shared" si="13"/>
        <x:v>0</x:v>
      </x:c>
      <x:c r="BN236" s="624"/>
    </x:row>
    <x:row r="237" spans="1:66" ht="15" x14ac:dyDescent="0.2">
      <x:c r="C237" s="660"/>
      <x:c r="D237" s="644"/>
      <x:c r="E237" s="625"/>
      <x:c r="F237" s="627"/>
      <x:c r="G237" s="627"/>
      <x:c r="H237" s="627"/>
      <x:c r="I237" s="627"/>
      <x:c r="J237" s="627"/>
      <x:c r="K237" s="627"/>
      <x:c r="L237" s="627"/>
      <x:c r="M237" s="627"/>
      <x:c r="N237" s="627"/>
      <x:c r="O237" s="627"/>
      <x:c r="P237" s="627"/>
      <x:c r="Q237" s="627"/>
      <x:c r="R237" s="627"/>
      <x:c r="BN237" s="624"/>
    </x:row>
    <x:row r="238" spans="1:66" x14ac:dyDescent="0.2">
      <x:c r="A238" s="624"/>
      <x:c r="B238" s="624"/>
      <x:c r="C238" s="624"/>
      <x:c r="D238" s="624"/>
      <x:c r="E238" s="624"/>
      <x:c r="F238" s="624"/>
      <x:c r="G238" s="624"/>
      <x:c r="H238" s="624"/>
      <x:c r="I238" s="624"/>
      <x:c r="J238" s="624"/>
      <x:c r="K238" s="624"/>
      <x:c r="L238" s="624"/>
      <x:c r="M238" s="624"/>
      <x:c r="N238" s="624"/>
      <x:c r="O238" s="624"/>
      <x:c r="P238" s="624"/>
      <x:c r="Q238" s="624"/>
      <x:c r="R238" s="624"/>
      <x:c r="S238" s="624"/>
      <x:c r="T238" s="624"/>
      <x:c r="U238" s="624"/>
      <x:c r="V238" s="624"/>
      <x:c r="W238" s="624"/>
      <x:c r="X238" s="624"/>
      <x:c r="Y238" s="624"/>
      <x:c r="Z238" s="624"/>
      <x:c r="AA238" s="624"/>
      <x:c r="AB238" s="624"/>
      <x:c r="AC238" s="624"/>
      <x:c r="AD238" s="624"/>
      <x:c r="AE238" s="624"/>
      <x:c r="AF238" s="624"/>
      <x:c r="AG238" s="624"/>
      <x:c r="AH238" s="624"/>
      <x:c r="AI238" s="624"/>
      <x:c r="AJ238" s="624"/>
      <x:c r="AK238" s="624"/>
      <x:c r="AL238" s="624"/>
      <x:c r="AM238" s="624"/>
      <x:c r="AN238" s="624"/>
      <x:c r="AO238" s="624"/>
      <x:c r="AP238" s="624"/>
      <x:c r="AQ238" s="624"/>
      <x:c r="AR238" s="624"/>
      <x:c r="AS238" s="624"/>
      <x:c r="AT238" s="624"/>
      <x:c r="AU238" s="624"/>
      <x:c r="AV238" s="624"/>
      <x:c r="AW238" s="624"/>
      <x:c r="AX238" s="624"/>
      <x:c r="AY238" s="624"/>
      <x:c r="AZ238" s="624"/>
      <x:c r="BA238" s="624"/>
      <x:c r="BB238" s="624"/>
      <x:c r="BC238" s="624"/>
      <x:c r="BD238" s="624"/>
      <x:c r="BE238" s="624"/>
      <x:c r="BF238" s="624"/>
      <x:c r="BG238" s="624"/>
      <x:c r="BH238" s="624"/>
      <x:c r="BI238" s="624"/>
      <x:c r="BJ238" s="624"/>
      <x:c r="BK238" s="624"/>
      <x:c r="BL238" s="624"/>
      <x:c r="BM238" s="624"/>
      <x:c r="BN238" s="624"/>
    </x:row>
    <x:row r="239" spans="1:66" ht="15" x14ac:dyDescent="0.25">
      <x:c r="A239" s="625"/>
      <x:c r="B239" s="50" t="s">
        <x:v>76</x:v>
      </x:c>
      <x:c r="E239" s="627"/>
      <x:c r="F239" s="627"/>
      <x:c r="G239" s="627"/>
      <x:c r="H239" s="627"/>
      <x:c r="I239" s="627"/>
      <x:c r="J239" s="627"/>
      <x:c r="K239" s="627"/>
      <x:c r="L239" s="627"/>
      <x:c r="M239" s="627"/>
      <x:c r="N239" s="627"/>
      <x:c r="O239" s="627"/>
      <x:c r="P239" s="627"/>
      <x:c r="Q239" s="627"/>
      <x:c r="BN239" s="624"/>
    </x:row>
    <x:row r="240" spans="1:66" s="50" customFormat="1" ht="30" x14ac:dyDescent="0.25">
      <x:c r="F240" s="669" t="s">
        <x:v>70</x:v>
      </x:c>
      <x:c r="G240" s="669" t="s">
        <x:v>64</x:v>
      </x:c>
      <x:c r="H240" s="669" t="s">
        <x:v>65</x:v>
      </x:c>
      <x:c r="I240" s="626" t="s">
        <x:v>164</x:v>
      </x:c>
      <x:c r="J240" s="669" t="s">
        <x:v>69</x:v>
      </x:c>
      <x:c r="K240" s="669" t="s">
        <x:v>68</x:v>
      </x:c>
      <x:c r="L240" s="669" t="s">
        <x:v>71</x:v>
      </x:c>
      <x:c r="M240" s="669" t="s">
        <x:v>66</x:v>
      </x:c>
      <x:c r="N240" s="669" t="s">
        <x:v>63</x:v>
      </x:c>
      <x:c r="O240" s="669" t="s">
        <x:v>61</x:v>
      </x:c>
      <x:c r="P240" s="669" t="s">
        <x:v>62</x:v>
      </x:c>
      <x:c r="Q240" s="669" t="s">
        <x:v>67</x:v>
      </x:c>
      <x:c r="R240" s="669" t="s">
        <x:v>77</x:v>
      </x:c>
      <x:c r="S240" s="669" t="s">
        <x:v>80</x:v>
      </x:c>
      <x:c r="T240" s="669" t="s">
        <x:v>135</x:v>
      </x:c>
      <x:c r="U240" s="669" t="s">
        <x:v>172</x:v>
      </x:c>
      <x:c r="V240" s="669" t="s">
        <x:v>223</x:v>
      </x:c>
      <x:c r="W240" s="669" t="s">
        <x:v>172</x:v>
      </x:c>
      <x:c r="X240" s="50" t="s">
        <x:v>172</x:v>
      </x:c>
      <x:c r="Y240" s="669" t="s">
        <x:v>135</x:v>
      </x:c>
      <x:c r="Z240" s="669" t="s">
        <x:v>166</x:v>
      </x:c>
      <x:c r="BN240" s="618"/>
    </x:row>
    <x:row r="241" spans="1:66" x14ac:dyDescent="0.2">
      <x:c r="A241"/>
      <x:c r="B241"/>
      <x:c r="C241"/>
      <x:c r="D241"/>
      <x:c r="E241" s="625" t="inlineStr">
        <x:is>
          <x:t>Vlr Servicio</x:t>
        </x:is>
      </x:c>
      <x:c r="F241" s="627" t="n">
        <x:v>-16458.46</x:v>
      </x:c>
      <x:c r="G241" s="627" t="n">
        <x:v>-1490.88</x:v>
      </x:c>
      <x:c r="H241" s="627" t="n">
        <x:v>-633.39</x:v>
      </x:c>
      <x:c r="I241" s="627" t="n">
        <x:v>-276.6</x:v>
      </x:c>
      <x:c r="J241" s="627" t="n">
        <x:v>-3142.56</x:v>
      </x:c>
      <x:c r="K241" s="627" t="n">
        <x:v>-129.48</x:v>
      </x:c>
      <x:c r="L241" s="627" t="n">
        <x:v>0</x:v>
      </x:c>
      <x:c r="M241" s="627" t="n">
        <x:v>-1135.68</x:v>
      </x:c>
      <x:c r="N241" s="627" t="n">
        <x:v>-1423.48</x:v>
      </x:c>
      <x:c r="O241" s="627" t="n">
        <x:v>-4781.43</x:v>
      </x:c>
      <x:c r="P241" s="627" t="n">
        <x:v>-3233.73</x:v>
      </x:c>
      <x:c r="Q241" s="627" t="n">
        <x:v>-211.23</x:v>
      </x:c>
      <x:c r="R241" s="627" t="n">
        <x:v>0</x:v>
      </x:c>
      <x:c r="S241" s="627" t="n">
        <x:v>0</x:v>
      </x:c>
      <x:c r="T241" s="653" t="n">
        <x:v>0</x:v>
      </x:c>
      <x:c r="U241" s="653">
        <x:v>0</x:v>
      </x:c>
      <x:c r="V241" s="653">
        <x:v>0</x:v>
      </x:c>
      <x:c r="W241" s="653">
        <x:v>0</x:v>
      </x:c>
      <x:c r="X241" s="653">
        <x:v>0</x:v>
      </x:c>
      <x:c r="Y241" s="653">
        <x:v>0</x:v>
      </x:c>
      <x:c r="Z241" s="653">
        <x:v>0</x:v>
      </x:c>
      <x:c r="BN241" s="624"/>
    </x:row>
    <x:row r="242" spans="1:66" x14ac:dyDescent="0.2">
      <x:c r="A242"/>
      <x:c r="B242"/>
      <x:c r="C242"/>
      <x:c r="D242" s="25" t="inlineStr">
        <x:is>
          <x:t>O</x:t>
        </x:is>
      </x:c>
      <x:c r="E242" s="625" t="inlineStr">
        <x:is>
          <x:t>Total</x:t>
        </x:is>
      </x:c>
      <x:c r="F242" s="627" t="n">
        <x:v>-16458.46</x:v>
      </x:c>
      <x:c r="G242" s="627" t="n">
        <x:v>-1490.88</x:v>
      </x:c>
      <x:c r="H242" s="627" t="n">
        <x:v>-633.39</x:v>
      </x:c>
      <x:c r="I242" s="627" t="n">
        <x:v>-276.6</x:v>
      </x:c>
      <x:c r="J242" s="627" t="n">
        <x:v>-3142.56</x:v>
      </x:c>
      <x:c r="K242" s="627" t="n">
        <x:v>-129.48</x:v>
      </x:c>
      <x:c r="L242" s="627" t="n">
        <x:v>0</x:v>
      </x:c>
      <x:c r="M242" s="627" t="n">
        <x:v>-1135.68</x:v>
      </x:c>
      <x:c r="N242" s="627" t="n">
        <x:v>-1423.48</x:v>
      </x:c>
      <x:c r="O242" s="627" t="n">
        <x:v>-4781.43</x:v>
      </x:c>
      <x:c r="P242" s="627" t="n">
        <x:v>-3233.73</x:v>
      </x:c>
      <x:c r="Q242" s="627" t="n">
        <x:v>-211.23</x:v>
      </x:c>
      <x:c r="R242" s="627" t="n">
        <x:v>0</x:v>
      </x:c>
      <x:c r="S242" s="627" t="n">
        <x:v>0</x:v>
      </x:c>
      <x:c r="T242" s="653" t="n">
        <x:v>0</x:v>
      </x:c>
      <x:c r="U242" s="653">
        <x:v>0</x:v>
      </x:c>
      <x:c r="V242" s="653">
        <x:v>0</x:v>
      </x:c>
      <x:c r="W242" s="653">
        <x:v>0</x:v>
      </x:c>
      <x:c r="X242" s="653">
        <x:v>0</x:v>
      </x:c>
      <x:c r="Y242" s="653">
        <x:v>0</x:v>
      </x:c>
      <x:c r="Z242" s="653">
        <x:v>0</x:v>
      </x:c>
      <x:c r="BN242" s="624"/>
    </x:row>
    <x:row r="243" spans="1:66" x14ac:dyDescent="0.2">
      <x:c r="A243" s="631"/>
      <x:c r="B243" s="631"/>
      <x:c r="C243" s="632" t="inlineStr">
        <x:is>
          <x:t>OCCIDENTE</x:t>
        </x:is>
      </x:c>
      <x:c r="D243" s="632" t="inlineStr">
        <x:is>
          <x:t>Total</x:t>
        </x:is>
      </x:c>
      <x:c r="E243" s="631"/>
      <x:c r="F243" s="633" t="n">
        <x:v>-16458.46</x:v>
      </x:c>
      <x:c r="G243" s="633" t="n">
        <x:v>-1490.88</x:v>
      </x:c>
      <x:c r="H243" s="633" t="n">
        <x:v>-633.39</x:v>
      </x:c>
      <x:c r="I243" s="633" t="n">
        <x:v>-276.6</x:v>
      </x:c>
      <x:c r="J243" s="633" t="n">
        <x:v>-3142.56</x:v>
      </x:c>
      <x:c r="K243" s="633" t="n">
        <x:v>-129.48</x:v>
      </x:c>
      <x:c r="L243" s="633" t="n">
        <x:v>0</x:v>
      </x:c>
      <x:c r="M243" s="633" t="n">
        <x:v>-1135.68</x:v>
      </x:c>
      <x:c r="N243" s="633" t="n">
        <x:v>-1423.48</x:v>
      </x:c>
      <x:c r="O243" s="633" t="n">
        <x:v>-4781.43</x:v>
      </x:c>
      <x:c r="P243" s="633" t="n">
        <x:v>-3233.73</x:v>
      </x:c>
      <x:c r="Q243" s="633" t="n">
        <x:v>-211.23</x:v>
      </x:c>
      <x:c r="R243" s="633" t="n">
        <x:v>0</x:v>
      </x:c>
      <x:c r="S243" s="633" t="n">
        <x:v>0</x:v>
      </x:c>
      <x:c r="T243" s="633" t="n">
        <x:v>0</x:v>
      </x:c>
      <x:c r="U243" s="633">
        <x:v>0</x:v>
      </x:c>
      <x:c r="V243" s="633">
        <x:v>0</x:v>
      </x:c>
      <x:c r="W243" s="633">
        <x:v>0</x:v>
      </x:c>
      <x:c r="X243" s="633">
        <x:v>0</x:v>
      </x:c>
      <x:c r="Y243" s="633">
        <x:v>0</x:v>
      </x:c>
      <x:c r="Z243" s="633">
        <x:v>0</x:v>
      </x:c>
      <x:c r="AA243" s="631"/>
      <x:c r="AB243" s="631"/>
      <x:c r="AC243" s="631"/>
      <x:c r="AD243" s="631"/>
      <x:c r="AE243" s="631"/>
      <x:c r="AF243" s="631"/>
      <x:c r="AG243" s="631"/>
      <x:c r="AH243" s="631"/>
      <x:c r="AI243" s="631"/>
      <x:c r="AJ243" s="631"/>
      <x:c r="AK243" s="631"/>
      <x:c r="AL243" s="631"/>
      <x:c r="AM243" s="631"/>
      <x:c r="AN243" s="631"/>
      <x:c r="AO243" s="631"/>
      <x:c r="AP243" s="631"/>
      <x:c r="AQ243" s="631"/>
      <x:c r="AR243" s="631"/>
      <x:c r="AS243" s="631"/>
      <x:c r="AT243" s="631"/>
      <x:c r="AU243" s="631"/>
      <x:c r="AV243" s="631"/>
      <x:c r="AW243" s="631"/>
      <x:c r="AX243" s="631"/>
      <x:c r="AY243" s="631"/>
      <x:c r="AZ243" s="631"/>
      <x:c r="BA243" s="631"/>
      <x:c r="BB243" s="631"/>
      <x:c r="BC243" s="631"/>
      <x:c r="BD243" s="631"/>
      <x:c r="BE243" s="631"/>
      <x:c r="BF243" s="631"/>
      <x:c r="BG243" s="631"/>
      <x:c r="BH243" s="631"/>
      <x:c r="BI243" s="631"/>
      <x:c r="BJ243" s="631"/>
      <x:c r="BK243" s="631"/>
      <x:c r="BL243" s="631"/>
      <x:c r="BM243" s="631"/>
      <x:c r="BN243" s="624"/>
    </x:row>
    <x:row r="244" spans="1:66" x14ac:dyDescent="0.2">
      <x:c r="A244"/>
      <x:c r="B244" s="25" t="inlineStr">
        <x:is>
          <x:t>Mes</x:t>
        </x:is>
      </x:c>
      <x:c r="C244" s="25" t="inlineStr">
        <x:is>
          <x:t>Total</x:t>
        </x:is>
      </x:c>
      <x:c r="D244"/>
      <x:c r="E244" s="625"/>
      <x:c r="F244" s="627" t="n">
        <x:v>-16458.46</x:v>
      </x:c>
      <x:c r="G244" s="627" t="n">
        <x:v>-1490.88</x:v>
      </x:c>
      <x:c r="H244" s="627" t="n">
        <x:v>-633.39</x:v>
      </x:c>
      <x:c r="I244" s="627" t="n">
        <x:v>-276.6</x:v>
      </x:c>
      <x:c r="J244" s="627" t="n">
        <x:v>-3142.56</x:v>
      </x:c>
      <x:c r="K244" s="627" t="n">
        <x:v>-129.48</x:v>
      </x:c>
      <x:c r="L244" s="627" t="n">
        <x:v>0</x:v>
      </x:c>
      <x:c r="M244" s="627" t="n">
        <x:v>-1135.68</x:v>
      </x:c>
      <x:c r="N244" s="627" t="n">
        <x:v>-1423.48</x:v>
      </x:c>
      <x:c r="O244" s="627" t="n">
        <x:v>-4781.43</x:v>
      </x:c>
      <x:c r="P244" s="627" t="n">
        <x:v>-3233.73</x:v>
      </x:c>
      <x:c r="Q244" s="627" t="n">
        <x:v>-211.23</x:v>
      </x:c>
      <x:c r="R244" s="627" t="n">
        <x:v>0</x:v>
      </x:c>
      <x:c r="S244" s="627" t="n">
        <x:v>0</x:v>
      </x:c>
      <x:c r="T244" s="653" t="n">
        <x:v>0</x:v>
      </x:c>
      <x:c r="U244" s="653">
        <x:v>0</x:v>
      </x:c>
      <x:c r="V244" s="653">
        <x:v>0</x:v>
      </x:c>
      <x:c r="W244" s="653">
        <x:v>0</x:v>
      </x:c>
      <x:c r="X244" s="653">
        <x:v>0</x:v>
      </x:c>
      <x:c r="Y244" s="653">
        <x:v>0</x:v>
      </x:c>
      <x:c r="Z244" s="653">
        <x:v>0</x:v>
      </x:c>
      <x:c r="BN244" s="624"/>
    </x:row>
    <x:row r="245" spans="1:66" x14ac:dyDescent="0.2">
      <x:c r="A245" s="634" t="inlineStr">
        <x:is>
          <x:t>AFaseo</x:t>
        </x:is>
      </x:c>
      <x:c r="B245" s="634" t="inlineStr">
        <x:is>
          <x:t>Total</x:t>
        </x:is>
      </x:c>
      <x:c r="C245" s="634"/>
      <x:c r="D245" s="634"/>
      <x:c r="E245" s="634"/>
      <x:c r="F245" s="670" t="n">
        <x:v>-16458.46</x:v>
      </x:c>
      <x:c r="G245" s="670" t="n">
        <x:v>-1490.88</x:v>
      </x:c>
      <x:c r="H245" s="670" t="n">
        <x:v>-633.39</x:v>
      </x:c>
      <x:c r="I245" s="670" t="n">
        <x:v>-276.6</x:v>
      </x:c>
      <x:c r="J245" s="670" t="n">
        <x:v>-3142.56</x:v>
      </x:c>
      <x:c r="K245" s="670" t="n">
        <x:v>-129.48</x:v>
      </x:c>
      <x:c r="L245" s="670" t="n">
        <x:v>0</x:v>
      </x:c>
      <x:c r="M245" s="670" t="n">
        <x:v>-1135.68</x:v>
      </x:c>
      <x:c r="N245" s="670" t="n">
        <x:v>-1423.48</x:v>
      </x:c>
      <x:c r="O245" s="670" t="n">
        <x:v>-4781.43</x:v>
      </x:c>
      <x:c r="P245" s="670" t="n">
        <x:v>-3233.73</x:v>
      </x:c>
      <x:c r="Q245" s="670" t="n">
        <x:v>-211.23</x:v>
      </x:c>
      <x:c r="R245" s="670" t="n">
        <x:v>0</x:v>
      </x:c>
      <x:c r="S245" s="670" t="n">
        <x:v>0</x:v>
      </x:c>
      <x:c r="T245" s="670" t="n">
        <x:v>0</x:v>
      </x:c>
      <x:c r="U245" s="670">
        <x:v>0</x:v>
      </x:c>
      <x:c r="V245" s="670">
        <x:v>0</x:v>
      </x:c>
      <x:c r="W245" s="670">
        <x:v>0</x:v>
      </x:c>
      <x:c r="X245" s="670">
        <x:v>0</x:v>
      </x:c>
      <x:c r="Y245" s="670">
        <x:v>0</x:v>
      </x:c>
      <x:c r="Z245" s="670">
        <x:v>0</x:v>
      </x:c>
      <x:c r="AA245" s="634"/>
      <x:c r="AB245" s="634"/>
      <x:c r="AC245" s="634"/>
      <x:c r="AD245" s="634"/>
      <x:c r="AE245" s="634"/>
      <x:c r="AF245" s="634"/>
      <x:c r="AG245" s="634"/>
      <x:c r="AH245" s="634"/>
      <x:c r="AI245" s="634"/>
      <x:c r="AJ245" s="634"/>
      <x:c r="AK245" s="634"/>
      <x:c r="AL245" s="634"/>
      <x:c r="AM245" s="634"/>
      <x:c r="AN245" s="634"/>
      <x:c r="AO245" s="634"/>
      <x:c r="AP245" s="634"/>
      <x:c r="AQ245" s="634"/>
      <x:c r="AR245" s="634"/>
      <x:c r="AS245" s="634"/>
      <x:c r="AT245" s="634"/>
      <x:c r="AU245" s="634"/>
      <x:c r="AV245" s="634"/>
      <x:c r="AW245" s="634"/>
      <x:c r="AX245" s="634"/>
      <x:c r="AY245" s="634"/>
      <x:c r="AZ245" s="634"/>
      <x:c r="BA245" s="634"/>
      <x:c r="BB245" s="634"/>
      <x:c r="BC245" s="634"/>
      <x:c r="BD245" s="634"/>
      <x:c r="BE245" s="634"/>
      <x:c r="BF245" s="634"/>
      <x:c r="BG245" s="634"/>
      <x:c r="BH245" s="634"/>
      <x:c r="BI245" s="634"/>
      <x:c r="BJ245" s="634"/>
      <x:c r="BK245" s="634"/>
      <x:c r="BL245" s="634"/>
      <x:c r="BM245" s="634"/>
      <x:c r="BN245" s="624"/>
    </x:row>
    <x:row r="246" spans="1:66" x14ac:dyDescent="0.2">
      <x:c r="A246"/>
      <x:c r="B246"/>
      <x:c r="C246"/>
      <x:c r="D246"/>
      <x:c r="E246" s="625" t="inlineStr">
        <x:is>
          <x:t>Vlr Servicio</x:t>
        </x:is>
      </x:c>
      <x:c r="F246" s="627" t="n">
        <x:v>708630.34</x:v>
      </x:c>
      <x:c r="G246" s="627" t="n">
        <x:v>154391.82</x:v>
      </x:c>
      <x:c r="H246" s="627" t="n">
        <x:v>67732.48</x:v>
      </x:c>
      <x:c r="I246" s="627" t="n">
        <x:v>38607.32</x:v>
      </x:c>
      <x:c r="J246" s="627" t="n">
        <x:v>34161.95</x:v>
      </x:c>
      <x:c r="K246" s="627" t="n">
        <x:v>712.93</x:v>
      </x:c>
      <x:c r="L246" s="627" t="n">
        <x:v>0</x:v>
      </x:c>
      <x:c r="M246" s="627" t="n">
        <x:v>6253.82</x:v>
      </x:c>
      <x:c r="N246" s="627" t="n">
        <x:v>7559.81</x:v>
      </x:c>
      <x:c r="O246" s="627" t="n">
        <x:v>35312.7</x:v>
      </x:c>
      <x:c r="P246" s="627" t="n">
        <x:v>362741.55</x:v>
      </x:c>
      <x:c r="Q246" s="627" t="n">
        <x:v>1163.2</x:v>
      </x:c>
      <x:c r="R246" s="627" t="n">
        <x:v>-7.24</x:v>
      </x:c>
      <x:c r="S246" s="627" t="n">
        <x:v>0</x:v>
      </x:c>
      <x:c r="T246" s="653" t="n">
        <x:v>0</x:v>
      </x:c>
      <x:c r="U246" s="653">
        <x:v>0</x:v>
      </x:c>
      <x:c r="V246" s="653">
        <x:v>0</x:v>
      </x:c>
      <x:c r="W246" s="653">
        <x:v>0</x:v>
      </x:c>
      <x:c r="X246" s="653">
        <x:v>0</x:v>
      </x:c>
      <x:c r="Y246" s="653">
        <x:v>0</x:v>
      </x:c>
      <x:c r="Z246" s="653">
        <x:v>0</x:v>
      </x:c>
      <x:c r="BN246" s="624"/>
    </x:row>
    <x:row r="247" spans="1:66" x14ac:dyDescent="0.2">
      <x:c r="A247"/>
      <x:c r="B247"/>
      <x:c r="C247"/>
      <x:c r="D247"/>
      <x:c r="E247" s="625" t="inlineStr">
        <x:is>
          <x:t>Vlr Intereses</x:t>
        </x:is>
      </x:c>
      <x:c r="F247" s="627" t="n">
        <x:v>-28092.31</x:v>
      </x:c>
      <x:c r="G247" s="627" t="n">
        <x:v>-6793.44</x:v>
      </x:c>
      <x:c r="H247" s="627" t="n">
        <x:v>-1591.52</x:v>
      </x:c>
      <x:c r="I247" s="627" t="n">
        <x:v>-1315.75</x:v>
      </x:c>
      <x:c r="J247" s="627" t="n">
        <x:v>-589.87</x:v>
      </x:c>
      <x:c r="K247" s="627" t="n">
        <x:v>-30.48</x:v>
      </x:c>
      <x:c r="L247" s="627" t="n">
        <x:v>0</x:v>
      </x:c>
      <x:c r="M247" s="627" t="n">
        <x:v>-262.59</x:v>
      </x:c>
      <x:c r="N247" s="627" t="n">
        <x:v>-266.56</x:v>
      </x:c>
      <x:c r="O247" s="627" t="n">
        <x:v>-1393.61</x:v>
      </x:c>
      <x:c r="P247" s="627" t="n">
        <x:v>-15798.65</x:v>
      </x:c>
      <x:c r="Q247" s="627" t="n">
        <x:v>-49.83</x:v>
      </x:c>
      <x:c r="R247" s="627" t="n">
        <x:v>-0.71</x:v>
      </x:c>
      <x:c r="S247" s="627" t="n">
        <x:v>0.7</x:v>
      </x:c>
      <x:c r="T247" s="653" t="n">
        <x:v>0</x:v>
      </x:c>
      <x:c r="U247" s="653">
        <x:v>0</x:v>
      </x:c>
      <x:c r="V247" s="653">
        <x:v>0</x:v>
      </x:c>
      <x:c r="W247" s="653">
        <x:v>0</x:v>
      </x:c>
      <x:c r="X247" s="653">
        <x:v>0</x:v>
      </x:c>
      <x:c r="Y247" s="653">
        <x:v>0</x:v>
      </x:c>
      <x:c r="Z247" s="653">
        <x:v>0</x:v>
      </x:c>
      <x:c r="BN247" s="624"/>
    </x:row>
    <x:row r="248" spans="1:66" x14ac:dyDescent="0.2">
      <x:c r="A248"/>
      <x:c r="B248"/>
      <x:c r="C248"/>
      <x:c r="D248" s="25" t="inlineStr">
        <x:is>
          <x:t>E</x:t>
        </x:is>
      </x:c>
      <x:c r="E248" s="625" t="inlineStr">
        <x:is>
          <x:t>Total</x:t>
        </x:is>
      </x:c>
      <x:c r="F248" s="627" t="n">
        <x:v>680538.03</x:v>
      </x:c>
      <x:c r="G248" s="627" t="n">
        <x:v>147598.38</x:v>
      </x:c>
      <x:c r="H248" s="627" t="n">
        <x:v>66140.96</x:v>
      </x:c>
      <x:c r="I248" s="627" t="n">
        <x:v>37291.57</x:v>
      </x:c>
      <x:c r="J248" s="627" t="n">
        <x:v>33572.08</x:v>
      </x:c>
      <x:c r="K248" s="627" t="n">
        <x:v>682.45</x:v>
      </x:c>
      <x:c r="L248" s="627" t="n">
        <x:v>0</x:v>
      </x:c>
      <x:c r="M248" s="627" t="n">
        <x:v>5991.23</x:v>
      </x:c>
      <x:c r="N248" s="627" t="n">
        <x:v>7293.25</x:v>
      </x:c>
      <x:c r="O248" s="627" t="n">
        <x:v>33919.09</x:v>
      </x:c>
      <x:c r="P248" s="627" t="n">
        <x:v>346942.9</x:v>
      </x:c>
      <x:c r="Q248" s="627" t="n">
        <x:v>1113.37</x:v>
      </x:c>
      <x:c r="R248" s="627" t="n">
        <x:v>-7.95</x:v>
      </x:c>
      <x:c r="S248" s="627" t="n">
        <x:v>0.7</x:v>
      </x:c>
      <x:c r="T248" s="653" t="n">
        <x:v>0</x:v>
      </x:c>
      <x:c r="U248" s="653">
        <x:v>0</x:v>
      </x:c>
      <x:c r="V248" s="653">
        <x:v>0</x:v>
      </x:c>
      <x:c r="W248" s="653">
        <x:v>0</x:v>
      </x:c>
      <x:c r="X248" s="653">
        <x:v>0</x:v>
      </x:c>
      <x:c r="Y248" s="653">
        <x:v>0</x:v>
      </x:c>
      <x:c r="Z248" s="653">
        <x:v>0</x:v>
      </x:c>
      <x:c r="BN248" s="624"/>
    </x:row>
    <x:row r="249" spans="1:66" x14ac:dyDescent="0.2">
      <x:c r="A249" s="628"/>
      <x:c r="B249" s="628"/>
      <x:c r="C249" s="628" t="inlineStr">
        <x:is>
          <x:t>ENEL</x:t>
        </x:is>
      </x:c>
      <x:c r="D249" s="628" t="inlineStr">
        <x:is>
          <x:t>Total</x:t>
        </x:is>
      </x:c>
      <x:c r="E249" s="629"/>
      <x:c r="F249" s="630" t="n">
        <x:v>680538.03</x:v>
      </x:c>
      <x:c r="G249" s="630" t="n">
        <x:v>147598.38</x:v>
      </x:c>
      <x:c r="H249" s="630" t="n">
        <x:v>66140.96</x:v>
      </x:c>
      <x:c r="I249" s="630" t="n">
        <x:v>37291.57</x:v>
      </x:c>
      <x:c r="J249" s="630" t="n">
        <x:v>33572.08</x:v>
      </x:c>
      <x:c r="K249" s="630" t="n">
        <x:v>682.45</x:v>
      </x:c>
      <x:c r="L249" s="630" t="n">
        <x:v>0</x:v>
      </x:c>
      <x:c r="M249" s="630" t="n">
        <x:v>5991.23</x:v>
      </x:c>
      <x:c r="N249" s="630" t="n">
        <x:v>7293.25</x:v>
      </x:c>
      <x:c r="O249" s="630" t="n">
        <x:v>33919.09</x:v>
      </x:c>
      <x:c r="P249" s="630" t="n">
        <x:v>346942.9</x:v>
      </x:c>
      <x:c r="Q249" s="630" t="n">
        <x:v>1113.37</x:v>
      </x:c>
      <x:c r="R249" s="630" t="n">
        <x:v>-7.95</x:v>
      </x:c>
      <x:c r="S249" s="630" t="n">
        <x:v>0.7</x:v>
      </x:c>
      <x:c r="T249" s="630" t="n">
        <x:v>0</x:v>
      </x:c>
      <x:c r="U249" s="630">
        <x:v>0</x:v>
      </x:c>
      <x:c r="V249" s="630">
        <x:v>0</x:v>
      </x:c>
      <x:c r="W249" s="630">
        <x:v>0</x:v>
      </x:c>
      <x:c r="X249" s="630">
        <x:v>0</x:v>
      </x:c>
      <x:c r="Y249" s="630">
        <x:v>0</x:v>
      </x:c>
      <x:c r="Z249" s="630">
        <x:v>0</x:v>
      </x:c>
      <x:c r="AA249" s="628"/>
      <x:c r="AB249" s="628"/>
      <x:c r="AC249" s="628"/>
      <x:c r="AD249" s="628"/>
      <x:c r="AE249" s="628"/>
      <x:c r="AF249" s="628"/>
      <x:c r="AG249" s="628"/>
      <x:c r="AH249" s="628"/>
      <x:c r="AI249" s="628"/>
      <x:c r="AJ249" s="628"/>
      <x:c r="AK249" s="628"/>
      <x:c r="AL249" s="628"/>
      <x:c r="AM249" s="628"/>
      <x:c r="AN249" s="628"/>
      <x:c r="AO249" s="628"/>
      <x:c r="AP249" s="628"/>
      <x:c r="AQ249" s="628"/>
      <x:c r="AR249" s="628"/>
      <x:c r="AS249" s="628"/>
      <x:c r="AT249" s="628"/>
      <x:c r="AU249" s="628"/>
      <x:c r="AV249" s="628"/>
      <x:c r="AW249" s="628"/>
      <x:c r="AX249" s="628"/>
      <x:c r="AY249" s="628"/>
      <x:c r="AZ249" s="628"/>
      <x:c r="BA249" s="628"/>
      <x:c r="BB249" s="628"/>
      <x:c r="BC249" s="628"/>
      <x:c r="BD249" s="628"/>
      <x:c r="BE249" s="628"/>
      <x:c r="BF249" s="628"/>
      <x:c r="BG249" s="628"/>
      <x:c r="BH249" s="628"/>
      <x:c r="BI249" s="628"/>
      <x:c r="BJ249" s="628"/>
      <x:c r="BK249" s="628"/>
      <x:c r="BL249" s="628"/>
      <x:c r="BM249" s="628"/>
      <x:c r="BN249" s="624"/>
    </x:row>
    <x:row r="250" spans="1:66" x14ac:dyDescent="0.2">
      <x:c r="A250" s="635"/>
      <x:c r="B250" s="635" t="inlineStr">
        <x:is>
          <x:t>Aplicacion nuevos x reversion</x:t>
        </x:is>
      </x:c>
      <x:c r="C250" s="635" t="inlineStr">
        <x:is>
          <x:t>Total</x:t>
        </x:is>
      </x:c>
      <x:c r="D250" s="635"/>
      <x:c r="E250" s="636"/>
      <x:c r="F250" s="637" t="n">
        <x:v>680538.03</x:v>
      </x:c>
      <x:c r="G250" s="637" t="n">
        <x:v>147598.38</x:v>
      </x:c>
      <x:c r="H250" s="637" t="n">
        <x:v>66140.96</x:v>
      </x:c>
      <x:c r="I250" s="637" t="n">
        <x:v>37291.57</x:v>
      </x:c>
      <x:c r="J250" s="637" t="n">
        <x:v>33572.08</x:v>
      </x:c>
      <x:c r="K250" s="637" t="n">
        <x:v>682.45</x:v>
      </x:c>
      <x:c r="L250" s="637" t="n">
        <x:v>0</x:v>
      </x:c>
      <x:c r="M250" s="637" t="n">
        <x:v>5991.23</x:v>
      </x:c>
      <x:c r="N250" s="637" t="n">
        <x:v>7293.25</x:v>
      </x:c>
      <x:c r="O250" s="637" t="n">
        <x:v>33919.09</x:v>
      </x:c>
      <x:c r="P250" s="637" t="n">
        <x:v>346942.9</x:v>
      </x:c>
      <x:c r="Q250" s="637" t="n">
        <x:v>1113.37</x:v>
      </x:c>
      <x:c r="R250" s="637" t="n">
        <x:v>-7.95</x:v>
      </x:c>
      <x:c r="S250" s="637" t="n">
        <x:v>0.7</x:v>
      </x:c>
      <x:c r="T250" s="637" t="n">
        <x:v>0</x:v>
      </x:c>
      <x:c r="U250" s="637">
        <x:v>0</x:v>
      </x:c>
      <x:c r="V250" s="637">
        <x:v>0</x:v>
      </x:c>
      <x:c r="W250" s="637">
        <x:v>0</x:v>
      </x:c>
      <x:c r="X250" s="637">
        <x:v>0</x:v>
      </x:c>
      <x:c r="Y250" s="637">
        <x:v>0</x:v>
      </x:c>
      <x:c r="Z250" s="637">
        <x:v>0</x:v>
      </x:c>
      <x:c r="AA250" s="635"/>
      <x:c r="AB250" s="635"/>
      <x:c r="AC250" s="635"/>
      <x:c r="AD250" s="635"/>
      <x:c r="AE250" s="635"/>
      <x:c r="AF250" s="635"/>
      <x:c r="AG250" s="635"/>
      <x:c r="AH250" s="635"/>
      <x:c r="AI250" s="635"/>
      <x:c r="AJ250" s="635"/>
      <x:c r="AK250" s="635"/>
      <x:c r="AL250" s="635"/>
      <x:c r="AM250" s="635"/>
      <x:c r="AN250" s="635"/>
      <x:c r="AO250" s="635"/>
      <x:c r="AP250" s="635"/>
      <x:c r="AQ250" s="635"/>
      <x:c r="AR250" s="635"/>
      <x:c r="AS250" s="635"/>
      <x:c r="AT250" s="635"/>
      <x:c r="AU250" s="635"/>
      <x:c r="AV250" s="635"/>
      <x:c r="AW250" s="635"/>
      <x:c r="AX250" s="635"/>
      <x:c r="AY250" s="635"/>
      <x:c r="AZ250" s="635"/>
      <x:c r="BA250" s="635"/>
      <x:c r="BB250" s="635"/>
      <x:c r="BC250" s="635"/>
      <x:c r="BD250" s="635"/>
      <x:c r="BE250" s="635"/>
      <x:c r="BF250" s="635"/>
      <x:c r="BG250" s="635"/>
      <x:c r="BH250" s="635"/>
      <x:c r="BI250" s="635"/>
      <x:c r="BJ250" s="635"/>
      <x:c r="BK250" s="635"/>
      <x:c r="BL250" s="635"/>
      <x:c r="BM250" s="635"/>
      <x:c r="BN250" s="624"/>
    </x:row>
    <x:row r="251" spans="1:66" x14ac:dyDescent="0.2">
      <x:c r="A251"/>
      <x:c r="B251"/>
      <x:c r="C251"/>
      <x:c r="D251"/>
      <x:c r="E251" s="625" t="inlineStr">
        <x:is>
          <x:t>Vlr Servicio</x:t>
        </x:is>
      </x:c>
      <x:c r="F251" s="627" t="n">
        <x:v>15096517648.35</x:v>
      </x:c>
      <x:c r="G251" s="627" t="n">
        <x:v>986083820.58</x:v>
      </x:c>
      <x:c r="H251" s="627" t="n">
        <x:v>556264737.84</x:v>
      </x:c>
      <x:c r="I251" s="627" t="n">
        <x:v>292216144.65</x:v>
      </x:c>
      <x:c r="J251" s="627" t="n">
        <x:v>3383033480.69</x:v>
      </x:c>
      <x:c r="K251" s="627" t="n">
        <x:v>124575730.62</x:v>
      </x:c>
      <x:c r="L251" s="627" t="n">
        <x:v>13002955.74</x:v>
      </x:c>
      <x:c r="M251" s="627" t="n">
        <x:v>1092560714.08</x:v>
      </x:c>
      <x:c r="N251" s="627" t="n">
        <x:v>1073084147.96</x:v>
      </x:c>
      <x:c r="O251" s="627" t="n">
        <x:v>5079136809.41</x:v>
      </x:c>
      <x:c r="P251" s="627" t="n">
        <x:v>2292957176.78</x:v>
      </x:c>
      <x:c r="Q251" s="627" t="n">
        <x:v>203354446.14</x:v>
      </x:c>
      <x:c r="R251" s="627" t="n">
        <x:v>247483.86</x:v>
      </x:c>
      <x:c r="S251" s="627" t="n">
        <x:v>0</x:v>
      </x:c>
      <x:c r="T251" s="653" t="n">
        <x:v>0</x:v>
      </x:c>
      <x:c r="U251" s="653">
        <x:v>0</x:v>
      </x:c>
      <x:c r="V251" s="653">
        <x:v>0</x:v>
      </x:c>
      <x:c r="W251" s="653">
        <x:v>0</x:v>
      </x:c>
      <x:c r="X251" s="653">
        <x:v>0</x:v>
      </x:c>
      <x:c r="Y251" s="653">
        <x:v>0</x:v>
      </x:c>
      <x:c r="Z251" s="653">
        <x:v>0</x:v>
      </x:c>
      <x:c r="BN251" s="624"/>
    </x:row>
    <x:row r="252" spans="1:66" x14ac:dyDescent="0.2">
      <x:c r="A252"/>
      <x:c r="B252"/>
      <x:c r="C252"/>
      <x:c r="D252"/>
      <x:c r="E252" s="625" t="inlineStr">
        <x:is>
          <x:t>Vlr Intereses</x:t>
        </x:is>
      </x:c>
      <x:c r="F252" s="627" t="n">
        <x:v>10545941.32</x:v>
      </x:c>
      <x:c r="G252" s="627" t="n">
        <x:v>1038362.66</x:v>
      </x:c>
      <x:c r="H252" s="627" t="n">
        <x:v>533249.21</x:v>
      </x:c>
      <x:c r="I252" s="627" t="n">
        <x:v>288289.95</x:v>
      </x:c>
      <x:c r="J252" s="627" t="n">
        <x:v>1924110.4</x:v>
      </x:c>
      <x:c r="K252" s="627" t="n">
        <x:v>76933.02</x:v>
      </x:c>
      <x:c r="L252" s="627" t="n">
        <x:v>4877.39</x:v>
      </x:c>
      <x:c r="M252" s="627" t="n">
        <x:v>673575.76</x:v>
      </x:c>
      <x:c r="N252" s="627" t="n">
        <x:v>623833.91</x:v>
      </x:c>
      <x:c r="O252" s="627" t="n">
        <x:v>2833518.84</x:v>
      </x:c>
      <x:c r="P252" s="627" t="n">
        <x:v>2423341.07</x:v>
      </x:c>
      <x:c r="Q252" s="627" t="n">
        <x:v>125834.39</x:v>
      </x:c>
      <x:c r="R252" s="627" t="n">
        <x:v>14.48</x:v>
      </x:c>
      <x:c r="S252" s="627" t="n">
        <x:v>-0.27</x:v>
      </x:c>
      <x:c r="T252" s="653" t="n">
        <x:v>0.51</x:v>
      </x:c>
      <x:c r="U252" s="653">
        <x:v>0</x:v>
      </x:c>
      <x:c r="V252" s="653">
        <x:v>0</x:v>
      </x:c>
      <x:c r="W252" s="653">
        <x:v>0</x:v>
      </x:c>
      <x:c r="X252" s="653">
        <x:v>0</x:v>
      </x:c>
      <x:c r="Y252" s="653">
        <x:v>0</x:v>
      </x:c>
      <x:c r="Z252" s="653">
        <x:v>0</x:v>
      </x:c>
      <x:c r="BN252" s="624"/>
    </x:row>
    <x:row r="253" spans="1:66" x14ac:dyDescent="0.2">
      <x:c r="A253"/>
      <x:c r="B253"/>
      <x:c r="C253"/>
      <x:c r="D253" s="25" t="inlineStr">
        <x:is>
          <x:t>E</x:t>
        </x:is>
      </x:c>
      <x:c r="E253" s="625" t="inlineStr">
        <x:is>
          <x:t>Total</x:t>
        </x:is>
      </x:c>
      <x:c r="F253" s="627" t="n">
        <x:v>15107063589.67</x:v>
      </x:c>
      <x:c r="G253" s="627" t="n">
        <x:v>987122183.24</x:v>
      </x:c>
      <x:c r="H253" s="627" t="n">
        <x:v>556797987.05</x:v>
      </x:c>
      <x:c r="I253" s="627" t="n">
        <x:v>292504434.6</x:v>
      </x:c>
      <x:c r="J253" s="627" t="n">
        <x:v>3384957591.09</x:v>
      </x:c>
      <x:c r="K253" s="627" t="n">
        <x:v>124652663.64</x:v>
      </x:c>
      <x:c r="L253" s="627" t="n">
        <x:v>13007833.13</x:v>
      </x:c>
      <x:c r="M253" s="627" t="n">
        <x:v>1093234289.84</x:v>
      </x:c>
      <x:c r="N253" s="627" t="n">
        <x:v>1073707981.87</x:v>
      </x:c>
      <x:c r="O253" s="627" t="n">
        <x:v>5081970328.25</x:v>
      </x:c>
      <x:c r="P253" s="627" t="n">
        <x:v>2295380517.85</x:v>
      </x:c>
      <x:c r="Q253" s="627" t="n">
        <x:v>203480280.53</x:v>
      </x:c>
      <x:c r="R253" s="627" t="n">
        <x:v>247498.34</x:v>
      </x:c>
      <x:c r="S253" s="627" t="n">
        <x:v>-0.27</x:v>
      </x:c>
      <x:c r="T253" s="653" t="n">
        <x:v>0.51</x:v>
      </x:c>
      <x:c r="U253" s="653">
        <x:v>0</x:v>
      </x:c>
      <x:c r="V253" s="653">
        <x:v>0</x:v>
      </x:c>
      <x:c r="W253" s="653">
        <x:v>0</x:v>
      </x:c>
      <x:c r="X253" s="653">
        <x:v>0</x:v>
      </x:c>
      <x:c r="Y253" s="653">
        <x:v>0</x:v>
      </x:c>
      <x:c r="Z253" s="653">
        <x:v>0</x:v>
      </x:c>
      <x:c r="BN253" s="624"/>
    </x:row>
    <x:row r="254" spans="1:66" x14ac:dyDescent="0.2">
      <x:c r="A254" s="628"/>
      <x:c r="B254" s="628"/>
      <x:c r="C254" s="628" t="inlineStr">
        <x:is>
          <x:t>ENEL</x:t>
        </x:is>
      </x:c>
      <x:c r="D254" s="628" t="inlineStr">
        <x:is>
          <x:t>Total</x:t>
        </x:is>
      </x:c>
      <x:c r="E254" s="629"/>
      <x:c r="F254" s="630" t="n">
        <x:v>15107063589.67</x:v>
      </x:c>
      <x:c r="G254" s="630" t="n">
        <x:v>987122183.24</x:v>
      </x:c>
      <x:c r="H254" s="630" t="n">
        <x:v>556797987.05</x:v>
      </x:c>
      <x:c r="I254" s="630" t="n">
        <x:v>292504434.6</x:v>
      </x:c>
      <x:c r="J254" s="630" t="n">
        <x:v>3384957591.09</x:v>
      </x:c>
      <x:c r="K254" s="630" t="n">
        <x:v>124652663.64</x:v>
      </x:c>
      <x:c r="L254" s="630" t="n">
        <x:v>13007833.13</x:v>
      </x:c>
      <x:c r="M254" s="630" t="n">
        <x:v>1093234289.84</x:v>
      </x:c>
      <x:c r="N254" s="630" t="n">
        <x:v>1073707981.87</x:v>
      </x:c>
      <x:c r="O254" s="630" t="n">
        <x:v>5081970328.25</x:v>
      </x:c>
      <x:c r="P254" s="630" t="n">
        <x:v>2295380517.85</x:v>
      </x:c>
      <x:c r="Q254" s="630" t="n">
        <x:v>203480280.53</x:v>
      </x:c>
      <x:c r="R254" s="630" t="n">
        <x:v>247498.34</x:v>
      </x:c>
      <x:c r="S254" s="630" t="n">
        <x:v>-0.27</x:v>
      </x:c>
      <x:c r="T254" s="630" t="n">
        <x:v>0.51</x:v>
      </x:c>
      <x:c r="U254" s="630">
        <x:v>0</x:v>
      </x:c>
      <x:c r="V254" s="630">
        <x:v>0</x:v>
      </x:c>
      <x:c r="W254" s="630">
        <x:v>0</x:v>
      </x:c>
      <x:c r="X254" s="630">
        <x:v>0</x:v>
      </x:c>
      <x:c r="Y254" s="630">
        <x:v>0</x:v>
      </x:c>
      <x:c r="Z254" s="630">
        <x:v>0</x:v>
      </x:c>
      <x:c r="AA254" s="628"/>
      <x:c r="AB254" s="628"/>
      <x:c r="AC254" s="628"/>
      <x:c r="AD254" s="628"/>
      <x:c r="AE254" s="628"/>
      <x:c r="AF254" s="628"/>
      <x:c r="AG254" s="628"/>
      <x:c r="AH254" s="628"/>
      <x:c r="AI254" s="628"/>
      <x:c r="AJ254" s="628"/>
      <x:c r="AK254" s="628"/>
      <x:c r="AL254" s="628"/>
      <x:c r="AM254" s="628"/>
      <x:c r="AN254" s="628"/>
      <x:c r="AO254" s="628"/>
      <x:c r="AP254" s="628"/>
      <x:c r="AQ254" s="628"/>
      <x:c r="AR254" s="628"/>
      <x:c r="AS254" s="628"/>
      <x:c r="AT254" s="628"/>
      <x:c r="AU254" s="628"/>
      <x:c r="AV254" s="628"/>
      <x:c r="AW254" s="628"/>
      <x:c r="AX254" s="628"/>
      <x:c r="AY254" s="628"/>
      <x:c r="AZ254" s="628"/>
      <x:c r="BA254" s="628"/>
      <x:c r="BB254" s="628"/>
      <x:c r="BC254" s="628"/>
      <x:c r="BD254" s="628"/>
      <x:c r="BE254" s="628"/>
      <x:c r="BF254" s="628"/>
      <x:c r="BG254" s="628"/>
      <x:c r="BH254" s="628"/>
      <x:c r="BI254" s="628"/>
      <x:c r="BJ254" s="628"/>
      <x:c r="BK254" s="628"/>
      <x:c r="BL254" s="628"/>
      <x:c r="BM254" s="628"/>
      <x:c r="BN254" s="624"/>
    </x:row>
    <x:row r="255" spans="1:66" x14ac:dyDescent="0.2">
      <x:c r="A255"/>
      <x:c r="B255"/>
      <x:c r="C255"/>
      <x:c r="D255"/>
      <x:c r="E255" s="625" t="inlineStr">
        <x:is>
          <x:t>Vlr Servicio</x:t>
        </x:is>
      </x:c>
      <x:c r="F255" s="627" t="n">
        <x:v>40878487.19</x:v>
      </x:c>
      <x:c r="G255" s="627" t="n">
        <x:v>3446945.39</x:v>
      </x:c>
      <x:c r="H255" s="627" t="n">
        <x:v>1924005.87</x:v>
      </x:c>
      <x:c r="I255" s="627" t="n">
        <x:v>1015077.18</x:v>
      </x:c>
      <x:c r="J255" s="627" t="n">
        <x:v>7716071.44</x:v>
      </x:c>
      <x:c r="K255" s="627" t="n">
        <x:v>227005.61</x:v>
      </x:c>
      <x:c r="L255" s="627" t="n">
        <x:v>555000</x:v>
      </x:c>
      <x:c r="M255" s="627" t="n">
        <x:v>1990701.79</x:v>
      </x:c>
      <x:c r="N255" s="627" t="n">
        <x:v>2736789.58</x:v>
      </x:c>
      <x:c r="O255" s="627" t="n">
        <x:v>12873670.36</x:v>
      </x:c>
      <x:c r="P255" s="627" t="n">
        <x:v>8021200.37</x:v>
      </x:c>
      <x:c r="Q255" s="627" t="n">
        <x:v>372120.69</x:v>
      </x:c>
      <x:c r="R255" s="627" t="n">
        <x:v>-101.09</x:v>
      </x:c>
      <x:c r="S255" s="627" t="n">
        <x:v>0</x:v>
      </x:c>
      <x:c r="T255" s="653" t="n">
        <x:v>0</x:v>
      </x:c>
      <x:c r="U255" s="653">
        <x:v>0</x:v>
      </x:c>
      <x:c r="V255" s="653">
        <x:v>0</x:v>
      </x:c>
      <x:c r="W255" s="653">
        <x:v>0</x:v>
      </x:c>
      <x:c r="X255" s="653">
        <x:v>0</x:v>
      </x:c>
      <x:c r="Y255" s="653">
        <x:v>0</x:v>
      </x:c>
      <x:c r="Z255" s="653">
        <x:v>0</x:v>
      </x:c>
      <x:c r="BN255" s="624"/>
    </x:row>
    <x:row r="256" spans="1:66" x14ac:dyDescent="0.2">
      <x:c r="A256"/>
      <x:c r="B256"/>
      <x:c r="C256"/>
      <x:c r="D256"/>
      <x:c r="E256" s="625" t="inlineStr">
        <x:is>
          <x:t>Vlr Intereses</x:t>
        </x:is>
      </x:c>
      <x:c r="F256" s="627" t="n">
        <x:v>318692.2</x:v>
      </x:c>
      <x:c r="G256" s="627" t="n">
        <x:v>30211.23</x:v>
      </x:c>
      <x:c r="H256" s="627" t="n">
        <x:v>15701.33</x:v>
      </x:c>
      <x:c r="I256" s="627" t="n">
        <x:v>8539.9</x:v>
      </x:c>
      <x:c r="J256" s="627" t="n">
        <x:v>63724.63</x:v>
      </x:c>
      <x:c r="K256" s="627" t="n">
        <x:v>1745.16</x:v>
      </x:c>
      <x:c r="L256" s="627" t="n">
        <x:v>0</x:v>
      </x:c>
      <x:c r="M256" s="627" t="n">
        <x:v>15287.35</x:v>
      </x:c>
      <x:c r="N256" s="627" t="n">
        <x:v>19445.4</x:v>
      </x:c>
      <x:c r="O256" s="627" t="n">
        <x:v>90300.09</x:v>
      </x:c>
      <x:c r="P256" s="627" t="n">
        <x:v>70877.49</x:v>
      </x:c>
      <x:c r="Q256" s="627" t="n">
        <x:v>2859.23</x:v>
      </x:c>
      <x:c r="R256" s="627" t="n">
        <x:v>0.39</x:v>
      </x:c>
      <x:c r="S256" s="627" t="n">
        <x:v>0</x:v>
      </x:c>
      <x:c r="T256" s="653" t="n">
        <x:v>0</x:v>
      </x:c>
      <x:c r="U256" s="653">
        <x:v>0</x:v>
      </x:c>
      <x:c r="V256" s="653">
        <x:v>0</x:v>
      </x:c>
      <x:c r="W256" s="653">
        <x:v>0</x:v>
      </x:c>
      <x:c r="X256" s="653">
        <x:v>0</x:v>
      </x:c>
      <x:c r="Y256" s="653">
        <x:v>0</x:v>
      </x:c>
      <x:c r="Z256" s="653">
        <x:v>0</x:v>
      </x:c>
      <x:c r="BN256" s="624"/>
    </x:row>
    <x:row r="257" spans="1:66" x14ac:dyDescent="0.2">
      <x:c r="A257"/>
      <x:c r="B257"/>
      <x:c r="C257"/>
      <x:c r="D257" s="625" t="inlineStr">
        <x:is>
          <x:t>H</x:t>
        </x:is>
      </x:c>
      <x:c r="E257" s="625" t="inlineStr">
        <x:is>
          <x:t>Total</x:t>
        </x:is>
      </x:c>
      <x:c r="F257" s="627" t="n">
        <x:v>41197179.39</x:v>
      </x:c>
      <x:c r="G257" s="627" t="n">
        <x:v>3477156.62</x:v>
      </x:c>
      <x:c r="H257" s="627" t="n">
        <x:v>1939707.2</x:v>
      </x:c>
      <x:c r="I257" s="627" t="n">
        <x:v>1023617.08</x:v>
      </x:c>
      <x:c r="J257" s="627" t="n">
        <x:v>7779796.07</x:v>
      </x:c>
      <x:c r="K257" s="627" t="n">
        <x:v>228750.77</x:v>
      </x:c>
      <x:c r="L257" s="627" t="n">
        <x:v>555000</x:v>
      </x:c>
      <x:c r="M257" s="627" t="n">
        <x:v>2005989.14</x:v>
      </x:c>
      <x:c r="N257" s="627" t="n">
        <x:v>2756234.98</x:v>
      </x:c>
      <x:c r="O257" s="627" t="n">
        <x:v>12963970.45</x:v>
      </x:c>
      <x:c r="P257" s="627" t="n">
        <x:v>8092077.86</x:v>
      </x:c>
      <x:c r="Q257" s="627" t="n">
        <x:v>374979.92</x:v>
      </x:c>
      <x:c r="R257" s="627" t="n">
        <x:v>-100.7</x:v>
      </x:c>
      <x:c r="S257" s="627" t="n">
        <x:v>0</x:v>
      </x:c>
      <x:c r="T257" s="653" t="n">
        <x:v>0</x:v>
      </x:c>
      <x:c r="U257" s="653">
        <x:v>0</x:v>
      </x:c>
      <x:c r="V257" s="653">
        <x:v>0</x:v>
      </x:c>
      <x:c r="W257" s="653">
        <x:v>0</x:v>
      </x:c>
      <x:c r="X257" s="653">
        <x:v>0</x:v>
      </x:c>
      <x:c r="Y257" s="653">
        <x:v>0</x:v>
      </x:c>
      <x:c r="Z257" s="653">
        <x:v>0</x:v>
      </x:c>
      <x:c r="BN257" s="624"/>
    </x:row>
    <x:row r="258" spans="1:66" x14ac:dyDescent="0.2">
      <x:c r="A258"/>
      <x:c r="B258"/>
      <x:c r="C258"/>
      <x:c r="D258" s="625"/>
      <x:c r="E258" s="625" t="inlineStr">
        <x:is>
          <x:t>Vlr Servicio</x:t>
        </x:is>
      </x:c>
      <x:c r="F258" s="627" t="n">
        <x:v>69209800.26</x:v>
      </x:c>
      <x:c r="G258" s="627" t="n">
        <x:v>12538530.86</x:v>
      </x:c>
      <x:c r="H258" s="627" t="n">
        <x:v>6965189.59</x:v>
      </x:c>
      <x:c r="I258" s="627" t="n">
        <x:v>3652599.34</x:v>
      </x:c>
      <x:c r="J258" s="627" t="n">
        <x:v>4324043.14</x:v>
      </x:c>
      <x:c r="K258" s="627" t="n">
        <x:v>206038.85</x:v>
      </x:c>
      <x:c r="L258" s="627" t="n">
        <x:v>214446.82</x:v>
      </x:c>
      <x:c r="M258" s="627" t="n">
        <x:v>1800327.92</x:v>
      </x:c>
      <x:c r="N258" s="627" t="n">
        <x:v>1917677.87</x:v>
      </x:c>
      <x:c r="O258" s="627" t="n">
        <x:v>8540445.01</x:v>
      </x:c>
      <x:c r="P258" s="627" t="n">
        <x:v>28714805.34</x:v>
      </x:c>
      <x:c r="Q258" s="627" t="n">
        <x:v>336169.51</x:v>
      </x:c>
      <x:c r="R258" s="627" t="n">
        <x:v>-473.99</x:v>
      </x:c>
      <x:c r="S258" s="627" t="n">
        <x:v>0</x:v>
      </x:c>
      <x:c r="T258" s="653" t="n">
        <x:v>0</x:v>
      </x:c>
      <x:c r="U258" s="653">
        <x:v>0</x:v>
      </x:c>
      <x:c r="V258" s="653">
        <x:v>0</x:v>
      </x:c>
      <x:c r="W258" s="653">
        <x:v>0</x:v>
      </x:c>
      <x:c r="X258" s="653">
        <x:v>0</x:v>
      </x:c>
      <x:c r="Y258" s="653">
        <x:v>0</x:v>
      </x:c>
      <x:c r="Z258" s="653">
        <x:v>0</x:v>
      </x:c>
      <x:c r="BN258" s="624"/>
    </x:row>
    <x:row r="259" spans="1:66" x14ac:dyDescent="0.2">
      <x:c r="A259"/>
      <x:c r="B259"/>
      <x:c r="C259"/>
      <x:c r="D259"/>
      <x:c r="E259" s="625" t="inlineStr">
        <x:is>
          <x:t>Vlr Intereses</x:t>
        </x:is>
      </x:c>
      <x:c r="F259" s="627" t="n">
        <x:v>2078878.19</x:v>
      </x:c>
      <x:c r="G259" s="627" t="n">
        <x:v>322796.84</x:v>
      </x:c>
      <x:c r="H259" s="627" t="n">
        <x:v>165004.04</x:v>
      </x:c>
      <x:c r="I259" s="627" t="n">
        <x:v>84856.97</x:v>
      </x:c>
      <x:c r="J259" s="627" t="n">
        <x:v>232240.7</x:v>
      </x:c>
      <x:c r="K259" s="627" t="n">
        <x:v>9929.08</x:v>
      </x:c>
      <x:c r="L259" s="627" t="n">
        <x:v>0</x:v>
      </x:c>
      <x:c r="M259" s="627" t="n">
        <x:v>86388.39</x:v>
      </x:c>
      <x:c r="N259" s="627" t="n">
        <x:v>85933.46</x:v>
      </x:c>
      <x:c r="O259" s="627" t="n">
        <x:v>322999.22</x:v>
      </x:c>
      <x:c r="P259" s="627" t="n">
        <x:v>752531.93</x:v>
      </x:c>
      <x:c r="Q259" s="627" t="n">
        <x:v>16197.29</x:v>
      </x:c>
      <x:c r="R259" s="627" t="n">
        <x:v>0.93</x:v>
      </x:c>
      <x:c r="S259" s="627" t="n">
        <x:v>-0.66</x:v>
      </x:c>
      <x:c r="T259" s="653" t="n">
        <x:v>0</x:v>
      </x:c>
      <x:c r="U259" s="653">
        <x:v>0</x:v>
      </x:c>
      <x:c r="V259" s="653">
        <x:v>0</x:v>
      </x:c>
      <x:c r="W259" s="653">
        <x:v>0</x:v>
      </x:c>
      <x:c r="X259" s="653">
        <x:v>0</x:v>
      </x:c>
      <x:c r="Y259" s="653">
        <x:v>0</x:v>
      </x:c>
      <x:c r="Z259" s="653">
        <x:v>0</x:v>
      </x:c>
      <x:c r="BN259" s="624"/>
    </x:row>
    <x:row r="260" spans="1:66" x14ac:dyDescent="0.2">
      <x:c r="A260"/>
      <x:c r="B260"/>
      <x:c r="C260"/>
      <x:c r="D260" s="625" t="inlineStr">
        <x:is>
          <x:t>O</x:t>
        </x:is>
      </x:c>
      <x:c r="E260" s="625" t="inlineStr">
        <x:is>
          <x:t>Total</x:t>
        </x:is>
      </x:c>
      <x:c r="F260" s="627" t="n">
        <x:v>71288678.45</x:v>
      </x:c>
      <x:c r="G260" s="627" t="n">
        <x:v>12861327.7</x:v>
      </x:c>
      <x:c r="H260" s="627" t="n">
        <x:v>7130193.63</x:v>
      </x:c>
      <x:c r="I260" s="627" t="n">
        <x:v>3737456.31</x:v>
      </x:c>
      <x:c r="J260" s="627" t="n">
        <x:v>4556283.84</x:v>
      </x:c>
      <x:c r="K260" s="627" t="n">
        <x:v>215967.93</x:v>
      </x:c>
      <x:c r="L260" s="627" t="n">
        <x:v>214446.82</x:v>
      </x:c>
      <x:c r="M260" s="627" t="n">
        <x:v>1886716.31</x:v>
      </x:c>
      <x:c r="N260" s="627" t="n">
        <x:v>2003611.33</x:v>
      </x:c>
      <x:c r="O260" s="627" t="n">
        <x:v>8863444.23</x:v>
      </x:c>
      <x:c r="P260" s="627" t="n">
        <x:v>29467337.27</x:v>
      </x:c>
      <x:c r="Q260" s="627" t="n">
        <x:v>352366.8</x:v>
      </x:c>
      <x:c r="R260" s="627" t="n">
        <x:v>-473.06</x:v>
      </x:c>
      <x:c r="S260" s="627" t="n">
        <x:v>-0.66</x:v>
      </x:c>
      <x:c r="T260" s="653" t="n">
        <x:v>0</x:v>
      </x:c>
      <x:c r="U260" s="653">
        <x:v>0</x:v>
      </x:c>
      <x:c r="V260" s="653">
        <x:v>0</x:v>
      </x:c>
      <x:c r="W260" s="653">
        <x:v>0</x:v>
      </x:c>
      <x:c r="X260" s="653">
        <x:v>0</x:v>
      </x:c>
      <x:c r="Y260" s="653">
        <x:v>0</x:v>
      </x:c>
      <x:c r="Z260" s="653">
        <x:v>0</x:v>
      </x:c>
      <x:c r="BN260" s="624"/>
    </x:row>
    <x:row r="261" spans="1:66" x14ac:dyDescent="0.2">
      <x:c r="A261"/>
      <x:c r="B261"/>
      <x:c r="C261"/>
      <x:c r="D261"/>
      <x:c r="E261" s="625" t="inlineStr">
        <x:is>
          <x:t>Vlr Servicio</x:t>
        </x:is>
      </x:c>
      <x:c r="F261" s="627" t="n">
        <x:v>697315197.22</x:v>
      </x:c>
      <x:c r="G261" s="627" t="n">
        <x:v>147363354.47</x:v>
      </x:c>
      <x:c r="H261" s="627" t="n">
        <x:v>82950302.14</x:v>
      </x:c>
      <x:c r="I261" s="627" t="n">
        <x:v>43752954.45</x:v>
      </x:c>
      <x:c r="J261" s="627" t="n">
        <x:v>23778087.1</x:v>
      </x:c>
      <x:c r="K261" s="627" t="n">
        <x:v>672978.69</x:v>
      </x:c>
      <x:c r="L261" s="627" t="n">
        <x:v>528735</x:v>
      </x:c>
      <x:c r="M261" s="627" t="n">
        <x:v>5885001.11</x:v>
      </x:c>
      <x:c r="N261" s="627" t="n">
        <x:v>8402534.7</x:v>
      </x:c>
      <x:c r="O261" s="627" t="n">
        <x:v>39649711.49</x:v>
      </x:c>
      <x:c r="P261" s="627" t="n">
        <x:v>343233860.39</x:v>
      </x:c>
      <x:c r="Q261" s="627" t="n">
        <x:v>1098102.23</x:v>
      </x:c>
      <x:c r="R261" s="627" t="n">
        <x:v>-424.55</x:v>
      </x:c>
      <x:c r="S261" s="627" t="n">
        <x:v>0</x:v>
      </x:c>
      <x:c r="T261" s="653" t="n">
        <x:v>0</x:v>
      </x:c>
      <x:c r="U261" s="653">
        <x:v>0</x:v>
      </x:c>
      <x:c r="V261" s="653">
        <x:v>0</x:v>
      </x:c>
      <x:c r="W261" s="653">
        <x:v>0</x:v>
      </x:c>
      <x:c r="X261" s="653">
        <x:v>0</x:v>
      </x:c>
      <x:c r="Y261" s="653">
        <x:v>0</x:v>
      </x:c>
      <x:c r="Z261" s="653">
        <x:v>0</x:v>
      </x:c>
      <x:c r="BN261" s="624"/>
    </x:row>
    <x:row r="262" spans="1:66" x14ac:dyDescent="0.2">
      <x:c r="A262"/>
      <x:c r="B262"/>
      <x:c r="C262"/>
      <x:c r="D262"/>
      <x:c r="E262" s="625" t="inlineStr">
        <x:is>
          <x:t>Vlr Intereses</x:t>
        </x:is>
      </x:c>
      <x:c r="F262" s="627" t="n">
        <x:v>15792661.47</x:v>
      </x:c>
      <x:c r="G262" s="627" t="n">
        <x:v>3529982.76</x:v>
      </x:c>
      <x:c r="H262" s="627" t="n">
        <x:v>1952902.6</x:v>
      </x:c>
      <x:c r="I262" s="627" t="n">
        <x:v>1038005.52</x:v>
      </x:c>
      <x:c r="J262" s="627" t="n">
        <x:v>340224.1</x:v>
      </x:c>
      <x:c r="K262" s="627" t="n">
        <x:v>9325.17</x:v>
      </x:c>
      <x:c r="L262" s="627" t="n">
        <x:v>13206</x:v>
      </x:c>
      <x:c r="M262" s="627" t="n">
        <x:v>80647.01</x:v>
      </x:c>
      <x:c r="N262" s="627" t="n">
        <x:v>103044.79</x:v>
      </x:c>
      <x:c r="O262" s="627" t="n">
        <x:v>469740.14</x:v>
      </x:c>
      <x:c r="P262" s="627" t="n">
        <x:v>8252253.91</x:v>
      </x:c>
      <x:c r="Q262" s="627" t="n">
        <x:v>15220.52</x:v>
      </x:c>
      <x:c r="R262" s="627" t="n">
        <x:v>-5.15</x:v>
      </x:c>
      <x:c r="S262" s="627" t="n">
        <x:v>-11885.9</x:v>
      </x:c>
      <x:c r="T262" s="653" t="n">
        <x:v>0</x:v>
      </x:c>
      <x:c r="U262" s="653">
        <x:v>0</x:v>
      </x:c>
      <x:c r="V262" s="653">
        <x:v>0</x:v>
      </x:c>
      <x:c r="W262" s="653">
        <x:v>0</x:v>
      </x:c>
      <x:c r="X262" s="653">
        <x:v>0</x:v>
      </x:c>
      <x:c r="Y262" s="653">
        <x:v>0</x:v>
      </x:c>
      <x:c r="Z262" s="653">
        <x:v>0</x:v>
      </x:c>
      <x:c r="BN262" s="624"/>
    </x:row>
    <x:row r="263" spans="1:66" x14ac:dyDescent="0.2">
      <x:c r="A263"/>
      <x:c r="B263"/>
      <x:c r="C263"/>
      <x:c r="D263" s="625" t="inlineStr">
        <x:is>
          <x:t>T</x:t>
        </x:is>
      </x:c>
      <x:c r="E263" s="625" t="inlineStr">
        <x:is>
          <x:t>Total</x:t>
        </x:is>
      </x:c>
      <x:c r="F263" s="627" t="n">
        <x:v>713107858.69</x:v>
      </x:c>
      <x:c r="G263" s="627" t="n">
        <x:v>150893337.23</x:v>
      </x:c>
      <x:c r="H263" s="627" t="n">
        <x:v>84903204.74</x:v>
      </x:c>
      <x:c r="I263" s="627" t="n">
        <x:v>44790959.97</x:v>
      </x:c>
      <x:c r="J263" s="627" t="n">
        <x:v>24118311.2</x:v>
      </x:c>
      <x:c r="K263" s="627" t="n">
        <x:v>682303.86</x:v>
      </x:c>
      <x:c r="L263" s="627" t="n">
        <x:v>541941</x:v>
      </x:c>
      <x:c r="M263" s="627" t="n">
        <x:v>5965648.12</x:v>
      </x:c>
      <x:c r="N263" s="627" t="n">
        <x:v>8505579.49</x:v>
      </x:c>
      <x:c r="O263" s="627" t="n">
        <x:v>40119451.63</x:v>
      </x:c>
      <x:c r="P263" s="627" t="n">
        <x:v>351486114.3</x:v>
      </x:c>
      <x:c r="Q263" s="627" t="n">
        <x:v>1113322.75</x:v>
      </x:c>
      <x:c r="R263" s="627" t="n">
        <x:v>-429.7</x:v>
      </x:c>
      <x:c r="S263" s="627" t="n">
        <x:v>-11885.9</x:v>
      </x:c>
      <x:c r="T263" s="653" t="n">
        <x:v>0</x:v>
      </x:c>
      <x:c r="U263" s="653">
        <x:v>0</x:v>
      </x:c>
      <x:c r="V263" s="653">
        <x:v>0</x:v>
      </x:c>
      <x:c r="W263" s="653">
        <x:v>0</x:v>
      </x:c>
      <x:c r="X263" s="653">
        <x:v>0</x:v>
      </x:c>
      <x:c r="Y263" s="653">
        <x:v>0</x:v>
      </x:c>
      <x:c r="Z263" s="653">
        <x:v>0</x:v>
      </x:c>
      <x:c r="BN263" s="624"/>
    </x:row>
    <x:row r="264" spans="1:66" x14ac:dyDescent="0.2">
      <x:c r="A264" s="631"/>
      <x:c r="B264" s="631"/>
      <x:c r="C264" s="632" t="inlineStr">
        <x:is>
          <x:t>OCCIDENTE</x:t>
        </x:is>
      </x:c>
      <x:c r="D264" s="632" t="inlineStr">
        <x:is>
          <x:t>Total</x:t>
        </x:is>
      </x:c>
      <x:c r="E264" s="631"/>
      <x:c r="F264" s="633" t="n">
        <x:v>825593716.53</x:v>
      </x:c>
      <x:c r="G264" s="633" t="n">
        <x:v>167231821.55</x:v>
      </x:c>
      <x:c r="H264" s="633" t="n">
        <x:v>93973105.57</x:v>
      </x:c>
      <x:c r="I264" s="633" t="n">
        <x:v>49552033.36</x:v>
      </x:c>
      <x:c r="J264" s="633" t="n">
        <x:v>36454391.11</x:v>
      </x:c>
      <x:c r="K264" s="633" t="n">
        <x:v>1127022.56</x:v>
      </x:c>
      <x:c r="L264" s="633" t="n">
        <x:v>1311387.82</x:v>
      </x:c>
      <x:c r="M264" s="633" t="n">
        <x:v>9858353.57</x:v>
      </x:c>
      <x:c r="N264" s="633" t="n">
        <x:v>13265425.8</x:v>
      </x:c>
      <x:c r="O264" s="633" t="n">
        <x:v>61946866.31</x:v>
      </x:c>
      <x:c r="P264" s="633" t="n">
        <x:v>389045529.43</x:v>
      </x:c>
      <x:c r="Q264" s="633" t="n">
        <x:v>1840669.47</x:v>
      </x:c>
      <x:c r="R264" s="633" t="n">
        <x:v>-1003.46</x:v>
      </x:c>
      <x:c r="S264" s="633" t="n">
        <x:v>-11886.56</x:v>
      </x:c>
      <x:c r="T264" s="633" t="n">
        <x:v>0</x:v>
      </x:c>
      <x:c r="U264" s="633">
        <x:v>0</x:v>
      </x:c>
      <x:c r="V264" s="633">
        <x:v>0</x:v>
      </x:c>
      <x:c r="W264" s="633">
        <x:v>0</x:v>
      </x:c>
      <x:c r="X264" s="633">
        <x:v>0</x:v>
      </x:c>
      <x:c r="Y264" s="633">
        <x:v>0</x:v>
      </x:c>
      <x:c r="Z264" s="633">
        <x:v>0</x:v>
      </x:c>
      <x:c r="AA264" s="631"/>
      <x:c r="AB264" s="631"/>
      <x:c r="AC264" s="631"/>
      <x:c r="AD264" s="631"/>
      <x:c r="AE264" s="631"/>
      <x:c r="AF264" s="631"/>
      <x:c r="AG264" s="631"/>
      <x:c r="AH264" s="631"/>
      <x:c r="AI264" s="631"/>
      <x:c r="AJ264" s="631"/>
      <x:c r="AK264" s="631"/>
      <x:c r="AL264" s="631"/>
      <x:c r="AM264" s="631"/>
      <x:c r="AN264" s="631"/>
      <x:c r="AO264" s="631"/>
      <x:c r="AP264" s="631"/>
      <x:c r="AQ264" s="631"/>
      <x:c r="AR264" s="631"/>
      <x:c r="AS264" s="631"/>
      <x:c r="AT264" s="631"/>
      <x:c r="AU264" s="631"/>
      <x:c r="AV264" s="631"/>
      <x:c r="AW264" s="631"/>
      <x:c r="AX264" s="631"/>
      <x:c r="AY264" s="631"/>
      <x:c r="AZ264" s="631"/>
      <x:c r="BA264" s="631"/>
      <x:c r="BB264" s="631"/>
      <x:c r="BC264" s="631"/>
      <x:c r="BD264" s="631"/>
      <x:c r="BE264" s="631"/>
      <x:c r="BF264" s="631"/>
      <x:c r="BG264" s="631"/>
      <x:c r="BH264" s="631"/>
      <x:c r="BI264" s="631"/>
      <x:c r="BJ264" s="631"/>
      <x:c r="BK264" s="631"/>
      <x:c r="BL264" s="631"/>
      <x:c r="BM264" s="631"/>
      <x:c r="BN264" s="624"/>
    </x:row>
    <x:row r="265" spans="1:66" x14ac:dyDescent="0.2">
      <x:c r="A265" s="638"/>
      <x:c r="B265" s="639" t="inlineStr">
        <x:is>
          <x:t>Mes</x:t>
        </x:is>
      </x:c>
      <x:c r="C265" s="639" t="inlineStr">
        <x:is>
          <x:t>Total</x:t>
        </x:is>
      </x:c>
      <x:c r="D265" s="638"/>
      <x:c r="E265" s="638"/>
      <x:c r="F265" s="640" t="n">
        <x:v>15932657306.2</x:v>
      </x:c>
      <x:c r="G265" s="640" t="n">
        <x:v>1154354004.79</x:v>
      </x:c>
      <x:c r="H265" s="640" t="n">
        <x:v>650771092.62</x:v>
      </x:c>
      <x:c r="I265" s="640" t="n">
        <x:v>342056467.96</x:v>
      </x:c>
      <x:c r="J265" s="640" t="n">
        <x:v>3421411982.2</x:v>
      </x:c>
      <x:c r="K265" s="640" t="n">
        <x:v>125779686.2</x:v>
      </x:c>
      <x:c r="L265" s="640" t="n">
        <x:v>14319220.95</x:v>
      </x:c>
      <x:c r="M265" s="640" t="n">
        <x:v>1103092643.41</x:v>
      </x:c>
      <x:c r="N265" s="640" t="n">
        <x:v>1086973407.67</x:v>
      </x:c>
      <x:c r="O265" s="640" t="n">
        <x:v>5143917194.56</x:v>
      </x:c>
      <x:c r="P265" s="640" t="n">
        <x:v>2684426047.28</x:v>
      </x:c>
      <x:c r="Q265" s="640" t="n">
        <x:v>205320950</x:v>
      </x:c>
      <x:c r="R265" s="640" t="n">
        <x:v>246494.88</x:v>
      </x:c>
      <x:c r="S265" s="640" t="n">
        <x:v>-11886.83</x:v>
      </x:c>
      <x:c r="T265" s="640" t="n">
        <x:v>0.51</x:v>
      </x:c>
      <x:c r="U265" s="640">
        <x:v>0</x:v>
      </x:c>
      <x:c r="V265" s="640">
        <x:v>0</x:v>
      </x:c>
      <x:c r="W265" s="640">
        <x:v>0</x:v>
      </x:c>
      <x:c r="X265" s="640">
        <x:v>0</x:v>
      </x:c>
      <x:c r="Y265" s="640">
        <x:v>0</x:v>
      </x:c>
      <x:c r="Z265" s="640">
        <x:v>0</x:v>
      </x:c>
      <x:c r="AA265" s="638"/>
      <x:c r="AB265" s="638"/>
      <x:c r="AC265" s="638"/>
      <x:c r="AD265" s="638"/>
      <x:c r="AE265" s="638"/>
      <x:c r="AF265" s="638"/>
      <x:c r="AG265" s="638"/>
      <x:c r="AH265" s="638"/>
      <x:c r="AI265" s="638"/>
      <x:c r="AJ265" s="638"/>
      <x:c r="AK265" s="638"/>
      <x:c r="AL265" s="638"/>
      <x:c r="AM265" s="638"/>
      <x:c r="AN265" s="638"/>
      <x:c r="AO265" s="638"/>
      <x:c r="AP265" s="638"/>
      <x:c r="AQ265" s="638"/>
      <x:c r="AR265" s="638"/>
      <x:c r="AS265" s="638"/>
      <x:c r="AT265" s="638"/>
      <x:c r="AU265" s="638"/>
      <x:c r="AV265" s="638"/>
      <x:c r="AW265" s="638"/>
      <x:c r="AX265" s="638"/>
      <x:c r="AY265" s="638"/>
      <x:c r="AZ265" s="638"/>
      <x:c r="BA265" s="638"/>
      <x:c r="BB265" s="638"/>
      <x:c r="BC265" s="638"/>
      <x:c r="BD265" s="638"/>
      <x:c r="BE265" s="638"/>
      <x:c r="BF265" s="638"/>
      <x:c r="BG265" s="638"/>
      <x:c r="BH265" s="638"/>
      <x:c r="BI265" s="638"/>
      <x:c r="BJ265" s="638"/>
      <x:c r="BK265" s="638"/>
      <x:c r="BL265" s="638"/>
      <x:c r="BM265" s="638"/>
      <x:c r="BN265" s="624"/>
    </x:row>
    <x:row r="266" spans="1:66" x14ac:dyDescent="0.2">
      <x:c r="A266" s="625" t="inlineStr">
        <x:is>
          <x:t>Componente</x:t>
        </x:is>
      </x:c>
      <x:c r="B266" s="625" t="inlineStr">
        <x:is>
          <x:t>Total</x:t>
        </x:is>
      </x:c>
      <x:c r="C266"/>
      <x:c r="D266"/>
      <x:c r="E266"/>
      <x:c r="F266" s="627" t="n">
        <x:v>15933337844.23</x:v>
      </x:c>
      <x:c r="G266" s="627" t="n">
        <x:v>1154501603.17</x:v>
      </x:c>
      <x:c r="H266" s="627" t="n">
        <x:v>650837233.58</x:v>
      </x:c>
      <x:c r="I266" s="627" t="n">
        <x:v>342093759.53</x:v>
      </x:c>
      <x:c r="J266" s="627" t="n">
        <x:v>3421445554.28</x:v>
      </x:c>
      <x:c r="K266" s="627" t="n">
        <x:v>125780368.65</x:v>
      </x:c>
      <x:c r="L266" s="627" t="n">
        <x:v>14319220.95</x:v>
      </x:c>
      <x:c r="M266" s="627" t="n">
        <x:v>1103098634.64</x:v>
      </x:c>
      <x:c r="N266" s="627" t="n">
        <x:v>1086980700.92</x:v>
      </x:c>
      <x:c r="O266" s="627" t="n">
        <x:v>5143951113.65</x:v>
      </x:c>
      <x:c r="P266" s="627" t="n">
        <x:v>2684772990.18</x:v>
      </x:c>
      <x:c r="Q266" s="627" t="n">
        <x:v>205322063.37</x:v>
      </x:c>
      <x:c r="R266" s="627" t="n">
        <x:v>246486.93</x:v>
      </x:c>
      <x:c r="S266" s="627" t="n">
        <x:v>-11886.13</x:v>
      </x:c>
      <x:c r="T266" s="653" t="n">
        <x:v>0.51</x:v>
      </x:c>
      <x:c r="U266" s="653">
        <x:v>0</x:v>
      </x:c>
      <x:c r="V266" s="653">
        <x:v>0</x:v>
      </x:c>
      <x:c r="W266" s="653">
        <x:v>0</x:v>
      </x:c>
      <x:c r="X266" s="653">
        <x:v>0</x:v>
      </x:c>
      <x:c r="Y266" s="653">
        <x:v>0</x:v>
      </x:c>
      <x:c r="Z266" s="653">
        <x:v>0</x:v>
      </x:c>
      <x:c r="BN266" s="624"/>
    </x:row>
    <x:row r="267" spans="1:66" x14ac:dyDescent="0.2">
      <x:c r="A267" s="625"/>
      <x:c r="B267" s="625"/>
      <x:c r="C267"/>
      <x:c r="D267"/>
      <x:c r="E267" s="25" t="inlineStr">
        <x:is>
          <x:t>Subsidio(-)/Contribucion(+)</x:t>
        </x:is>
      </x:c>
      <x:c r="F267" s="627" t="n">
        <x:v>627141.97</x:v>
      </x:c>
      <x:c r="G267" s="627" t="n">
        <x:v>136851.94</x:v>
      </x:c>
      <x:c r="H267" s="627" t="n">
        <x:v>59636.73</x:v>
      </x:c>
      <x:c r="I267" s="627" t="n">
        <x:v>34221.29</x:v>
      </x:c>
      <x:c r="J267" s="627" t="n">
        <x:v>30320.48</x:v>
      </x:c>
      <x:c r="K267" s="627" t="n">
        <x:v>630.69</x:v>
      </x:c>
      <x:c r="L267" s="627" t="n">
        <x:v>0</x:v>
      </x:c>
      <x:c r="M267" s="627" t="n">
        <x:v>5532.39</x:v>
      </x:c>
      <x:c r="N267" s="627" t="n">
        <x:v>6675.34</x:v>
      </x:c>
      <x:c r="O267" s="627" t="n">
        <x:v>31361.45</x:v>
      </x:c>
      <x:c r="P267" s="627" t="n">
        <x:v>320882.66</x:v>
      </x:c>
      <x:c r="Q267" s="627" t="n">
        <x:v>1029</x:v>
      </x:c>
      <x:c r="R267" s="627" t="n">
        <x:v>0</x:v>
      </x:c>
      <x:c r="S267" s="627" t="n">
        <x:v>0</x:v>
      </x:c>
      <x:c r="T267" s="653" t="n">
        <x:v>0</x:v>
      </x:c>
      <x:c r="U267" s="653">
        <x:v>0</x:v>
      </x:c>
      <x:c r="V267" s="653">
        <x:v>0</x:v>
      </x:c>
      <x:c r="W267" s="653">
        <x:v>0</x:v>
      </x:c>
      <x:c r="X267" s="653">
        <x:v>0</x:v>
      </x:c>
      <x:c r="Y267" s="653">
        <x:v>0</x:v>
      </x:c>
      <x:c r="Z267" s="653">
        <x:v>0</x:v>
      </x:c>
      <x:c r="BN267" s="624"/>
    </x:row>
    <x:row r="268" spans="1:66" x14ac:dyDescent="0.2">
      <x:c r="A268" s="625"/>
      <x:c r="B268" s="625"/>
      <x:c r="C268"/>
      <x:c r="D268" s="25" t="inlineStr">
        <x:is>
          <x:t>E</x:t>
        </x:is>
      </x:c>
      <x:c r="E268" s="25" t="inlineStr">
        <x:is>
          <x:t>Total</x:t>
        </x:is>
      </x:c>
      <x:c r="F268" s="627" t="n">
        <x:v>627141.97</x:v>
      </x:c>
      <x:c r="G268" s="627" t="n">
        <x:v>136851.94</x:v>
      </x:c>
      <x:c r="H268" s="627" t="n">
        <x:v>59636.73</x:v>
      </x:c>
      <x:c r="I268" s="627" t="n">
        <x:v>34221.29</x:v>
      </x:c>
      <x:c r="J268" s="627" t="n">
        <x:v>30320.48</x:v>
      </x:c>
      <x:c r="K268" s="627" t="n">
        <x:v>630.69</x:v>
      </x:c>
      <x:c r="L268" s="627" t="n">
        <x:v>0</x:v>
      </x:c>
      <x:c r="M268" s="627" t="n">
        <x:v>5532.39</x:v>
      </x:c>
      <x:c r="N268" s="627" t="n">
        <x:v>6675.34</x:v>
      </x:c>
      <x:c r="O268" s="627" t="n">
        <x:v>31361.45</x:v>
      </x:c>
      <x:c r="P268" s="627" t="n">
        <x:v>320882.66</x:v>
      </x:c>
      <x:c r="Q268" s="627" t="n">
        <x:v>1029</x:v>
      </x:c>
      <x:c r="R268" s="627" t="n">
        <x:v>0</x:v>
      </x:c>
      <x:c r="S268" s="627" t="n">
        <x:v>0</x:v>
      </x:c>
      <x:c r="T268" s="653" t="n">
        <x:v>0</x:v>
      </x:c>
      <x:c r="U268" s="653">
        <x:v>0</x:v>
      </x:c>
      <x:c r="V268" s="653">
        <x:v>0</x:v>
      </x:c>
      <x:c r="W268" s="653">
        <x:v>0</x:v>
      </x:c>
      <x:c r="X268" s="653">
        <x:v>0</x:v>
      </x:c>
      <x:c r="Y268" s="653">
        <x:v>0</x:v>
      </x:c>
      <x:c r="Z268" s="653">
        <x:v>0</x:v>
      </x:c>
      <x:c r="BN268" s="624"/>
    </x:row>
    <x:row r="269" spans="1:66" x14ac:dyDescent="0.2">
      <x:c r="A269" s="628"/>
      <x:c r="B269" s="628"/>
      <x:c r="C269" s="628" t="inlineStr">
        <x:is>
          <x:t>ENEL</x:t>
        </x:is>
      </x:c>
      <x:c r="D269" s="628" t="inlineStr">
        <x:is>
          <x:t>Total</x:t>
        </x:is>
      </x:c>
      <x:c r="E269" s="629"/>
      <x:c r="F269" s="630" t="n">
        <x:v>627141.97</x:v>
      </x:c>
      <x:c r="G269" s="630" t="n">
        <x:v>136851.94</x:v>
      </x:c>
      <x:c r="H269" s="630" t="n">
        <x:v>59636.73</x:v>
      </x:c>
      <x:c r="I269" s="630" t="n">
        <x:v>34221.29</x:v>
      </x:c>
      <x:c r="J269" s="630" t="n">
        <x:v>30320.48</x:v>
      </x:c>
      <x:c r="K269" s="630" t="n">
        <x:v>630.69</x:v>
      </x:c>
      <x:c r="L269" s="630" t="n">
        <x:v>0</x:v>
      </x:c>
      <x:c r="M269" s="630" t="n">
        <x:v>5532.39</x:v>
      </x:c>
      <x:c r="N269" s="630" t="n">
        <x:v>6675.34</x:v>
      </x:c>
      <x:c r="O269" s="630" t="n">
        <x:v>31361.45</x:v>
      </x:c>
      <x:c r="P269" s="630" t="n">
        <x:v>320882.66</x:v>
      </x:c>
      <x:c r="Q269" s="630" t="n">
        <x:v>1029</x:v>
      </x:c>
      <x:c r="R269" s="630" t="n">
        <x:v>0</x:v>
      </x:c>
      <x:c r="S269" s="630" t="n">
        <x:v>0</x:v>
      </x:c>
      <x:c r="T269" s="630" t="n">
        <x:v>0</x:v>
      </x:c>
      <x:c r="U269" s="630">
        <x:v>0</x:v>
      </x:c>
      <x:c r="V269" s="630">
        <x:v>0</x:v>
      </x:c>
      <x:c r="W269" s="630">
        <x:v>0</x:v>
      </x:c>
      <x:c r="X269" s="630">
        <x:v>0</x:v>
      </x:c>
      <x:c r="Y269" s="630">
        <x:v>0</x:v>
      </x:c>
      <x:c r="Z269" s="630">
        <x:v>0</x:v>
      </x:c>
      <x:c r="AA269" s="628"/>
      <x:c r="AB269" s="628"/>
      <x:c r="AC269" s="628"/>
      <x:c r="AD269" s="628"/>
      <x:c r="AE269" s="628"/>
      <x:c r="AF269" s="628"/>
      <x:c r="AG269" s="628"/>
      <x:c r="AH269" s="628"/>
      <x:c r="AI269" s="628"/>
      <x:c r="AJ269" s="628"/>
      <x:c r="AK269" s="628"/>
      <x:c r="AL269" s="628"/>
      <x:c r="AM269" s="628"/>
      <x:c r="AN269" s="628"/>
      <x:c r="AO269" s="628"/>
      <x:c r="AP269" s="628"/>
      <x:c r="AQ269" s="628"/>
      <x:c r="AR269" s="628"/>
      <x:c r="AS269" s="628"/>
      <x:c r="AT269" s="628"/>
      <x:c r="AU269" s="628"/>
      <x:c r="AV269" s="628"/>
      <x:c r="AW269" s="628"/>
      <x:c r="AX269" s="628"/>
      <x:c r="AY269" s="628"/>
      <x:c r="AZ269" s="628"/>
      <x:c r="BA269" s="628"/>
      <x:c r="BB269" s="628"/>
      <x:c r="BC269" s="628"/>
      <x:c r="BD269" s="628"/>
      <x:c r="BE269" s="628"/>
      <x:c r="BF269" s="628"/>
      <x:c r="BG269" s="628"/>
      <x:c r="BH269" s="628"/>
      <x:c r="BI269" s="628"/>
      <x:c r="BJ269" s="628"/>
      <x:c r="BK269" s="628"/>
      <x:c r="BL269" s="628"/>
      <x:c r="BM269" s="628"/>
      <x:c r="BN269" s="624"/>
    </x:row>
    <x:row r="270" spans="1:66" x14ac:dyDescent="0.2">
      <x:c r="A270" s="635"/>
      <x:c r="B270" s="635" t="inlineStr">
        <x:is>
          <x:t>Aplicacion nuevos x reversion</x:t>
        </x:is>
      </x:c>
      <x:c r="C270" s="635" t="inlineStr">
        <x:is>
          <x:t>Total</x:t>
        </x:is>
      </x:c>
      <x:c r="D270" s="635"/>
      <x:c r="E270" s="636"/>
      <x:c r="F270" s="637" t="n">
        <x:v>627141.97</x:v>
      </x:c>
      <x:c r="G270" s="637" t="n">
        <x:v>136851.94</x:v>
      </x:c>
      <x:c r="H270" s="637" t="n">
        <x:v>59636.73</x:v>
      </x:c>
      <x:c r="I270" s="637" t="n">
        <x:v>34221.29</x:v>
      </x:c>
      <x:c r="J270" s="637" t="n">
        <x:v>30320.48</x:v>
      </x:c>
      <x:c r="K270" s="637" t="n">
        <x:v>630.69</x:v>
      </x:c>
      <x:c r="L270" s="637" t="n">
        <x:v>0</x:v>
      </x:c>
      <x:c r="M270" s="637" t="n">
        <x:v>5532.39</x:v>
      </x:c>
      <x:c r="N270" s="637" t="n">
        <x:v>6675.34</x:v>
      </x:c>
      <x:c r="O270" s="637" t="n">
        <x:v>31361.45</x:v>
      </x:c>
      <x:c r="P270" s="637" t="n">
        <x:v>320882.66</x:v>
      </x:c>
      <x:c r="Q270" s="637" t="n">
        <x:v>1029</x:v>
      </x:c>
      <x:c r="R270" s="637" t="n">
        <x:v>0</x:v>
      </x:c>
      <x:c r="S270" s="637" t="n">
        <x:v>0</x:v>
      </x:c>
      <x:c r="T270" s="637" t="n">
        <x:v>0</x:v>
      </x:c>
      <x:c r="U270" s="637">
        <x:v>0</x:v>
      </x:c>
      <x:c r="V270" s="637">
        <x:v>0</x:v>
      </x:c>
      <x:c r="W270" s="637">
        <x:v>0</x:v>
      </x:c>
      <x:c r="X270" s="637">
        <x:v>0</x:v>
      </x:c>
      <x:c r="Y270" s="637">
        <x:v>0</x:v>
      </x:c>
      <x:c r="Z270" s="637">
        <x:v>0</x:v>
      </x:c>
      <x:c r="AA270" s="635"/>
      <x:c r="AB270" s="635"/>
      <x:c r="AC270" s="635"/>
      <x:c r="AD270" s="635"/>
      <x:c r="AE270" s="635"/>
      <x:c r="AF270" s="635"/>
      <x:c r="AG270" s="635"/>
      <x:c r="AH270" s="635"/>
      <x:c r="AI270" s="635"/>
      <x:c r="AJ270" s="635"/>
      <x:c r="AK270" s="635"/>
      <x:c r="AL270" s="635"/>
      <x:c r="AM270" s="635"/>
      <x:c r="AN270" s="635"/>
      <x:c r="AO270" s="635"/>
      <x:c r="AP270" s="635"/>
      <x:c r="AQ270" s="635"/>
      <x:c r="AR270" s="635"/>
      <x:c r="AS270" s="635"/>
      <x:c r="AT270" s="635"/>
      <x:c r="AU270" s="635"/>
      <x:c r="AV270" s="635"/>
      <x:c r="AW270" s="635"/>
      <x:c r="AX270" s="635"/>
      <x:c r="AY270" s="635"/>
      <x:c r="AZ270" s="635"/>
      <x:c r="BA270" s="635"/>
      <x:c r="BB270" s="635"/>
      <x:c r="BC270" s="635"/>
      <x:c r="BD270" s="635"/>
      <x:c r="BE270" s="635"/>
      <x:c r="BF270" s="635"/>
      <x:c r="BG270" s="635"/>
      <x:c r="BH270" s="635"/>
      <x:c r="BI270" s="635"/>
      <x:c r="BJ270" s="635"/>
      <x:c r="BK270" s="635"/>
      <x:c r="BL270" s="635"/>
      <x:c r="BM270" s="635"/>
      <x:c r="BN270" s="624"/>
    </x:row>
    <x:row r="271" spans="1:66" x14ac:dyDescent="0.2">
      <x:c r="A271"/>
      <x:c r="B271"/>
      <x:c r="C271"/>
      <x:c r="D271"/>
      <x:c r="E271" s="625" t="inlineStr">
        <x:is>
          <x:t>Subsidio(-)/Contribucion(+)</x:t>
        </x:is>
      </x:c>
      <x:c r="F271" s="627" t="n">
        <x:v>-1096861177.67</x:v>
      </x:c>
      <x:c r="G271" s="627" t="n">
        <x:v>177691694.13</x:v>
      </x:c>
      <x:c r="H271" s="627" t="n">
        <x:v>100212148.13</x:v>
      </x:c>
      <x:c r="I271" s="627" t="n">
        <x:v>52624447.82</x:v>
      </x:c>
      <x:c r="J271" s="627" t="n">
        <x:v>-572254890.49</x:v>
      </x:c>
      <x:c r="K271" s="627" t="n">
        <x:v>-20850568.85</x:v>
      </x:c>
      <x:c r="L271" s="627" t="n">
        <x:v>0</x:v>
      </x:c>
      <x:c r="M271" s="627" t="n">
        <x:v>-182915508.68</x:v>
      </x:c>
      <x:c r="N271" s="627" t="n">
        <x:v>-179688481.86</x:v>
      </x:c>
      <x:c r="O271" s="627" t="n">
        <x:v>-850631532.47</x:v>
      </x:c>
      <x:c r="P271" s="627" t="n">
        <x:v>412971085.38</x:v>
      </x:c>
      <x:c r="Q271" s="627" t="n">
        <x:v>-34019570.78</x:v>
      </x:c>
      <x:c r="R271" s="627" t="n">
        <x:v>0</x:v>
      </x:c>
      <x:c r="S271" s="627" t="n">
        <x:v>0</x:v>
      </x:c>
      <x:c r="T271" s="653" t="n">
        <x:v>0</x:v>
      </x:c>
      <x:c r="U271" s="653">
        <x:v>0</x:v>
      </x:c>
      <x:c r="V271" s="653">
        <x:v>0</x:v>
      </x:c>
      <x:c r="W271" s="653">
        <x:v>0</x:v>
      </x:c>
      <x:c r="X271" s="653">
        <x:v>0</x:v>
      </x:c>
      <x:c r="Y271" s="653">
        <x:v>0</x:v>
      </x:c>
      <x:c r="Z271" s="653">
        <x:v>0</x:v>
      </x:c>
      <x:c r="BN271" s="624"/>
    </x:row>
    <x:row r="272" spans="1:66" x14ac:dyDescent="0.2">
      <x:c r="A272"/>
      <x:c r="B272"/>
      <x:c r="C272"/>
      <x:c r="D272" s="25" t="inlineStr">
        <x:is>
          <x:t>E</x:t>
        </x:is>
      </x:c>
      <x:c r="E272" s="625" t="inlineStr">
        <x:is>
          <x:t>Total</x:t>
        </x:is>
      </x:c>
      <x:c r="F272" s="627" t="n">
        <x:v>-1096861177.67</x:v>
      </x:c>
      <x:c r="G272" s="627" t="n">
        <x:v>177691694.13</x:v>
      </x:c>
      <x:c r="H272" s="627" t="n">
        <x:v>100212148.13</x:v>
      </x:c>
      <x:c r="I272" s="627" t="n">
        <x:v>52624447.82</x:v>
      </x:c>
      <x:c r="J272" s="627" t="n">
        <x:v>-572254890.49</x:v>
      </x:c>
      <x:c r="K272" s="627" t="n">
        <x:v>-20850568.85</x:v>
      </x:c>
      <x:c r="L272" s="627" t="n">
        <x:v>0</x:v>
      </x:c>
      <x:c r="M272" s="627" t="n">
        <x:v>-182915508.68</x:v>
      </x:c>
      <x:c r="N272" s="627" t="n">
        <x:v>-179688481.86</x:v>
      </x:c>
      <x:c r="O272" s="627" t="n">
        <x:v>-850631532.47</x:v>
      </x:c>
      <x:c r="P272" s="627" t="n">
        <x:v>412971085.38</x:v>
      </x:c>
      <x:c r="Q272" s="627" t="n">
        <x:v>-34019570.78</x:v>
      </x:c>
      <x:c r="R272" s="627" t="n">
        <x:v>0</x:v>
      </x:c>
      <x:c r="S272" s="627" t="n">
        <x:v>0</x:v>
      </x:c>
      <x:c r="T272" s="653" t="n">
        <x:v>0</x:v>
      </x:c>
      <x:c r="U272" s="653">
        <x:v>0</x:v>
      </x:c>
      <x:c r="V272" s="653">
        <x:v>0</x:v>
      </x:c>
      <x:c r="W272" s="653">
        <x:v>0</x:v>
      </x:c>
      <x:c r="X272" s="653">
        <x:v>0</x:v>
      </x:c>
      <x:c r="Y272" s="653">
        <x:v>0</x:v>
      </x:c>
      <x:c r="Z272" s="653">
        <x:v>0</x:v>
      </x:c>
      <x:c r="BN272" s="624"/>
    </x:row>
    <x:row r="273" spans="1:66" x14ac:dyDescent="0.2">
      <x:c r="A273" s="628"/>
      <x:c r="B273" s="628"/>
      <x:c r="C273" s="628" t="inlineStr">
        <x:is>
          <x:t>ENEL</x:t>
        </x:is>
      </x:c>
      <x:c r="D273" s="628" t="inlineStr">
        <x:is>
          <x:t>Total</x:t>
        </x:is>
      </x:c>
      <x:c r="E273" s="629"/>
      <x:c r="F273" s="630" t="n">
        <x:v>-1096861177.67</x:v>
      </x:c>
      <x:c r="G273" s="630" t="n">
        <x:v>177691694.13</x:v>
      </x:c>
      <x:c r="H273" s="630" t="n">
        <x:v>100212148.13</x:v>
      </x:c>
      <x:c r="I273" s="630" t="n">
        <x:v>52624447.82</x:v>
      </x:c>
      <x:c r="J273" s="630" t="n">
        <x:v>-572254890.49</x:v>
      </x:c>
      <x:c r="K273" s="630" t="n">
        <x:v>-20850568.85</x:v>
      </x:c>
      <x:c r="L273" s="630" t="n">
        <x:v>0</x:v>
      </x:c>
      <x:c r="M273" s="630" t="n">
        <x:v>-182915508.68</x:v>
      </x:c>
      <x:c r="N273" s="630" t="n">
        <x:v>-179688481.86</x:v>
      </x:c>
      <x:c r="O273" s="630" t="n">
        <x:v>-850631532.47</x:v>
      </x:c>
      <x:c r="P273" s="630" t="n">
        <x:v>412971085.38</x:v>
      </x:c>
      <x:c r="Q273" s="630" t="n">
        <x:v>-34019570.78</x:v>
      </x:c>
      <x:c r="R273" s="630" t="n">
        <x:v>0</x:v>
      </x:c>
      <x:c r="S273" s="630" t="n">
        <x:v>0</x:v>
      </x:c>
      <x:c r="T273" s="630" t="n">
        <x:v>0</x:v>
      </x:c>
      <x:c r="U273" s="630">
        <x:v>0</x:v>
      </x:c>
      <x:c r="V273" s="630">
        <x:v>0</x:v>
      </x:c>
      <x:c r="W273" s="630">
        <x:v>0</x:v>
      </x:c>
      <x:c r="X273" s="630">
        <x:v>0</x:v>
      </x:c>
      <x:c r="Y273" s="630">
        <x:v>0</x:v>
      </x:c>
      <x:c r="Z273" s="630">
        <x:v>0</x:v>
      </x:c>
      <x:c r="AA273" s="628"/>
      <x:c r="AB273" s="628"/>
      <x:c r="AC273" s="628"/>
      <x:c r="AD273" s="628"/>
      <x:c r="AE273" s="628"/>
      <x:c r="AF273" s="628"/>
      <x:c r="AG273" s="628"/>
      <x:c r="AH273" s="628"/>
      <x:c r="AI273" s="628"/>
      <x:c r="AJ273" s="628"/>
      <x:c r="AK273" s="628"/>
      <x:c r="AL273" s="628"/>
      <x:c r="AM273" s="628"/>
      <x:c r="AN273" s="628"/>
      <x:c r="AO273" s="628"/>
      <x:c r="AP273" s="628"/>
      <x:c r="AQ273" s="628"/>
      <x:c r="AR273" s="628"/>
      <x:c r="AS273" s="628"/>
      <x:c r="AT273" s="628"/>
      <x:c r="AU273" s="628"/>
      <x:c r="AV273" s="628"/>
      <x:c r="AW273" s="628"/>
      <x:c r="AX273" s="628"/>
      <x:c r="AY273" s="628"/>
      <x:c r="AZ273" s="628"/>
      <x:c r="BA273" s="628"/>
      <x:c r="BB273" s="628"/>
      <x:c r="BC273" s="628"/>
      <x:c r="BD273" s="628"/>
      <x:c r="BE273" s="628"/>
      <x:c r="BF273" s="628"/>
      <x:c r="BG273" s="628"/>
      <x:c r="BH273" s="628"/>
      <x:c r="BI273" s="628"/>
      <x:c r="BJ273" s="628"/>
      <x:c r="BK273" s="628"/>
      <x:c r="BL273" s="628"/>
      <x:c r="BM273" s="628"/>
      <x:c r="BN273" s="624"/>
    </x:row>
    <x:row r="274" spans="1:66" x14ac:dyDescent="0.2">
      <x:c r="A274"/>
      <x:c r="B274"/>
      <x:c r="C274"/>
      <x:c r="D274" s="625"/>
      <x:c r="E274" s="625" t="inlineStr">
        <x:is>
          <x:t>Subsidio(-)/Contribucion(+)</x:t>
        </x:is>
      </x:c>
      <x:c r="F274" s="627" t="n">
        <x:v>5881980.61</x:v>
      </x:c>
      <x:c r="G274" s="627" t="n">
        <x:v>1458341.69</x:v>
      </x:c>
      <x:c r="H274" s="627" t="n">
        <x:v>821336.04</x:v>
      </x:c>
      <x:c r="I274" s="627" t="n">
        <x:v>430495.38</x:v>
      </x:c>
      <x:c r="J274" s="627" t="n">
        <x:v>-89992.43</x:v>
      </x:c>
      <x:c r="K274" s="627" t="n">
        <x:v>-1656.46</x:v>
      </x:c>
      <x:c r="L274" s="627" t="n">
        <x:v>0</x:v>
      </x:c>
      <x:c r="M274" s="627" t="n">
        <x:v>-14532.38</x:v>
      </x:c>
      <x:c r="N274" s="627" t="n">
        <x:v>-17796.23</x:v>
      </x:c>
      <x:c r="O274" s="627" t="n">
        <x:v>-85250.46</x:v>
      </x:c>
      <x:c r="P274" s="627" t="n">
        <x:v>3383738.4</x:v>
      </x:c>
      <x:c r="Q274" s="627" t="n">
        <x:v>-2702.94</x:v>
      </x:c>
      <x:c r="R274" s="627" t="n">
        <x:v>0</x:v>
      </x:c>
      <x:c r="S274" s="627" t="n">
        <x:v>0</x:v>
      </x:c>
      <x:c r="T274" s="653" t="n">
        <x:v>0</x:v>
      </x:c>
      <x:c r="U274" s="653">
        <x:v>0</x:v>
      </x:c>
      <x:c r="V274" s="653">
        <x:v>0</x:v>
      </x:c>
      <x:c r="W274" s="653">
        <x:v>0</x:v>
      </x:c>
      <x:c r="X274" s="653">
        <x:v>0</x:v>
      </x:c>
      <x:c r="Y274" s="653">
        <x:v>0</x:v>
      </x:c>
      <x:c r="Z274" s="653">
        <x:v>0</x:v>
      </x:c>
      <x:c r="BN274" s="624"/>
    </x:row>
    <x:row r="275" spans="1:66" x14ac:dyDescent="0.2">
      <x:c r="A275"/>
      <x:c r="B275"/>
      <x:c r="C275"/>
      <x:c r="D275" s="25" t="inlineStr">
        <x:is>
          <x:t>H</x:t>
        </x:is>
      </x:c>
      <x:c r="E275" s="625" t="inlineStr">
        <x:is>
          <x:t>Total</x:t>
        </x:is>
      </x:c>
      <x:c r="F275" s="627" t="n">
        <x:v>5881980.61</x:v>
      </x:c>
      <x:c r="G275" s="627" t="n">
        <x:v>1458341.69</x:v>
      </x:c>
      <x:c r="H275" s="627" t="n">
        <x:v>821336.04</x:v>
      </x:c>
      <x:c r="I275" s="627" t="n">
        <x:v>430495.38</x:v>
      </x:c>
      <x:c r="J275" s="627" t="n">
        <x:v>-89992.43</x:v>
      </x:c>
      <x:c r="K275" s="627" t="n">
        <x:v>-1656.46</x:v>
      </x:c>
      <x:c r="L275" s="627" t="n">
        <x:v>0</x:v>
      </x:c>
      <x:c r="M275" s="627" t="n">
        <x:v>-14532.38</x:v>
      </x:c>
      <x:c r="N275" s="627" t="n">
        <x:v>-17796.23</x:v>
      </x:c>
      <x:c r="O275" s="627" t="n">
        <x:v>-85250.46</x:v>
      </x:c>
      <x:c r="P275" s="627" t="n">
        <x:v>3383738.4</x:v>
      </x:c>
      <x:c r="Q275" s="627" t="n">
        <x:v>-2702.94</x:v>
      </x:c>
      <x:c r="R275" s="627" t="n">
        <x:v>0</x:v>
      </x:c>
      <x:c r="S275" s="627" t="n">
        <x:v>0</x:v>
      </x:c>
      <x:c r="T275" s="653" t="n">
        <x:v>0</x:v>
      </x:c>
      <x:c r="U275" s="653">
        <x:v>0</x:v>
      </x:c>
      <x:c r="V275" s="653">
        <x:v>0</x:v>
      </x:c>
      <x:c r="W275" s="653">
        <x:v>0</x:v>
      </x:c>
      <x:c r="X275" s="653">
        <x:v>0</x:v>
      </x:c>
      <x:c r="Y275" s="653">
        <x:v>0</x:v>
      </x:c>
      <x:c r="Z275" s="653">
        <x:v>0</x:v>
      </x:c>
      <x:c r="BN275" s="624"/>
    </x:row>
    <x:row r="276" spans="1:66" x14ac:dyDescent="0.2">
      <x:c r="A276"/>
      <x:c r="B276"/>
      <x:c r="C276"/>
      <x:c r="D276" s="625"/>
      <x:c r="E276" s="625" t="inlineStr">
        <x:is>
          <x:t>Subsidio(-)/Contribucion(+)</x:t>
        </x:is>
      </x:c>
      <x:c r="F276" s="627" t="n">
        <x:v>41448273.23</x:v>
      </x:c>
      <x:c r="G276" s="627" t="n">
        <x:v>9799067.84</x:v>
      </x:c>
      <x:c r="H276" s="627" t="n">
        <x:v>5514666.58</x:v>
      </x:c>
      <x:c r="I276" s="627" t="n">
        <x:v>2910510.96</x:v>
      </x:c>
      <x:c r="J276" s="627" t="n">
        <x:v>43956.11</x:v>
      </x:c>
      <x:c r="K276" s="627" t="n">
        <x:v>-3831.58</x:v>
      </x:c>
      <x:c r="L276" s="627" t="n">
        <x:v>0</x:v>
      </x:c>
      <x:c r="M276" s="627" t="n">
        <x:v>-33238.42</x:v>
      </x:c>
      <x:c r="N276" s="627" t="n">
        <x:v>51690.03</x:v>
      </x:c>
      <x:c r="O276" s="627" t="n">
        <x:v>379225.18</x:v>
      </x:c>
      <x:c r="P276" s="627" t="n">
        <x:v>22792493.52</x:v>
      </x:c>
      <x:c r="Q276" s="627" t="n">
        <x:v>-6266.99</x:v>
      </x:c>
      <x:c r="R276" s="627" t="n">
        <x:v>0</x:v>
      </x:c>
      <x:c r="S276" s="627" t="n">
        <x:v>0</x:v>
      </x:c>
      <x:c r="T276" s="653" t="n">
        <x:v>0</x:v>
      </x:c>
      <x:c r="U276" s="653">
        <x:v>0</x:v>
      </x:c>
      <x:c r="V276" s="653">
        <x:v>0</x:v>
      </x:c>
      <x:c r="W276" s="653">
        <x:v>0</x:v>
      </x:c>
      <x:c r="X276" s="653">
        <x:v>0</x:v>
      </x:c>
      <x:c r="Y276" s="653">
        <x:v>0</x:v>
      </x:c>
      <x:c r="Z276" s="653">
        <x:v>0</x:v>
      </x:c>
      <x:c r="BN276" s="624"/>
    </x:row>
    <x:row r="277" spans="1:66" x14ac:dyDescent="0.2">
      <x:c r="A277"/>
      <x:c r="B277"/>
      <x:c r="C277"/>
      <x:c r="D277" s="25" t="inlineStr">
        <x:is>
          <x:t>O</x:t>
        </x:is>
      </x:c>
      <x:c r="E277" s="625" t="inlineStr">
        <x:is>
          <x:t>Total</x:t>
        </x:is>
      </x:c>
      <x:c r="F277" s="627" t="n">
        <x:v>41448273.23</x:v>
      </x:c>
      <x:c r="G277" s="627" t="n">
        <x:v>9799067.84</x:v>
      </x:c>
      <x:c r="H277" s="627" t="n">
        <x:v>5514666.58</x:v>
      </x:c>
      <x:c r="I277" s="627" t="n">
        <x:v>2910510.96</x:v>
      </x:c>
      <x:c r="J277" s="627" t="n">
        <x:v>43956.11</x:v>
      </x:c>
      <x:c r="K277" s="627" t="n">
        <x:v>-3831.58</x:v>
      </x:c>
      <x:c r="L277" s="627" t="n">
        <x:v>0</x:v>
      </x:c>
      <x:c r="M277" s="627" t="n">
        <x:v>-33238.42</x:v>
      </x:c>
      <x:c r="N277" s="627" t="n">
        <x:v>51690.03</x:v>
      </x:c>
      <x:c r="O277" s="627" t="n">
        <x:v>379225.18</x:v>
      </x:c>
      <x:c r="P277" s="627" t="n">
        <x:v>22792493.52</x:v>
      </x:c>
      <x:c r="Q277" s="627" t="n">
        <x:v>-6266.99</x:v>
      </x:c>
      <x:c r="R277" s="627" t="n">
        <x:v>0</x:v>
      </x:c>
      <x:c r="S277" s="627" t="n">
        <x:v>0</x:v>
      </x:c>
      <x:c r="T277" s="653" t="n">
        <x:v>0</x:v>
      </x:c>
      <x:c r="U277" s="653">
        <x:v>0</x:v>
      </x:c>
      <x:c r="V277" s="653">
        <x:v>0</x:v>
      </x:c>
      <x:c r="W277" s="653">
        <x:v>0</x:v>
      </x:c>
      <x:c r="X277" s="653">
        <x:v>0</x:v>
      </x:c>
      <x:c r="Y277" s="653">
        <x:v>0</x:v>
      </x:c>
      <x:c r="Z277" s="653">
        <x:v>0</x:v>
      </x:c>
      <x:c r="BN277" s="624"/>
    </x:row>
    <x:row r="278" spans="1:66" x14ac:dyDescent="0.2">
      <x:c r="A278"/>
      <x:c r="B278"/>
      <x:c r="C278"/>
      <x:c r="D278" s="625"/>
      <x:c r="E278" s="625" t="inlineStr">
        <x:is>
          <x:t>Subsidio(-)/Contribucion(+)</x:t>
        </x:is>
      </x:c>
      <x:c r="F278" s="627" t="n">
        <x:v>357418504.17</x:v>
      </x:c>
      <x:c r="G278" s="627" t="n">
        <x:v>82262358.89</x:v>
      </x:c>
      <x:c r="H278" s="627" t="n">
        <x:v>46499187.44</x:v>
      </x:c>
      <x:c r="I278" s="627" t="n">
        <x:v>24589080.51</x:v>
      </x:c>
      <x:c r="J278" s="627" t="n">
        <x:v>3357839.2</x:v>
      </x:c>
      <x:c r="K278" s="627" t="n">
        <x:v>107100.09</x:v>
      </x:c>
      <x:c r="L278" s="627" t="n">
        <x:v>0</x:v>
      </x:c>
      <x:c r="M278" s="627" t="n">
        <x:v>927675.41</x:v>
      </x:c>
      <x:c r="N278" s="627" t="n">
        <x:v>1328839.59</x:v>
      </x:c>
      <x:c r="O278" s="627" t="n">
        <x:v>6237531.63</x:v>
      </x:c>
      <x:c r="P278" s="627" t="n">
        <x:v>191934234.59</x:v>
      </x:c>
      <x:c r="Q278" s="627" t="n">
        <x:v>174656.82</x:v>
      </x:c>
      <x:c r="R278" s="627" t="n">
        <x:v>0</x:v>
      </x:c>
      <x:c r="S278" s="627" t="n">
        <x:v>0</x:v>
      </x:c>
      <x:c r="T278" s="653" t="n">
        <x:v>0</x:v>
      </x:c>
      <x:c r="U278" s="653">
        <x:v>0</x:v>
      </x:c>
      <x:c r="V278" s="653">
        <x:v>0</x:v>
      </x:c>
      <x:c r="W278" s="653">
        <x:v>0</x:v>
      </x:c>
      <x:c r="X278" s="653">
        <x:v>0</x:v>
      </x:c>
      <x:c r="Y278" s="653">
        <x:v>0</x:v>
      </x:c>
      <x:c r="Z278" s="653">
        <x:v>0</x:v>
      </x:c>
      <x:c r="BN278" s="624"/>
    </x:row>
    <x:row r="279" spans="1:66" x14ac:dyDescent="0.2">
      <x:c r="A279"/>
      <x:c r="B279"/>
      <x:c r="C279" s="625"/>
      <x:c r="D279" s="625" t="inlineStr">
        <x:is>
          <x:t>T</x:t>
        </x:is>
      </x:c>
      <x:c r="E279" s="25" t="inlineStr">
        <x:is>
          <x:t>Total</x:t>
        </x:is>
      </x:c>
      <x:c r="F279" s="627" t="n">
        <x:v>357418504.17</x:v>
      </x:c>
      <x:c r="G279" s="627" t="n">
        <x:v>82262358.89</x:v>
      </x:c>
      <x:c r="H279" s="627" t="n">
        <x:v>46499187.44</x:v>
      </x:c>
      <x:c r="I279" s="627" t="n">
        <x:v>24589080.51</x:v>
      </x:c>
      <x:c r="J279" s="627" t="n">
        <x:v>3357839.2</x:v>
      </x:c>
      <x:c r="K279" s="627" t="n">
        <x:v>107100.09</x:v>
      </x:c>
      <x:c r="L279" s="627" t="n">
        <x:v>0</x:v>
      </x:c>
      <x:c r="M279" s="627" t="n">
        <x:v>927675.41</x:v>
      </x:c>
      <x:c r="N279" s="627" t="n">
        <x:v>1328839.59</x:v>
      </x:c>
      <x:c r="O279" s="627" t="n">
        <x:v>6237531.63</x:v>
      </x:c>
      <x:c r="P279" s="627" t="n">
        <x:v>191934234.59</x:v>
      </x:c>
      <x:c r="Q279" s="627" t="n">
        <x:v>174656.82</x:v>
      </x:c>
      <x:c r="R279" s="627" t="n">
        <x:v>0</x:v>
      </x:c>
      <x:c r="S279" s="627" t="n">
        <x:v>0</x:v>
      </x:c>
      <x:c r="T279" s="653" t="n">
        <x:v>0</x:v>
      </x:c>
      <x:c r="U279" s="653">
        <x:v>0</x:v>
      </x:c>
      <x:c r="V279" s="653">
        <x:v>0</x:v>
      </x:c>
      <x:c r="W279" s="653">
        <x:v>0</x:v>
      </x:c>
      <x:c r="X279" s="653">
        <x:v>0</x:v>
      </x:c>
      <x:c r="Y279" s="653">
        <x:v>0</x:v>
      </x:c>
      <x:c r="Z279" s="653">
        <x:v>0</x:v>
      </x:c>
      <x:c r="BN279" s="624"/>
    </x:row>
    <x:row r="280" spans="1:66" x14ac:dyDescent="0.2">
      <x:c r="A280" s="631"/>
      <x:c r="B280" s="631"/>
      <x:c r="C280" s="632" t="inlineStr">
        <x:is>
          <x:t>OCCIDENTE</x:t>
        </x:is>
      </x:c>
      <x:c r="D280" s="632" t="inlineStr">
        <x:is>
          <x:t>Total</x:t>
        </x:is>
      </x:c>
      <x:c r="E280" s="631"/>
      <x:c r="F280" s="633" t="n">
        <x:v>404748758.01</x:v>
      </x:c>
      <x:c r="G280" s="633" t="n">
        <x:v>93519768.42</x:v>
      </x:c>
      <x:c r="H280" s="633" t="n">
        <x:v>52835190.06</x:v>
      </x:c>
      <x:c r="I280" s="633" t="n">
        <x:v>27930086.85</x:v>
      </x:c>
      <x:c r="J280" s="633" t="n">
        <x:v>3311802.88</x:v>
      </x:c>
      <x:c r="K280" s="633" t="n">
        <x:v>101612.05</x:v>
      </x:c>
      <x:c r="L280" s="633" t="n">
        <x:v>0</x:v>
      </x:c>
      <x:c r="M280" s="633" t="n">
        <x:v>879904.61</x:v>
      </x:c>
      <x:c r="N280" s="633" t="n">
        <x:v>1362733.39</x:v>
      </x:c>
      <x:c r="O280" s="633" t="n">
        <x:v>6531506.35</x:v>
      </x:c>
      <x:c r="P280" s="633" t="n">
        <x:v>218110466.51</x:v>
      </x:c>
      <x:c r="Q280" s="633" t="n">
        <x:v>165686.89</x:v>
      </x:c>
      <x:c r="R280" s="633" t="n">
        <x:v>0</x:v>
      </x:c>
      <x:c r="S280" s="633" t="n">
        <x:v>0</x:v>
      </x:c>
      <x:c r="T280" s="633" t="n">
        <x:v>0</x:v>
      </x:c>
      <x:c r="U280" s="633">
        <x:v>0</x:v>
      </x:c>
      <x:c r="V280" s="633">
        <x:v>0</x:v>
      </x:c>
      <x:c r="W280" s="633">
        <x:v>0</x:v>
      </x:c>
      <x:c r="X280" s="633">
        <x:v>0</x:v>
      </x:c>
      <x:c r="Y280" s="633">
        <x:v>0</x:v>
      </x:c>
      <x:c r="Z280" s="633">
        <x:v>0</x:v>
      </x:c>
      <x:c r="AA280" s="631"/>
      <x:c r="AB280" s="631"/>
      <x:c r="AC280" s="631"/>
      <x:c r="AD280" s="631"/>
      <x:c r="AE280" s="631"/>
      <x:c r="AF280" s="631"/>
      <x:c r="AG280" s="631"/>
      <x:c r="AH280" s="631"/>
      <x:c r="AI280" s="631"/>
      <x:c r="AJ280" s="631"/>
      <x:c r="AK280" s="631"/>
      <x:c r="AL280" s="631"/>
      <x:c r="AM280" s="631"/>
      <x:c r="AN280" s="631"/>
      <x:c r="AO280" s="631"/>
      <x:c r="AP280" s="631"/>
      <x:c r="AQ280" s="631"/>
      <x:c r="AR280" s="631"/>
      <x:c r="AS280" s="631"/>
      <x:c r="AT280" s="631"/>
      <x:c r="AU280" s="631"/>
      <x:c r="AV280" s="631"/>
      <x:c r="AW280" s="631"/>
      <x:c r="AX280" s="631"/>
      <x:c r="AY280" s="631"/>
      <x:c r="AZ280" s="631"/>
      <x:c r="BA280" s="631"/>
      <x:c r="BB280" s="631"/>
      <x:c r="BC280" s="631"/>
      <x:c r="BD280" s="631"/>
      <x:c r="BE280" s="631"/>
      <x:c r="BF280" s="631"/>
      <x:c r="BG280" s="631"/>
      <x:c r="BH280" s="631"/>
      <x:c r="BI280" s="631"/>
      <x:c r="BJ280" s="631"/>
      <x:c r="BK280" s="631"/>
      <x:c r="BL280" s="631"/>
      <x:c r="BM280" s="631"/>
      <x:c r="BN280" s="624"/>
    </x:row>
    <x:row r="281" spans="1:66" x14ac:dyDescent="0.2">
      <x:c r="A281" s="638"/>
      <x:c r="B281" s="639" t="inlineStr">
        <x:is>
          <x:t>Mes</x:t>
        </x:is>
      </x:c>
      <x:c r="C281" s="639" t="inlineStr">
        <x:is>
          <x:t>Total</x:t>
        </x:is>
      </x:c>
      <x:c r="D281" s="638"/>
      <x:c r="E281" s="638"/>
      <x:c r="F281" s="640" t="n">
        <x:v>-692112419.66</x:v>
      </x:c>
      <x:c r="G281" s="640" t="n">
        <x:v>271211462.55</x:v>
      </x:c>
      <x:c r="H281" s="640" t="n">
        <x:v>153047338.19</x:v>
      </x:c>
      <x:c r="I281" s="640" t="n">
        <x:v>80554534.67</x:v>
      </x:c>
      <x:c r="J281" s="640" t="n">
        <x:v>-568943087.61</x:v>
      </x:c>
      <x:c r="K281" s="640" t="n">
        <x:v>-20748956.8</x:v>
      </x:c>
      <x:c r="L281" s="640" t="n">
        <x:v>0</x:v>
      </x:c>
      <x:c r="M281" s="640" t="n">
        <x:v>-182035604.07</x:v>
      </x:c>
      <x:c r="N281" s="640" t="n">
        <x:v>-178325748.47</x:v>
      </x:c>
      <x:c r="O281" s="640" t="n">
        <x:v>-844100026.12</x:v>
      </x:c>
      <x:c r="P281" s="640" t="n">
        <x:v>631081551.89</x:v>
      </x:c>
      <x:c r="Q281" s="640" t="n">
        <x:v>-33853883.89</x:v>
      </x:c>
      <x:c r="R281" s="640" t="n">
        <x:v>0</x:v>
      </x:c>
      <x:c r="S281" s="640" t="n">
        <x:v>0</x:v>
      </x:c>
      <x:c r="T281" s="640" t="n">
        <x:v>0</x:v>
      </x:c>
      <x:c r="U281" s="640">
        <x:v>0</x:v>
      </x:c>
      <x:c r="V281" s="640">
        <x:v>0</x:v>
      </x:c>
      <x:c r="W281" s="640">
        <x:v>0</x:v>
      </x:c>
      <x:c r="X281" s="640">
        <x:v>0</x:v>
      </x:c>
      <x:c r="Y281" s="640">
        <x:v>0</x:v>
      </x:c>
      <x:c r="Z281" s="640">
        <x:v>0</x:v>
      </x:c>
      <x:c r="AA281" s="638"/>
      <x:c r="AB281" s="638"/>
      <x:c r="AC281" s="638"/>
      <x:c r="AD281" s="638"/>
      <x:c r="AE281" s="638"/>
      <x:c r="AF281" s="638"/>
      <x:c r="AG281" s="638"/>
      <x:c r="AH281" s="638"/>
      <x:c r="AI281" s="638"/>
      <x:c r="AJ281" s="638"/>
      <x:c r="AK281" s="638"/>
      <x:c r="AL281" s="638"/>
      <x:c r="AM281" s="638"/>
      <x:c r="AN281" s="638"/>
      <x:c r="AO281" s="638"/>
      <x:c r="AP281" s="638"/>
      <x:c r="AQ281" s="638"/>
      <x:c r="AR281" s="638"/>
      <x:c r="AS281" s="638"/>
      <x:c r="AT281" s="638"/>
      <x:c r="AU281" s="638"/>
      <x:c r="AV281" s="638"/>
      <x:c r="AW281" s="638"/>
      <x:c r="AX281" s="638"/>
      <x:c r="AY281" s="638"/>
      <x:c r="AZ281" s="638"/>
      <x:c r="BA281" s="638"/>
      <x:c r="BB281" s="638"/>
      <x:c r="BC281" s="638"/>
      <x:c r="BD281" s="638"/>
      <x:c r="BE281" s="638"/>
      <x:c r="BF281" s="638"/>
      <x:c r="BG281" s="638"/>
      <x:c r="BH281" s="638"/>
      <x:c r="BI281" s="638"/>
      <x:c r="BJ281" s="638"/>
      <x:c r="BK281" s="638"/>
      <x:c r="BL281" s="638"/>
      <x:c r="BM281" s="638"/>
      <x:c r="BN281" s="624"/>
    </x:row>
    <x:row r="282" spans="1:66" x14ac:dyDescent="0.2">
      <x:c r="A282" s="625" t="inlineStr">
        <x:is>
          <x:t>Subs/Cont</x:t>
        </x:is>
      </x:c>
      <x:c r="B282" s="25" t="inlineStr">
        <x:is>
          <x:t>Total</x:t>
        </x:is>
      </x:c>
      <x:c r="C282"/>
      <x:c r="D282"/>
      <x:c r="E282"/>
      <x:c r="F282" s="627" t="n">
        <x:v>-691485277.69</x:v>
      </x:c>
      <x:c r="G282" s="627" t="n">
        <x:v>271348314.49</x:v>
      </x:c>
      <x:c r="H282" s="627" t="n">
        <x:v>153106974.92</x:v>
      </x:c>
      <x:c r="I282" s="627" t="n">
        <x:v>80588755.96</x:v>
      </x:c>
      <x:c r="J282" s="627" t="n">
        <x:v>-568912767.13</x:v>
      </x:c>
      <x:c r="K282" s="627" t="n">
        <x:v>-20748326.11</x:v>
      </x:c>
      <x:c r="L282" s="627" t="n">
        <x:v>0</x:v>
      </x:c>
      <x:c r="M282" s="627" t="n">
        <x:v>-182030071.68</x:v>
      </x:c>
      <x:c r="N282" s="627" t="n">
        <x:v>-178319073.13</x:v>
      </x:c>
      <x:c r="O282" s="627" t="n">
        <x:v>-844068664.67</x:v>
      </x:c>
      <x:c r="P282" s="627" t="n">
        <x:v>631402434.55</x:v>
      </x:c>
      <x:c r="Q282" s="627" t="n">
        <x:v>-33852854.89</x:v>
      </x:c>
      <x:c r="R282" s="627" t="n">
        <x:v>0</x:v>
      </x:c>
      <x:c r="S282" s="627" t="n">
        <x:v>0</x:v>
      </x:c>
      <x:c r="T282" s="653" t="n">
        <x:v>0</x:v>
      </x:c>
      <x:c r="U282" s="653">
        <x:v>0</x:v>
      </x:c>
      <x:c r="V282" s="653">
        <x:v>0</x:v>
      </x:c>
      <x:c r="W282" s="653">
        <x:v>0</x:v>
      </x:c>
      <x:c r="X282" s="653">
        <x:v>0</x:v>
      </x:c>
      <x:c r="Y282" s="653">
        <x:v>0</x:v>
      </x:c>
      <x:c r="Z282" s="653">
        <x:v>0</x:v>
      </x:c>
      <x:c r="BN282" s="624"/>
    </x:row>
    <x:row r="283" spans="1:66" x14ac:dyDescent="0.2">
      <x:c r="A283" s="25" t="inlineStr">
        <x:is>
          <x:t>Total</x:t>
        </x:is>
      </x:c>
      <x:c r="B283"/>
      <x:c r="C283"/>
      <x:c r="D283"/>
      <x:c r="E283" s="625"/>
      <x:c r="F283" s="627" t="n">
        <x:v>15241836108.08</x:v>
      </x:c>
      <x:c r="G283" s="627" t="n">
        <x:v>1425848426.78</x:v>
      </x:c>
      <x:c r="H283" s="627" t="n">
        <x:v>803943575.11</x:v>
      </x:c>
      <x:c r="I283" s="627" t="n">
        <x:v>422682238.89</x:v>
      </x:c>
      <x:c r="J283" s="627" t="n">
        <x:v>2852529644.59</x:v>
      </x:c>
      <x:c r="K283" s="627" t="n">
        <x:v>105031913.06</x:v>
      </x:c>
      <x:c r="L283" s="627" t="n">
        <x:v>14319220.95</x:v>
      </x:c>
      <x:c r="M283" s="627" t="n">
        <x:v>921067427.28</x:v>
      </x:c>
      <x:c r="N283" s="627" t="n">
        <x:v>908660204.31</x:v>
      </x:c>
      <x:c r="O283" s="627" t="n">
        <x:v>4299877667.55</x:v>
      </x:c>
      <x:c r="P283" s="627" t="n">
        <x:v>3316172191</x:v>
      </x:c>
      <x:c r="Q283" s="627" t="n">
        <x:v>171468997.25</x:v>
      </x:c>
      <x:c r="R283" s="627" t="n">
        <x:v>246486.93</x:v>
      </x:c>
      <x:c r="S283" s="627" t="n">
        <x:v>-11886.13</x:v>
      </x:c>
      <x:c r="T283" s="653" t="n">
        <x:v>0.51</x:v>
      </x:c>
      <x:c r="U283" s="653">
        <x:v>0</x:v>
      </x:c>
      <x:c r="V283" s="653">
        <x:v>0</x:v>
      </x:c>
      <x:c r="W283" s="653">
        <x:v>0</x:v>
      </x:c>
      <x:c r="X283" s="653">
        <x:v>0</x:v>
      </x:c>
      <x:c r="Y283" s="653">
        <x:v>0</x:v>
      </x:c>
      <x:c r="Z283" s="653">
        <x:v>0</x:v>
      </x:c>
      <x:c r="BN283" s="624"/>
    </x:row>
    <x:row r="284" spans="1:66" x14ac:dyDescent="0.2">
      <x:c r="A284" s="625"/>
      <x:c r="B284" s="625"/>
      <x:c r="F284" s="627"/>
      <x:c r="G284" s="627"/>
      <x:c r="H284" s="627"/>
      <x:c r="I284" s="627"/>
      <x:c r="J284" s="627"/>
      <x:c r="K284" s="627"/>
      <x:c r="L284" s="627"/>
      <x:c r="M284" s="627"/>
      <x:c r="N284" s="627"/>
      <x:c r="O284" s="627"/>
      <x:c r="P284" s="627"/>
      <x:c r="Q284" s="627"/>
      <x:c r="R284" s="627"/>
      <x:c r="S284" s="627"/>
      <x:c r="BN284" s="624"/>
    </x:row>
    <x:row r="285" spans="1:66" x14ac:dyDescent="0.2">
      <x:c r="E285" s="625"/>
      <x:c r="F285" s="627"/>
      <x:c r="G285" s="627"/>
      <x:c r="H285" s="627"/>
      <x:c r="I285" s="627"/>
      <x:c r="J285" s="627"/>
      <x:c r="K285" s="627"/>
      <x:c r="L285" s="627"/>
      <x:c r="M285" s="627"/>
      <x:c r="N285" s="627"/>
      <x:c r="O285" s="627"/>
      <x:c r="P285" s="627"/>
      <x:c r="Q285" s="627"/>
      <x:c r="R285" s="627"/>
      <x:c r="S285" s="627"/>
      <x:c r="BN285" s="624"/>
    </x:row>
    <x:row r="286" spans="1:66" x14ac:dyDescent="0.2">
      <x:c r="D286" s="625"/>
      <x:c r="E286" s="625"/>
      <x:c r="F286" s="627"/>
      <x:c r="G286" s="627"/>
      <x:c r="H286" s="627"/>
      <x:c r="I286" s="627"/>
      <x:c r="J286" s="627"/>
      <x:c r="K286" s="627"/>
      <x:c r="L286" s="627"/>
      <x:c r="M286" s="627"/>
      <x:c r="N286" s="627"/>
      <x:c r="O286" s="627"/>
      <x:c r="P286" s="627"/>
      <x:c r="Q286" s="627"/>
      <x:c r="R286" s="627"/>
      <x:c r="S286" s="627"/>
      <x:c r="BN286" s="624"/>
    </x:row>
    <x:row r="287" spans="1:66" x14ac:dyDescent="0.2">
      <x:c r="D287" s="625"/>
      <x:c r="E287" s="625"/>
      <x:c r="F287" s="627"/>
      <x:c r="G287" s="627"/>
      <x:c r="H287" s="627"/>
      <x:c r="I287" s="627"/>
      <x:c r="J287" s="627"/>
      <x:c r="K287" s="627"/>
      <x:c r="L287" s="627"/>
      <x:c r="M287" s="627"/>
      <x:c r="N287" s="627"/>
      <x:c r="O287" s="627"/>
      <x:c r="P287" s="627"/>
      <x:c r="Q287" s="627"/>
      <x:c r="R287" s="627"/>
      <x:c r="S287" s="627"/>
      <x:c r="BN287" s="624"/>
    </x:row>
    <x:row r="288" spans="1:66" x14ac:dyDescent="0.2">
      <x:c r="E288" s="625"/>
      <x:c r="F288" s="627"/>
      <x:c r="G288" s="627"/>
      <x:c r="H288" s="627"/>
      <x:c r="I288" s="627"/>
      <x:c r="J288" s="627"/>
      <x:c r="K288" s="627"/>
      <x:c r="L288" s="627"/>
      <x:c r="M288" s="627"/>
      <x:c r="N288" s="627"/>
      <x:c r="O288" s="627"/>
      <x:c r="P288" s="627"/>
      <x:c r="Q288" s="627"/>
      <x:c r="R288" s="627"/>
      <x:c r="S288" s="627"/>
      <x:c r="BN288" s="624"/>
    </x:row>
    <x:row r="289" spans="1:66" x14ac:dyDescent="0.2">
      <x:c r="D289" s="625"/>
      <x:c r="E289" s="625"/>
      <x:c r="F289" s="627"/>
      <x:c r="G289" s="627"/>
      <x:c r="H289" s="627"/>
      <x:c r="I289" s="627"/>
      <x:c r="J289" s="627"/>
      <x:c r="K289" s="627"/>
      <x:c r="L289" s="627"/>
      <x:c r="M289" s="627"/>
      <x:c r="N289" s="627"/>
      <x:c r="O289" s="627"/>
      <x:c r="P289" s="627"/>
      <x:c r="Q289" s="627"/>
      <x:c r="R289" s="627"/>
      <x:c r="S289" s="627"/>
      <x:c r="BN289" s="624"/>
    </x:row>
    <x:row r="290" spans="1:66" x14ac:dyDescent="0.2">
      <x:c r="E290" s="625"/>
      <x:c r="F290" s="627"/>
      <x:c r="G290" s="627"/>
      <x:c r="H290" s="627"/>
      <x:c r="I290" s="627"/>
      <x:c r="J290" s="627"/>
      <x:c r="K290" s="627"/>
      <x:c r="L290" s="627"/>
      <x:c r="M290" s="627"/>
      <x:c r="N290" s="627"/>
      <x:c r="O290" s="627"/>
      <x:c r="P290" s="627"/>
      <x:c r="Q290" s="627"/>
      <x:c r="R290" s="627"/>
      <x:c r="S290" s="627"/>
      <x:c r="BN290" s="624"/>
    </x:row>
    <x:row r="291" spans="1:66" x14ac:dyDescent="0.2">
      <x:c r="D291" s="625"/>
      <x:c r="E291" s="625"/>
      <x:c r="F291" s="627"/>
      <x:c r="G291" s="627"/>
      <x:c r="H291" s="627"/>
      <x:c r="I291" s="627"/>
      <x:c r="J291" s="627"/>
      <x:c r="K291" s="627"/>
      <x:c r="L291" s="627"/>
      <x:c r="M291" s="627"/>
      <x:c r="N291" s="627"/>
      <x:c r="O291" s="627"/>
      <x:c r="P291" s="627"/>
      <x:c r="Q291" s="627"/>
      <x:c r="R291" s="627"/>
      <x:c r="S291" s="627"/>
      <x:c r="BN291" s="624"/>
    </x:row>
    <x:row r="292" spans="1:66" x14ac:dyDescent="0.2">
      <x:c r="E292" s="625"/>
      <x:c r="F292" s="627"/>
      <x:c r="G292" s="627"/>
      <x:c r="H292" s="627"/>
      <x:c r="I292" s="627"/>
      <x:c r="J292" s="627"/>
      <x:c r="K292" s="627"/>
      <x:c r="L292" s="627"/>
      <x:c r="M292" s="627"/>
      <x:c r="N292" s="627"/>
      <x:c r="O292" s="627"/>
      <x:c r="P292" s="627"/>
      <x:c r="Q292" s="627"/>
      <x:c r="R292" s="627"/>
      <x:c r="S292" s="627"/>
      <x:c r="BN292" s="624"/>
    </x:row>
    <x:row r="293" spans="1:66" x14ac:dyDescent="0.2">
      <x:c r="D293" s="625"/>
      <x:c r="E293" s="625"/>
      <x:c r="F293" s="627"/>
      <x:c r="G293" s="627"/>
      <x:c r="H293" s="627"/>
      <x:c r="I293" s="627"/>
      <x:c r="J293" s="627"/>
      <x:c r="K293" s="627"/>
      <x:c r="L293" s="627"/>
      <x:c r="M293" s="627"/>
      <x:c r="N293" s="627"/>
      <x:c r="O293" s="627"/>
      <x:c r="P293" s="627"/>
      <x:c r="Q293" s="627"/>
      <x:c r="R293" s="627"/>
      <x:c r="S293" s="627"/>
      <x:c r="BN293" s="624"/>
    </x:row>
    <x:row r="294" spans="1:66" x14ac:dyDescent="0.2">
      <x:c r="C294" s="625"/>
      <x:c r="D294" s="625"/>
      <x:c r="F294" s="627"/>
      <x:c r="G294" s="627"/>
      <x:c r="H294" s="627"/>
      <x:c r="I294" s="627"/>
      <x:c r="J294" s="627"/>
      <x:c r="K294" s="627"/>
      <x:c r="L294" s="627"/>
      <x:c r="M294" s="627"/>
      <x:c r="N294" s="627"/>
      <x:c r="O294" s="627"/>
      <x:c r="P294" s="627"/>
      <x:c r="Q294" s="627"/>
      <x:c r="R294" s="627"/>
      <x:c r="S294" s="627"/>
      <x:c r="BN294" s="624"/>
    </x:row>
    <x:row r="295" spans="1:66" x14ac:dyDescent="0.2">
      <x:c r="E295" s="625"/>
      <x:c r="F295" s="627"/>
      <x:c r="G295" s="627"/>
      <x:c r="H295" s="627"/>
      <x:c r="I295" s="627"/>
      <x:c r="J295" s="627"/>
      <x:c r="K295" s="627"/>
      <x:c r="L295" s="627"/>
      <x:c r="M295" s="627"/>
      <x:c r="N295" s="627"/>
      <x:c r="O295" s="627"/>
      <x:c r="P295" s="627"/>
      <x:c r="Q295" s="627"/>
      <x:c r="R295" s="627"/>
      <x:c r="S295" s="627"/>
      <x:c r="BN295" s="624"/>
    </x:row>
    <x:row r="296" spans="1:66" x14ac:dyDescent="0.2">
      <x:c r="D296" s="625"/>
      <x:c r="E296" s="625"/>
      <x:c r="F296" s="627"/>
      <x:c r="G296" s="627"/>
      <x:c r="H296" s="627"/>
      <x:c r="I296" s="627"/>
      <x:c r="J296" s="627"/>
      <x:c r="K296" s="627"/>
      <x:c r="L296" s="627"/>
      <x:c r="M296" s="627"/>
      <x:c r="N296" s="627"/>
      <x:c r="O296" s="627"/>
      <x:c r="P296" s="627"/>
      <x:c r="Q296" s="627"/>
      <x:c r="R296" s="627"/>
      <x:c r="S296" s="627"/>
      <x:c r="BN296" s="624"/>
    </x:row>
    <x:row r="297" spans="1:66" x14ac:dyDescent="0.2">
      <x:c r="E297" s="625"/>
      <x:c r="F297" s="627"/>
      <x:c r="G297" s="627"/>
      <x:c r="H297" s="627"/>
      <x:c r="I297" s="627"/>
      <x:c r="J297" s="627"/>
      <x:c r="K297" s="627"/>
      <x:c r="L297" s="627"/>
      <x:c r="M297" s="627"/>
      <x:c r="N297" s="627"/>
      <x:c r="O297" s="627"/>
      <x:c r="P297" s="627"/>
      <x:c r="Q297" s="627"/>
      <x:c r="R297" s="627"/>
      <x:c r="S297" s="627"/>
      <x:c r="BN297" s="624"/>
    </x:row>
    <x:row r="298" spans="1:66" x14ac:dyDescent="0.2">
      <x:c r="D298" s="625"/>
      <x:c r="E298" s="625"/>
      <x:c r="F298" s="627"/>
      <x:c r="G298" s="627"/>
      <x:c r="H298" s="627"/>
      <x:c r="I298" s="627"/>
      <x:c r="J298" s="627"/>
      <x:c r="K298" s="627"/>
      <x:c r="L298" s="627"/>
      <x:c r="M298" s="627"/>
      <x:c r="N298" s="627"/>
      <x:c r="O298" s="627"/>
      <x:c r="P298" s="627"/>
      <x:c r="Q298" s="627"/>
      <x:c r="R298" s="627"/>
      <x:c r="S298" s="627"/>
      <x:c r="BN298" s="624"/>
    </x:row>
    <x:row r="299" spans="1:66" x14ac:dyDescent="0.2">
      <x:c r="C299" s="625"/>
      <x:c r="D299" s="625"/>
      <x:c r="F299" s="627"/>
      <x:c r="G299" s="627"/>
      <x:c r="H299" s="627"/>
      <x:c r="I299" s="627"/>
      <x:c r="J299" s="627"/>
      <x:c r="K299" s="627"/>
      <x:c r="L299" s="627"/>
      <x:c r="M299" s="627"/>
      <x:c r="N299" s="627"/>
      <x:c r="O299" s="627"/>
      <x:c r="P299" s="627"/>
      <x:c r="Q299" s="627"/>
      <x:c r="R299" s="627"/>
      <x:c r="S299" s="627"/>
      <x:c r="BN299" s="624"/>
    </x:row>
    <x:row r="300" spans="1:66" x14ac:dyDescent="0.2">
      <x:c r="B300" s="625"/>
      <x:c r="C300" s="625"/>
      <x:c r="F300" s="627"/>
      <x:c r="G300" s="627"/>
      <x:c r="H300" s="627"/>
      <x:c r="I300" s="627"/>
      <x:c r="J300" s="627"/>
      <x:c r="K300" s="627"/>
      <x:c r="L300" s="627"/>
      <x:c r="M300" s="627"/>
      <x:c r="N300" s="627"/>
      <x:c r="O300" s="627"/>
      <x:c r="P300" s="627"/>
      <x:c r="Q300" s="627"/>
      <x:c r="R300" s="627"/>
      <x:c r="S300" s="627"/>
      <x:c r="BN300" s="624"/>
    </x:row>
    <x:row r="301" spans="1:66" x14ac:dyDescent="0.2">
      <x:c r="A301" s="625"/>
      <x:c r="B301" s="625"/>
      <x:c r="F301" s="627"/>
      <x:c r="G301" s="627"/>
      <x:c r="H301" s="627"/>
      <x:c r="I301" s="627"/>
      <x:c r="J301" s="627"/>
      <x:c r="K301" s="627"/>
      <x:c r="L301" s="627"/>
      <x:c r="M301" s="627"/>
      <x:c r="N301" s="627"/>
      <x:c r="O301" s="627"/>
      <x:c r="P301" s="627"/>
      <x:c r="Q301" s="627"/>
      <x:c r="R301" s="627"/>
      <x:c r="S301" s="627"/>
      <x:c r="BN301" s="624"/>
    </x:row>
    <x:row r="302" spans="1:66" x14ac:dyDescent="0.2">
      <x:c r="A302" s="625"/>
      <x:c r="F302" s="627"/>
      <x:c r="G302" s="627"/>
      <x:c r="H302" s="627"/>
      <x:c r="I302" s="627"/>
      <x:c r="J302" s="627"/>
      <x:c r="K302" s="627"/>
      <x:c r="L302" s="627"/>
      <x:c r="M302" s="627"/>
      <x:c r="N302" s="627"/>
      <x:c r="O302" s="627"/>
      <x:c r="P302" s="627"/>
      <x:c r="Q302" s="627"/>
      <x:c r="R302" s="627"/>
      <x:c r="S302" s="627"/>
      <x:c r="BN302" s="624"/>
    </x:row>
    <x:row r="303" spans="1:66" x14ac:dyDescent="0.2">
      <x:c r="A303" s="625"/>
      <x:c r="F303" s="627"/>
      <x:c r="G303" s="627"/>
      <x:c r="H303" s="627"/>
      <x:c r="I303" s="627"/>
      <x:c r="J303" s="627"/>
      <x:c r="K303" s="627"/>
      <x:c r="L303" s="627"/>
      <x:c r="M303" s="627"/>
      <x:c r="N303" s="627"/>
      <x:c r="O303" s="627"/>
      <x:c r="P303" s="627"/>
      <x:c r="Q303" s="627"/>
      <x:c r="R303" s="627"/>
      <x:c r="S303" s="627"/>
      <x:c r="BN303" s="624"/>
    </x:row>
    <x:row r="304" spans="1:66" x14ac:dyDescent="0.2">
      <x:c r="A304" s="625"/>
      <x:c r="F304" s="627"/>
      <x:c r="G304" s="627"/>
      <x:c r="H304" s="627"/>
      <x:c r="I304" s="627"/>
      <x:c r="J304" s="627"/>
      <x:c r="K304" s="627"/>
      <x:c r="L304" s="627"/>
      <x:c r="M304" s="627"/>
      <x:c r="N304" s="627"/>
      <x:c r="O304" s="627"/>
      <x:c r="P304" s="627"/>
      <x:c r="Q304" s="627"/>
      <x:c r="R304" s="627"/>
      <x:c r="S304" s="627"/>
      <x:c r="BN304" s="624"/>
    </x:row>
    <x:row r="305" spans="1:66" x14ac:dyDescent="0.2">
      <x:c r="A305" s="625"/>
      <x:c r="F305" s="627"/>
      <x:c r="G305" s="627"/>
      <x:c r="H305" s="627"/>
      <x:c r="I305" s="627"/>
      <x:c r="J305" s="627"/>
      <x:c r="K305" s="627"/>
      <x:c r="L305" s="627"/>
      <x:c r="M305" s="627"/>
      <x:c r="N305" s="627"/>
      <x:c r="O305" s="627"/>
      <x:c r="P305" s="627"/>
      <x:c r="Q305" s="627"/>
      <x:c r="R305" s="627"/>
      <x:c r="S305" s="627"/>
      <x:c r="BN305" s="624"/>
    </x:row>
    <x:row r="306" spans="1:66" x14ac:dyDescent="0.2">
      <x:c r="A306" s="625"/>
      <x:c r="F306" s="627"/>
      <x:c r="G306" s="627"/>
      <x:c r="H306" s="627"/>
      <x:c r="I306" s="627"/>
      <x:c r="J306" s="627"/>
      <x:c r="K306" s="627"/>
      <x:c r="L306" s="627"/>
      <x:c r="M306" s="627"/>
      <x:c r="N306" s="627"/>
      <x:c r="O306" s="627"/>
      <x:c r="P306" s="627"/>
      <x:c r="Q306" s="627"/>
      <x:c r="R306" s="627"/>
      <x:c r="S306" s="627"/>
      <x:c r="BN306" s="624"/>
    </x:row>
    <x:row r="307" spans="1:66" x14ac:dyDescent="0.2">
      <x:c r="A307" s="625"/>
      <x:c r="F307" s="627"/>
      <x:c r="G307" s="627"/>
      <x:c r="H307" s="627"/>
      <x:c r="I307" s="627"/>
      <x:c r="J307" s="627"/>
      <x:c r="K307" s="627"/>
      <x:c r="L307" s="627"/>
      <x:c r="M307" s="627"/>
      <x:c r="N307" s="627"/>
      <x:c r="O307" s="627"/>
      <x:c r="P307" s="627"/>
      <x:c r="Q307" s="627"/>
      <x:c r="R307" s="627"/>
      <x:c r="S307" s="627"/>
      <x:c r="T307" s="653"/>
      <x:c r="U307" s="653"/>
      <x:c r="V307" s="653"/>
      <x:c r="W307" s="653"/>
      <x:c r="BN307" s="624"/>
    </x:row>
    <x:row r="308" spans="1:66" x14ac:dyDescent="0.2">
      <x:c r="A308" s="625"/>
      <x:c r="F308" s="627"/>
      <x:c r="G308" s="627"/>
      <x:c r="H308" s="627"/>
      <x:c r="I308" s="627"/>
      <x:c r="J308" s="627"/>
      <x:c r="K308" s="627"/>
      <x:c r="L308" s="627"/>
      <x:c r="M308" s="627"/>
      <x:c r="N308" s="627"/>
      <x:c r="O308" s="627"/>
      <x:c r="P308" s="627"/>
      <x:c r="Q308" s="627"/>
      <x:c r="R308" s="627"/>
      <x:c r="S308" s="627"/>
      <x:c r="T308" s="653"/>
      <x:c r="U308" s="653"/>
      <x:c r="V308" s="653"/>
      <x:c r="W308" s="653"/>
      <x:c r="BN308" s="624"/>
    </x:row>
    <x:row r="309" spans="1:66" x14ac:dyDescent="0.2">
      <x:c r="A309" s="625"/>
      <x:c r="F309" s="627"/>
      <x:c r="G309" s="627"/>
      <x:c r="H309" s="627"/>
      <x:c r="I309" s="627"/>
      <x:c r="J309" s="627"/>
      <x:c r="K309" s="627"/>
      <x:c r="L309" s="627"/>
      <x:c r="M309" s="627"/>
      <x:c r="N309" s="627"/>
      <x:c r="O309" s="627"/>
      <x:c r="P309" s="627"/>
      <x:c r="Q309" s="627"/>
      <x:c r="R309" s="627"/>
      <x:c r="S309" s="627"/>
      <x:c r="T309" s="653"/>
      <x:c r="U309" s="653"/>
      <x:c r="V309" s="653"/>
      <x:c r="W309" s="653"/>
      <x:c r="BN309" s="624"/>
    </x:row>
    <x:row r="310" spans="1:66" x14ac:dyDescent="0.2">
      <x:c r="A310" s="625"/>
      <x:c r="F310" s="627"/>
      <x:c r="G310" s="627"/>
      <x:c r="H310" s="627"/>
      <x:c r="I310" s="627"/>
      <x:c r="J310" s="627"/>
      <x:c r="K310" s="627"/>
      <x:c r="L310" s="627"/>
      <x:c r="M310" s="627"/>
      <x:c r="N310" s="627"/>
      <x:c r="O310" s="627"/>
      <x:c r="P310" s="627"/>
      <x:c r="Q310" s="627"/>
      <x:c r="R310" s="627"/>
      <x:c r="S310" s="627"/>
      <x:c r="T310" s="653"/>
      <x:c r="U310" s="653"/>
      <x:c r="V310" s="653"/>
      <x:c r="W310" s="653"/>
      <x:c r="BN310" s="624"/>
    </x:row>
    <x:row r="311" spans="1:66" x14ac:dyDescent="0.2">
      <x:c r="A311" s="625"/>
      <x:c r="F311" s="627"/>
      <x:c r="G311" s="627"/>
      <x:c r="H311" s="627"/>
      <x:c r="I311" s="627"/>
      <x:c r="J311" s="627"/>
      <x:c r="K311" s="627"/>
      <x:c r="L311" s="627"/>
      <x:c r="M311" s="627"/>
      <x:c r="N311" s="627"/>
      <x:c r="O311" s="627"/>
      <x:c r="P311" s="627"/>
      <x:c r="Q311" s="627"/>
      <x:c r="R311" s="627"/>
      <x:c r="S311" s="627"/>
      <x:c r="T311" s="653"/>
      <x:c r="U311" s="653"/>
      <x:c r="V311" s="653"/>
      <x:c r="W311" s="653"/>
      <x:c r="BN311" s="624"/>
    </x:row>
    <x:row r="312" spans="1:66" x14ac:dyDescent="0.2">
      <x:c r="A312" s="625"/>
      <x:c r="F312" s="627"/>
      <x:c r="G312" s="627"/>
      <x:c r="H312" s="627"/>
      <x:c r="I312" s="627"/>
      <x:c r="J312" s="627"/>
      <x:c r="K312" s="627"/>
      <x:c r="L312" s="627"/>
      <x:c r="M312" s="627"/>
      <x:c r="N312" s="627"/>
      <x:c r="O312" s="627"/>
      <x:c r="P312" s="627"/>
      <x:c r="Q312" s="627"/>
      <x:c r="R312" s="627"/>
      <x:c r="S312" s="627"/>
      <x:c r="T312" s="653"/>
      <x:c r="U312" s="653"/>
      <x:c r="V312" s="653"/>
      <x:c r="W312" s="653"/>
      <x:c r="BN312" s="624"/>
    </x:row>
    <x:row r="313" spans="1:66" x14ac:dyDescent="0.2">
      <x:c r="A313" s="625"/>
      <x:c r="F313" s="627"/>
      <x:c r="G313" s="627"/>
      <x:c r="H313" s="627"/>
      <x:c r="I313" s="627"/>
      <x:c r="J313" s="627"/>
      <x:c r="K313" s="627"/>
      <x:c r="L313" s="627"/>
      <x:c r="M313" s="627"/>
      <x:c r="N313" s="627"/>
      <x:c r="O313" s="627"/>
      <x:c r="P313" s="627"/>
      <x:c r="Q313" s="627"/>
      <x:c r="R313" s="627"/>
      <x:c r="S313" s="627"/>
      <x:c r="T313" s="653"/>
      <x:c r="U313" s="653"/>
      <x:c r="V313" s="653"/>
      <x:c r="W313" s="653"/>
      <x:c r="BN313" s="624"/>
    </x:row>
    <x:row r="314" spans="1:66" x14ac:dyDescent="0.2">
      <x:c r="A314" s="625"/>
      <x:c r="F314" s="627"/>
      <x:c r="G314" s="627"/>
      <x:c r="H314" s="627"/>
      <x:c r="I314" s="627"/>
      <x:c r="J314" s="627"/>
      <x:c r="K314" s="627"/>
      <x:c r="L314" s="627"/>
      <x:c r="M314" s="627"/>
      <x:c r="N314" s="627"/>
      <x:c r="O314" s="627"/>
      <x:c r="P314" s="627"/>
      <x:c r="Q314" s="627"/>
      <x:c r="R314" s="627"/>
      <x:c r="S314" s="627"/>
      <x:c r="T314" s="653"/>
      <x:c r="U314" s="653"/>
      <x:c r="V314" s="653"/>
      <x:c r="W314" s="653"/>
      <x:c r="BN314" s="624"/>
    </x:row>
    <x:row r="315" spans="1:66" x14ac:dyDescent="0.2">
      <x:c r="A315" s="625"/>
      <x:c r="F315" s="627"/>
      <x:c r="G315" s="627"/>
      <x:c r="H315" s="627"/>
      <x:c r="I315" s="627"/>
      <x:c r="J315" s="627"/>
      <x:c r="K315" s="627"/>
      <x:c r="L315" s="627"/>
      <x:c r="M315" s="627"/>
      <x:c r="N315" s="627"/>
      <x:c r="O315" s="627"/>
      <x:c r="P315" s="627"/>
      <x:c r="Q315" s="627"/>
      <x:c r="R315" s="627"/>
      <x:c r="S315" s="627"/>
      <x:c r="T315" s="653"/>
      <x:c r="U315" s="653"/>
      <x:c r="V315" s="653"/>
      <x:c r="W315" s="653"/>
      <x:c r="BN315" s="624"/>
    </x:row>
    <x:row r="316" spans="1:66" x14ac:dyDescent="0.2">
      <x:c r="A316" s="625"/>
      <x:c r="F316" s="627"/>
      <x:c r="G316" s="627"/>
      <x:c r="H316" s="627"/>
      <x:c r="I316" s="627"/>
      <x:c r="J316" s="627"/>
      <x:c r="K316" s="627"/>
      <x:c r="L316" s="627"/>
      <x:c r="M316" s="627"/>
      <x:c r="N316" s="627"/>
      <x:c r="O316" s="627"/>
      <x:c r="P316" s="627"/>
      <x:c r="Q316" s="627"/>
      <x:c r="R316" s="627"/>
      <x:c r="S316" s="627"/>
      <x:c r="T316" s="653"/>
      <x:c r="U316" s="653"/>
      <x:c r="V316" s="653"/>
      <x:c r="W316" s="653"/>
      <x:c r="BN316" s="624"/>
    </x:row>
    <x:row r="317" spans="1:66" x14ac:dyDescent="0.2">
      <x:c r="A317" s="625"/>
      <x:c r="F317" s="627"/>
      <x:c r="G317" s="627"/>
      <x:c r="H317" s="627"/>
      <x:c r="I317" s="627"/>
      <x:c r="J317" s="627"/>
      <x:c r="K317" s="627"/>
      <x:c r="L317" s="627"/>
      <x:c r="M317" s="627"/>
      <x:c r="N317" s="627"/>
      <x:c r="O317" s="627"/>
      <x:c r="P317" s="627"/>
      <x:c r="Q317" s="627"/>
      <x:c r="R317" s="627"/>
      <x:c r="S317" s="627"/>
      <x:c r="T317" s="653"/>
      <x:c r="U317" s="653"/>
      <x:c r="V317" s="653"/>
      <x:c r="W317" s="653"/>
      <x:c r="BN317" s="624"/>
    </x:row>
    <x:row r="318" spans="1:66" x14ac:dyDescent="0.2">
      <x:c r="A318" s="625"/>
      <x:c r="F318" s="627"/>
      <x:c r="G318" s="627"/>
      <x:c r="H318" s="627"/>
      <x:c r="I318" s="627"/>
      <x:c r="J318" s="627"/>
      <x:c r="K318" s="627"/>
      <x:c r="L318" s="627"/>
      <x:c r="M318" s="627"/>
      <x:c r="N318" s="627"/>
      <x:c r="O318" s="627"/>
      <x:c r="P318" s="627"/>
      <x:c r="Q318" s="627"/>
      <x:c r="R318" s="627"/>
      <x:c r="S318" s="627"/>
      <x:c r="T318" s="653"/>
      <x:c r="U318" s="653"/>
      <x:c r="V318" s="653"/>
      <x:c r="W318" s="653"/>
      <x:c r="BN318" s="624"/>
    </x:row>
    <x:row r="319" spans="1:66" x14ac:dyDescent="0.2">
      <x:c r="A319" s="625"/>
      <x:c r="F319" s="627"/>
      <x:c r="G319" s="627"/>
      <x:c r="H319" s="627"/>
      <x:c r="I319" s="627"/>
      <x:c r="J319" s="627"/>
      <x:c r="K319" s="627"/>
      <x:c r="L319" s="627"/>
      <x:c r="M319" s="627"/>
      <x:c r="N319" s="627"/>
      <x:c r="O319" s="627"/>
      <x:c r="P319" s="627"/>
      <x:c r="Q319" s="627"/>
      <x:c r="R319" s="627"/>
      <x:c r="S319" s="627"/>
      <x:c r="T319" s="653"/>
      <x:c r="U319" s="653"/>
      <x:c r="V319" s="653"/>
      <x:c r="W319" s="653"/>
      <x:c r="BN319" s="624"/>
    </x:row>
    <x:row r="320" spans="1:66" x14ac:dyDescent="0.2">
      <x:c r="A320" s="625"/>
      <x:c r="F320" s="627"/>
      <x:c r="G320" s="627"/>
      <x:c r="H320" s="627"/>
      <x:c r="I320" s="627"/>
      <x:c r="J320" s="627"/>
      <x:c r="K320" s="627"/>
      <x:c r="L320" s="627"/>
      <x:c r="M320" s="627"/>
      <x:c r="N320" s="627"/>
      <x:c r="O320" s="627"/>
      <x:c r="P320" s="627"/>
      <x:c r="Q320" s="627"/>
      <x:c r="R320" s="627"/>
      <x:c r="S320" s="627"/>
      <x:c r="T320" s="653"/>
      <x:c r="U320" s="653"/>
      <x:c r="V320" s="653"/>
      <x:c r="W320" s="653"/>
      <x:c r="BN320" s="624"/>
    </x:row>
    <x:row r="321" spans="1:66" x14ac:dyDescent="0.2">
      <x:c r="A321" s="625"/>
      <x:c r="F321" s="627"/>
      <x:c r="G321" s="627"/>
      <x:c r="H321" s="627"/>
      <x:c r="I321" s="627"/>
      <x:c r="J321" s="627"/>
      <x:c r="K321" s="627"/>
      <x:c r="L321" s="627"/>
      <x:c r="M321" s="627"/>
      <x:c r="N321" s="627"/>
      <x:c r="O321" s="627"/>
      <x:c r="P321" s="627"/>
      <x:c r="Q321" s="627"/>
      <x:c r="R321" s="627"/>
      <x:c r="S321" s="627"/>
      <x:c r="T321" s="653"/>
      <x:c r="U321" s="653"/>
      <x:c r="V321" s="653"/>
      <x:c r="W321" s="653"/>
      <x:c r="BN321" s="624"/>
    </x:row>
    <x:row r="322" spans="1:66" x14ac:dyDescent="0.2">
      <x:c r="A322" s="625"/>
      <x:c r="F322" s="627"/>
      <x:c r="G322" s="627"/>
      <x:c r="H322" s="627"/>
      <x:c r="I322" s="627"/>
      <x:c r="J322" s="627"/>
      <x:c r="K322" s="627"/>
      <x:c r="L322" s="627"/>
      <x:c r="M322" s="627"/>
      <x:c r="N322" s="627"/>
      <x:c r="O322" s="627"/>
      <x:c r="P322" s="627"/>
      <x:c r="Q322" s="627"/>
      <x:c r="R322" s="627"/>
      <x:c r="S322" s="627"/>
      <x:c r="T322" s="653"/>
      <x:c r="U322" s="653"/>
      <x:c r="V322" s="653"/>
      <x:c r="W322" s="653"/>
      <x:c r="BN322" s="624"/>
    </x:row>
    <x:row r="323" spans="1:66" x14ac:dyDescent="0.2">
      <x:c r="A323" s="625"/>
      <x:c r="F323" s="627"/>
      <x:c r="G323" s="627"/>
      <x:c r="H323" s="627"/>
      <x:c r="I323" s="627"/>
      <x:c r="J323" s="627"/>
      <x:c r="K323" s="627"/>
      <x:c r="L323" s="627"/>
      <x:c r="M323" s="627"/>
      <x:c r="N323" s="627"/>
      <x:c r="O323" s="627"/>
      <x:c r="P323" s="627"/>
      <x:c r="Q323" s="627"/>
      <x:c r="R323" s="627"/>
      <x:c r="S323" s="627"/>
      <x:c r="T323" s="653"/>
      <x:c r="U323" s="653"/>
      <x:c r="V323" s="653"/>
      <x:c r="W323" s="653"/>
      <x:c r="BN323" s="624"/>
    </x:row>
    <x:row r="324" spans="1:66" x14ac:dyDescent="0.2">
      <x:c r="A324" s="625"/>
      <x:c r="F324" s="627"/>
      <x:c r="G324" s="627"/>
      <x:c r="H324" s="627"/>
      <x:c r="I324" s="627"/>
      <x:c r="J324" s="627"/>
      <x:c r="K324" s="627"/>
      <x:c r="L324" s="627"/>
      <x:c r="M324" s="627"/>
      <x:c r="N324" s="627"/>
      <x:c r="O324" s="627"/>
      <x:c r="P324" s="627"/>
      <x:c r="Q324" s="627"/>
      <x:c r="R324" s="627"/>
      <x:c r="S324" s="627"/>
      <x:c r="T324" s="653"/>
      <x:c r="U324" s="653"/>
      <x:c r="V324" s="653"/>
      <x:c r="W324" s="653"/>
      <x:c r="BN324" s="624"/>
    </x:row>
    <x:row r="325" spans="1:66" x14ac:dyDescent="0.2">
      <x:c r="A325" s="625"/>
      <x:c r="F325" s="627"/>
      <x:c r="G325" s="627"/>
      <x:c r="H325" s="627"/>
      <x:c r="I325" s="627"/>
      <x:c r="J325" s="627"/>
      <x:c r="K325" s="627"/>
      <x:c r="L325" s="627"/>
      <x:c r="M325" s="627"/>
      <x:c r="N325" s="627"/>
      <x:c r="O325" s="627"/>
      <x:c r="P325" s="627"/>
      <x:c r="Q325" s="627"/>
      <x:c r="R325" s="627"/>
      <x:c r="S325" s="627"/>
      <x:c r="T325" s="653"/>
      <x:c r="U325" s="653"/>
      <x:c r="V325" s="653"/>
      <x:c r="W325" s="653"/>
      <x:c r="BN325" s="624"/>
    </x:row>
    <x:row r="326" spans="1:66" x14ac:dyDescent="0.2">
      <x:c r="A326" s="625"/>
      <x:c r="F326" s="627"/>
      <x:c r="G326" s="627"/>
      <x:c r="H326" s="627"/>
      <x:c r="I326" s="627"/>
      <x:c r="J326" s="627"/>
      <x:c r="K326" s="627"/>
      <x:c r="L326" s="627"/>
      <x:c r="M326" s="627"/>
      <x:c r="N326" s="627"/>
      <x:c r="O326" s="627"/>
      <x:c r="P326" s="627"/>
      <x:c r="Q326" s="627"/>
      <x:c r="R326" s="627"/>
      <x:c r="S326" s="627"/>
      <x:c r="T326" s="653"/>
      <x:c r="U326" s="653"/>
      <x:c r="V326" s="653"/>
      <x:c r="W326" s="653"/>
      <x:c r="BN326" s="624"/>
    </x:row>
    <x:row r="327" spans="1:66" x14ac:dyDescent="0.2">
      <x:c r="A327" s="625"/>
      <x:c r="F327" s="627"/>
      <x:c r="G327" s="627"/>
      <x:c r="H327" s="627"/>
      <x:c r="I327" s="627"/>
      <x:c r="J327" s="627"/>
      <x:c r="K327" s="627"/>
      <x:c r="L327" s="627"/>
      <x:c r="M327" s="627"/>
      <x:c r="N327" s="627"/>
      <x:c r="O327" s="627"/>
      <x:c r="P327" s="627"/>
      <x:c r="Q327" s="627"/>
      <x:c r="R327" s="627"/>
      <x:c r="S327" s="627"/>
      <x:c r="T327" s="653"/>
      <x:c r="U327" s="653"/>
      <x:c r="V327" s="653"/>
      <x:c r="W327" s="653"/>
      <x:c r="BN327" s="624"/>
    </x:row>
    <x:row r="328" spans="1:66" x14ac:dyDescent="0.2">
      <x:c r="A328" s="625"/>
      <x:c r="F328" s="627"/>
      <x:c r="G328" s="627"/>
      <x:c r="H328" s="627"/>
      <x:c r="I328" s="627"/>
      <x:c r="J328" s="627"/>
      <x:c r="K328" s="627"/>
      <x:c r="L328" s="627"/>
      <x:c r="M328" s="627"/>
      <x:c r="N328" s="627"/>
      <x:c r="O328" s="627"/>
      <x:c r="P328" s="627"/>
      <x:c r="Q328" s="627"/>
      <x:c r="R328" s="627"/>
      <x:c r="S328" s="627"/>
      <x:c r="T328" s="653"/>
      <x:c r="U328" s="653"/>
      <x:c r="V328" s="653"/>
      <x:c r="W328" s="653"/>
      <x:c r="BN328" s="624"/>
    </x:row>
    <x:row r="329" spans="1:66" x14ac:dyDescent="0.2">
      <x:c r="A329" s="625"/>
      <x:c r="F329" s="627"/>
      <x:c r="G329" s="627"/>
      <x:c r="H329" s="627"/>
      <x:c r="I329" s="627"/>
      <x:c r="J329" s="627"/>
      <x:c r="K329" s="627"/>
      <x:c r="L329" s="627"/>
      <x:c r="M329" s="627"/>
      <x:c r="N329" s="627"/>
      <x:c r="O329" s="627"/>
      <x:c r="P329" s="627"/>
      <x:c r="Q329" s="627"/>
      <x:c r="R329" s="627"/>
      <x:c r="S329" s="627"/>
      <x:c r="T329" s="653"/>
      <x:c r="U329" s="653"/>
      <x:c r="V329" s="653"/>
      <x:c r="W329" s="653"/>
      <x:c r="BN329" s="624"/>
    </x:row>
    <x:row r="330" spans="1:66" x14ac:dyDescent="0.2">
      <x:c r="A330" s="625"/>
      <x:c r="F330" s="627"/>
      <x:c r="G330" s="627"/>
      <x:c r="H330" s="627"/>
      <x:c r="I330" s="627"/>
      <x:c r="J330" s="627"/>
      <x:c r="K330" s="627"/>
      <x:c r="L330" s="627"/>
      <x:c r="M330" s="627"/>
      <x:c r="N330" s="627"/>
      <x:c r="O330" s="627"/>
      <x:c r="P330" s="627"/>
      <x:c r="Q330" s="627"/>
      <x:c r="R330" s="627"/>
      <x:c r="S330" s="627"/>
      <x:c r="T330" s="653"/>
      <x:c r="U330" s="653"/>
      <x:c r="V330" s="653"/>
      <x:c r="W330" s="653"/>
      <x:c r="BN330" s="624"/>
    </x:row>
    <x:row r="331" spans="1:66" x14ac:dyDescent="0.2">
      <x:c r="A331" s="625"/>
      <x:c r="F331" s="627"/>
      <x:c r="G331" s="627"/>
      <x:c r="H331" s="627"/>
      <x:c r="I331" s="627"/>
      <x:c r="J331" s="627"/>
      <x:c r="K331" s="627"/>
      <x:c r="L331" s="627"/>
      <x:c r="M331" s="627"/>
      <x:c r="N331" s="627"/>
      <x:c r="O331" s="627"/>
      <x:c r="P331" s="627"/>
      <x:c r="Q331" s="627"/>
      <x:c r="R331" s="627"/>
      <x:c r="S331" s="627"/>
      <x:c r="T331" s="653"/>
      <x:c r="U331" s="653"/>
      <x:c r="V331" s="653"/>
      <x:c r="W331" s="653"/>
      <x:c r="BN331" s="624"/>
    </x:row>
    <x:row r="332" spans="1:66" x14ac:dyDescent="0.2">
      <x:c r="A332" s="625"/>
      <x:c r="F332" s="627"/>
      <x:c r="G332" s="627"/>
      <x:c r="H332" s="627"/>
      <x:c r="I332" s="627"/>
      <x:c r="J332" s="627"/>
      <x:c r="K332" s="627"/>
      <x:c r="L332" s="627"/>
      <x:c r="M332" s="627"/>
      <x:c r="N332" s="627"/>
      <x:c r="O332" s="627"/>
      <x:c r="P332" s="627"/>
      <x:c r="Q332" s="627"/>
      <x:c r="R332" s="627"/>
      <x:c r="S332" s="627"/>
      <x:c r="T332" s="653"/>
      <x:c r="U332" s="653"/>
      <x:c r="V332" s="653"/>
      <x:c r="W332" s="653"/>
      <x:c r="BN332" s="624"/>
    </x:row>
    <x:row r="333" spans="1:66" x14ac:dyDescent="0.2">
      <x:c r="A333" s="625"/>
      <x:c r="F333" s="627"/>
      <x:c r="G333" s="627"/>
      <x:c r="H333" s="627"/>
      <x:c r="I333" s="627"/>
      <x:c r="J333" s="627"/>
      <x:c r="K333" s="627"/>
      <x:c r="L333" s="627"/>
      <x:c r="M333" s="627"/>
      <x:c r="N333" s="627"/>
      <x:c r="O333" s="627"/>
      <x:c r="P333" s="627"/>
      <x:c r="Q333" s="627"/>
      <x:c r="R333" s="627"/>
      <x:c r="S333" s="627"/>
      <x:c r="T333" s="653"/>
      <x:c r="U333" s="653"/>
      <x:c r="V333" s="653"/>
      <x:c r="W333" s="653"/>
      <x:c r="BN333" s="624"/>
    </x:row>
    <x:row r="334" spans="1:66" x14ac:dyDescent="0.2">
      <x:c r="A334" s="625"/>
      <x:c r="F334" s="627"/>
      <x:c r="G334" s="627"/>
      <x:c r="H334" s="627"/>
      <x:c r="I334" s="627"/>
      <x:c r="J334" s="627"/>
      <x:c r="K334" s="627"/>
      <x:c r="L334" s="627"/>
      <x:c r="M334" s="627"/>
      <x:c r="N334" s="627"/>
      <x:c r="O334" s="627"/>
      <x:c r="P334" s="627"/>
      <x:c r="Q334" s="627"/>
      <x:c r="R334" s="627"/>
      <x:c r="S334" s="627"/>
      <x:c r="T334" s="653"/>
      <x:c r="U334" s="653"/>
      <x:c r="V334" s="653"/>
      <x:c r="W334" s="653"/>
      <x:c r="BN334" s="624"/>
    </x:row>
    <x:row r="335" spans="1:66" x14ac:dyDescent="0.2">
      <x:c r="A335" s="625"/>
      <x:c r="F335" s="627"/>
      <x:c r="G335" s="627"/>
      <x:c r="H335" s="627"/>
      <x:c r="I335" s="627"/>
      <x:c r="J335" s="627"/>
      <x:c r="K335" s="627"/>
      <x:c r="L335" s="627"/>
      <x:c r="M335" s="627"/>
      <x:c r="N335" s="627"/>
      <x:c r="O335" s="627"/>
      <x:c r="P335" s="627"/>
      <x:c r="Q335" s="627"/>
      <x:c r="R335" s="627"/>
      <x:c r="S335" s="627"/>
      <x:c r="T335" s="653"/>
      <x:c r="U335" s="653"/>
      <x:c r="V335" s="653"/>
      <x:c r="W335" s="653"/>
      <x:c r="BN335" s="624"/>
    </x:row>
    <x:row r="336" spans="1:66" x14ac:dyDescent="0.2">
      <x:c r="A336" s="625"/>
      <x:c r="F336" s="627"/>
      <x:c r="G336" s="627"/>
      <x:c r="H336" s="627"/>
      <x:c r="I336" s="627"/>
      <x:c r="J336" s="627"/>
      <x:c r="K336" s="627"/>
      <x:c r="L336" s="627"/>
      <x:c r="M336" s="627"/>
      <x:c r="N336" s="627"/>
      <x:c r="O336" s="627"/>
      <x:c r="P336" s="627"/>
      <x:c r="Q336" s="627"/>
      <x:c r="R336" s="627"/>
      <x:c r="S336" s="627"/>
      <x:c r="T336" s="653"/>
      <x:c r="U336" s="653"/>
      <x:c r="V336" s="653"/>
      <x:c r="W336" s="653"/>
      <x:c r="BN336" s="624"/>
    </x:row>
    <x:row r="337" spans="1:66" x14ac:dyDescent="0.2">
      <x:c r="A337" s="625"/>
      <x:c r="F337" s="627"/>
      <x:c r="G337" s="627"/>
      <x:c r="H337" s="627"/>
      <x:c r="I337" s="627"/>
      <x:c r="J337" s="627"/>
      <x:c r="K337" s="627"/>
      <x:c r="L337" s="627"/>
      <x:c r="M337" s="627"/>
      <x:c r="N337" s="627"/>
      <x:c r="O337" s="627"/>
      <x:c r="P337" s="627"/>
      <x:c r="Q337" s="627"/>
      <x:c r="R337" s="627"/>
      <x:c r="S337" s="627"/>
      <x:c r="T337" s="653"/>
      <x:c r="U337" s="653"/>
      <x:c r="V337" s="653"/>
      <x:c r="W337" s="653"/>
      <x:c r="BN337" s="624"/>
    </x:row>
    <x:row r="338" spans="1:66" x14ac:dyDescent="0.2">
      <x:c r="A338" s="625"/>
      <x:c r="F338" s="627"/>
      <x:c r="G338" s="627"/>
      <x:c r="H338" s="627"/>
      <x:c r="I338" s="627"/>
      <x:c r="J338" s="627"/>
      <x:c r="K338" s="627"/>
      <x:c r="L338" s="627"/>
      <x:c r="M338" s="627"/>
      <x:c r="N338" s="627"/>
      <x:c r="O338" s="627"/>
      <x:c r="P338" s="627"/>
      <x:c r="Q338" s="627"/>
      <x:c r="R338" s="627"/>
      <x:c r="S338" s="627"/>
      <x:c r="T338" s="653"/>
      <x:c r="U338" s="653"/>
      <x:c r="V338" s="653"/>
      <x:c r="W338" s="653"/>
      <x:c r="BN338" s="624"/>
    </x:row>
    <x:row r="339" spans="1:66" x14ac:dyDescent="0.2">
      <x:c r="A339" s="625"/>
      <x:c r="F339" s="627"/>
      <x:c r="G339" s="627"/>
      <x:c r="H339" s="627"/>
      <x:c r="I339" s="627"/>
      <x:c r="J339" s="627"/>
      <x:c r="K339" s="627"/>
      <x:c r="L339" s="627"/>
      <x:c r="M339" s="627"/>
      <x:c r="N339" s="627"/>
      <x:c r="O339" s="627"/>
      <x:c r="P339" s="627"/>
      <x:c r="Q339" s="627"/>
      <x:c r="R339" s="627"/>
      <x:c r="S339" s="627"/>
      <x:c r="T339" s="653"/>
      <x:c r="U339" s="653"/>
      <x:c r="V339" s="653"/>
      <x:c r="W339" s="653"/>
      <x:c r="BN339" s="624"/>
    </x:row>
    <x:row r="340" spans="1:66" x14ac:dyDescent="0.2">
      <x:c r="A340" s="625"/>
      <x:c r="F340" s="627"/>
      <x:c r="G340" s="627"/>
      <x:c r="H340" s="627"/>
      <x:c r="I340" s="627"/>
      <x:c r="J340" s="627"/>
      <x:c r="K340" s="627"/>
      <x:c r="L340" s="627"/>
      <x:c r="M340" s="627"/>
      <x:c r="N340" s="627"/>
      <x:c r="O340" s="627"/>
      <x:c r="P340" s="627"/>
      <x:c r="Q340" s="627"/>
      <x:c r="R340" s="627"/>
      <x:c r="S340" s="627"/>
      <x:c r="T340" s="653"/>
      <x:c r="U340" s="653"/>
      <x:c r="V340" s="653"/>
      <x:c r="W340" s="653"/>
      <x:c r="BN340" s="624"/>
    </x:row>
    <x:row r="341" spans="1:66" x14ac:dyDescent="0.2">
      <x:c r="A341" s="625"/>
      <x:c r="F341" s="627"/>
      <x:c r="G341" s="627"/>
      <x:c r="H341" s="627"/>
      <x:c r="I341" s="627"/>
      <x:c r="J341" s="627"/>
      <x:c r="K341" s="627"/>
      <x:c r="L341" s="627"/>
      <x:c r="M341" s="627"/>
      <x:c r="N341" s="627"/>
      <x:c r="O341" s="627"/>
      <x:c r="P341" s="627"/>
      <x:c r="Q341" s="627"/>
      <x:c r="R341" s="627"/>
      <x:c r="S341" s="627"/>
      <x:c r="T341" s="653"/>
      <x:c r="U341" s="653"/>
      <x:c r="V341" s="653"/>
      <x:c r="W341" s="653"/>
      <x:c r="BN341" s="624"/>
    </x:row>
    <x:row r="342" spans="1:66" x14ac:dyDescent="0.2">
      <x:c r="A342" s="625"/>
      <x:c r="F342" s="627"/>
      <x:c r="G342" s="627"/>
      <x:c r="H342" s="627"/>
      <x:c r="I342" s="627"/>
      <x:c r="J342" s="627"/>
      <x:c r="K342" s="627"/>
      <x:c r="L342" s="627"/>
      <x:c r="M342" s="627"/>
      <x:c r="N342" s="627"/>
      <x:c r="O342" s="627"/>
      <x:c r="P342" s="627"/>
      <x:c r="Q342" s="627"/>
      <x:c r="R342" s="627"/>
      <x:c r="S342" s="627"/>
      <x:c r="T342" s="653"/>
      <x:c r="U342" s="653"/>
      <x:c r="V342" s="653"/>
      <x:c r="W342" s="653"/>
      <x:c r="BN342" s="624"/>
    </x:row>
    <x:row r="343" spans="1:66" x14ac:dyDescent="0.2">
      <x:c r="C343" s="770" t="s">
        <x:v>2</x:v>
      </x:c>
      <x:c r="D343" s="768" t="s">
        <x:v>132</x:v>
      </x:c>
      <x:c r="E343" s="639" t="s">
        <x:v>70</x:v>
      </x:c>
      <x:c r="F343" s="640">
        <x:f>F265+F281+F244-L244-L265</x:f>
        <x:v>0</x:v>
      </x:c>
      <x:c r="G343" s="640">
        <x:f>G265+G244</x:f>
        <x:v>0</x:v>
      </x:c>
      <x:c r="H343" s="640">
        <x:f t="shared" ref="H343:AO343" si="14">H265+H244</x:f>
        <x:v>0</x:v>
      </x:c>
      <x:c r="I343" s="640">
        <x:f t="shared" si="14"/>
        <x:v>0</x:v>
      </x:c>
      <x:c r="J343" s="640">
        <x:f t="shared" si="14"/>
        <x:v>0</x:v>
      </x:c>
      <x:c r="K343" s="640">
        <x:f t="shared" si="14"/>
        <x:v>0</x:v>
      </x:c>
      <x:c r="L343" s="640">
        <x:f t="shared" si="14"/>
        <x:v>0</x:v>
      </x:c>
      <x:c r="M343" s="640">
        <x:f t="shared" si="14"/>
        <x:v>0</x:v>
      </x:c>
      <x:c r="N343" s="640">
        <x:f t="shared" si="14"/>
        <x:v>0</x:v>
      </x:c>
      <x:c r="O343" s="640">
        <x:f t="shared" si="14"/>
        <x:v>0</x:v>
      </x:c>
      <x:c r="P343" s="640">
        <x:f t="shared" si="14"/>
        <x:v>0</x:v>
      </x:c>
      <x:c r="Q343" s="640">
        <x:f t="shared" si="14"/>
        <x:v>0</x:v>
      </x:c>
      <x:c r="R343" s="640">
        <x:f t="shared" si="14"/>
        <x:v>0</x:v>
      </x:c>
      <x:c r="S343" s="640">
        <x:f t="shared" si="14"/>
        <x:v>0</x:v>
      </x:c>
      <x:c r="T343" s="640">
        <x:f t="shared" si="14"/>
        <x:v>0</x:v>
      </x:c>
      <x:c r="U343" s="640">
        <x:f t="shared" si="14"/>
        <x:v>0</x:v>
      </x:c>
      <x:c r="V343" s="640">
        <x:f t="shared" si="14"/>
        <x:v>0</x:v>
      </x:c>
      <x:c r="W343" s="640">
        <x:f t="shared" si="14"/>
        <x:v>0</x:v>
      </x:c>
      <x:c r="X343" s="640">
        <x:f t="shared" si="14"/>
        <x:v>0</x:v>
      </x:c>
      <x:c r="Y343" s="640">
        <x:f t="shared" si="14"/>
        <x:v>0</x:v>
      </x:c>
      <x:c r="Z343" s="640">
        <x:f t="shared" si="14"/>
        <x:v>0</x:v>
      </x:c>
      <x:c r="AA343" s="640">
        <x:f t="shared" si="14"/>
        <x:v>0</x:v>
      </x:c>
      <x:c r="AB343" s="640">
        <x:f t="shared" si="14"/>
        <x:v>0</x:v>
      </x:c>
      <x:c r="AC343" s="640">
        <x:f t="shared" si="14"/>
        <x:v>0</x:v>
      </x:c>
      <x:c r="AD343" s="640">
        <x:f t="shared" si="14"/>
        <x:v>0</x:v>
      </x:c>
      <x:c r="AE343" s="640">
        <x:f t="shared" si="14"/>
        <x:v>0</x:v>
      </x:c>
      <x:c r="AF343" s="640">
        <x:f t="shared" si="14"/>
        <x:v>0</x:v>
      </x:c>
      <x:c r="AG343" s="640">
        <x:f t="shared" si="14"/>
        <x:v>0</x:v>
      </x:c>
      <x:c r="AH343" s="640">
        <x:f t="shared" si="14"/>
        <x:v>0</x:v>
      </x:c>
      <x:c r="AI343" s="640">
        <x:f t="shared" si="14"/>
        <x:v>0</x:v>
      </x:c>
      <x:c r="AJ343" s="640">
        <x:f t="shared" si="14"/>
        <x:v>0</x:v>
      </x:c>
      <x:c r="AK343" s="640">
        <x:f t="shared" si="14"/>
        <x:v>0</x:v>
      </x:c>
      <x:c r="AL343" s="640">
        <x:f t="shared" si="14"/>
        <x:v>0</x:v>
      </x:c>
      <x:c r="AM343" s="640">
        <x:f t="shared" si="14"/>
        <x:v>0</x:v>
      </x:c>
      <x:c r="AN343" s="640">
        <x:f t="shared" si="14"/>
        <x:v>0</x:v>
      </x:c>
      <x:c r="AO343" s="640">
        <x:f t="shared" si="14"/>
        <x:v>0</x:v>
      </x:c>
      <x:c r="BN343" s="624"/>
    </x:row>
    <x:row r="344" spans="1:66" x14ac:dyDescent="0.2">
      <x:c r="C344" s="770"/>
      <x:c r="D344" s="768"/>
      <x:c r="E344" s="639" t="s">
        <x:v>73</x:v>
      </x:c>
      <x:c r="F344" s="640">
        <x:f>F281</x:f>
        <x:v>0</x:v>
      </x:c>
      <x:c r="G344" s="627"/>
      <x:c r="H344" s="627"/>
      <x:c r="I344" s="627"/>
      <x:c r="J344" s="627"/>
      <x:c r="K344" s="627"/>
      <x:c r="L344" s="627"/>
      <x:c r="M344" s="627"/>
      <x:c r="N344" s="627"/>
      <x:c r="O344" s="627"/>
      <x:c r="P344" s="627"/>
      <x:c r="Q344" s="627"/>
      <x:c r="R344" s="627"/>
      <x:c r="S344" s="627"/>
      <x:c r="BN344" s="624"/>
    </x:row>
    <x:row r="345" spans="1:66" x14ac:dyDescent="0.2">
      <x:c r="A345" s="627"/>
      <x:c r="C345" s="770"/>
      <x:c r="D345" s="768" t="s">
        <x:v>133</x:v>
      </x:c>
      <x:c r="E345" s="645" t="s">
        <x:v>70</x:v>
      </x:c>
      <x:c r="F345" s="646">
        <x:f>F270+F250-L250</x:f>
        <x:v>0</x:v>
      </x:c>
      <x:c r="G345" s="646">
        <x:f>G250</x:f>
        <x:v>0</x:v>
      </x:c>
      <x:c r="H345" s="646">
        <x:f t="shared" ref="H345:AO345" si="15">H250</x:f>
        <x:v>0</x:v>
      </x:c>
      <x:c r="I345" s="646">
        <x:f t="shared" si="15"/>
        <x:v>0</x:v>
      </x:c>
      <x:c r="J345" s="646">
        <x:f t="shared" si="15"/>
        <x:v>0</x:v>
      </x:c>
      <x:c r="K345" s="646">
        <x:f t="shared" si="15"/>
        <x:v>0</x:v>
      </x:c>
      <x:c r="L345" s="646">
        <x:f t="shared" si="15"/>
        <x:v>0</x:v>
      </x:c>
      <x:c r="M345" s="646">
        <x:f t="shared" si="15"/>
        <x:v>0</x:v>
      </x:c>
      <x:c r="N345" s="646">
        <x:f t="shared" si="15"/>
        <x:v>0</x:v>
      </x:c>
      <x:c r="O345" s="646">
        <x:f t="shared" si="15"/>
        <x:v>0</x:v>
      </x:c>
      <x:c r="P345" s="646">
        <x:f t="shared" si="15"/>
        <x:v>0</x:v>
      </x:c>
      <x:c r="Q345" s="646">
        <x:f t="shared" si="15"/>
        <x:v>0</x:v>
      </x:c>
      <x:c r="R345" s="646">
        <x:f t="shared" si="15"/>
        <x:v>0</x:v>
      </x:c>
      <x:c r="S345" s="646">
        <x:f t="shared" si="15"/>
        <x:v>0</x:v>
      </x:c>
      <x:c r="T345" s="646">
        <x:f t="shared" si="15"/>
        <x:v>0</x:v>
      </x:c>
      <x:c r="U345" s="646">
        <x:f t="shared" si="15"/>
        <x:v>0</x:v>
      </x:c>
      <x:c r="V345" s="646">
        <x:f t="shared" si="15"/>
        <x:v>0</x:v>
      </x:c>
      <x:c r="W345" s="646">
        <x:f t="shared" si="15"/>
        <x:v>0</x:v>
      </x:c>
      <x:c r="X345" s="646">
        <x:f t="shared" si="15"/>
        <x:v>0</x:v>
      </x:c>
      <x:c r="Y345" s="646">
        <x:f t="shared" si="15"/>
        <x:v>0</x:v>
      </x:c>
      <x:c r="Z345" s="646">
        <x:f t="shared" si="15"/>
        <x:v>0</x:v>
      </x:c>
      <x:c r="AA345" s="646">
        <x:f t="shared" si="15"/>
        <x:v>0</x:v>
      </x:c>
      <x:c r="AB345" s="646">
        <x:f t="shared" si="15"/>
        <x:v>0</x:v>
      </x:c>
      <x:c r="AC345" s="646">
        <x:f t="shared" si="15"/>
        <x:v>0</x:v>
      </x:c>
      <x:c r="AD345" s="646">
        <x:f t="shared" si="15"/>
        <x:v>0</x:v>
      </x:c>
      <x:c r="AE345" s="646">
        <x:f t="shared" si="15"/>
        <x:v>0</x:v>
      </x:c>
      <x:c r="AF345" s="646">
        <x:f t="shared" si="15"/>
        <x:v>0</x:v>
      </x:c>
      <x:c r="AG345" s="646">
        <x:f t="shared" si="15"/>
        <x:v>0</x:v>
      </x:c>
      <x:c r="AH345" s="646">
        <x:f t="shared" si="15"/>
        <x:v>0</x:v>
      </x:c>
      <x:c r="AI345" s="646">
        <x:f t="shared" si="15"/>
        <x:v>0</x:v>
      </x:c>
      <x:c r="AJ345" s="646">
        <x:f t="shared" si="15"/>
        <x:v>0</x:v>
      </x:c>
      <x:c r="AK345" s="646">
        <x:f t="shared" si="15"/>
        <x:v>0</x:v>
      </x:c>
      <x:c r="AL345" s="646">
        <x:f t="shared" si="15"/>
        <x:v>0</x:v>
      </x:c>
      <x:c r="AM345" s="646">
        <x:f t="shared" si="15"/>
        <x:v>0</x:v>
      </x:c>
      <x:c r="AN345" s="646">
        <x:f t="shared" si="15"/>
        <x:v>0</x:v>
      </x:c>
      <x:c r="AO345" s="646">
        <x:f t="shared" si="15"/>
        <x:v>0</x:v>
      </x:c>
      <x:c r="BN345" s="624"/>
    </x:row>
    <x:row r="346" spans="1:66" x14ac:dyDescent="0.2">
      <x:c r="C346" s="770"/>
      <x:c r="D346" s="768"/>
      <x:c r="E346" s="645" t="s">
        <x:v>73</x:v>
      </x:c>
      <x:c r="F346" s="646">
        <x:f>F270</x:f>
        <x:v>0</x:v>
      </x:c>
      <x:c r="G346" s="627"/>
      <x:c r="H346" s="627"/>
      <x:c r="I346" s="627"/>
      <x:c r="J346" s="627"/>
      <x:c r="K346" s="627"/>
      <x:c r="L346" s="627"/>
      <x:c r="M346" s="627"/>
      <x:c r="N346" s="627"/>
      <x:c r="O346" s="627"/>
      <x:c r="P346" s="627"/>
      <x:c r="Q346" s="627"/>
      <x:c r="R346" s="627"/>
      <x:c r="BN346" s="624"/>
    </x:row>
    <x:row r="347" spans="1:66" ht="15" x14ac:dyDescent="0.25">
      <x:c r="A347" s="625"/>
      <x:c r="C347" s="50"/>
      <x:c r="F347" s="627"/>
      <x:c r="G347" s="627"/>
      <x:c r="H347" s="627"/>
      <x:c r="I347" s="627"/>
      <x:c r="J347" s="627"/>
      <x:c r="K347" s="627"/>
      <x:c r="L347" s="627"/>
      <x:c r="M347" s="627"/>
      <x:c r="N347" s="627"/>
      <x:c r="O347" s="627"/>
      <x:c r="P347" s="627"/>
      <x:c r="Q347" s="627"/>
      <x:c r="R347" s="627"/>
      <x:c r="S347" s="627"/>
      <x:c r="BN347" s="624"/>
    </x:row>
    <x:row r="348" spans="1:66" x14ac:dyDescent="0.2">
      <x:c r="C348" s="770" t="s">
        <x:v>160</x:v>
      </x:c>
      <x:c r="D348" s="768" t="s">
        <x:v>132</x:v>
      </x:c>
      <x:c r="E348" s="647" t="s">
        <x:v>70</x:v>
      </x:c>
      <x:c r="F348" s="648">
        <x:v>0</x:v>
      </x:c>
      <x:c r="G348" s="648">
        <x:v>0</x:v>
      </x:c>
      <x:c r="H348" s="648">
        <x:v>0</x:v>
      </x:c>
      <x:c r="I348" s="648">
        <x:v>0</x:v>
      </x:c>
      <x:c r="J348" s="648">
        <x:v>0</x:v>
      </x:c>
      <x:c r="K348" s="648">
        <x:v>0</x:v>
      </x:c>
      <x:c r="L348" s="648">
        <x:v>0</x:v>
      </x:c>
      <x:c r="M348" s="648">
        <x:v>0</x:v>
      </x:c>
      <x:c r="N348" s="648">
        <x:v>0</x:v>
      </x:c>
      <x:c r="O348" s="648">
        <x:v>0</x:v>
      </x:c>
      <x:c r="P348" s="648">
        <x:v>0</x:v>
      </x:c>
      <x:c r="Q348" s="648">
        <x:v>0</x:v>
      </x:c>
      <x:c r="R348" s="648">
        <x:v>0</x:v>
      </x:c>
      <x:c r="S348" s="648">
        <x:v>0</x:v>
      </x:c>
      <x:c r="T348" s="648">
        <x:v>0</x:v>
      </x:c>
      <x:c r="U348" s="648"/>
      <x:c r="V348" s="648"/>
      <x:c r="W348" s="648"/>
      <x:c r="X348" s="648">
        <x:v>0</x:v>
      </x:c>
      <x:c r="Y348" s="648">
        <x:v>0</x:v>
      </x:c>
      <x:c r="Z348" s="648">
        <x:v>0</x:v>
      </x:c>
      <x:c r="AA348" s="648">
        <x:v>0</x:v>
      </x:c>
      <x:c r="AB348" s="648">
        <x:v>0</x:v>
      </x:c>
      <x:c r="AC348" s="648">
        <x:v>0</x:v>
      </x:c>
      <x:c r="AD348" s="648">
        <x:v>0</x:v>
      </x:c>
      <x:c r="AE348" s="648">
        <x:v>0</x:v>
      </x:c>
      <x:c r="AF348" s="648">
        <x:v>0</x:v>
      </x:c>
      <x:c r="AG348" s="648">
        <x:v>0</x:v>
      </x:c>
      <x:c r="AH348" s="648">
        <x:v>0</x:v>
      </x:c>
      <x:c r="AI348" s="648">
        <x:v>0</x:v>
      </x:c>
      <x:c r="AJ348" s="648">
        <x:v>0</x:v>
      </x:c>
      <x:c r="AK348" s="648">
        <x:v>0</x:v>
      </x:c>
      <x:c r="AL348" s="648">
        <x:v>0</x:v>
      </x:c>
      <x:c r="AM348" s="648">
        <x:v>0</x:v>
      </x:c>
      <x:c r="AN348" s="648">
        <x:v>0</x:v>
      </x:c>
      <x:c r="AO348" s="648">
        <x:v>0</x:v>
      </x:c>
      <x:c r="BN348" s="624"/>
    </x:row>
    <x:row r="349" spans="1:66" x14ac:dyDescent="0.2">
      <x:c r="C349" s="770"/>
      <x:c r="D349" s="768"/>
      <x:c r="E349" s="647" t="s">
        <x:v>73</x:v>
      </x:c>
      <x:c r="F349" s="648">
        <x:v>0</x:v>
      </x:c>
      <x:c r="G349" s="627"/>
      <x:c r="H349" s="627"/>
      <x:c r="I349" s="627"/>
      <x:c r="J349" s="627"/>
      <x:c r="K349" s="627"/>
      <x:c r="L349" s="627"/>
      <x:c r="M349" s="627"/>
      <x:c r="N349" s="627"/>
      <x:c r="O349" s="627"/>
      <x:c r="P349" s="627"/>
      <x:c r="Q349" s="627"/>
      <x:c r="R349" s="627"/>
      <x:c r="S349" s="627"/>
      <x:c r="BN349" s="624"/>
    </x:row>
    <x:row r="350" spans="1:66" x14ac:dyDescent="0.2">
      <x:c r="C350" s="770"/>
      <x:c r="D350" s="768" t="s">
        <x:v>133</x:v>
      </x:c>
      <x:c r="E350" s="649" t="s">
        <x:v>70</x:v>
      </x:c>
      <x:c r="F350" s="650">
        <x:v>0</x:v>
      </x:c>
      <x:c r="G350" s="650">
        <x:v>0</x:v>
      </x:c>
      <x:c r="H350" s="650">
        <x:v>0</x:v>
      </x:c>
      <x:c r="I350" s="650">
        <x:v>0</x:v>
      </x:c>
      <x:c r="J350" s="650">
        <x:v>0</x:v>
      </x:c>
      <x:c r="K350" s="650">
        <x:v>0</x:v>
      </x:c>
      <x:c r="L350" s="650">
        <x:v>0</x:v>
      </x:c>
      <x:c r="M350" s="650">
        <x:v>0</x:v>
      </x:c>
      <x:c r="N350" s="650">
        <x:v>0</x:v>
      </x:c>
      <x:c r="O350" s="650">
        <x:v>0</x:v>
      </x:c>
      <x:c r="P350" s="650">
        <x:v>0</x:v>
      </x:c>
      <x:c r="Q350" s="650">
        <x:v>0</x:v>
      </x:c>
      <x:c r="R350" s="650">
        <x:v>0</x:v>
      </x:c>
      <x:c r="S350" s="650">
        <x:v>0</x:v>
      </x:c>
      <x:c r="T350" s="650">
        <x:v>0</x:v>
      </x:c>
      <x:c r="U350" s="650"/>
      <x:c r="V350" s="650"/>
      <x:c r="W350" s="650"/>
      <x:c r="X350" s="650">
        <x:v>0</x:v>
      </x:c>
      <x:c r="Y350" s="650">
        <x:v>0</x:v>
      </x:c>
      <x:c r="Z350" s="650">
        <x:v>0</x:v>
      </x:c>
      <x:c r="AA350" s="650">
        <x:v>0</x:v>
      </x:c>
      <x:c r="AB350" s="650">
        <x:v>0</x:v>
      </x:c>
      <x:c r="AC350" s="650">
        <x:v>0</x:v>
      </x:c>
      <x:c r="AD350" s="650">
        <x:v>0</x:v>
      </x:c>
      <x:c r="AE350" s="650">
        <x:v>0</x:v>
      </x:c>
      <x:c r="AF350" s="650">
        <x:v>0</x:v>
      </x:c>
      <x:c r="AG350" s="650">
        <x:v>0</x:v>
      </x:c>
      <x:c r="AH350" s="650">
        <x:v>0</x:v>
      </x:c>
      <x:c r="AI350" s="650">
        <x:v>0</x:v>
      </x:c>
      <x:c r="AJ350" s="650">
        <x:v>0</x:v>
      </x:c>
      <x:c r="AK350" s="650">
        <x:v>0</x:v>
      </x:c>
      <x:c r="AL350" s="650">
        <x:v>0</x:v>
      </x:c>
      <x:c r="AM350" s="650">
        <x:v>0</x:v>
      </x:c>
      <x:c r="AN350" s="650">
        <x:v>0</x:v>
      </x:c>
      <x:c r="AO350" s="650">
        <x:v>0</x:v>
      </x:c>
      <x:c r="BN350" s="624"/>
    </x:row>
    <x:row r="351" spans="1:66" x14ac:dyDescent="0.2">
      <x:c r="C351" s="770"/>
      <x:c r="D351" s="768"/>
      <x:c r="E351" s="649" t="s">
        <x:v>73</x:v>
      </x:c>
      <x:c r="F351" s="650">
        <x:v>0</x:v>
      </x:c>
      <x:c r="G351" s="627"/>
      <x:c r="H351" s="627"/>
      <x:c r="I351" s="627"/>
      <x:c r="J351" s="627"/>
      <x:c r="K351" s="627"/>
      <x:c r="L351" s="627"/>
      <x:c r="M351" s="627"/>
      <x:c r="N351" s="627"/>
      <x:c r="O351" s="627"/>
      <x:c r="P351" s="627"/>
      <x:c r="Q351" s="627"/>
      <x:c r="R351" s="627"/>
      <x:c r="BN351" s="624"/>
    </x:row>
    <x:row r="352" spans="1:66" ht="15" x14ac:dyDescent="0.25">
      <x:c r="A352" s="625"/>
      <x:c r="C352" s="50"/>
      <x:c r="F352" s="627"/>
      <x:c r="G352" s="627"/>
      <x:c r="H352" s="627"/>
      <x:c r="I352" s="627"/>
      <x:c r="J352" s="627"/>
      <x:c r="K352" s="627"/>
      <x:c r="L352" s="627"/>
      <x:c r="M352" s="627"/>
      <x:c r="N352" s="627"/>
      <x:c r="O352" s="627"/>
      <x:c r="P352" s="627"/>
      <x:c r="Q352" s="627"/>
      <x:c r="R352" s="627"/>
      <x:c r="S352" s="627"/>
      <x:c r="BN352" s="624"/>
    </x:row>
    <x:row r="353" spans="1:66" x14ac:dyDescent="0.2">
      <x:c r="C353" s="770" t="s">
        <x:v>155</x:v>
      </x:c>
      <x:c r="D353" s="768" t="s">
        <x:v>132</x:v>
      </x:c>
      <x:c r="E353" s="651" t="s">
        <x:v>70</x:v>
      </x:c>
      <x:c r="F353" s="652">
        <x:f>F273+F254-L254</x:f>
        <x:v>0</x:v>
      </x:c>
      <x:c r="G353" s="652">
        <x:f>G254</x:f>
        <x:v>0</x:v>
      </x:c>
      <x:c r="H353" s="652">
        <x:f t="shared" ref="H353:AO353" si="16">H254</x:f>
        <x:v>0</x:v>
      </x:c>
      <x:c r="I353" s="652">
        <x:f t="shared" si="16"/>
        <x:v>0</x:v>
      </x:c>
      <x:c r="J353" s="652">
        <x:f t="shared" si="16"/>
        <x:v>0</x:v>
      </x:c>
      <x:c r="K353" s="652">
        <x:f t="shared" si="16"/>
        <x:v>0</x:v>
      </x:c>
      <x:c r="L353" s="652">
        <x:f t="shared" si="16"/>
        <x:v>0</x:v>
      </x:c>
      <x:c r="M353" s="652">
        <x:f t="shared" si="16"/>
        <x:v>0</x:v>
      </x:c>
      <x:c r="N353" s="652">
        <x:f t="shared" si="16"/>
        <x:v>0</x:v>
      </x:c>
      <x:c r="O353" s="652">
        <x:f t="shared" si="16"/>
        <x:v>0</x:v>
      </x:c>
      <x:c r="P353" s="652">
        <x:f t="shared" si="16"/>
        <x:v>0</x:v>
      </x:c>
      <x:c r="Q353" s="652">
        <x:f t="shared" si="16"/>
        <x:v>0</x:v>
      </x:c>
      <x:c r="R353" s="652">
        <x:f t="shared" si="16"/>
        <x:v>0</x:v>
      </x:c>
      <x:c r="S353" s="652">
        <x:f t="shared" si="16"/>
        <x:v>0</x:v>
      </x:c>
      <x:c r="T353" s="652">
        <x:f t="shared" si="16"/>
        <x:v>0</x:v>
      </x:c>
      <x:c r="U353" s="652">
        <x:f t="shared" si="16"/>
        <x:v>0</x:v>
      </x:c>
      <x:c r="V353" s="652">
        <x:f t="shared" si="16"/>
        <x:v>0</x:v>
      </x:c>
      <x:c r="W353" s="652">
        <x:f t="shared" si="16"/>
        <x:v>0</x:v>
      </x:c>
      <x:c r="X353" s="652">
        <x:f t="shared" si="16"/>
        <x:v>0</x:v>
      </x:c>
      <x:c r="Y353" s="652">
        <x:f t="shared" si="16"/>
        <x:v>0</x:v>
      </x:c>
      <x:c r="Z353" s="652">
        <x:f t="shared" si="16"/>
        <x:v>0</x:v>
      </x:c>
      <x:c r="AA353" s="652">
        <x:f t="shared" si="16"/>
        <x:v>0</x:v>
      </x:c>
      <x:c r="AB353" s="652">
        <x:f t="shared" si="16"/>
        <x:v>0</x:v>
      </x:c>
      <x:c r="AC353" s="652">
        <x:f t="shared" si="16"/>
        <x:v>0</x:v>
      </x:c>
      <x:c r="AD353" s="652">
        <x:f t="shared" si="16"/>
        <x:v>0</x:v>
      </x:c>
      <x:c r="AE353" s="652">
        <x:f t="shared" si="16"/>
        <x:v>0</x:v>
      </x:c>
      <x:c r="AF353" s="652">
        <x:f t="shared" si="16"/>
        <x:v>0</x:v>
      </x:c>
      <x:c r="AG353" s="652">
        <x:f t="shared" si="16"/>
        <x:v>0</x:v>
      </x:c>
      <x:c r="AH353" s="652">
        <x:f t="shared" si="16"/>
        <x:v>0</x:v>
      </x:c>
      <x:c r="AI353" s="652">
        <x:f t="shared" si="16"/>
        <x:v>0</x:v>
      </x:c>
      <x:c r="AJ353" s="652">
        <x:f t="shared" si="16"/>
        <x:v>0</x:v>
      </x:c>
      <x:c r="AK353" s="652">
        <x:f t="shared" si="16"/>
        <x:v>0</x:v>
      </x:c>
      <x:c r="AL353" s="652">
        <x:f t="shared" si="16"/>
        <x:v>0</x:v>
      </x:c>
      <x:c r="AM353" s="652">
        <x:f t="shared" si="16"/>
        <x:v>0</x:v>
      </x:c>
      <x:c r="AN353" s="652">
        <x:f t="shared" si="16"/>
        <x:v>0</x:v>
      </x:c>
      <x:c r="AO353" s="652">
        <x:f t="shared" si="16"/>
        <x:v>0</x:v>
      </x:c>
      <x:c r="BN353" s="624"/>
    </x:row>
    <x:row r="354" spans="1:66" x14ac:dyDescent="0.2">
      <x:c r="C354" s="770"/>
      <x:c r="D354" s="768"/>
      <x:c r="E354" s="651" t="s">
        <x:v>73</x:v>
      </x:c>
      <x:c r="F354" s="652">
        <x:f>F273</x:f>
        <x:v>0</x:v>
      </x:c>
      <x:c r="G354" s="627"/>
      <x:c r="H354" s="627"/>
      <x:c r="I354" s="627"/>
      <x:c r="J354" s="627"/>
      <x:c r="K354" s="627"/>
      <x:c r="L354" s="627"/>
      <x:c r="M354" s="627"/>
      <x:c r="N354" s="627"/>
      <x:c r="O354" s="627"/>
      <x:c r="P354" s="627"/>
      <x:c r="Q354" s="627"/>
      <x:c r="R354" s="627"/>
      <x:c r="S354" s="627"/>
      <x:c r="BN354" s="624"/>
    </x:row>
    <x:row r="355" spans="1:66" x14ac:dyDescent="0.2">
      <x:c r="C355" s="770"/>
      <x:c r="D355" s="768" t="s">
        <x:v>133</x:v>
      </x:c>
      <x:c r="E355" s="629" t="s">
        <x:v>70</x:v>
      </x:c>
      <x:c r="F355" s="630">
        <x:f>F269+F249-L249</x:f>
        <x:v>0</x:v>
      </x:c>
      <x:c r="G355" s="630">
        <x:f>G249</x:f>
        <x:v>0</x:v>
      </x:c>
      <x:c r="H355" s="630">
        <x:f t="shared" ref="H355:AO355" si="17">H249</x:f>
        <x:v>0</x:v>
      </x:c>
      <x:c r="I355" s="630">
        <x:f t="shared" si="17"/>
        <x:v>0</x:v>
      </x:c>
      <x:c r="J355" s="630">
        <x:f t="shared" si="17"/>
        <x:v>0</x:v>
      </x:c>
      <x:c r="K355" s="630">
        <x:f t="shared" si="17"/>
        <x:v>0</x:v>
      </x:c>
      <x:c r="L355" s="630">
        <x:f t="shared" si="17"/>
        <x:v>0</x:v>
      </x:c>
      <x:c r="M355" s="630">
        <x:f t="shared" si="17"/>
        <x:v>0</x:v>
      </x:c>
      <x:c r="N355" s="630">
        <x:f t="shared" si="17"/>
        <x:v>0</x:v>
      </x:c>
      <x:c r="O355" s="630">
        <x:f t="shared" si="17"/>
        <x:v>0</x:v>
      </x:c>
      <x:c r="P355" s="630">
        <x:f t="shared" si="17"/>
        <x:v>0</x:v>
      </x:c>
      <x:c r="Q355" s="630">
        <x:f t="shared" si="17"/>
        <x:v>0</x:v>
      </x:c>
      <x:c r="R355" s="630">
        <x:f t="shared" si="17"/>
        <x:v>0</x:v>
      </x:c>
      <x:c r="S355" s="630">
        <x:f t="shared" si="17"/>
        <x:v>0</x:v>
      </x:c>
      <x:c r="T355" s="630">
        <x:f t="shared" si="17"/>
        <x:v>0</x:v>
      </x:c>
      <x:c r="U355" s="630">
        <x:f t="shared" si="17"/>
        <x:v>0</x:v>
      </x:c>
      <x:c r="V355" s="630">
        <x:f t="shared" si="17"/>
        <x:v>0</x:v>
      </x:c>
      <x:c r="W355" s="630">
        <x:f t="shared" si="17"/>
        <x:v>0</x:v>
      </x:c>
      <x:c r="X355" s="630">
        <x:f t="shared" si="17"/>
        <x:v>0</x:v>
      </x:c>
      <x:c r="Y355" s="630">
        <x:f t="shared" si="17"/>
        <x:v>0</x:v>
      </x:c>
      <x:c r="Z355" s="630">
        <x:f t="shared" si="17"/>
        <x:v>0</x:v>
      </x:c>
      <x:c r="AA355" s="630">
        <x:f t="shared" si="17"/>
        <x:v>0</x:v>
      </x:c>
      <x:c r="AB355" s="630">
        <x:f t="shared" si="17"/>
        <x:v>0</x:v>
      </x:c>
      <x:c r="AC355" s="630">
        <x:f t="shared" si="17"/>
        <x:v>0</x:v>
      </x:c>
      <x:c r="AD355" s="630">
        <x:f t="shared" si="17"/>
        <x:v>0</x:v>
      </x:c>
      <x:c r="AE355" s="630">
        <x:f t="shared" si="17"/>
        <x:v>0</x:v>
      </x:c>
      <x:c r="AF355" s="630">
        <x:f t="shared" si="17"/>
        <x:v>0</x:v>
      </x:c>
      <x:c r="AG355" s="630">
        <x:f t="shared" si="17"/>
        <x:v>0</x:v>
      </x:c>
      <x:c r="AH355" s="630">
        <x:f t="shared" si="17"/>
        <x:v>0</x:v>
      </x:c>
      <x:c r="AI355" s="630">
        <x:f t="shared" si="17"/>
        <x:v>0</x:v>
      </x:c>
      <x:c r="AJ355" s="630">
        <x:f t="shared" si="17"/>
        <x:v>0</x:v>
      </x:c>
      <x:c r="AK355" s="630">
        <x:f t="shared" si="17"/>
        <x:v>0</x:v>
      </x:c>
      <x:c r="AL355" s="630">
        <x:f t="shared" si="17"/>
        <x:v>0</x:v>
      </x:c>
      <x:c r="AM355" s="630">
        <x:f t="shared" si="17"/>
        <x:v>0</x:v>
      </x:c>
      <x:c r="AN355" s="630">
        <x:f t="shared" si="17"/>
        <x:v>0</x:v>
      </x:c>
      <x:c r="AO355" s="630">
        <x:f t="shared" si="17"/>
        <x:v>0</x:v>
      </x:c>
      <x:c r="BN355" s="624"/>
    </x:row>
    <x:row r="356" spans="1:66" x14ac:dyDescent="0.2">
      <x:c r="C356" s="770"/>
      <x:c r="D356" s="768"/>
      <x:c r="E356" s="629" t="s">
        <x:v>73</x:v>
      </x:c>
      <x:c r="F356" s="630">
        <x:f>F269</x:f>
        <x:v>0</x:v>
      </x:c>
      <x:c r="G356" s="627"/>
      <x:c r="H356" s="627"/>
      <x:c r="I356" s="627"/>
      <x:c r="J356" s="627"/>
      <x:c r="K356" s="627"/>
      <x:c r="L356" s="627"/>
      <x:c r="M356" s="627"/>
      <x:c r="N356" s="627"/>
      <x:c r="O356" s="627"/>
      <x:c r="P356" s="627"/>
      <x:c r="Q356" s="627"/>
      <x:c r="R356" s="627"/>
      <x:c r="BN356" s="624"/>
    </x:row>
    <x:row r="357" spans="1:66" ht="15" x14ac:dyDescent="0.25">
      <x:c r="A357" s="625"/>
      <x:c r="C357" s="50"/>
      <x:c r="F357" s="627"/>
      <x:c r="G357" s="627"/>
      <x:c r="H357" s="627"/>
      <x:c r="I357" s="627"/>
      <x:c r="J357" s="627"/>
      <x:c r="K357" s="627"/>
      <x:c r="L357" s="627"/>
      <x:c r="M357" s="627"/>
      <x:c r="N357" s="627"/>
      <x:c r="O357" s="627"/>
      <x:c r="P357" s="627"/>
      <x:c r="Q357" s="627"/>
      <x:c r="R357" s="627"/>
      <x:c r="S357" s="627"/>
      <x:c r="BN357" s="624"/>
    </x:row>
    <x:row r="358" spans="1:66" x14ac:dyDescent="0.2">
      <x:c r="C358" s="771" t="s">
        <x:v>326</x:v>
      </x:c>
      <x:c r="D358" s="768" t="s">
        <x:v>132</x:v>
      </x:c>
      <x:c r="E358" s="654" t="s">
        <x:v>70</x:v>
      </x:c>
      <x:c r="F358" s="655">
        <x:v>0</x:v>
      </x:c>
      <x:c r="G358" s="655">
        <x:v>0</x:v>
      </x:c>
      <x:c r="H358" s="655">
        <x:v>0</x:v>
      </x:c>
      <x:c r="I358" s="655">
        <x:v>0</x:v>
      </x:c>
      <x:c r="J358" s="655">
        <x:v>0</x:v>
      </x:c>
      <x:c r="K358" s="655">
        <x:v>0</x:v>
      </x:c>
      <x:c r="L358" s="655">
        <x:v>0</x:v>
      </x:c>
      <x:c r="M358" s="655">
        <x:v>0</x:v>
      </x:c>
      <x:c r="N358" s="655">
        <x:v>0</x:v>
      </x:c>
      <x:c r="O358" s="655">
        <x:v>0</x:v>
      </x:c>
      <x:c r="P358" s="655">
        <x:v>0</x:v>
      </x:c>
      <x:c r="Q358" s="655">
        <x:v>0</x:v>
      </x:c>
      <x:c r="R358" s="655">
        <x:v>0</x:v>
      </x:c>
      <x:c r="S358" s="655">
        <x:v>0</x:v>
      </x:c>
      <x:c r="T358" s="655">
        <x:v>0</x:v>
      </x:c>
      <x:c r="U358" s="655">
        <x:v>0</x:v>
      </x:c>
      <x:c r="V358" s="655">
        <x:v>0</x:v>
      </x:c>
      <x:c r="W358" s="655">
        <x:v>0</x:v>
      </x:c>
      <x:c r="X358" s="655">
        <x:v>0</x:v>
      </x:c>
      <x:c r="Y358" s="655">
        <x:v>0</x:v>
      </x:c>
      <x:c r="Z358" s="655">
        <x:v>0</x:v>
      </x:c>
      <x:c r="AA358" s="655">
        <x:v>0</x:v>
      </x:c>
      <x:c r="AB358" s="655">
        <x:v>0</x:v>
      </x:c>
      <x:c r="AC358" s="655">
        <x:v>0</x:v>
      </x:c>
      <x:c r="AD358" s="655">
        <x:v>0</x:v>
      </x:c>
      <x:c r="AE358" s="655">
        <x:v>0</x:v>
      </x:c>
      <x:c r="AF358" s="655">
        <x:v>0</x:v>
      </x:c>
      <x:c r="AG358" s="655">
        <x:v>0</x:v>
      </x:c>
      <x:c r="AH358" s="655">
        <x:v>0</x:v>
      </x:c>
      <x:c r="AI358" s="655">
        <x:v>0</x:v>
      </x:c>
      <x:c r="AJ358" s="655">
        <x:v>0</x:v>
      </x:c>
      <x:c r="AK358" s="655">
        <x:v>0</x:v>
      </x:c>
      <x:c r="AL358" s="655">
        <x:v>0</x:v>
      </x:c>
      <x:c r="AM358" s="655">
        <x:v>0</x:v>
      </x:c>
      <x:c r="AN358" s="655">
        <x:v>0</x:v>
      </x:c>
      <x:c r="AO358" s="655">
        <x:v>0</x:v>
      </x:c>
      <x:c r="BN358" s="624"/>
    </x:row>
    <x:row r="359" spans="1:66" x14ac:dyDescent="0.2">
      <x:c r="C359" s="771"/>
      <x:c r="D359" s="768"/>
      <x:c r="E359" s="654" t="s">
        <x:v>73</x:v>
      </x:c>
      <x:c r="F359" s="655">
        <x:v>0</x:v>
      </x:c>
      <x:c r="G359" s="627"/>
      <x:c r="H359" s="627"/>
      <x:c r="I359" s="627"/>
      <x:c r="J359" s="627"/>
      <x:c r="K359" s="627"/>
      <x:c r="L359" s="627"/>
      <x:c r="M359" s="627"/>
      <x:c r="N359" s="627"/>
      <x:c r="O359" s="627"/>
      <x:c r="P359" s="627"/>
      <x:c r="Q359" s="627"/>
      <x:c r="R359" s="627"/>
      <x:c r="S359" s="627"/>
      <x:c r="BN359" s="624"/>
    </x:row>
    <x:row r="360" spans="1:66" x14ac:dyDescent="0.2">
      <x:c r="C360" s="771"/>
      <x:c r="D360" s="768" t="s">
        <x:v>133</x:v>
      </x:c>
      <x:c r="E360" s="656" t="s">
        <x:v>70</x:v>
      </x:c>
      <x:c r="F360" s="657">
        <x:v>0</x:v>
      </x:c>
      <x:c r="G360" s="657">
        <x:v>0</x:v>
      </x:c>
      <x:c r="H360" s="657">
        <x:v>0</x:v>
      </x:c>
      <x:c r="I360" s="657">
        <x:v>0</x:v>
      </x:c>
      <x:c r="J360" s="657">
        <x:v>0</x:v>
      </x:c>
      <x:c r="K360" s="657">
        <x:v>0</x:v>
      </x:c>
      <x:c r="L360" s="657">
        <x:v>0</x:v>
      </x:c>
      <x:c r="M360" s="657">
        <x:v>0</x:v>
      </x:c>
      <x:c r="N360" s="657">
        <x:v>0</x:v>
      </x:c>
      <x:c r="O360" s="657">
        <x:v>0</x:v>
      </x:c>
      <x:c r="P360" s="657">
        <x:v>0</x:v>
      </x:c>
      <x:c r="Q360" s="657">
        <x:v>0</x:v>
      </x:c>
      <x:c r="R360" s="657">
        <x:v>0</x:v>
      </x:c>
      <x:c r="S360" s="657">
        <x:v>0</x:v>
      </x:c>
      <x:c r="T360" s="657">
        <x:v>0</x:v>
      </x:c>
      <x:c r="U360" s="657">
        <x:v>0</x:v>
      </x:c>
      <x:c r="V360" s="657">
        <x:v>0</x:v>
      </x:c>
      <x:c r="W360" s="657">
        <x:v>0</x:v>
      </x:c>
      <x:c r="X360" s="657">
        <x:v>0</x:v>
      </x:c>
      <x:c r="Y360" s="657">
        <x:v>0</x:v>
      </x:c>
      <x:c r="Z360" s="657">
        <x:v>0</x:v>
      </x:c>
      <x:c r="AA360" s="657">
        <x:v>0</x:v>
      </x:c>
      <x:c r="AB360" s="657">
        <x:v>0</x:v>
      </x:c>
      <x:c r="AC360" s="657">
        <x:v>0</x:v>
      </x:c>
      <x:c r="AD360" s="657">
        <x:v>0</x:v>
      </x:c>
      <x:c r="AE360" s="657">
        <x:v>0</x:v>
      </x:c>
      <x:c r="AF360" s="657">
        <x:v>0</x:v>
      </x:c>
      <x:c r="AG360" s="657">
        <x:v>0</x:v>
      </x:c>
      <x:c r="AH360" s="657">
        <x:v>0</x:v>
      </x:c>
      <x:c r="AI360" s="657">
        <x:v>0</x:v>
      </x:c>
      <x:c r="AJ360" s="657">
        <x:v>0</x:v>
      </x:c>
      <x:c r="AK360" s="657">
        <x:v>0</x:v>
      </x:c>
      <x:c r="AL360" s="657">
        <x:v>0</x:v>
      </x:c>
      <x:c r="AM360" s="657">
        <x:v>0</x:v>
      </x:c>
      <x:c r="AN360" s="657">
        <x:v>0</x:v>
      </x:c>
      <x:c r="AO360" s="657">
        <x:v>0</x:v>
      </x:c>
      <x:c r="BN360" s="624"/>
    </x:row>
    <x:row r="361" spans="1:66" x14ac:dyDescent="0.2">
      <x:c r="C361" s="771"/>
      <x:c r="D361" s="768"/>
      <x:c r="E361" s="656" t="s">
        <x:v>73</x:v>
      </x:c>
      <x:c r="F361" s="657">
        <x:v>0</x:v>
      </x:c>
      <x:c r="G361" s="627"/>
      <x:c r="H361" s="627"/>
      <x:c r="I361" s="627"/>
      <x:c r="J361" s="627"/>
      <x:c r="K361" s="627"/>
      <x:c r="L361" s="627"/>
      <x:c r="M361" s="627"/>
      <x:c r="N361" s="627"/>
      <x:c r="O361" s="627"/>
      <x:c r="P361" s="627"/>
      <x:c r="Q361" s="627"/>
      <x:c r="R361" s="627"/>
      <x:c r="BN361" s="624"/>
    </x:row>
    <x:row r="362" spans="1:66" ht="15" x14ac:dyDescent="0.25">
      <x:c r="A362" s="625"/>
      <x:c r="C362" s="50"/>
      <x:c r="F362" s="627"/>
      <x:c r="G362" s="627"/>
      <x:c r="H362" s="627"/>
      <x:c r="I362" s="627"/>
      <x:c r="J362" s="627"/>
      <x:c r="K362" s="627"/>
      <x:c r="L362" s="627"/>
      <x:c r="M362" s="627"/>
      <x:c r="N362" s="627"/>
      <x:c r="O362" s="627"/>
      <x:c r="P362" s="627"/>
      <x:c r="Q362" s="627"/>
      <x:c r="R362" s="627"/>
      <x:c r="S362" s="627"/>
      <x:c r="BN362" s="624"/>
    </x:row>
    <x:row r="363" spans="1:66" x14ac:dyDescent="0.2">
      <x:c r="C363" s="770" t="s">
        <x:v>119</x:v>
      </x:c>
      <x:c r="D363" s="768" t="s">
        <x:v>132</x:v>
      </x:c>
      <x:c r="E363" s="632" t="s">
        <x:v>70</x:v>
      </x:c>
      <x:c r="F363" s="633">
        <x:f>F280+F264+F243-L243-L264</x:f>
        <x:v>0</x:v>
      </x:c>
      <x:c r="G363" s="633">
        <x:f>G264+G243</x:f>
        <x:v>0</x:v>
      </x:c>
      <x:c r="H363" s="633">
        <x:f t="shared" ref="H363:AO363" si="18">H264+H243</x:f>
        <x:v>0</x:v>
      </x:c>
      <x:c r="I363" s="633">
        <x:f t="shared" si="18"/>
        <x:v>0</x:v>
      </x:c>
      <x:c r="J363" s="633">
        <x:f t="shared" si="18"/>
        <x:v>0</x:v>
      </x:c>
      <x:c r="K363" s="633">
        <x:f t="shared" si="18"/>
        <x:v>0</x:v>
      </x:c>
      <x:c r="L363" s="633">
        <x:f t="shared" si="18"/>
        <x:v>0</x:v>
      </x:c>
      <x:c r="M363" s="633">
        <x:f t="shared" si="18"/>
        <x:v>0</x:v>
      </x:c>
      <x:c r="N363" s="633">
        <x:f t="shared" si="18"/>
        <x:v>0</x:v>
      </x:c>
      <x:c r="O363" s="633">
        <x:f t="shared" si="18"/>
        <x:v>0</x:v>
      </x:c>
      <x:c r="P363" s="633">
        <x:f t="shared" si="18"/>
        <x:v>0</x:v>
      </x:c>
      <x:c r="Q363" s="633">
        <x:f t="shared" si="18"/>
        <x:v>0</x:v>
      </x:c>
      <x:c r="R363" s="633">
        <x:f t="shared" si="18"/>
        <x:v>0</x:v>
      </x:c>
      <x:c r="S363" s="633">
        <x:f t="shared" si="18"/>
        <x:v>0</x:v>
      </x:c>
      <x:c r="T363" s="633">
        <x:f t="shared" si="18"/>
        <x:v>0</x:v>
      </x:c>
      <x:c r="U363" s="633">
        <x:f t="shared" si="18"/>
        <x:v>0</x:v>
      </x:c>
      <x:c r="V363" s="633">
        <x:f t="shared" si="18"/>
        <x:v>0</x:v>
      </x:c>
      <x:c r="W363" s="633">
        <x:f t="shared" si="18"/>
        <x:v>0</x:v>
      </x:c>
      <x:c r="X363" s="633">
        <x:f t="shared" si="18"/>
        <x:v>0</x:v>
      </x:c>
      <x:c r="Y363" s="633">
        <x:f t="shared" si="18"/>
        <x:v>0</x:v>
      </x:c>
      <x:c r="Z363" s="633">
        <x:f t="shared" si="18"/>
        <x:v>0</x:v>
      </x:c>
      <x:c r="AA363" s="633">
        <x:f t="shared" si="18"/>
        <x:v>0</x:v>
      </x:c>
      <x:c r="AB363" s="633">
        <x:f t="shared" si="18"/>
        <x:v>0</x:v>
      </x:c>
      <x:c r="AC363" s="633">
        <x:f t="shared" si="18"/>
        <x:v>0</x:v>
      </x:c>
      <x:c r="AD363" s="633">
        <x:f t="shared" si="18"/>
        <x:v>0</x:v>
      </x:c>
      <x:c r="AE363" s="633">
        <x:f t="shared" si="18"/>
        <x:v>0</x:v>
      </x:c>
      <x:c r="AF363" s="633">
        <x:f t="shared" si="18"/>
        <x:v>0</x:v>
      </x:c>
      <x:c r="AG363" s="633">
        <x:f t="shared" si="18"/>
        <x:v>0</x:v>
      </x:c>
      <x:c r="AH363" s="633">
        <x:f t="shared" si="18"/>
        <x:v>0</x:v>
      </x:c>
      <x:c r="AI363" s="633">
        <x:f t="shared" si="18"/>
        <x:v>0</x:v>
      </x:c>
      <x:c r="AJ363" s="633">
        <x:f t="shared" si="18"/>
        <x:v>0</x:v>
      </x:c>
      <x:c r="AK363" s="633">
        <x:f t="shared" si="18"/>
        <x:v>0</x:v>
      </x:c>
      <x:c r="AL363" s="633">
        <x:f t="shared" si="18"/>
        <x:v>0</x:v>
      </x:c>
      <x:c r="AM363" s="633">
        <x:f t="shared" si="18"/>
        <x:v>0</x:v>
      </x:c>
      <x:c r="AN363" s="633">
        <x:f t="shared" si="18"/>
        <x:v>0</x:v>
      </x:c>
      <x:c r="AO363" s="633">
        <x:f t="shared" si="18"/>
        <x:v>0</x:v>
      </x:c>
      <x:c r="BN363" s="624"/>
    </x:row>
    <x:row r="364" spans="1:66" x14ac:dyDescent="0.2">
      <x:c r="C364" s="770"/>
      <x:c r="D364" s="768"/>
      <x:c r="E364" s="632" t="s">
        <x:v>73</x:v>
      </x:c>
      <x:c r="F364" s="633">
        <x:f>F280</x:f>
        <x:v>0</x:v>
      </x:c>
      <x:c r="G364" s="627"/>
      <x:c r="H364" s="627"/>
      <x:c r="I364" s="627"/>
      <x:c r="J364" s="627"/>
      <x:c r="K364" s="627"/>
      <x:c r="L364" s="627"/>
      <x:c r="M364" s="627"/>
      <x:c r="N364" s="627"/>
      <x:c r="O364" s="627"/>
      <x:c r="P364" s="627"/>
      <x:c r="Q364" s="627"/>
      <x:c r="R364" s="627"/>
      <x:c r="S364" s="627"/>
      <x:c r="BN364" s="624"/>
    </x:row>
    <x:row r="365" spans="1:66" x14ac:dyDescent="0.2">
      <x:c r="C365" s="770"/>
      <x:c r="D365" s="768" t="s">
        <x:v>133</x:v>
      </x:c>
      <x:c r="E365" s="658" t="s">
        <x:v>70</x:v>
      </x:c>
      <x:c r="F365" s="659">
        <x:v>0</x:v>
      </x:c>
      <x:c r="G365" s="659">
        <x:v>0</x:v>
      </x:c>
      <x:c r="H365" s="659">
        <x:v>0</x:v>
      </x:c>
      <x:c r="I365" s="659">
        <x:v>0</x:v>
      </x:c>
      <x:c r="J365" s="659">
        <x:v>0</x:v>
      </x:c>
      <x:c r="K365" s="659">
        <x:v>0</x:v>
      </x:c>
      <x:c r="L365" s="659">
        <x:v>0</x:v>
      </x:c>
      <x:c r="M365" s="659">
        <x:v>0</x:v>
      </x:c>
      <x:c r="N365" s="659">
        <x:v>0</x:v>
      </x:c>
      <x:c r="O365" s="659">
        <x:v>0</x:v>
      </x:c>
      <x:c r="P365" s="659">
        <x:v>0</x:v>
      </x:c>
      <x:c r="Q365" s="659">
        <x:v>0</x:v>
      </x:c>
      <x:c r="R365" s="659">
        <x:v>0</x:v>
      </x:c>
      <x:c r="S365" s="659">
        <x:v>0</x:v>
      </x:c>
      <x:c r="T365" s="659">
        <x:v>0</x:v>
      </x:c>
      <x:c r="U365" s="659">
        <x:v>0</x:v>
      </x:c>
      <x:c r="V365" s="659">
        <x:v>0</x:v>
      </x:c>
      <x:c r="W365" s="659">
        <x:v>0</x:v>
      </x:c>
      <x:c r="X365" s="659">
        <x:v>0</x:v>
      </x:c>
      <x:c r="Y365" s="659">
        <x:v>0</x:v>
      </x:c>
      <x:c r="Z365" s="659">
        <x:v>0</x:v>
      </x:c>
      <x:c r="AA365" s="659">
        <x:v>0</x:v>
      </x:c>
      <x:c r="AB365" s="659">
        <x:v>0</x:v>
      </x:c>
      <x:c r="AC365" s="659">
        <x:v>0</x:v>
      </x:c>
      <x:c r="AD365" s="659">
        <x:v>0</x:v>
      </x:c>
      <x:c r="AE365" s="659">
        <x:v>0</x:v>
      </x:c>
      <x:c r="AF365" s="659">
        <x:v>0</x:v>
      </x:c>
      <x:c r="AG365" s="659">
        <x:v>0</x:v>
      </x:c>
      <x:c r="AH365" s="659">
        <x:v>0</x:v>
      </x:c>
      <x:c r="AI365" s="659">
        <x:v>0</x:v>
      </x:c>
      <x:c r="AJ365" s="659">
        <x:v>0</x:v>
      </x:c>
      <x:c r="AK365" s="659">
        <x:v>0</x:v>
      </x:c>
      <x:c r="AL365" s="659">
        <x:v>0</x:v>
      </x:c>
      <x:c r="AM365" s="659">
        <x:v>0</x:v>
      </x:c>
      <x:c r="AN365" s="659">
        <x:v>0</x:v>
      </x:c>
      <x:c r="AO365" s="659">
        <x:v>0</x:v>
      </x:c>
      <x:c r="BN365" s="624"/>
    </x:row>
    <x:row r="366" spans="1:66" x14ac:dyDescent="0.2">
      <x:c r="C366" s="770"/>
      <x:c r="D366" s="768"/>
      <x:c r="E366" s="658" t="s">
        <x:v>73</x:v>
      </x:c>
      <x:c r="F366" s="659">
        <x:v>0</x:v>
      </x:c>
      <x:c r="G366" s="627"/>
      <x:c r="H366" s="627"/>
      <x:c r="I366" s="627"/>
      <x:c r="J366" s="627"/>
      <x:c r="K366" s="627"/>
      <x:c r="L366" s="627"/>
      <x:c r="M366" s="627"/>
      <x:c r="N366" s="627"/>
      <x:c r="O366" s="627"/>
      <x:c r="P366" s="627"/>
      <x:c r="Q366" s="627"/>
      <x:c r="R366" s="627"/>
      <x:c r="BN366" s="624"/>
    </x:row>
    <x:row r="367" spans="1:66" ht="15" x14ac:dyDescent="0.25">
      <x:c r="A367" s="625"/>
      <x:c r="C367" s="50"/>
      <x:c r="F367" s="627"/>
      <x:c r="G367" s="627"/>
      <x:c r="H367" s="627"/>
      <x:c r="I367" s="627"/>
      <x:c r="J367" s="627"/>
      <x:c r="K367" s="627"/>
      <x:c r="L367" s="627"/>
      <x:c r="M367" s="627"/>
      <x:c r="N367" s="627"/>
      <x:c r="O367" s="627"/>
      <x:c r="P367" s="627"/>
      <x:c r="Q367" s="627"/>
      <x:c r="R367" s="627"/>
      <x:c r="S367" s="627"/>
      <x:c r="BN367" s="624"/>
    </x:row>
    <x:row r="368" spans="1:66" x14ac:dyDescent="0.2">
      <x:c r="C368" s="769" t="s">
        <x:v>161</x:v>
      </x:c>
      <x:c r="D368" s="768" t="s">
        <x:v>132</x:v>
      </x:c>
      <x:c r="E368" s="661" t="s">
        <x:v>70</x:v>
      </x:c>
      <x:c r="F368" s="662">
        <x:v>0</x:v>
      </x:c>
      <x:c r="G368" s="662">
        <x:v>0</x:v>
      </x:c>
      <x:c r="H368" s="662">
        <x:v>0</x:v>
      </x:c>
      <x:c r="I368" s="662">
        <x:v>0</x:v>
      </x:c>
      <x:c r="J368" s="662">
        <x:v>0</x:v>
      </x:c>
      <x:c r="K368" s="662">
        <x:v>0</x:v>
      </x:c>
      <x:c r="L368" s="662">
        <x:v>0</x:v>
      </x:c>
      <x:c r="M368" s="662">
        <x:v>0</x:v>
      </x:c>
      <x:c r="N368" s="662">
        <x:v>0</x:v>
      </x:c>
      <x:c r="O368" s="662">
        <x:v>0</x:v>
      </x:c>
      <x:c r="P368" s="662">
        <x:v>0</x:v>
      </x:c>
      <x:c r="Q368" s="662">
        <x:v>0</x:v>
      </x:c>
      <x:c r="R368" s="662">
        <x:v>0</x:v>
      </x:c>
      <x:c r="S368" s="662">
        <x:v>0</x:v>
      </x:c>
      <x:c r="T368" s="662">
        <x:v>0</x:v>
      </x:c>
      <x:c r="U368" s="662"/>
      <x:c r="V368" s="662"/>
      <x:c r="W368" s="662"/>
      <x:c r="X368" s="662">
        <x:v>0</x:v>
      </x:c>
      <x:c r="Y368" s="662">
        <x:v>0</x:v>
      </x:c>
      <x:c r="Z368" s="662">
        <x:v>0</x:v>
      </x:c>
      <x:c r="AA368" s="662">
        <x:v>0</x:v>
      </x:c>
      <x:c r="AB368" s="662">
        <x:v>0</x:v>
      </x:c>
      <x:c r="AC368" s="662">
        <x:v>0</x:v>
      </x:c>
      <x:c r="AD368" s="662">
        <x:v>0</x:v>
      </x:c>
      <x:c r="AE368" s="662">
        <x:v>0</x:v>
      </x:c>
      <x:c r="AF368" s="662">
        <x:v>0</x:v>
      </x:c>
      <x:c r="AG368" s="662">
        <x:v>0</x:v>
      </x:c>
      <x:c r="AH368" s="662">
        <x:v>0</x:v>
      </x:c>
      <x:c r="AI368" s="662">
        <x:v>0</x:v>
      </x:c>
      <x:c r="AJ368" s="662">
        <x:v>0</x:v>
      </x:c>
      <x:c r="AK368" s="662">
        <x:v>0</x:v>
      </x:c>
      <x:c r="AL368" s="662">
        <x:v>0</x:v>
      </x:c>
      <x:c r="AM368" s="662">
        <x:v>0</x:v>
      </x:c>
      <x:c r="AN368" s="662">
        <x:v>0</x:v>
      </x:c>
      <x:c r="AO368" s="662">
        <x:v>0</x:v>
      </x:c>
      <x:c r="BN368" s="624"/>
    </x:row>
    <x:row r="369" spans="1:66" x14ac:dyDescent="0.2">
      <x:c r="C369" s="769"/>
      <x:c r="D369" s="768"/>
      <x:c r="E369" s="661" t="s">
        <x:v>73</x:v>
      </x:c>
      <x:c r="F369" s="662">
        <x:v>0</x:v>
      </x:c>
      <x:c r="G369" s="627"/>
      <x:c r="H369" s="627"/>
      <x:c r="I369" s="627"/>
      <x:c r="J369" s="627"/>
      <x:c r="K369" s="627"/>
      <x:c r="L369" s="627"/>
      <x:c r="M369" s="627"/>
      <x:c r="N369" s="627"/>
      <x:c r="O369" s="627"/>
      <x:c r="P369" s="627"/>
      <x:c r="Q369" s="627"/>
      <x:c r="R369" s="627"/>
      <x:c r="S369" s="627"/>
      <x:c r="BN369" s="624"/>
    </x:row>
    <x:row r="370" spans="1:66" x14ac:dyDescent="0.2">
      <x:c r="C370" s="769"/>
      <x:c r="D370" s="768" t="s">
        <x:v>133</x:v>
      </x:c>
      <x:c r="E370" s="663" t="s">
        <x:v>70</x:v>
      </x:c>
      <x:c r="F370" s="664">
        <x:v>0</x:v>
      </x:c>
      <x:c r="G370" s="664">
        <x:v>0</x:v>
      </x:c>
      <x:c r="H370" s="664">
        <x:v>0</x:v>
      </x:c>
      <x:c r="I370" s="664">
        <x:v>0</x:v>
      </x:c>
      <x:c r="J370" s="664">
        <x:v>0</x:v>
      </x:c>
      <x:c r="K370" s="664">
        <x:v>0</x:v>
      </x:c>
      <x:c r="L370" s="664">
        <x:v>0</x:v>
      </x:c>
      <x:c r="M370" s="664">
        <x:v>0</x:v>
      </x:c>
      <x:c r="N370" s="664">
        <x:v>0</x:v>
      </x:c>
      <x:c r="O370" s="664">
        <x:v>0</x:v>
      </x:c>
      <x:c r="P370" s="664">
        <x:v>0</x:v>
      </x:c>
      <x:c r="Q370" s="664">
        <x:v>0</x:v>
      </x:c>
      <x:c r="R370" s="664">
        <x:v>0</x:v>
      </x:c>
      <x:c r="S370" s="664">
        <x:v>0</x:v>
      </x:c>
      <x:c r="T370" s="664">
        <x:v>0</x:v>
      </x:c>
      <x:c r="U370" s="664"/>
      <x:c r="V370" s="664"/>
      <x:c r="W370" s="664"/>
      <x:c r="X370" s="664">
        <x:v>0</x:v>
      </x:c>
      <x:c r="Y370" s="664">
        <x:v>0</x:v>
      </x:c>
      <x:c r="Z370" s="664">
        <x:v>0</x:v>
      </x:c>
      <x:c r="AA370" s="664">
        <x:v>0</x:v>
      </x:c>
      <x:c r="AB370" s="664">
        <x:v>0</x:v>
      </x:c>
      <x:c r="AC370" s="664">
        <x:v>0</x:v>
      </x:c>
      <x:c r="AD370" s="664">
        <x:v>0</x:v>
      </x:c>
      <x:c r="AE370" s="664">
        <x:v>0</x:v>
      </x:c>
      <x:c r="AF370" s="664">
        <x:v>0</x:v>
      </x:c>
      <x:c r="AG370" s="664">
        <x:v>0</x:v>
      </x:c>
      <x:c r="AH370" s="664">
        <x:v>0</x:v>
      </x:c>
      <x:c r="AI370" s="664">
        <x:v>0</x:v>
      </x:c>
      <x:c r="AJ370" s="664">
        <x:v>0</x:v>
      </x:c>
      <x:c r="AK370" s="664">
        <x:v>0</x:v>
      </x:c>
      <x:c r="AL370" s="664">
        <x:v>0</x:v>
      </x:c>
      <x:c r="AM370" s="664">
        <x:v>0</x:v>
      </x:c>
      <x:c r="AN370" s="664">
        <x:v>0</x:v>
      </x:c>
      <x:c r="AO370" s="664">
        <x:v>0</x:v>
      </x:c>
      <x:c r="BN370" s="624"/>
    </x:row>
    <x:row r="371" spans="1:66" x14ac:dyDescent="0.2">
      <x:c r="C371" s="769"/>
      <x:c r="D371" s="768"/>
      <x:c r="E371" s="663" t="s">
        <x:v>73</x:v>
      </x:c>
      <x:c r="F371" s="664">
        <x:v>0</x:v>
      </x:c>
      <x:c r="G371" s="627"/>
      <x:c r="H371" s="627"/>
      <x:c r="I371" s="627"/>
      <x:c r="J371" s="627"/>
      <x:c r="K371" s="627"/>
      <x:c r="L371" s="627"/>
      <x:c r="M371" s="627"/>
      <x:c r="N371" s="627"/>
      <x:c r="O371" s="627"/>
      <x:c r="P371" s="627"/>
      <x:c r="Q371" s="627"/>
      <x:c r="R371" s="627"/>
      <x:c r="BN371" s="624"/>
    </x:row>
    <x:row r="372" spans="1:66" ht="15" x14ac:dyDescent="0.2">
      <x:c r="C372" s="660"/>
      <x:c r="D372" s="644"/>
      <x:c r="E372" s="625"/>
      <x:c r="F372" s="627"/>
      <x:c r="G372" s="627"/>
      <x:c r="H372" s="627"/>
      <x:c r="I372" s="627"/>
      <x:c r="J372" s="627"/>
      <x:c r="K372" s="627"/>
      <x:c r="L372" s="627"/>
      <x:c r="M372" s="627"/>
      <x:c r="N372" s="627"/>
      <x:c r="O372" s="627"/>
      <x:c r="P372" s="627"/>
      <x:c r="Q372" s="627"/>
      <x:c r="R372" s="627"/>
      <x:c r="BN372" s="624"/>
    </x:row>
    <x:row r="373" spans="1:66" x14ac:dyDescent="0.2">
      <x:c r="D373" s="634" t="s">
        <x:v>185</x:v>
      </x:c>
      <x:c r="E373" s="665" t="s">
        <x:v>70</x:v>
      </x:c>
      <x:c r="F373" s="666">
        <x:f>F244</x:f>
        <x:v>0</x:v>
      </x:c>
      <x:c r="G373" s="666">
        <x:f t="shared" ref="G373:Z373" si="19">G244</x:f>
        <x:v>0</x:v>
      </x:c>
      <x:c r="H373" s="666">
        <x:f t="shared" si="19"/>
        <x:v>0</x:v>
      </x:c>
      <x:c r="I373" s="666">
        <x:f t="shared" si="19"/>
        <x:v>0</x:v>
      </x:c>
      <x:c r="J373" s="666">
        <x:f t="shared" si="19"/>
        <x:v>0</x:v>
      </x:c>
      <x:c r="K373" s="666">
        <x:f t="shared" si="19"/>
        <x:v>0</x:v>
      </x:c>
      <x:c r="L373" s="666">
        <x:f t="shared" si="19"/>
        <x:v>0</x:v>
      </x:c>
      <x:c r="M373" s="666">
        <x:f t="shared" si="19"/>
        <x:v>0</x:v>
      </x:c>
      <x:c r="N373" s="666">
        <x:f t="shared" si="19"/>
        <x:v>0</x:v>
      </x:c>
      <x:c r="O373" s="666">
        <x:f t="shared" si="19"/>
        <x:v>0</x:v>
      </x:c>
      <x:c r="P373" s="666">
        <x:f t="shared" si="19"/>
        <x:v>0</x:v>
      </x:c>
      <x:c r="Q373" s="666">
        <x:f t="shared" si="19"/>
        <x:v>0</x:v>
      </x:c>
      <x:c r="R373" s="666">
        <x:f t="shared" si="19"/>
        <x:v>0</x:v>
      </x:c>
      <x:c r="S373" s="666">
        <x:f t="shared" si="19"/>
        <x:v>0</x:v>
      </x:c>
      <x:c r="T373" s="666">
        <x:f t="shared" si="19"/>
        <x:v>0</x:v>
      </x:c>
      <x:c r="U373" s="666">
        <x:f t="shared" si="19"/>
        <x:v>0</x:v>
      </x:c>
      <x:c r="V373" s="666">
        <x:f t="shared" si="19"/>
        <x:v>0</x:v>
      </x:c>
      <x:c r="W373" s="666">
        <x:f t="shared" si="19"/>
        <x:v>0</x:v>
      </x:c>
      <x:c r="X373" s="666">
        <x:f t="shared" si="19"/>
        <x:v>0</x:v>
      </x:c>
      <x:c r="Y373" s="666">
        <x:f t="shared" si="19"/>
        <x:v>0</x:v>
      </x:c>
      <x:c r="Z373" s="666">
        <x:f t="shared" si="19"/>
        <x:v>0</x:v>
      </x:c>
      <x:c r="BN373" s="624"/>
    </x:row>
    <x:row r="374" spans="1:66" ht="15" x14ac:dyDescent="0.2">
      <x:c r="C374" s="660"/>
      <x:c r="D374" s="644"/>
      <x:c r="E374" s="625"/>
      <x:c r="F374" s="627"/>
      <x:c r="G374" s="627"/>
      <x:c r="H374" s="627"/>
      <x:c r="I374" s="627"/>
      <x:c r="J374" s="627"/>
      <x:c r="K374" s="627"/>
      <x:c r="L374" s="627"/>
      <x:c r="M374" s="627"/>
      <x:c r="N374" s="627"/>
      <x:c r="O374" s="627"/>
      <x:c r="P374" s="627"/>
      <x:c r="Q374" s="627"/>
      <x:c r="R374" s="627"/>
      <x:c r="BN374" s="624"/>
    </x:row>
    <x:row r="375" spans="1:66" x14ac:dyDescent="0.2">
      <x:c r="A375" s="624"/>
      <x:c r="B375" s="624"/>
      <x:c r="C375" s="624"/>
      <x:c r="D375" s="624"/>
      <x:c r="E375" s="624"/>
      <x:c r="F375" s="624"/>
      <x:c r="G375" s="624"/>
      <x:c r="H375" s="624"/>
      <x:c r="I375" s="624"/>
      <x:c r="J375" s="624"/>
      <x:c r="K375" s="624"/>
      <x:c r="L375" s="624"/>
      <x:c r="M375" s="624"/>
      <x:c r="N375" s="624"/>
      <x:c r="O375" s="624"/>
      <x:c r="P375" s="624"/>
      <x:c r="Q375" s="624"/>
      <x:c r="R375" s="624"/>
      <x:c r="S375" s="624"/>
      <x:c r="T375" s="624"/>
      <x:c r="U375" s="624"/>
      <x:c r="V375" s="624"/>
      <x:c r="W375" s="624"/>
      <x:c r="X375" s="624"/>
      <x:c r="Y375" s="624"/>
      <x:c r="Z375" s="624"/>
      <x:c r="AA375" s="624"/>
      <x:c r="AB375" s="624"/>
      <x:c r="AC375" s="624"/>
      <x:c r="AD375" s="624"/>
      <x:c r="AE375" s="624"/>
      <x:c r="AF375" s="624"/>
      <x:c r="AG375" s="624"/>
      <x:c r="AH375" s="624"/>
      <x:c r="AI375" s="624"/>
      <x:c r="AJ375" s="624"/>
      <x:c r="AK375" s="624"/>
      <x:c r="AL375" s="624"/>
      <x:c r="AM375" s="624"/>
      <x:c r="AN375" s="624"/>
      <x:c r="AO375" s="624"/>
      <x:c r="AP375" s="624"/>
      <x:c r="AQ375" s="624"/>
      <x:c r="AR375" s="624"/>
      <x:c r="AS375" s="624"/>
      <x:c r="AT375" s="624"/>
      <x:c r="AU375" s="624"/>
      <x:c r="AV375" s="624"/>
      <x:c r="AW375" s="624"/>
      <x:c r="AX375" s="624"/>
      <x:c r="AY375" s="624"/>
      <x:c r="AZ375" s="624"/>
      <x:c r="BA375" s="624"/>
      <x:c r="BB375" s="624"/>
      <x:c r="BC375" s="624"/>
      <x:c r="BD375" s="624"/>
      <x:c r="BE375" s="624"/>
      <x:c r="BF375" s="624"/>
      <x:c r="BG375" s="624"/>
      <x:c r="BH375" s="624"/>
      <x:c r="BI375" s="624"/>
      <x:c r="BJ375" s="624"/>
      <x:c r="BK375" s="624"/>
      <x:c r="BL375" s="624"/>
      <x:c r="BM375" s="624"/>
      <x:c r="BN375" s="624"/>
    </x:row>
    <x:row r="376" spans="1:66" ht="15" x14ac:dyDescent="0.25">
      <x:c r="A376" s="625"/>
      <x:c r="B376" s="50" t="s">
        <x:v>88</x:v>
      </x:c>
      <x:c r="E376" s="627"/>
      <x:c r="F376" s="627"/>
      <x:c r="G376" s="627"/>
      <x:c r="H376" s="627"/>
      <x:c r="I376" s="627"/>
      <x:c r="J376" s="627"/>
      <x:c r="K376" s="627"/>
      <x:c r="L376" s="627"/>
      <x:c r="M376" s="627"/>
      <x:c r="N376" s="627"/>
      <x:c r="O376" s="627"/>
      <x:c r="P376" s="627"/>
      <x:c r="Q376" s="627"/>
      <x:c r="BN376" s="624"/>
    </x:row>
    <x:row r="377" spans="1:66" s="50" customFormat="1" ht="30" x14ac:dyDescent="0.25">
      <x:c r="F377" s="669" t="s">
        <x:v>70</x:v>
      </x:c>
      <x:c r="G377" s="669" t="s">
        <x:v>64</x:v>
      </x:c>
      <x:c r="H377" s="669" t="s">
        <x:v>65</x:v>
      </x:c>
      <x:c r="I377" s="626" t="s">
        <x:v>164</x:v>
      </x:c>
      <x:c r="J377" s="669" t="s">
        <x:v>69</x:v>
      </x:c>
      <x:c r="K377" s="669" t="s">
        <x:v>68</x:v>
      </x:c>
      <x:c r="L377" s="669" t="s">
        <x:v>71</x:v>
      </x:c>
      <x:c r="M377" s="669" t="s">
        <x:v>66</x:v>
      </x:c>
      <x:c r="N377" s="669" t="s">
        <x:v>63</x:v>
      </x:c>
      <x:c r="O377" s="669" t="s">
        <x:v>61</x:v>
      </x:c>
      <x:c r="P377" s="669" t="s">
        <x:v>62</x:v>
      </x:c>
      <x:c r="Q377" s="669" t="s">
        <x:v>67</x:v>
      </x:c>
      <x:c r="R377" s="669" t="s">
        <x:v>77</x:v>
      </x:c>
      <x:c r="S377" s="669" t="s">
        <x:v>80</x:v>
      </x:c>
      <x:c r="T377" s="669" t="s">
        <x:v>135</x:v>
      </x:c>
      <x:c r="U377" s="669" t="s">
        <x:v>222</x:v>
      </x:c>
      <x:c r="V377" s="669" t="s">
        <x:v>223</x:v>
      </x:c>
      <x:c r="W377" s="669" t="s">
        <x:v>172</x:v>
      </x:c>
      <x:c r="X377" s="50" t="s">
        <x:v>166</x:v>
      </x:c>
      <x:c r="Y377" s="669" t="s">
        <x:v>135</x:v>
      </x:c>
      <x:c r="Z377" s="669" t="s">
        <x:v>166</x:v>
      </x:c>
      <x:c r="BN377" s="618"/>
    </x:row>
    <x:row r="378" spans="1:66" x14ac:dyDescent="0.2">
      <x:c r="A378"/>
      <x:c r="B378"/>
      <x:c r="C378"/>
      <x:c r="D378"/>
      <x:c r="E378" s="625" t="inlineStr">
        <x:is>
          <x:t>Vlr Servicio</x:t>
        </x:is>
      </x:c>
      <x:c r="F378" s="627" t="n">
        <x:v>-280784.65</x:v>
      </x:c>
      <x:c r="G378" s="627" t="n">
        <x:v>-22556.67</x:v>
      </x:c>
      <x:c r="H378" s="627" t="n">
        <x:v>-9582.84</x:v>
      </x:c>
      <x:c r="I378" s="627" t="n">
        <x:v>-4184.76</x:v>
      </x:c>
      <x:c r="J378" s="627" t="n">
        <x:v>-52204.81</x:v>
      </x:c>
      <x:c r="K378" s="627" t="n">
        <x:v>-2126.02</x:v>
      </x:c>
      <x:c r="L378" s="627" t="n">
        <x:v>0</x:v>
      </x:c>
      <x:c r="M378" s="627" t="n">
        <x:v>-18648.64</x:v>
      </x:c>
      <x:c r="N378" s="627" t="n">
        <x:v>-23713.72</x:v>
      </x:c>
      <x:c r="O378" s="627" t="n">
        <x:v>-87072.87</x:v>
      </x:c>
      <x:c r="P378" s="627" t="n">
        <x:v>-57225.48</x:v>
      </x:c>
      <x:c r="Q378" s="627" t="n">
        <x:v>-3468.84</x:v>
      </x:c>
      <x:c r="R378" s="627" t="n">
        <x:v>0</x:v>
      </x:c>
      <x:c r="S378" s="627" t="n">
        <x:v>0</x:v>
      </x:c>
      <x:c r="T378" s="653" t="n">
        <x:v>0</x:v>
      </x:c>
      <x:c r="U378" s="653">
        <x:v>0</x:v>
      </x:c>
      <x:c r="V378" s="653">
        <x:v>0</x:v>
      </x:c>
      <x:c r="W378" s="653">
        <x:v>0</x:v>
      </x:c>
      <x:c r="X378" s="653">
        <x:v>0</x:v>
      </x:c>
      <x:c r="Y378" s="627">
        <x:v>0</x:v>
      </x:c>
      <x:c r="Z378" s="653" t="n">
        <x:v>0</x:v>
      </x:c>
      <x:c r="BN378" s="624"/>
    </x:row>
    <x:row r="379" spans="1:66" x14ac:dyDescent="0.2">
      <x:c r="A379"/>
      <x:c r="B379"/>
      <x:c r="C379"/>
      <x:c r="D379" s="25" t="inlineStr">
        <x:is>
          <x:t>E</x:t>
        </x:is>
      </x:c>
      <x:c r="E379" s="625" t="inlineStr">
        <x:is>
          <x:t>Total</x:t>
        </x:is>
      </x:c>
      <x:c r="F379" s="627" t="n">
        <x:v>-280784.65</x:v>
      </x:c>
      <x:c r="G379" s="627" t="n">
        <x:v>-22556.67</x:v>
      </x:c>
      <x:c r="H379" s="627" t="n">
        <x:v>-9582.84</x:v>
      </x:c>
      <x:c r="I379" s="627" t="n">
        <x:v>-4184.76</x:v>
      </x:c>
      <x:c r="J379" s="627" t="n">
        <x:v>-52204.81</x:v>
      </x:c>
      <x:c r="K379" s="627" t="n">
        <x:v>-2126.02</x:v>
      </x:c>
      <x:c r="L379" s="627" t="n">
        <x:v>0</x:v>
      </x:c>
      <x:c r="M379" s="627" t="n">
        <x:v>-18648.64</x:v>
      </x:c>
      <x:c r="N379" s="627" t="n">
        <x:v>-23713.72</x:v>
      </x:c>
      <x:c r="O379" s="627" t="n">
        <x:v>-87072.87</x:v>
      </x:c>
      <x:c r="P379" s="627" t="n">
        <x:v>-57225.48</x:v>
      </x:c>
      <x:c r="Q379" s="627" t="n">
        <x:v>-3468.84</x:v>
      </x:c>
      <x:c r="R379" s="627" t="n">
        <x:v>0</x:v>
      </x:c>
      <x:c r="S379" s="627" t="n">
        <x:v>0</x:v>
      </x:c>
      <x:c r="T379" s="653" t="n">
        <x:v>0</x:v>
      </x:c>
      <x:c r="U379" s="653">
        <x:v>0</x:v>
      </x:c>
      <x:c r="V379" s="653">
        <x:v>0</x:v>
      </x:c>
      <x:c r="W379" s="653">
        <x:v>0</x:v>
      </x:c>
      <x:c r="X379" s="653">
        <x:v>0</x:v>
      </x:c>
      <x:c r="Y379" s="627">
        <x:v>0</x:v>
      </x:c>
      <x:c r="Z379" s="653" t="n">
        <x:v>0</x:v>
      </x:c>
      <x:c r="BN379" s="624"/>
    </x:row>
    <x:row r="380" spans="1:66" x14ac:dyDescent="0.2">
      <x:c r="A380" s="628"/>
      <x:c r="B380" s="628"/>
      <x:c r="C380" s="628" t="inlineStr">
        <x:is>
          <x:t>ENEL</x:t>
        </x:is>
      </x:c>
      <x:c r="D380" s="628" t="inlineStr">
        <x:is>
          <x:t>Total</x:t>
        </x:is>
      </x:c>
      <x:c r="E380" s="629"/>
      <x:c r="F380" s="630" t="n">
        <x:v>-280784.65</x:v>
      </x:c>
      <x:c r="G380" s="630" t="n">
        <x:v>-22556.67</x:v>
      </x:c>
      <x:c r="H380" s="630" t="n">
        <x:v>-9582.84</x:v>
      </x:c>
      <x:c r="I380" s="630" t="n">
        <x:v>-4184.76</x:v>
      </x:c>
      <x:c r="J380" s="630" t="n">
        <x:v>-52204.81</x:v>
      </x:c>
      <x:c r="K380" s="630" t="n">
        <x:v>-2126.02</x:v>
      </x:c>
      <x:c r="L380" s="630" t="n">
        <x:v>0</x:v>
      </x:c>
      <x:c r="M380" s="630" t="n">
        <x:v>-18648.64</x:v>
      </x:c>
      <x:c r="N380" s="630" t="n">
        <x:v>-23713.72</x:v>
      </x:c>
      <x:c r="O380" s="630" t="n">
        <x:v>-87072.87</x:v>
      </x:c>
      <x:c r="P380" s="630" t="n">
        <x:v>-57225.48</x:v>
      </x:c>
      <x:c r="Q380" s="630" t="n">
        <x:v>-3468.84</x:v>
      </x:c>
      <x:c r="R380" s="630" t="n">
        <x:v>0</x:v>
      </x:c>
      <x:c r="S380" s="630" t="n">
        <x:v>0</x:v>
      </x:c>
      <x:c r="T380" s="630" t="n">
        <x:v>0</x:v>
      </x:c>
      <x:c r="U380" s="630">
        <x:v>0</x:v>
      </x:c>
      <x:c r="V380" s="630">
        <x:v>0</x:v>
      </x:c>
      <x:c r="W380" s="630">
        <x:v>0</x:v>
      </x:c>
      <x:c r="X380" s="630">
        <x:v>0</x:v>
      </x:c>
      <x:c r="Y380" s="630">
        <x:v>0</x:v>
      </x:c>
      <x:c r="Z380" s="630" t="n">
        <x:v>0</x:v>
      </x:c>
      <x:c r="AA380" s="628"/>
      <x:c r="AB380" s="628"/>
      <x:c r="AC380" s="628"/>
      <x:c r="AD380" s="628"/>
      <x:c r="AE380" s="628"/>
      <x:c r="AF380" s="628"/>
      <x:c r="AG380" s="628"/>
      <x:c r="AH380" s="628"/>
      <x:c r="AI380" s="628"/>
      <x:c r="AJ380" s="628"/>
      <x:c r="AK380" s="628"/>
      <x:c r="AL380" s="628"/>
      <x:c r="AM380" s="628"/>
      <x:c r="AN380" s="628"/>
      <x:c r="AO380" s="628"/>
      <x:c r="AP380" s="628"/>
      <x:c r="AQ380" s="628"/>
      <x:c r="AR380" s="628"/>
      <x:c r="AS380" s="628"/>
      <x:c r="AT380" s="628"/>
      <x:c r="AU380" s="628"/>
      <x:c r="AV380" s="628"/>
      <x:c r="AW380" s="628"/>
      <x:c r="AX380" s="628"/>
      <x:c r="AY380" s="628"/>
      <x:c r="AZ380" s="628"/>
      <x:c r="BA380" s="628"/>
      <x:c r="BB380" s="628"/>
      <x:c r="BC380" s="628"/>
      <x:c r="BD380" s="628"/>
      <x:c r="BE380" s="628"/>
      <x:c r="BF380" s="628"/>
      <x:c r="BG380" s="628"/>
      <x:c r="BH380" s="628"/>
      <x:c r="BI380" s="628"/>
      <x:c r="BJ380" s="628"/>
      <x:c r="BK380" s="628"/>
      <x:c r="BL380" s="628"/>
      <x:c r="BM380" s="628"/>
      <x:c r="BN380" s="624"/>
    </x:row>
    <x:row r="381" spans="1:66" x14ac:dyDescent="0.2">
      <x:c r="A381"/>
      <x:c r="B381"/>
      <x:c r="C381"/>
      <x:c r="D381"/>
      <x:c r="E381" s="625" t="inlineStr">
        <x:is>
          <x:t>Vlr Servicio</x:t>
        </x:is>
      </x:c>
      <x:c r="F381" s="627" t="n">
        <x:v>-159171.87</x:v>
      </x:c>
      <x:c r="G381" s="627" t="n">
        <x:v>-12887.74</x:v>
      </x:c>
      <x:c r="H381" s="627" t="n">
        <x:v>-5475.2</x:v>
      </x:c>
      <x:c r="I381" s="627" t="n">
        <x:v>-2390.97</x:v>
      </x:c>
      <x:c r="J381" s="627" t="n">
        <x:v>-29437.37</x:v>
      </x:c>
      <x:c r="K381" s="627" t="n">
        <x:v>-1198.82</x:v>
      </x:c>
      <x:c r="L381" s="627" t="n">
        <x:v>0</x:v>
      </x:c>
      <x:c r="M381" s="627" t="n">
        <x:v>-10515.66</x:v>
      </x:c>
      <x:c r="N381" s="627" t="n">
        <x:v>-13371.77</x:v>
      </x:c>
      <x:c r="O381" s="627" t="n">
        <x:v>-49098.82</x:v>
      </x:c>
      <x:c r="P381" s="627" t="n">
        <x:v>-32839.51</x:v>
      </x:c>
      <x:c r="Q381" s="627" t="n">
        <x:v>-1956.01</x:v>
      </x:c>
      <x:c r="R381" s="627" t="n">
        <x:v>0</x:v>
      </x:c>
      <x:c r="S381" s="627" t="n">
        <x:v>0</x:v>
      </x:c>
      <x:c r="T381" s="653" t="n">
        <x:v>0</x:v>
      </x:c>
      <x:c r="U381" s="653">
        <x:v>0</x:v>
      </x:c>
      <x:c r="V381" s="653">
        <x:v>0</x:v>
      </x:c>
      <x:c r="W381" s="653">
        <x:v>0</x:v>
      </x:c>
      <x:c r="X381" s="653">
        <x:v>0</x:v>
      </x:c>
      <x:c r="Y381" s="627">
        <x:v>0</x:v>
      </x:c>
      <x:c r="Z381" s="653" t="n">
        <x:v>0</x:v>
      </x:c>
      <x:c r="BN381" s="624"/>
    </x:row>
    <x:row r="382" spans="1:66" x14ac:dyDescent="0.2">
      <x:c r="A382"/>
      <x:c r="B382"/>
      <x:c r="C382"/>
      <x:c r="D382" s="25" t="inlineStr">
        <x:is>
          <x:t>O</x:t>
        </x:is>
      </x:c>
      <x:c r="E382" s="625" t="inlineStr">
        <x:is>
          <x:t>Total</x:t>
        </x:is>
      </x:c>
      <x:c r="F382" s="627" t="n">
        <x:v>-159171.87</x:v>
      </x:c>
      <x:c r="G382" s="627" t="n">
        <x:v>-12887.74</x:v>
      </x:c>
      <x:c r="H382" s="627" t="n">
        <x:v>-5475.2</x:v>
      </x:c>
      <x:c r="I382" s="627" t="n">
        <x:v>-2390.97</x:v>
      </x:c>
      <x:c r="J382" s="627" t="n">
        <x:v>-29437.37</x:v>
      </x:c>
      <x:c r="K382" s="627" t="n">
        <x:v>-1198.82</x:v>
      </x:c>
      <x:c r="L382" s="627" t="n">
        <x:v>0</x:v>
      </x:c>
      <x:c r="M382" s="627" t="n">
        <x:v>-10515.66</x:v>
      </x:c>
      <x:c r="N382" s="627" t="n">
        <x:v>-13371.77</x:v>
      </x:c>
      <x:c r="O382" s="627" t="n">
        <x:v>-49098.82</x:v>
      </x:c>
      <x:c r="P382" s="627" t="n">
        <x:v>-32839.51</x:v>
      </x:c>
      <x:c r="Q382" s="627" t="n">
        <x:v>-1956.01</x:v>
      </x:c>
      <x:c r="R382" s="627" t="n">
        <x:v>0</x:v>
      </x:c>
      <x:c r="S382" s="627" t="n">
        <x:v>0</x:v>
      </x:c>
      <x:c r="T382" s="653" t="n">
        <x:v>0</x:v>
      </x:c>
      <x:c r="U382" s="653">
        <x:v>0</x:v>
      </x:c>
      <x:c r="V382" s="653">
        <x:v>0</x:v>
      </x:c>
      <x:c r="W382" s="653">
        <x:v>0</x:v>
      </x:c>
      <x:c r="X382" s="653">
        <x:v>0</x:v>
      </x:c>
      <x:c r="Y382" s="627">
        <x:v>0</x:v>
      </x:c>
      <x:c r="Z382" s="653" t="n">
        <x:v>0</x:v>
      </x:c>
      <x:c r="BN382" s="624"/>
    </x:row>
    <x:row r="383" spans="1:66" x14ac:dyDescent="0.2">
      <x:c r="A383" s="631"/>
      <x:c r="B383" s="631"/>
      <x:c r="C383" s="632" t="inlineStr">
        <x:is>
          <x:t>OCCIDENTE</x:t>
        </x:is>
      </x:c>
      <x:c r="D383" s="632" t="inlineStr">
        <x:is>
          <x:t>Total</x:t>
        </x:is>
      </x:c>
      <x:c r="E383" s="631"/>
      <x:c r="F383" s="633" t="n">
        <x:v>-159171.87</x:v>
      </x:c>
      <x:c r="G383" s="633" t="n">
        <x:v>-12887.74</x:v>
      </x:c>
      <x:c r="H383" s="633" t="n">
        <x:v>-5475.2</x:v>
      </x:c>
      <x:c r="I383" s="633" t="n">
        <x:v>-2390.97</x:v>
      </x:c>
      <x:c r="J383" s="633" t="n">
        <x:v>-29437.37</x:v>
      </x:c>
      <x:c r="K383" s="633" t="n">
        <x:v>-1198.82</x:v>
      </x:c>
      <x:c r="L383" s="633" t="n">
        <x:v>0</x:v>
      </x:c>
      <x:c r="M383" s="633" t="n">
        <x:v>-10515.66</x:v>
      </x:c>
      <x:c r="N383" s="633" t="n">
        <x:v>-13371.77</x:v>
      </x:c>
      <x:c r="O383" s="633" t="n">
        <x:v>-49098.82</x:v>
      </x:c>
      <x:c r="P383" s="633" t="n">
        <x:v>-32839.51</x:v>
      </x:c>
      <x:c r="Q383" s="633" t="n">
        <x:v>-1956.01</x:v>
      </x:c>
      <x:c r="R383" s="633" t="n">
        <x:v>0</x:v>
      </x:c>
      <x:c r="S383" s="633" t="n">
        <x:v>0</x:v>
      </x:c>
      <x:c r="T383" s="633" t="n">
        <x:v>0</x:v>
      </x:c>
      <x:c r="U383" s="633">
        <x:v>0</x:v>
      </x:c>
      <x:c r="V383" s="633">
        <x:v>0</x:v>
      </x:c>
      <x:c r="W383" s="633">
        <x:v>0</x:v>
      </x:c>
      <x:c r="X383" s="633">
        <x:v>0</x:v>
      </x:c>
      <x:c r="Y383" s="633">
        <x:v>0</x:v>
      </x:c>
      <x:c r="Z383" s="633" t="n">
        <x:v>0</x:v>
      </x:c>
      <x:c r="AA383" s="631"/>
      <x:c r="AB383" s="631"/>
      <x:c r="AC383" s="631"/>
      <x:c r="AD383" s="631"/>
      <x:c r="AE383" s="631"/>
      <x:c r="AF383" s="631"/>
      <x:c r="AG383" s="631"/>
      <x:c r="AH383" s="631"/>
      <x:c r="AI383" s="631"/>
      <x:c r="AJ383" s="631"/>
      <x:c r="AK383" s="631"/>
      <x:c r="AL383" s="631"/>
      <x:c r="AM383" s="631"/>
      <x:c r="AN383" s="631"/>
      <x:c r="AO383" s="631"/>
      <x:c r="AP383" s="631"/>
      <x:c r="AQ383" s="631"/>
      <x:c r="AR383" s="631"/>
      <x:c r="AS383" s="631"/>
      <x:c r="AT383" s="631"/>
      <x:c r="AU383" s="631"/>
      <x:c r="AV383" s="631"/>
      <x:c r="AW383" s="631"/>
      <x:c r="AX383" s="631"/>
      <x:c r="AY383" s="631"/>
      <x:c r="AZ383" s="631"/>
      <x:c r="BA383" s="631"/>
      <x:c r="BB383" s="631"/>
      <x:c r="BC383" s="631"/>
      <x:c r="BD383" s="631"/>
      <x:c r="BE383" s="631"/>
      <x:c r="BF383" s="631"/>
      <x:c r="BG383" s="631"/>
      <x:c r="BH383" s="631"/>
      <x:c r="BI383" s="631"/>
      <x:c r="BJ383" s="631"/>
      <x:c r="BK383" s="631"/>
      <x:c r="BL383" s="631"/>
      <x:c r="BM383" s="631"/>
      <x:c r="BN383" s="624"/>
    </x:row>
    <x:row r="384" spans="1:66" x14ac:dyDescent="0.2">
      <x:c r="A384"/>
      <x:c r="B384" s="25" t="inlineStr">
        <x:is>
          <x:t>Mes</x:t>
        </x:is>
      </x:c>
      <x:c r="C384" s="25" t="inlineStr">
        <x:is>
          <x:t>Total</x:t>
        </x:is>
      </x:c>
      <x:c r="D384"/>
      <x:c r="E384" s="625"/>
      <x:c r="F384" s="627" t="n">
        <x:v>-439956.52</x:v>
      </x:c>
      <x:c r="G384" s="627" t="n">
        <x:v>-35444.41</x:v>
      </x:c>
      <x:c r="H384" s="627" t="n">
        <x:v>-15058.04</x:v>
      </x:c>
      <x:c r="I384" s="627" t="n">
        <x:v>-6575.73</x:v>
      </x:c>
      <x:c r="J384" s="627" t="n">
        <x:v>-81642.18</x:v>
      </x:c>
      <x:c r="K384" s="627" t="n">
        <x:v>-3324.84</x:v>
      </x:c>
      <x:c r="L384" s="627" t="n">
        <x:v>0</x:v>
      </x:c>
      <x:c r="M384" s="627" t="n">
        <x:v>-29164.3</x:v>
      </x:c>
      <x:c r="N384" s="627" t="n">
        <x:v>-37085.49</x:v>
      </x:c>
      <x:c r="O384" s="627" t="n">
        <x:v>-136171.69</x:v>
      </x:c>
      <x:c r="P384" s="627" t="n">
        <x:v>-90064.99</x:v>
      </x:c>
      <x:c r="Q384" s="627" t="n">
        <x:v>-5424.85</x:v>
      </x:c>
      <x:c r="R384" s="627" t="n">
        <x:v>0</x:v>
      </x:c>
      <x:c r="S384" s="627" t="n">
        <x:v>0</x:v>
      </x:c>
      <x:c r="T384" s="653" t="n">
        <x:v>0</x:v>
      </x:c>
      <x:c r="U384" s="653">
        <x:v>0</x:v>
      </x:c>
      <x:c r="V384" s="653">
        <x:v>0</x:v>
      </x:c>
      <x:c r="W384" s="653">
        <x:v>0</x:v>
      </x:c>
      <x:c r="X384" s="653">
        <x:v>0</x:v>
      </x:c>
      <x:c r="Y384" s="627">
        <x:v>0</x:v>
      </x:c>
      <x:c r="Z384" s="653" t="n">
        <x:v>0</x:v>
      </x:c>
      <x:c r="BN384" s="624"/>
    </x:row>
    <x:row r="385" spans="1:66" x14ac:dyDescent="0.2">
      <x:c r="A385" s="634" t="inlineStr">
        <x:is>
          <x:t>AFaseo</x:t>
        </x:is>
      </x:c>
      <x:c r="B385" s="634" t="inlineStr">
        <x:is>
          <x:t>Total</x:t>
        </x:is>
      </x:c>
      <x:c r="C385" s="634"/>
      <x:c r="D385" s="634"/>
      <x:c r="E385" s="634"/>
      <x:c r="F385" s="670" t="n">
        <x:v>-439956.52</x:v>
      </x:c>
      <x:c r="G385" s="670" t="n">
        <x:v>-35444.41</x:v>
      </x:c>
      <x:c r="H385" s="670" t="n">
        <x:v>-15058.04</x:v>
      </x:c>
      <x:c r="I385" s="670" t="n">
        <x:v>-6575.73</x:v>
      </x:c>
      <x:c r="J385" s="670" t="n">
        <x:v>-81642.18</x:v>
      </x:c>
      <x:c r="K385" s="670" t="n">
        <x:v>-3324.84</x:v>
      </x:c>
      <x:c r="L385" s="670" t="n">
        <x:v>0</x:v>
      </x:c>
      <x:c r="M385" s="670" t="n">
        <x:v>-29164.3</x:v>
      </x:c>
      <x:c r="N385" s="670" t="n">
        <x:v>-37085.49</x:v>
      </x:c>
      <x:c r="O385" s="670" t="n">
        <x:v>-136171.69</x:v>
      </x:c>
      <x:c r="P385" s="670" t="n">
        <x:v>-90064.99</x:v>
      </x:c>
      <x:c r="Q385" s="670" t="n">
        <x:v>-5424.85</x:v>
      </x:c>
      <x:c r="R385" s="670" t="n">
        <x:v>0</x:v>
      </x:c>
      <x:c r="S385" s="670" t="n">
        <x:v>0</x:v>
      </x:c>
      <x:c r="T385" s="670" t="n">
        <x:v>0</x:v>
      </x:c>
      <x:c r="U385" s="670">
        <x:v>0</x:v>
      </x:c>
      <x:c r="V385" s="670">
        <x:v>0</x:v>
      </x:c>
      <x:c r="W385" s="670">
        <x:v>0</x:v>
      </x:c>
      <x:c r="X385" s="670">
        <x:v>0</x:v>
      </x:c>
      <x:c r="Y385" s="670">
        <x:v>0</x:v>
      </x:c>
      <x:c r="Z385" s="670" t="n">
        <x:v>0</x:v>
      </x:c>
      <x:c r="AA385" s="634"/>
      <x:c r="AB385" s="634"/>
      <x:c r="AC385" s="634"/>
      <x:c r="AD385" s="634"/>
      <x:c r="AE385" s="634"/>
      <x:c r="AF385" s="634"/>
      <x:c r="AG385" s="634"/>
      <x:c r="AH385" s="634"/>
      <x:c r="AI385" s="634"/>
      <x:c r="AJ385" s="634"/>
      <x:c r="AK385" s="634"/>
      <x:c r="AL385" s="634"/>
      <x:c r="AM385" s="634"/>
      <x:c r="AN385" s="634"/>
      <x:c r="AO385" s="634"/>
      <x:c r="AP385" s="634"/>
      <x:c r="AQ385" s="634"/>
      <x:c r="AR385" s="634"/>
      <x:c r="AS385" s="634"/>
      <x:c r="AT385" s="634"/>
      <x:c r="AU385" s="634"/>
      <x:c r="AV385" s="634"/>
      <x:c r="AW385" s="634"/>
      <x:c r="AX385" s="634"/>
      <x:c r="AY385" s="634"/>
      <x:c r="AZ385" s="634"/>
      <x:c r="BA385" s="634"/>
      <x:c r="BB385" s="634"/>
      <x:c r="BC385" s="634"/>
      <x:c r="BD385" s="634"/>
      <x:c r="BE385" s="634"/>
      <x:c r="BF385" s="634"/>
      <x:c r="BG385" s="634"/>
      <x:c r="BH385" s="634"/>
      <x:c r="BI385" s="634"/>
      <x:c r="BJ385" s="634"/>
      <x:c r="BK385" s="634"/>
      <x:c r="BL385" s="634"/>
      <x:c r="BM385" s="634"/>
      <x:c r="BN385" s="624"/>
    </x:row>
    <x:row r="386" spans="1:66" x14ac:dyDescent="0.2">
      <x:c r="A386"/>
      <x:c r="B386"/>
      <x:c r="C386"/>
      <x:c r="D386"/>
      <x:c r="E386" s="625" t="inlineStr">
        <x:is>
          <x:t>Vlr Servicio</x:t>
        </x:is>
      </x:c>
      <x:c r="F386" s="627" t="n">
        <x:v>3729263.65</x:v>
      </x:c>
      <x:c r="G386" s="627" t="n">
        <x:v>250278.18</x:v>
      </x:c>
      <x:c r="H386" s="627" t="n">
        <x:v>140595.42</x:v>
      </x:c>
      <x:c r="I386" s="627" t="n">
        <x:v>76572.04</x:v>
      </x:c>
      <x:c r="J386" s="627" t="n">
        <x:v>773694.76</x:v>
      </x:c>
      <x:c r="K386" s="627" t="n">
        <x:v>25330.8</x:v>
      </x:c>
      <x:c r="L386" s="627" t="n">
        <x:v>0</x:v>
      </x:c>
      <x:c r="M386" s="627" t="n">
        <x:v>222200.58</x:v>
      </x:c>
      <x:c r="N386" s="627" t="n">
        <x:v>246950.82</x:v>
      </x:c>
      <x:c r="O386" s="627" t="n">
        <x:v>1283227.56</x:v>
      </x:c>
      <x:c r="P386" s="627" t="n">
        <x:v>667208.65</x:v>
      </x:c>
      <x:c r="Q386" s="627" t="n">
        <x:v>43201.16</x:v>
      </x:c>
      <x:c r="R386" s="627" t="n">
        <x:v>3.68</x:v>
      </x:c>
      <x:c r="S386" s="627" t="n">
        <x:v>0</x:v>
      </x:c>
      <x:c r="T386" s="653" t="n">
        <x:v>0</x:v>
      </x:c>
      <x:c r="U386" s="653">
        <x:v>0</x:v>
      </x:c>
      <x:c r="V386" s="653">
        <x:v>0</x:v>
      </x:c>
      <x:c r="W386" s="653">
        <x:v>0</x:v>
      </x:c>
      <x:c r="X386" s="653">
        <x:v>0</x:v>
      </x:c>
      <x:c r="Y386" s="627">
        <x:v>0</x:v>
      </x:c>
      <x:c r="Z386" s="653" t="n">
        <x:v>0</x:v>
      </x:c>
      <x:c r="BN386" s="624"/>
    </x:row>
    <x:row r="387" spans="1:66" x14ac:dyDescent="0.2">
      <x:c r="A387"/>
      <x:c r="B387"/>
      <x:c r="C387"/>
      <x:c r="D387"/>
      <x:c r="E387" s="625" t="inlineStr">
        <x:is>
          <x:t>Vlr Intereses</x:t>
        </x:is>
      </x:c>
      <x:c r="F387" s="627" t="n">
        <x:v>107021.42</x:v>
      </x:c>
      <x:c r="G387" s="627" t="n">
        <x:v>6984.57</x:v>
      </x:c>
      <x:c r="H387" s="627" t="n">
        <x:v>3522.1</x:v>
      </x:c>
      <x:c r="I387" s="627" t="n">
        <x:v>1746.51</x:v>
      </x:c>
      <x:c r="J387" s="627" t="n">
        <x:v>23447.8</x:v>
      </x:c>
      <x:c r="K387" s="627" t="n">
        <x:v>972.85</x:v>
      </x:c>
      <x:c r="L387" s="627" t="n">
        <x:v>0</x:v>
      </x:c>
      <x:c r="M387" s="627" t="n">
        <x:v>8540.62</x:v>
      </x:c>
      <x:c r="N387" s="627" t="n">
        <x:v>10602.78</x:v>
      </x:c>
      <x:c r="O387" s="627" t="n">
        <x:v>33967.61</x:v>
      </x:c>
      <x:c r="P387" s="627" t="n">
        <x:v>15735.59</x:v>
      </x:c>
      <x:c r="Q387" s="627" t="n">
        <x:v>1588.7</x:v>
      </x:c>
      <x:c r="R387" s="627" t="n">
        <x:v>1.03</x:v>
      </x:c>
      <x:c r="S387" s="627" t="n">
        <x:v>0</x:v>
      </x:c>
      <x:c r="T387" s="653" t="n">
        <x:v>0</x:v>
      </x:c>
      <x:c r="U387" s="653">
        <x:v>0</x:v>
      </x:c>
      <x:c r="V387" s="653">
        <x:v>0</x:v>
      </x:c>
      <x:c r="W387" s="653">
        <x:v>0</x:v>
      </x:c>
      <x:c r="X387" s="653">
        <x:v>0</x:v>
      </x:c>
      <x:c r="Y387" s="627">
        <x:v>0</x:v>
      </x:c>
      <x:c r="Z387" s="653" t="n">
        <x:v>-88.74</x:v>
      </x:c>
      <x:c r="BN387" s="624"/>
    </x:row>
    <x:row r="388" spans="1:66" x14ac:dyDescent="0.2">
      <x:c r="A388"/>
      <x:c r="B388"/>
      <x:c r="C388"/>
      <x:c r="D388" s="25" t="inlineStr">
        <x:is>
          <x:t>E</x:t>
        </x:is>
      </x:c>
      <x:c r="E388" s="625" t="inlineStr">
        <x:is>
          <x:t>Total</x:t>
        </x:is>
      </x:c>
      <x:c r="F388" s="627" t="n">
        <x:v>3836285.07</x:v>
      </x:c>
      <x:c r="G388" s="627" t="n">
        <x:v>257262.75</x:v>
      </x:c>
      <x:c r="H388" s="627" t="n">
        <x:v>144117.52</x:v>
      </x:c>
      <x:c r="I388" s="627" t="n">
        <x:v>78318.55</x:v>
      </x:c>
      <x:c r="J388" s="627" t="n">
        <x:v>797142.56</x:v>
      </x:c>
      <x:c r="K388" s="627" t="n">
        <x:v>26303.65</x:v>
      </x:c>
      <x:c r="L388" s="627" t="n">
        <x:v>0</x:v>
      </x:c>
      <x:c r="M388" s="627" t="n">
        <x:v>230741.2</x:v>
      </x:c>
      <x:c r="N388" s="627" t="n">
        <x:v>257553.6</x:v>
      </x:c>
      <x:c r="O388" s="627" t="n">
        <x:v>1317195.17</x:v>
      </x:c>
      <x:c r="P388" s="627" t="n">
        <x:v>682944.24</x:v>
      </x:c>
      <x:c r="Q388" s="627" t="n">
        <x:v>44789.86</x:v>
      </x:c>
      <x:c r="R388" s="627" t="n">
        <x:v>4.71</x:v>
      </x:c>
      <x:c r="S388" s="627" t="n">
        <x:v>0</x:v>
      </x:c>
      <x:c r="T388" s="653" t="n">
        <x:v>0</x:v>
      </x:c>
      <x:c r="U388" s="653">
        <x:v>0</x:v>
      </x:c>
      <x:c r="V388" s="653">
        <x:v>0</x:v>
      </x:c>
      <x:c r="W388" s="653">
        <x:v>0</x:v>
      </x:c>
      <x:c r="X388" s="653">
        <x:v>0</x:v>
      </x:c>
      <x:c r="Y388" s="627">
        <x:v>0</x:v>
      </x:c>
      <x:c r="Z388" s="653" t="n">
        <x:v>-88.74</x:v>
      </x:c>
      <x:c r="BN388" s="624"/>
    </x:row>
    <x:row r="389" spans="1:66" x14ac:dyDescent="0.2">
      <x:c r="A389" s="628"/>
      <x:c r="B389" s="628"/>
      <x:c r="C389" s="628" t="inlineStr">
        <x:is>
          <x:t>ENEL</x:t>
        </x:is>
      </x:c>
      <x:c r="D389" s="628" t="inlineStr">
        <x:is>
          <x:t>Total</x:t>
        </x:is>
      </x:c>
      <x:c r="E389" s="629"/>
      <x:c r="F389" s="630" t="n">
        <x:v>3836285.07</x:v>
      </x:c>
      <x:c r="G389" s="630" t="n">
        <x:v>257262.75</x:v>
      </x:c>
      <x:c r="H389" s="630" t="n">
        <x:v>144117.52</x:v>
      </x:c>
      <x:c r="I389" s="630" t="n">
        <x:v>78318.55</x:v>
      </x:c>
      <x:c r="J389" s="630" t="n">
        <x:v>797142.56</x:v>
      </x:c>
      <x:c r="K389" s="630" t="n">
        <x:v>26303.65</x:v>
      </x:c>
      <x:c r="L389" s="630" t="n">
        <x:v>0</x:v>
      </x:c>
      <x:c r="M389" s="630" t="n">
        <x:v>230741.2</x:v>
      </x:c>
      <x:c r="N389" s="630" t="n">
        <x:v>257553.6</x:v>
      </x:c>
      <x:c r="O389" s="630" t="n">
        <x:v>1317195.17</x:v>
      </x:c>
      <x:c r="P389" s="630" t="n">
        <x:v>682944.24</x:v>
      </x:c>
      <x:c r="Q389" s="630" t="n">
        <x:v>44789.86</x:v>
      </x:c>
      <x:c r="R389" s="630" t="n">
        <x:v>4.71</x:v>
      </x:c>
      <x:c r="S389" s="630" t="n">
        <x:v>0</x:v>
      </x:c>
      <x:c r="T389" s="630" t="n">
        <x:v>0</x:v>
      </x:c>
      <x:c r="U389" s="630">
        <x:v>0</x:v>
      </x:c>
      <x:c r="V389" s="630">
        <x:v>0</x:v>
      </x:c>
      <x:c r="W389" s="630">
        <x:v>0</x:v>
      </x:c>
      <x:c r="X389" s="630">
        <x:v>0</x:v>
      </x:c>
      <x:c r="Y389" s="630">
        <x:v>0</x:v>
      </x:c>
      <x:c r="Z389" s="630" t="n">
        <x:v>-88.74</x:v>
      </x:c>
      <x:c r="AA389" s="628"/>
      <x:c r="AB389" s="628"/>
      <x:c r="AC389" s="628"/>
      <x:c r="AD389" s="628"/>
      <x:c r="AE389" s="628"/>
      <x:c r="AF389" s="628"/>
      <x:c r="AG389" s="628"/>
      <x:c r="AH389" s="628"/>
      <x:c r="AI389" s="628"/>
      <x:c r="AJ389" s="628"/>
      <x:c r="AK389" s="628"/>
      <x:c r="AL389" s="628"/>
      <x:c r="AM389" s="628"/>
      <x:c r="AN389" s="628"/>
      <x:c r="AO389" s="628"/>
      <x:c r="AP389" s="628"/>
      <x:c r="AQ389" s="628"/>
      <x:c r="AR389" s="628"/>
      <x:c r="AS389" s="628"/>
      <x:c r="AT389" s="628"/>
      <x:c r="AU389" s="628"/>
      <x:c r="AV389" s="628"/>
      <x:c r="AW389" s="628"/>
      <x:c r="AX389" s="628"/>
      <x:c r="AY389" s="628"/>
      <x:c r="AZ389" s="628"/>
      <x:c r="BA389" s="628"/>
      <x:c r="BB389" s="628"/>
      <x:c r="BC389" s="628"/>
      <x:c r="BD389" s="628"/>
      <x:c r="BE389" s="628"/>
      <x:c r="BF389" s="628"/>
      <x:c r="BG389" s="628"/>
      <x:c r="BH389" s="628"/>
      <x:c r="BI389" s="628"/>
      <x:c r="BJ389" s="628"/>
      <x:c r="BK389" s="628"/>
      <x:c r="BL389" s="628"/>
      <x:c r="BM389" s="628"/>
      <x:c r="BN389" s="624"/>
    </x:row>
    <x:row r="390" spans="1:66" x14ac:dyDescent="0.2">
      <x:c r="A390"/>
      <x:c r="B390"/>
      <x:c r="C390"/>
      <x:c r="D390"/>
      <x:c r="E390" s="625" t="inlineStr">
        <x:is>
          <x:t>Vlr Servicio</x:t>
        </x:is>
      </x:c>
      <x:c r="F390" s="627" t="n">
        <x:v>41900</x:v>
      </x:c>
      <x:c r="G390" s="627" t="n">
        <x:v>2593.47</x:v>
      </x:c>
      <x:c r="H390" s="627" t="n">
        <x:v>1464.28</x:v>
      </x:c>
      <x:c r="I390" s="627" t="n">
        <x:v>768.54</x:v>
      </x:c>
      <x:c r="J390" s="627" t="n">
        <x:v>8475</x:v>
      </x:c>
      <x:c r="K390" s="627" t="n">
        <x:v>336.82</x:v>
      </x:c>
      <x:c r="L390" s="627" t="n">
        <x:v>0</x:v>
      </x:c>
      <x:c r="M390" s="627" t="n">
        <x:v>2954.55</x:v>
      </x:c>
      <x:c r="N390" s="627" t="n">
        <x:v>2903.79</x:v>
      </x:c>
      <x:c r="O390" s="627" t="n">
        <x:v>14989.18</x:v>
      </x:c>
      <x:c r="P390" s="627" t="n">
        <x:v>6864.83</x:v>
      </x:c>
      <x:c r="Q390" s="627" t="n">
        <x:v>549.54</x:v>
      </x:c>
      <x:c r="R390" s="627" t="n">
        <x:v>0</x:v>
      </x:c>
      <x:c r="S390" s="627" t="n">
        <x:v>0</x:v>
      </x:c>
      <x:c r="T390" s="653" t="n">
        <x:v>0</x:v>
      </x:c>
      <x:c r="U390" s="653">
        <x:v>0</x:v>
      </x:c>
      <x:c r="V390" s="653">
        <x:v>0</x:v>
      </x:c>
      <x:c r="W390" s="653">
        <x:v>0</x:v>
      </x:c>
      <x:c r="X390" s="653">
        <x:v>0</x:v>
      </x:c>
      <x:c r="Y390" s="627">
        <x:v>0</x:v>
      </x:c>
      <x:c r="Z390" s="653" t="n">
        <x:v>0</x:v>
      </x:c>
      <x:c r="BN390" s="624"/>
    </x:row>
    <x:row r="391" spans="1:66" x14ac:dyDescent="0.2">
      <x:c r="A391"/>
      <x:c r="B391"/>
      <x:c r="C391"/>
      <x:c r="D391" s="25" t="inlineStr">
        <x:is>
          <x:t>1</x:t>
        </x:is>
      </x:c>
      <x:c r="E391" s="625" t="inlineStr">
        <x:is>
          <x:t>Total</x:t>
        </x:is>
      </x:c>
      <x:c r="F391" s="627" t="n">
        <x:v>41900</x:v>
      </x:c>
      <x:c r="G391" s="627" t="n">
        <x:v>2593.47</x:v>
      </x:c>
      <x:c r="H391" s="627" t="n">
        <x:v>1464.28</x:v>
      </x:c>
      <x:c r="I391" s="627" t="n">
        <x:v>768.54</x:v>
      </x:c>
      <x:c r="J391" s="627" t="n">
        <x:v>8475</x:v>
      </x:c>
      <x:c r="K391" s="627" t="n">
        <x:v>336.82</x:v>
      </x:c>
      <x:c r="L391" s="627" t="n">
        <x:v>0</x:v>
      </x:c>
      <x:c r="M391" s="627" t="n">
        <x:v>2954.55</x:v>
      </x:c>
      <x:c r="N391" s="627" t="n">
        <x:v>2903.79</x:v>
      </x:c>
      <x:c r="O391" s="627" t="n">
        <x:v>14989.18</x:v>
      </x:c>
      <x:c r="P391" s="627" t="n">
        <x:v>6864.83</x:v>
      </x:c>
      <x:c r="Q391" s="627" t="n">
        <x:v>549.54</x:v>
      </x:c>
      <x:c r="R391" s="627" t="n">
        <x:v>0</x:v>
      </x:c>
      <x:c r="S391" s="627" t="n">
        <x:v>0</x:v>
      </x:c>
      <x:c r="T391" s="653" t="n">
        <x:v>0</x:v>
      </x:c>
      <x:c r="U391" s="653">
        <x:v>0</x:v>
      </x:c>
      <x:c r="V391" s="653">
        <x:v>0</x:v>
      </x:c>
      <x:c r="W391" s="653">
        <x:v>0</x:v>
      </x:c>
      <x:c r="X391" s="653">
        <x:v>0</x:v>
      </x:c>
      <x:c r="Y391" s="627">
        <x:v>0</x:v>
      </x:c>
      <x:c r="Z391" s="653" t="n">
        <x:v>0</x:v>
      </x:c>
      <x:c r="BN391" s="624"/>
    </x:row>
    <x:row r="392" spans="1:66" x14ac:dyDescent="0.2">
      <x:c r="A392" s="667"/>
      <x:c r="B392" s="667"/>
      <x:c r="C392" s="647" t="inlineStr">
        <x:is>
          <x:t>NUEVO ESQUEMA</x:t>
        </x:is>
      </x:c>
      <x:c r="D392" s="647" t="inlineStr">
        <x:is>
          <x:t>Total</x:t>
        </x:is>
      </x:c>
      <x:c r="E392" s="667"/>
      <x:c r="F392" s="648" t="n">
        <x:v>41900</x:v>
      </x:c>
      <x:c r="G392" s="648" t="n">
        <x:v>2593.47</x:v>
      </x:c>
      <x:c r="H392" s="648" t="n">
        <x:v>1464.28</x:v>
      </x:c>
      <x:c r="I392" s="648" t="n">
        <x:v>768.54</x:v>
      </x:c>
      <x:c r="J392" s="648" t="n">
        <x:v>8475</x:v>
      </x:c>
      <x:c r="K392" s="648" t="n">
        <x:v>336.82</x:v>
      </x:c>
      <x:c r="L392" s="648" t="n">
        <x:v>0</x:v>
      </x:c>
      <x:c r="M392" s="648" t="n">
        <x:v>2954.55</x:v>
      </x:c>
      <x:c r="N392" s="648" t="n">
        <x:v>2903.79</x:v>
      </x:c>
      <x:c r="O392" s="648" t="n">
        <x:v>14989.18</x:v>
      </x:c>
      <x:c r="P392" s="648" t="n">
        <x:v>6864.83</x:v>
      </x:c>
      <x:c r="Q392" s="648" t="n">
        <x:v>549.54</x:v>
      </x:c>
      <x:c r="R392" s="648" t="n">
        <x:v>0</x:v>
      </x:c>
      <x:c r="S392" s="648" t="n">
        <x:v>0</x:v>
      </x:c>
      <x:c r="T392" s="648" t="n">
        <x:v>0</x:v>
      </x:c>
      <x:c r="U392" s="648">
        <x:v>0</x:v>
      </x:c>
      <x:c r="V392" s="648">
        <x:v>0</x:v>
      </x:c>
      <x:c r="W392" s="648">
        <x:v>0</x:v>
      </x:c>
      <x:c r="X392" s="672">
        <x:v>0</x:v>
      </x:c>
      <x:c r="Y392" s="672">
        <x:v>0</x:v>
      </x:c>
      <x:c r="Z392" s="672" t="n">
        <x:v>0</x:v>
      </x:c>
      <x:c r="AA392" s="667"/>
      <x:c r="AB392" s="667"/>
      <x:c r="AC392" s="667"/>
      <x:c r="AD392" s="667"/>
      <x:c r="AE392" s="667"/>
      <x:c r="AF392" s="667"/>
      <x:c r="AG392" s="667"/>
      <x:c r="AH392" s="667"/>
      <x:c r="AI392" s="667"/>
      <x:c r="AJ392" s="667"/>
      <x:c r="AK392" s="667"/>
      <x:c r="AL392" s="667"/>
      <x:c r="AM392" s="667"/>
      <x:c r="AN392" s="667"/>
      <x:c r="AO392" s="667"/>
      <x:c r="AP392" s="667"/>
      <x:c r="AQ392" s="667"/>
      <x:c r="AR392" s="667"/>
      <x:c r="AS392" s="667"/>
      <x:c r="AT392" s="667"/>
      <x:c r="AU392" s="667"/>
      <x:c r="AV392" s="667"/>
      <x:c r="AW392" s="667"/>
      <x:c r="AX392" s="667"/>
      <x:c r="AY392" s="667"/>
      <x:c r="AZ392" s="667"/>
      <x:c r="BA392" s="667"/>
      <x:c r="BB392" s="667"/>
      <x:c r="BC392" s="667"/>
      <x:c r="BD392" s="667"/>
      <x:c r="BE392" s="667"/>
      <x:c r="BF392" s="667"/>
      <x:c r="BG392" s="667"/>
      <x:c r="BH392" s="667"/>
      <x:c r="BI392" s="667"/>
      <x:c r="BJ392" s="667"/>
      <x:c r="BK392" s="667"/>
      <x:c r="BL392" s="667"/>
      <x:c r="BM392" s="667"/>
      <x:c r="BN392" s="624"/>
    </x:row>
    <x:row r="393" spans="1:66" x14ac:dyDescent="0.2">
      <x:c r="A393"/>
      <x:c r="B393"/>
      <x:c r="C393"/>
      <x:c r="D393"/>
      <x:c r="E393" s="625" t="inlineStr">
        <x:is>
          <x:t>Vlr Servicio</x:t>
        </x:is>
      </x:c>
      <x:c r="F393" s="627" t="n">
        <x:v>724954.55</x:v>
      </x:c>
      <x:c r="G393" s="627" t="n">
        <x:v>51580.59</x:v>
      </x:c>
      <x:c r="H393" s="627" t="n">
        <x:v>29162.67</x:v>
      </x:c>
      <x:c r="I393" s="627" t="n">
        <x:v>15465.11</x:v>
      </x:c>
      <x:c r="J393" s="627" t="n">
        <x:v>165856.16</x:v>
      </x:c>
      <x:c r="K393" s="627" t="n">
        <x:v>4891.9</x:v>
      </x:c>
      <x:c r="L393" s="627" t="n">
        <x:v>0</x:v>
      </x:c>
      <x:c r="M393" s="627" t="n">
        <x:v>46423.44</x:v>
      </x:c>
      <x:c r="N393" s="627" t="n">
        <x:v>49444.99</x:v>
      </x:c>
      <x:c r="O393" s="627" t="n">
        <x:v>213489.65</x:v>
      </x:c>
      <x:c r="P393" s="627" t="n">
        <x:v>140652.25</x:v>
      </x:c>
      <x:c r="Q393" s="627" t="n">
        <x:v>7981.52</x:v>
      </x:c>
      <x:c r="R393" s="627" t="n">
        <x:v>6.27</x:v>
      </x:c>
      <x:c r="S393" s="627" t="n">
        <x:v>0</x:v>
      </x:c>
      <x:c r="T393" s="653" t="n">
        <x:v>0</x:v>
      </x:c>
      <x:c r="U393" s="653">
        <x:v>0</x:v>
      </x:c>
      <x:c r="V393" s="653">
        <x:v>0</x:v>
      </x:c>
      <x:c r="W393" s="653">
        <x:v>0</x:v>
      </x:c>
      <x:c r="X393" s="653">
        <x:v>0</x:v>
      </x:c>
      <x:c r="Y393" s="627">
        <x:v>0</x:v>
      </x:c>
      <x:c r="Z393" s="653" t="n">
        <x:v>0</x:v>
      </x:c>
      <x:c r="BN393" s="624"/>
    </x:row>
    <x:row r="394" spans="1:66" x14ac:dyDescent="0.2">
      <x:c r="A394"/>
      <x:c r="B394"/>
      <x:c r="C394"/>
      <x:c r="D394"/>
      <x:c r="E394" s="625" t="inlineStr">
        <x:is>
          <x:t>Vlr Intereses</x:t>
        </x:is>
      </x:c>
      <x:c r="F394" s="627" t="n">
        <x:v>-2564.46</x:v>
      </x:c>
      <x:c r="G394" s="627" t="n">
        <x:v>1.25</x:v>
      </x:c>
      <x:c r="H394" s="627" t="n">
        <x:v>0.72</x:v>
      </x:c>
      <x:c r="I394" s="627" t="n">
        <x:v>0.37</x:v>
      </x:c>
      <x:c r="J394" s="627" t="n">
        <x:v>2.22</x:v>
      </x:c>
      <x:c r="K394" s="627" t="n">
        <x:v>0.15</x:v>
      </x:c>
      <x:c r="L394" s="627" t="n">
        <x:v>0</x:v>
      </x:c>
      <x:c r="M394" s="627" t="n">
        <x:v>1.27</x:v>
      </x:c>
      <x:c r="N394" s="627" t="n">
        <x:v>1.25</x:v>
      </x:c>
      <x:c r="O394" s="627" t="n">
        <x:v>-2575.25</x:v>
      </x:c>
      <x:c r="P394" s="627" t="n">
        <x:v>3.32</x:v>
      </x:c>
      <x:c r="Q394" s="627" t="n">
        <x:v>0.24</x:v>
      </x:c>
      <x:c r="R394" s="627" t="n">
        <x:v>0</x:v>
      </x:c>
      <x:c r="S394" s="627" t="n">
        <x:v>0</x:v>
      </x:c>
      <x:c r="T394" s="653" t="n">
        <x:v>0</x:v>
      </x:c>
      <x:c r="U394" s="653">
        <x:v>0</x:v>
      </x:c>
      <x:c r="V394" s="653">
        <x:v>0</x:v>
      </x:c>
      <x:c r="W394" s="653">
        <x:v>0</x:v>
      </x:c>
      <x:c r="X394" s="653">
        <x:v>0</x:v>
      </x:c>
      <x:c r="Y394" s="627">
        <x:v>0</x:v>
      </x:c>
      <x:c r="Z394" s="653" t="n">
        <x:v>0</x:v>
      </x:c>
      <x:c r="BN394" s="624"/>
    </x:row>
    <x:row r="395" spans="1:66" x14ac:dyDescent="0.2">
      <x:c r="A395"/>
      <x:c r="B395"/>
      <x:c r="C395"/>
      <x:c r="D395" s="25" t="inlineStr">
        <x:is>
          <x:t>O</x:t>
        </x:is>
      </x:c>
      <x:c r="E395" s="625" t="inlineStr">
        <x:is>
          <x:t>Total</x:t>
        </x:is>
      </x:c>
      <x:c r="F395" s="627" t="n">
        <x:v>722390.09</x:v>
      </x:c>
      <x:c r="G395" s="627" t="n">
        <x:v>51581.84</x:v>
      </x:c>
      <x:c r="H395" s="627" t="n">
        <x:v>29163.39</x:v>
      </x:c>
      <x:c r="I395" s="627" t="n">
        <x:v>15465.48</x:v>
      </x:c>
      <x:c r="J395" s="627" t="n">
        <x:v>165858.38</x:v>
      </x:c>
      <x:c r="K395" s="627" t="n">
        <x:v>4892.05</x:v>
      </x:c>
      <x:c r="L395" s="627" t="n">
        <x:v>0</x:v>
      </x:c>
      <x:c r="M395" s="627" t="n">
        <x:v>46424.71</x:v>
      </x:c>
      <x:c r="N395" s="627" t="n">
        <x:v>49446.24</x:v>
      </x:c>
      <x:c r="O395" s="627" t="n">
        <x:v>210914.4</x:v>
      </x:c>
      <x:c r="P395" s="627" t="n">
        <x:v>140655.57</x:v>
      </x:c>
      <x:c r="Q395" s="627" t="n">
        <x:v>7981.76</x:v>
      </x:c>
      <x:c r="R395" s="627" t="n">
        <x:v>6.27</x:v>
      </x:c>
      <x:c r="S395" s="627" t="n">
        <x:v>0</x:v>
      </x:c>
      <x:c r="T395" s="653" t="n">
        <x:v>0</x:v>
      </x:c>
      <x:c r="U395" s="653">
        <x:v>0</x:v>
      </x:c>
      <x:c r="V395" s="653">
        <x:v>0</x:v>
      </x:c>
      <x:c r="W395" s="653">
        <x:v>0</x:v>
      </x:c>
      <x:c r="X395" s="653">
        <x:v>0</x:v>
      </x:c>
      <x:c r="Y395" s="627">
        <x:v>0</x:v>
      </x:c>
      <x:c r="Z395" s="653" t="n">
        <x:v>0</x:v>
      </x:c>
      <x:c r="BN395" s="624"/>
    </x:row>
    <x:row r="396" spans="1:66" x14ac:dyDescent="0.2">
      <x:c r="A396" s="631"/>
      <x:c r="B396" s="631"/>
      <x:c r="C396" s="632" t="inlineStr">
        <x:is>
          <x:t>OCCIDENTE</x:t>
        </x:is>
      </x:c>
      <x:c r="D396" s="632" t="inlineStr">
        <x:is>
          <x:t>Total</x:t>
        </x:is>
      </x:c>
      <x:c r="E396" s="631"/>
      <x:c r="F396" s="633" t="n">
        <x:v>722390.09</x:v>
      </x:c>
      <x:c r="G396" s="633" t="n">
        <x:v>51581.84</x:v>
      </x:c>
      <x:c r="H396" s="633" t="n">
        <x:v>29163.39</x:v>
      </x:c>
      <x:c r="I396" s="633" t="n">
        <x:v>15465.48</x:v>
      </x:c>
      <x:c r="J396" s="633" t="n">
        <x:v>165858.38</x:v>
      </x:c>
      <x:c r="K396" s="633" t="n">
        <x:v>4892.05</x:v>
      </x:c>
      <x:c r="L396" s="633" t="n">
        <x:v>0</x:v>
      </x:c>
      <x:c r="M396" s="633" t="n">
        <x:v>46424.71</x:v>
      </x:c>
      <x:c r="N396" s="633" t="n">
        <x:v>49446.24</x:v>
      </x:c>
      <x:c r="O396" s="633" t="n">
        <x:v>210914.4</x:v>
      </x:c>
      <x:c r="P396" s="633" t="n">
        <x:v>140655.57</x:v>
      </x:c>
      <x:c r="Q396" s="633" t="n">
        <x:v>7981.76</x:v>
      </x:c>
      <x:c r="R396" s="633" t="n">
        <x:v>6.27</x:v>
      </x:c>
      <x:c r="S396" s="633" t="n">
        <x:v>0</x:v>
      </x:c>
      <x:c r="T396" s="633" t="n">
        <x:v>0</x:v>
      </x:c>
      <x:c r="U396" s="633">
        <x:v>0</x:v>
      </x:c>
      <x:c r="V396" s="633">
        <x:v>0</x:v>
      </x:c>
      <x:c r="W396" s="633">
        <x:v>0</x:v>
      </x:c>
      <x:c r="X396" s="633">
        <x:v>0</x:v>
      </x:c>
      <x:c r="Y396" s="633">
        <x:v>0</x:v>
      </x:c>
      <x:c r="Z396" s="633" t="n">
        <x:v>0</x:v>
      </x:c>
      <x:c r="AA396" s="631"/>
      <x:c r="AB396" s="631"/>
      <x:c r="AC396" s="631"/>
      <x:c r="AD396" s="631"/>
      <x:c r="AE396" s="631"/>
      <x:c r="AF396" s="631"/>
      <x:c r="AG396" s="631"/>
      <x:c r="AH396" s="631"/>
      <x:c r="AI396" s="631"/>
      <x:c r="AJ396" s="631"/>
      <x:c r="AK396" s="631"/>
      <x:c r="AL396" s="631"/>
      <x:c r="AM396" s="631"/>
      <x:c r="AN396" s="631"/>
      <x:c r="AO396" s="631"/>
      <x:c r="AP396" s="631"/>
      <x:c r="AQ396" s="631"/>
      <x:c r="AR396" s="631"/>
      <x:c r="AS396" s="631"/>
      <x:c r="AT396" s="631"/>
      <x:c r="AU396" s="631"/>
      <x:c r="AV396" s="631"/>
      <x:c r="AW396" s="631"/>
      <x:c r="AX396" s="631"/>
      <x:c r="AY396" s="631"/>
      <x:c r="AZ396" s="631"/>
      <x:c r="BA396" s="631"/>
      <x:c r="BB396" s="631"/>
      <x:c r="BC396" s="631"/>
      <x:c r="BD396" s="631"/>
      <x:c r="BE396" s="631"/>
      <x:c r="BF396" s="631"/>
      <x:c r="BG396" s="631"/>
      <x:c r="BH396" s="631"/>
      <x:c r="BI396" s="631"/>
      <x:c r="BJ396" s="631"/>
      <x:c r="BK396" s="631"/>
      <x:c r="BL396" s="631"/>
      <x:c r="BM396" s="631"/>
      <x:c r="BN396" s="624"/>
    </x:row>
    <x:row r="397" spans="1:66" x14ac:dyDescent="0.2">
      <x:c r="A397" s="635"/>
      <x:c r="B397" s="635" t="inlineStr">
        <x:is>
          <x:t>Aplicacion nuevos x reversion</x:t>
        </x:is>
      </x:c>
      <x:c r="C397" s="635" t="inlineStr">
        <x:is>
          <x:t>Total</x:t>
        </x:is>
      </x:c>
      <x:c r="D397" s="635"/>
      <x:c r="E397" s="636"/>
      <x:c r="F397" s="637" t="n">
        <x:v>4600575.16</x:v>
      </x:c>
      <x:c r="G397" s="637" t="n">
        <x:v>311438.06</x:v>
      </x:c>
      <x:c r="H397" s="637" t="n">
        <x:v>174745.19</x:v>
      </x:c>
      <x:c r="I397" s="637" t="n">
        <x:v>94552.57</x:v>
      </x:c>
      <x:c r="J397" s="637" t="n">
        <x:v>971475.94</x:v>
      </x:c>
      <x:c r="K397" s="637" t="n">
        <x:v>31532.52</x:v>
      </x:c>
      <x:c r="L397" s="637" t="n">
        <x:v>0</x:v>
      </x:c>
      <x:c r="M397" s="637" t="n">
        <x:v>280120.46</x:v>
      </x:c>
      <x:c r="N397" s="637" t="n">
        <x:v>309903.63</x:v>
      </x:c>
      <x:c r="O397" s="637" t="n">
        <x:v>1543098.75</x:v>
      </x:c>
      <x:c r="P397" s="637" t="n">
        <x:v>830464.64</x:v>
      </x:c>
      <x:c r="Q397" s="637" t="n">
        <x:v>53321.16</x:v>
      </x:c>
      <x:c r="R397" s="637" t="n">
        <x:v>10.98</x:v>
      </x:c>
      <x:c r="S397" s="637" t="n">
        <x:v>0</x:v>
      </x:c>
      <x:c r="T397" s="637" t="n">
        <x:v>0</x:v>
      </x:c>
      <x:c r="U397" s="637">
        <x:v>0</x:v>
      </x:c>
      <x:c r="V397" s="637">
        <x:v>0</x:v>
      </x:c>
      <x:c r="W397" s="637">
        <x:v>0</x:v>
      </x:c>
      <x:c r="X397" s="637">
        <x:v>0</x:v>
      </x:c>
      <x:c r="Y397" s="637">
        <x:v>0</x:v>
      </x:c>
      <x:c r="Z397" s="637" t="n">
        <x:v>-88.74</x:v>
      </x:c>
      <x:c r="AA397" s="635"/>
      <x:c r="AB397" s="635"/>
      <x:c r="AC397" s="635"/>
      <x:c r="AD397" s="635"/>
      <x:c r="AE397" s="635"/>
      <x:c r="AF397" s="635"/>
      <x:c r="AG397" s="635"/>
      <x:c r="AH397" s="635"/>
      <x:c r="AI397" s="635"/>
      <x:c r="AJ397" s="635"/>
      <x:c r="AK397" s="635"/>
      <x:c r="AL397" s="635"/>
      <x:c r="AM397" s="635"/>
      <x:c r="AN397" s="635"/>
      <x:c r="AO397" s="635"/>
      <x:c r="AP397" s="635"/>
      <x:c r="AQ397" s="635"/>
      <x:c r="AR397" s="635"/>
      <x:c r="AS397" s="635"/>
      <x:c r="AT397" s="635"/>
      <x:c r="AU397" s="635"/>
      <x:c r="AV397" s="635"/>
      <x:c r="AW397" s="635"/>
      <x:c r="AX397" s="635"/>
      <x:c r="AY397" s="635"/>
      <x:c r="AZ397" s="635"/>
      <x:c r="BA397" s="635"/>
      <x:c r="BB397" s="635"/>
      <x:c r="BC397" s="635"/>
      <x:c r="BD397" s="635"/>
      <x:c r="BE397" s="635"/>
      <x:c r="BF397" s="635"/>
      <x:c r="BG397" s="635"/>
      <x:c r="BH397" s="635"/>
      <x:c r="BI397" s="635"/>
      <x:c r="BJ397" s="635"/>
      <x:c r="BK397" s="635"/>
      <x:c r="BL397" s="635"/>
      <x:c r="BM397" s="635"/>
      <x:c r="BN397" s="624"/>
    </x:row>
    <x:row r="398" spans="1:66" x14ac:dyDescent="0.2">
      <x:c r="A398"/>
      <x:c r="B398"/>
      <x:c r="C398"/>
      <x:c r="D398"/>
      <x:c r="E398" s="625" t="inlineStr">
        <x:is>
          <x:t>Vlr Servicio</x:t>
        </x:is>
      </x:c>
      <x:c r="F398" s="627" t="n">
        <x:v>7194058961.66</x:v>
      </x:c>
      <x:c r="G398" s="627" t="n">
        <x:v>402608765.9</x:v>
      </x:c>
      <x:c r="H398" s="627" t="n">
        <x:v>225742966.46</x:v>
      </x:c>
      <x:c r="I398" s="627" t="n">
        <x:v>118610711.24</x:v>
      </x:c>
      <x:c r="J398" s="627" t="n">
        <x:v>1517323419.89</x:v>
      </x:c>
      <x:c r="K398" s="627" t="n">
        <x:v>59618340.23</x:v>
      </x:c>
      <x:c r="L398" s="627" t="n">
        <x:v>19205690.58</x:v>
      </x:c>
      <x:c r="M398" s="627" t="n">
        <x:v>521948830.89</x:v>
      </x:c>
      <x:c r="N398" s="627" t="n">
        <x:v>515744857.09</x:v>
      </x:c>
      <x:c r="O398" s="627" t="n">
        <x:v>2650384910.21</x:v>
      </x:c>
      <x:c r="P398" s="627" t="n">
        <x:v>1065418621.53</x:v>
      </x:c>
      <x:c r="Q398" s="627" t="n">
        <x:v>97483095.07</x:v>
      </x:c>
      <x:c r="R398" s="627" t="n">
        <x:v>-31247.43</x:v>
      </x:c>
      <x:c r="S398" s="627" t="n">
        <x:v>0</x:v>
      </x:c>
      <x:c r="T398" s="653" t="n">
        <x:v>0</x:v>
      </x:c>
      <x:c r="U398" s="653">
        <x:v>0</x:v>
      </x:c>
      <x:c r="V398" s="653">
        <x:v>0</x:v>
      </x:c>
      <x:c r="W398" s="653">
        <x:v>0</x:v>
      </x:c>
      <x:c r="X398" s="653">
        <x:v>0</x:v>
      </x:c>
      <x:c r="Y398" s="627">
        <x:v>0</x:v>
      </x:c>
      <x:c r="Z398" s="653" t="n">
        <x:v>0</x:v>
      </x:c>
      <x:c r="BN398" s="624"/>
    </x:row>
    <x:row r="399" spans="1:66" x14ac:dyDescent="0.2">
      <x:c r="A399"/>
      <x:c r="B399"/>
      <x:c r="C399"/>
      <x:c r="D399"/>
      <x:c r="E399" s="625" t="inlineStr">
        <x:is>
          <x:t>Vlr Intereses</x:t>
        </x:is>
      </x:c>
      <x:c r="F399" s="627" t="n">
        <x:v>44029984.26</x:v>
      </x:c>
      <x:c r="G399" s="627" t="n">
        <x:v>5558443.26</x:v>
      </x:c>
      <x:c r="H399" s="627" t="n">
        <x:v>2499011.47</x:v>
      </x:c>
      <x:c r="I399" s="627" t="n">
        <x:v>975568.45</x:v>
      </x:c>
      <x:c r="J399" s="627" t="n">
        <x:v>7323304.4</x:v>
      </x:c>
      <x:c r="K399" s="627" t="n">
        <x:v>281514.84</x:v>
      </x:c>
      <x:c r="L399" s="627" t="n">
        <x:v>3196.95</x:v>
      </x:c>
      <x:c r="M399" s="627" t="n">
        <x:v>2467651.8</x:v>
      </x:c>
      <x:c r="N399" s="627" t="n">
        <x:v>2968352.29</x:v>
      </x:c>
      <x:c r="O399" s="627" t="n">
        <x:v>6873310.4</x:v>
      </x:c>
      <x:c r="P399" s="627" t="n">
        <x:v>14605987.13</x:v>
      </x:c>
      <x:c r="Q399" s="627" t="n">
        <x:v>459571.29</x:v>
      </x:c>
      <x:c r="R399" s="627" t="n">
        <x:v>14431.48</x:v>
      </x:c>
      <x:c r="S399" s="627" t="n">
        <x:v>0.02</x:v>
      </x:c>
      <x:c r="T399" s="653" t="n">
        <x:v>4.06</x:v>
      </x:c>
      <x:c r="U399" s="653">
        <x:v>0</x:v>
      </x:c>
      <x:c r="V399" s="653">
        <x:v>0</x:v>
      </x:c>
      <x:c r="W399" s="653">
        <x:v>0</x:v>
      </x:c>
      <x:c r="X399" s="653">
        <x:v>0</x:v>
      </x:c>
      <x:c r="Y399" s="627">
        <x:v>0</x:v>
      </x:c>
      <x:c r="Z399" s="653" t="n">
        <x:v>-363.58</x:v>
      </x:c>
      <x:c r="BN399" s="624"/>
    </x:row>
    <x:row r="400" spans="1:66" x14ac:dyDescent="0.2">
      <x:c r="A400"/>
      <x:c r="B400"/>
      <x:c r="C400"/>
      <x:c r="D400" s="25" t="inlineStr">
        <x:is>
          <x:t>E</x:t>
        </x:is>
      </x:c>
      <x:c r="E400" s="625" t="inlineStr">
        <x:is>
          <x:t>Total</x:t>
        </x:is>
      </x:c>
      <x:c r="F400" s="627" t="n">
        <x:v>7238088945.92</x:v>
      </x:c>
      <x:c r="G400" s="627" t="n">
        <x:v>408167209.16</x:v>
      </x:c>
      <x:c r="H400" s="627" t="n">
        <x:v>228241977.93</x:v>
      </x:c>
      <x:c r="I400" s="627" t="n">
        <x:v>119586279.69</x:v>
      </x:c>
      <x:c r="J400" s="627" t="n">
        <x:v>1524646724.29</x:v>
      </x:c>
      <x:c r="K400" s="627" t="n">
        <x:v>59899855.07</x:v>
      </x:c>
      <x:c r="L400" s="627" t="n">
        <x:v>19208887.53</x:v>
      </x:c>
      <x:c r="M400" s="627" t="n">
        <x:v>524416482.69</x:v>
      </x:c>
      <x:c r="N400" s="627" t="n">
        <x:v>518713209.38</x:v>
      </x:c>
      <x:c r="O400" s="627" t="n">
        <x:v>2657258220.61</x:v>
      </x:c>
      <x:c r="P400" s="627" t="n">
        <x:v>1080024608.66</x:v>
      </x:c>
      <x:c r="Q400" s="627" t="n">
        <x:v>97942666.36</x:v>
      </x:c>
      <x:c r="R400" s="627" t="n">
        <x:v>-16815.95</x:v>
      </x:c>
      <x:c r="S400" s="627" t="n">
        <x:v>0.02</x:v>
      </x:c>
      <x:c r="T400" s="653" t="n">
        <x:v>4.06</x:v>
      </x:c>
      <x:c r="U400" s="653">
        <x:v>0</x:v>
      </x:c>
      <x:c r="V400" s="653">
        <x:v>0</x:v>
      </x:c>
      <x:c r="W400" s="653">
        <x:v>0</x:v>
      </x:c>
      <x:c r="X400" s="653">
        <x:v>0</x:v>
      </x:c>
      <x:c r="Y400" s="627">
        <x:v>0</x:v>
      </x:c>
      <x:c r="Z400" s="653" t="n">
        <x:v>-363.58</x:v>
      </x:c>
      <x:c r="BN400" s="624"/>
    </x:row>
    <x:row r="401" spans="1:66" x14ac:dyDescent="0.2">
      <x:c r="A401" s="628"/>
      <x:c r="B401" s="628"/>
      <x:c r="C401" s="628" t="inlineStr">
        <x:is>
          <x:t>ENEL</x:t>
        </x:is>
      </x:c>
      <x:c r="D401" s="628" t="inlineStr">
        <x:is>
          <x:t>Total</x:t>
        </x:is>
      </x:c>
      <x:c r="E401" s="629"/>
      <x:c r="F401" s="630" t="n">
        <x:v>7238088945.92</x:v>
      </x:c>
      <x:c r="G401" s="630" t="n">
        <x:v>408167209.16</x:v>
      </x:c>
      <x:c r="H401" s="630" t="n">
        <x:v>228241977.93</x:v>
      </x:c>
      <x:c r="I401" s="630" t="n">
        <x:v>119586279.69</x:v>
      </x:c>
      <x:c r="J401" s="630" t="n">
        <x:v>1524646724.29</x:v>
      </x:c>
      <x:c r="K401" s="630" t="n">
        <x:v>59899855.07</x:v>
      </x:c>
      <x:c r="L401" s="630" t="n">
        <x:v>19208887.53</x:v>
      </x:c>
      <x:c r="M401" s="630" t="n">
        <x:v>524416482.69</x:v>
      </x:c>
      <x:c r="N401" s="630" t="n">
        <x:v>518713209.38</x:v>
      </x:c>
      <x:c r="O401" s="630" t="n">
        <x:v>2657258220.61</x:v>
      </x:c>
      <x:c r="P401" s="630" t="n">
        <x:v>1080024608.66</x:v>
      </x:c>
      <x:c r="Q401" s="630" t="n">
        <x:v>97942666.36</x:v>
      </x:c>
      <x:c r="R401" s="630" t="n">
        <x:v>-16815.95</x:v>
      </x:c>
      <x:c r="S401" s="630" t="n">
        <x:v>0.02</x:v>
      </x:c>
      <x:c r="T401" s="630" t="n">
        <x:v>4.06</x:v>
      </x:c>
      <x:c r="U401" s="630">
        <x:v>0</x:v>
      </x:c>
      <x:c r="V401" s="630">
        <x:v>0</x:v>
      </x:c>
      <x:c r="W401" s="630">
        <x:v>0</x:v>
      </x:c>
      <x:c r="X401" s="630">
        <x:v>0</x:v>
      </x:c>
      <x:c r="Y401" s="630">
        <x:v>0</x:v>
      </x:c>
      <x:c r="Z401" s="630" t="n">
        <x:v>-363.58</x:v>
      </x:c>
      <x:c r="AA401" s="628"/>
      <x:c r="AB401" s="628"/>
      <x:c r="AC401" s="628"/>
      <x:c r="AD401" s="628"/>
      <x:c r="AE401" s="628"/>
      <x:c r="AF401" s="628"/>
      <x:c r="AG401" s="628"/>
      <x:c r="AH401" s="628"/>
      <x:c r="AI401" s="628"/>
      <x:c r="AJ401" s="628"/>
      <x:c r="AK401" s="628"/>
      <x:c r="AL401" s="628"/>
      <x:c r="AM401" s="628"/>
      <x:c r="AN401" s="628"/>
      <x:c r="AO401" s="628"/>
      <x:c r="AP401" s="628"/>
      <x:c r="AQ401" s="628"/>
      <x:c r="AR401" s="628"/>
      <x:c r="AS401" s="628"/>
      <x:c r="AT401" s="628"/>
      <x:c r="AU401" s="628"/>
      <x:c r="AV401" s="628"/>
      <x:c r="AW401" s="628"/>
      <x:c r="AX401" s="628"/>
      <x:c r="AY401" s="628"/>
      <x:c r="AZ401" s="628"/>
      <x:c r="BA401" s="628"/>
      <x:c r="BB401" s="628"/>
      <x:c r="BC401" s="628"/>
      <x:c r="BD401" s="628"/>
      <x:c r="BE401" s="628"/>
      <x:c r="BF401" s="628"/>
      <x:c r="BG401" s="628"/>
      <x:c r="BH401" s="628"/>
      <x:c r="BI401" s="628"/>
      <x:c r="BJ401" s="628"/>
      <x:c r="BK401" s="628"/>
      <x:c r="BL401" s="628"/>
      <x:c r="BM401" s="628"/>
      <x:c r="BN401" s="624"/>
    </x:row>
    <x:row r="402" spans="1:66" x14ac:dyDescent="0.2">
      <x:c r="A402"/>
      <x:c r="B402"/>
      <x:c r="C402"/>
      <x:c r="D402" s="625"/>
      <x:c r="E402" s="625" t="inlineStr">
        <x:is>
          <x:t>Vlr Servicio</x:t>
        </x:is>
      </x:c>
      <x:c r="F402" s="627" t="n">
        <x:v>1922958</x:v>
      </x:c>
      <x:c r="G402" s="627" t="n">
        <x:v>159319.16</x:v>
      </x:c>
      <x:c r="H402" s="627" t="n">
        <x:v>77548.72</x:v>
      </x:c>
      <x:c r="I402" s="627" t="n">
        <x:v>42986.6</x:v>
      </x:c>
      <x:c r="J402" s="627" t="n">
        <x:v>351264.11</x:v>
      </x:c>
      <x:c r="K402" s="627" t="n">
        <x:v>11893.99</x:v>
      </x:c>
      <x:c r="L402" s="627" t="n">
        <x:v>0</x:v>
      </x:c>
      <x:c r="M402" s="627" t="n">
        <x:v>104494.99</x:v>
      </x:c>
      <x:c r="N402" s="627" t="n">
        <x:v>120498.04</x:v>
      </x:c>
      <x:c r="O402" s="627" t="n">
        <x:v>609717.11</x:v>
      </x:c>
      <x:c r="P402" s="627" t="n">
        <x:v>425799.3</x:v>
      </x:c>
      <x:c r="Q402" s="627" t="n">
        <x:v>19451.58</x:v>
      </x:c>
      <x:c r="R402" s="627" t="n">
        <x:v>-15.6</x:v>
      </x:c>
      <x:c r="S402" s="627" t="n">
        <x:v>0</x:v>
      </x:c>
      <x:c r="T402" s="653" t="n">
        <x:v>0</x:v>
      </x:c>
      <x:c r="U402" s="653">
        <x:v>0</x:v>
      </x:c>
      <x:c r="V402" s="653">
        <x:v>0</x:v>
      </x:c>
      <x:c r="W402" s="653">
        <x:v>0</x:v>
      </x:c>
      <x:c r="X402" s="653">
        <x:v>0</x:v>
      </x:c>
      <x:c r="Y402" s="627">
        <x:v>0</x:v>
      </x:c>
      <x:c r="Z402" s="653" t="n">
        <x:v>0</x:v>
      </x:c>
      <x:c r="BN402" s="624"/>
    </x:row>
    <x:row r="403" spans="1:66" x14ac:dyDescent="0.2">
      <x:c r="A403"/>
      <x:c r="B403"/>
      <x:c r="C403"/>
      <x:c r="D403" s="625"/>
      <x:c r="E403" s="625" t="inlineStr">
        <x:is>
          <x:t>Vlr Intereses</x:t>
        </x:is>
      </x:c>
      <x:c r="F403" s="627" t="n">
        <x:v>31695.39</x:v>
      </x:c>
      <x:c r="G403" s="627" t="n">
        <x:v>2440.05</x:v>
      </x:c>
      <x:c r="H403" s="627" t="n">
        <x:v>1077.78</x:v>
      </x:c>
      <x:c r="I403" s="627" t="n">
        <x:v>590.11</x:v>
      </x:c>
      <x:c r="J403" s="627" t="n">
        <x:v>5061.17</x:v>
      </x:c>
      <x:c r="K403" s="627" t="n">
        <x:v>200.49</x:v>
      </x:c>
      <x:c r="L403" s="627" t="n">
        <x:v>0</x:v>
      </x:c>
      <x:c r="M403" s="627" t="n">
        <x:v>1825.33</x:v>
      </x:c>
      <x:c r="N403" s="627" t="n">
        <x:v>2262.81</x:v>
      </x:c>
      <x:c r="O403" s="627" t="n">
        <x:v>11418.11</x:v>
      </x:c>
      <x:c r="P403" s="627" t="n">
        <x:v>6482.7</x:v>
      </x:c>
      <x:c r="Q403" s="627" t="n">
        <x:v>336.81</x:v>
      </x:c>
      <x:c r="R403" s="627" t="n">
        <x:v>0.03</x:v>
      </x:c>
      <x:c r="S403" s="627" t="n">
        <x:v>0</x:v>
      </x:c>
      <x:c r="T403" s="653" t="n">
        <x:v>0</x:v>
      </x:c>
      <x:c r="U403" s="653">
        <x:v>0</x:v>
      </x:c>
      <x:c r="V403" s="653">
        <x:v>0</x:v>
      </x:c>
      <x:c r="W403" s="653">
        <x:v>0</x:v>
      </x:c>
      <x:c r="X403" s="653">
        <x:v>0</x:v>
      </x:c>
      <x:c r="Y403" s="627">
        <x:v>0</x:v>
      </x:c>
      <x:c r="Z403" s="653" t="n">
        <x:v>0</x:v>
      </x:c>
      <x:c r="BN403" s="624"/>
    </x:row>
    <x:row r="404" spans="1:66" x14ac:dyDescent="0.2">
      <x:c r="A404"/>
      <x:c r="B404"/>
      <x:c r="C404"/>
      <x:c r="D404" s="625" t="inlineStr">
        <x:is>
          <x:t>1</x:t>
        </x:is>
      </x:c>
      <x:c r="E404" s="625" t="inlineStr">
        <x:is>
          <x:t>Total</x:t>
        </x:is>
      </x:c>
      <x:c r="F404" s="627" t="n">
        <x:v>1954653.39</x:v>
      </x:c>
      <x:c r="G404" s="627" t="n">
        <x:v>161759.21</x:v>
      </x:c>
      <x:c r="H404" s="627" t="n">
        <x:v>78626.5</x:v>
      </x:c>
      <x:c r="I404" s="627" t="n">
        <x:v>43576.71</x:v>
      </x:c>
      <x:c r="J404" s="627" t="n">
        <x:v>356325.28</x:v>
      </x:c>
      <x:c r="K404" s="627" t="n">
        <x:v>12094.48</x:v>
      </x:c>
      <x:c r="L404" s="627" t="n">
        <x:v>0</x:v>
      </x:c>
      <x:c r="M404" s="627" t="n">
        <x:v>106320.32</x:v>
      </x:c>
      <x:c r="N404" s="627" t="n">
        <x:v>122760.85</x:v>
      </x:c>
      <x:c r="O404" s="627" t="n">
        <x:v>621135.22</x:v>
      </x:c>
      <x:c r="P404" s="627" t="n">
        <x:v>432282</x:v>
      </x:c>
      <x:c r="Q404" s="627" t="n">
        <x:v>19788.39</x:v>
      </x:c>
      <x:c r="R404" s="627" t="n">
        <x:v>-15.57</x:v>
      </x:c>
      <x:c r="S404" s="627" t="n">
        <x:v>0</x:v>
      </x:c>
      <x:c r="T404" s="653" t="n">
        <x:v>0</x:v>
      </x:c>
      <x:c r="U404" s="653">
        <x:v>0</x:v>
      </x:c>
      <x:c r="V404" s="653">
        <x:v>0</x:v>
      </x:c>
      <x:c r="W404" s="653">
        <x:v>0</x:v>
      </x:c>
      <x:c r="X404" s="653">
        <x:v>0</x:v>
      </x:c>
      <x:c r="Y404" s="627">
        <x:v>0</x:v>
      </x:c>
      <x:c r="Z404" s="653" t="n">
        <x:v>0</x:v>
      </x:c>
      <x:c r="BN404" s="624"/>
    </x:row>
    <x:row r="405" spans="1:66" x14ac:dyDescent="0.2">
      <x:c r="A405"/>
      <x:c r="B405"/>
      <x:c r="C405"/>
      <x:c r="D405" s="625"/>
      <x:c r="E405" s="625" t="inlineStr">
        <x:is>
          <x:t>Vlr Servicio</x:t>
        </x:is>
      </x:c>
      <x:c r="F405" s="627" t="n">
        <x:v>74289.79</x:v>
      </x:c>
      <x:c r="G405" s="627" t="n">
        <x:v>4022.86</x:v>
      </x:c>
      <x:c r="H405" s="627" t="n">
        <x:v>1850.83</x:v>
      </x:c>
      <x:c r="I405" s="627" t="n">
        <x:v>1005.97</x:v>
      </x:c>
      <x:c r="J405" s="627" t="n">
        <x:v>19690.83</x:v>
      </x:c>
      <x:c r="K405" s="627" t="n">
        <x:v>487.51</x:v>
      </x:c>
      <x:c r="L405" s="627" t="n">
        <x:v>0</x:v>
      </x:c>
      <x:c r="M405" s="627" t="n">
        <x:v>4276.5</x:v>
      </x:c>
      <x:c r="N405" s="627" t="n">
        <x:v>5295.45</x:v>
      </x:c>
      <x:c r="O405" s="627" t="n">
        <x:v>25967.6</x:v>
      </x:c>
      <x:c r="P405" s="627" t="n">
        <x:v>10897.84</x:v>
      </x:c>
      <x:c r="Q405" s="627" t="n">
        <x:v>795.43</x:v>
      </x:c>
      <x:c r="R405" s="627" t="n">
        <x:v>-1.03</x:v>
      </x:c>
      <x:c r="S405" s="627" t="n">
        <x:v>0</x:v>
      </x:c>
      <x:c r="T405" s="653" t="n">
        <x:v>0</x:v>
      </x:c>
      <x:c r="U405" s="653">
        <x:v>0</x:v>
      </x:c>
      <x:c r="V405" s="653">
        <x:v>0</x:v>
      </x:c>
      <x:c r="W405" s="653">
        <x:v>0</x:v>
      </x:c>
      <x:c r="X405" s="653">
        <x:v>0</x:v>
      </x:c>
      <x:c r="Y405" s="627">
        <x:v>0</x:v>
      </x:c>
      <x:c r="Z405" s="653" t="n">
        <x:v>0</x:v>
      </x:c>
      <x:c r="BN405" s="624"/>
    </x:row>
    <x:row r="406" spans="1:66" x14ac:dyDescent="0.2">
      <x:c r="A406"/>
      <x:c r="B406"/>
      <x:c r="C406"/>
      <x:c r="D406" s="625"/>
      <x:c r="E406" s="625" t="inlineStr">
        <x:is>
          <x:t>Vlr Intereses</x:t>
        </x:is>
      </x:c>
      <x:c r="F406" s="627" t="n">
        <x:v>326.05</x:v>
      </x:c>
      <x:c r="G406" s="627" t="n">
        <x:v>31.66</x:v>
      </x:c>
      <x:c r="H406" s="627" t="n">
        <x:v>16.84</x:v>
      </x:c>
      <x:c r="I406" s="627" t="n">
        <x:v>9.14</x:v>
      </x:c>
      <x:c r="J406" s="627" t="n">
        <x:v>155.9</x:v>
      </x:c>
      <x:c r="K406" s="627" t="n">
        <x:v>5.06</x:v>
      </x:c>
      <x:c r="L406" s="627" t="n">
        <x:v>0</x:v>
      </x:c>
      <x:c r="M406" s="627" t="n">
        <x:v>44.21</x:v>
      </x:c>
      <x:c r="N406" s="627" t="n">
        <x:v>46.71</x:v>
      </x:c>
      <x:c r="O406" s="627" t="n">
        <x:v>-76.52</x:v>
      </x:c>
      <x:c r="P406" s="627" t="n">
        <x:v>84.83</x:v>
      </x:c>
      <x:c r="Q406" s="627" t="n">
        <x:v>8.21</x:v>
      </x:c>
      <x:c r="R406" s="627" t="n">
        <x:v>0.01</x:v>
      </x:c>
      <x:c r="S406" s="627" t="n">
        <x:v>0</x:v>
      </x:c>
      <x:c r="T406" s="653" t="n">
        <x:v>0</x:v>
      </x:c>
      <x:c r="U406" s="653">
        <x:v>0</x:v>
      </x:c>
      <x:c r="V406" s="653">
        <x:v>0</x:v>
      </x:c>
      <x:c r="W406" s="653">
        <x:v>0</x:v>
      </x:c>
      <x:c r="X406" s="653">
        <x:v>0</x:v>
      </x:c>
      <x:c r="Y406" s="627">
        <x:v>0</x:v>
      </x:c>
      <x:c r="Z406" s="653" t="n">
        <x:v>0</x:v>
      </x:c>
      <x:c r="BN406" s="624"/>
    </x:row>
    <x:row r="407" spans="1:66" x14ac:dyDescent="0.2">
      <x:c r="A407"/>
      <x:c r="B407"/>
      <x:c r="C407"/>
      <x:c r="D407" s="625" t="inlineStr">
        <x:is>
          <x:t>2</x:t>
        </x:is>
      </x:c>
      <x:c r="E407" s="625" t="inlineStr">
        <x:is>
          <x:t>Total</x:t>
        </x:is>
      </x:c>
      <x:c r="F407" s="627" t="n">
        <x:v>74615.84</x:v>
      </x:c>
      <x:c r="G407" s="627" t="n">
        <x:v>4054.52</x:v>
      </x:c>
      <x:c r="H407" s="627" t="n">
        <x:v>1867.67</x:v>
      </x:c>
      <x:c r="I407" s="627" t="n">
        <x:v>1015.11</x:v>
      </x:c>
      <x:c r="J407" s="627" t="n">
        <x:v>19846.73</x:v>
      </x:c>
      <x:c r="K407" s="627" t="n">
        <x:v>492.57</x:v>
      </x:c>
      <x:c r="L407" s="627" t="n">
        <x:v>0</x:v>
      </x:c>
      <x:c r="M407" s="627" t="n">
        <x:v>4320.71</x:v>
      </x:c>
      <x:c r="N407" s="627" t="n">
        <x:v>5342.16</x:v>
      </x:c>
      <x:c r="O407" s="627" t="n">
        <x:v>25891.08</x:v>
      </x:c>
      <x:c r="P407" s="627" t="n">
        <x:v>10982.67</x:v>
      </x:c>
      <x:c r="Q407" s="627" t="n">
        <x:v>803.64</x:v>
      </x:c>
      <x:c r="R407" s="627" t="n">
        <x:v>-1.02</x:v>
      </x:c>
      <x:c r="S407" s="627" t="n">
        <x:v>0</x:v>
      </x:c>
      <x:c r="T407" s="653" t="n">
        <x:v>0</x:v>
      </x:c>
      <x:c r="U407" s="653">
        <x:v>0</x:v>
      </x:c>
      <x:c r="V407" s="653">
        <x:v>0</x:v>
      </x:c>
      <x:c r="W407" s="653">
        <x:v>0</x:v>
      </x:c>
      <x:c r="X407" s="653">
        <x:v>0</x:v>
      </x:c>
      <x:c r="Y407" s="627">
        <x:v>0</x:v>
      </x:c>
      <x:c r="Z407" s="653" t="n">
        <x:v>0</x:v>
      </x:c>
      <x:c r="BN407" s="624"/>
    </x:row>
    <x:row r="408" spans="1:66" x14ac:dyDescent="0.2">
      <x:c r="A408"/>
      <x:c r="B408"/>
      <x:c r="C408" s="625"/>
      <x:c r="D408" s="625"/>
      <x:c r="E408" s="25" t="inlineStr">
        <x:is>
          <x:t>Vlr Servicio</x:t>
        </x:is>
      </x:c>
      <x:c r="F408" s="627" t="n">
        <x:v>3331549.61</x:v>
      </x:c>
      <x:c r="G408" s="627" t="n">
        <x:v>182192.21</x:v>
      </x:c>
      <x:c r="H408" s="627" t="n">
        <x:v>102153.37</x:v>
      </x:c>
      <x:c r="I408" s="627" t="n">
        <x:v>54175.39</x:v>
      </x:c>
      <x:c r="J408" s="627" t="n">
        <x:v>745643.89</x:v>
      </x:c>
      <x:c r="K408" s="627" t="n">
        <x:v>26606.11</x:v>
      </x:c>
      <x:c r="L408" s="627" t="n">
        <x:v>0</x:v>
      </x:c>
      <x:c r="M408" s="627" t="n">
        <x:v>233387.39</x:v>
      </x:c>
      <x:c r="N408" s="627" t="n">
        <x:v>238637.89</x:v>
      </x:c>
      <x:c r="O408" s="627" t="n">
        <x:v>1220767.39</x:v>
      </x:c>
      <x:c r="P408" s="627" t="n">
        <x:v>484597.6</x:v>
      </x:c>
      <x:c r="Q408" s="627" t="n">
        <x:v>43409.91</x:v>
      </x:c>
      <x:c r="R408" s="627" t="n">
        <x:v>-21.54</x:v>
      </x:c>
      <x:c r="S408" s="627" t="n">
        <x:v>0</x:v>
      </x:c>
      <x:c r="T408" s="653" t="n">
        <x:v>0</x:v>
      </x:c>
      <x:c r="U408" s="653">
        <x:v>0</x:v>
      </x:c>
      <x:c r="V408" s="653">
        <x:v>0</x:v>
      </x:c>
      <x:c r="W408" s="653">
        <x:v>0</x:v>
      </x:c>
      <x:c r="X408" s="653">
        <x:v>0</x:v>
      </x:c>
      <x:c r="Y408" s="627">
        <x:v>0</x:v>
      </x:c>
      <x:c r="Z408" s="653" t="n">
        <x:v>0</x:v>
      </x:c>
      <x:c r="BN408" s="624"/>
    </x:row>
    <x:row r="409" spans="1:66" x14ac:dyDescent="0.2">
      <x:c r="A409"/>
      <x:c r="B409"/>
      <x:c r="C409"/>
      <x:c r="D409"/>
      <x:c r="E409" s="625" t="inlineStr">
        <x:is>
          <x:t>Vlr Intereses</x:t>
        </x:is>
      </x:c>
      <x:c r="F409" s="627" t="n">
        <x:v>-6870.16</x:v>
      </x:c>
      <x:c r="G409" s="627" t="n">
        <x:v>20.28</x:v>
      </x:c>
      <x:c r="H409" s="627" t="n">
        <x:v>11.42</x:v>
      </x:c>
      <x:c r="I409" s="627" t="n">
        <x:v>6.22</x:v>
      </x:c>
      <x:c r="J409" s="627" t="n">
        <x:v>95.64</x:v>
      </x:c>
      <x:c r="K409" s="627" t="n">
        <x:v>2.91</x:v>
      </x:c>
      <x:c r="L409" s="627" t="n">
        <x:v>0</x:v>
      </x:c>
      <x:c r="M409" s="627" t="n">
        <x:v>25.68</x:v>
      </x:c>
      <x:c r="N409" s="627" t="n">
        <x:v>29.91</x:v>
      </x:c>
      <x:c r="O409" s="627" t="n">
        <x:v>-7121.32</x:v>
      </x:c>
      <x:c r="P409" s="627" t="n">
        <x:v>54.28</x:v>
      </x:c>
      <x:c r="Q409" s="627" t="n">
        <x:v>4.82</x:v>
      </x:c>
      <x:c r="R409" s="627" t="n">
        <x:v>0</x:v>
      </x:c>
      <x:c r="S409" s="627" t="n">
        <x:v>0</x:v>
      </x:c>
      <x:c r="T409" s="653" t="n">
        <x:v>0</x:v>
      </x:c>
      <x:c r="U409" s="653">
        <x:v>0</x:v>
      </x:c>
      <x:c r="V409" s="653">
        <x:v>0</x:v>
      </x:c>
      <x:c r="W409" s="653">
        <x:v>0</x:v>
      </x:c>
      <x:c r="X409" s="653">
        <x:v>0</x:v>
      </x:c>
      <x:c r="Y409" s="627">
        <x:v>0</x:v>
      </x:c>
      <x:c r="Z409" s="653" t="n">
        <x:v>0</x:v>
      </x:c>
      <x:c r="BN409" s="624"/>
    </x:row>
    <x:row r="410" spans="1:66" x14ac:dyDescent="0.2">
      <x:c r="A410"/>
      <x:c r="B410"/>
      <x:c r="C410"/>
      <x:c r="D410" s="25" t="inlineStr">
        <x:is>
          <x:t>5</x:t>
        </x:is>
      </x:c>
      <x:c r="E410" s="625" t="inlineStr">
        <x:is>
          <x:t>Total</x:t>
        </x:is>
      </x:c>
      <x:c r="F410" s="627" t="n">
        <x:v>3324679.45</x:v>
      </x:c>
      <x:c r="G410" s="627" t="n">
        <x:v>182212.49</x:v>
      </x:c>
      <x:c r="H410" s="627" t="n">
        <x:v>102164.79</x:v>
      </x:c>
      <x:c r="I410" s="627" t="n">
        <x:v>54181.61</x:v>
      </x:c>
      <x:c r="J410" s="627" t="n">
        <x:v>745739.53</x:v>
      </x:c>
      <x:c r="K410" s="627" t="n">
        <x:v>26609.02</x:v>
      </x:c>
      <x:c r="L410" s="627" t="n">
        <x:v>0</x:v>
      </x:c>
      <x:c r="M410" s="627" t="n">
        <x:v>233413.07</x:v>
      </x:c>
      <x:c r="N410" s="627" t="n">
        <x:v>238667.8</x:v>
      </x:c>
      <x:c r="O410" s="627" t="n">
        <x:v>1213646.07</x:v>
      </x:c>
      <x:c r="P410" s="627" t="n">
        <x:v>484651.88</x:v>
      </x:c>
      <x:c r="Q410" s="627" t="n">
        <x:v>43414.73</x:v>
      </x:c>
      <x:c r="R410" s="627" t="n">
        <x:v>-21.54</x:v>
      </x:c>
      <x:c r="S410" s="627" t="n">
        <x:v>0</x:v>
      </x:c>
      <x:c r="T410" s="653" t="n">
        <x:v>0</x:v>
      </x:c>
      <x:c r="U410" s="653">
        <x:v>0</x:v>
      </x:c>
      <x:c r="V410" s="653">
        <x:v>0</x:v>
      </x:c>
      <x:c r="W410" s="653">
        <x:v>0</x:v>
      </x:c>
      <x:c r="X410" s="653">
        <x:v>0</x:v>
      </x:c>
      <x:c r="Y410" s="627">
        <x:v>0</x:v>
      </x:c>
      <x:c r="Z410" s="653" t="n">
        <x:v>0</x:v>
      </x:c>
      <x:c r="BN410" s="624"/>
    </x:row>
    <x:row r="411" spans="1:66" x14ac:dyDescent="0.2">
      <x:c r="A411" s="667"/>
      <x:c r="B411" s="667"/>
      <x:c r="C411" s="647" t="inlineStr">
        <x:is>
          <x:t>NUEVO ESQUEMA</x:t>
        </x:is>
      </x:c>
      <x:c r="D411" s="647" t="inlineStr">
        <x:is>
          <x:t>Total</x:t>
        </x:is>
      </x:c>
      <x:c r="E411" s="667"/>
      <x:c r="F411" s="648" t="n">
        <x:v>5353948.68</x:v>
      </x:c>
      <x:c r="G411" s="648" t="n">
        <x:v>348026.22</x:v>
      </x:c>
      <x:c r="H411" s="648" t="n">
        <x:v>182658.96</x:v>
      </x:c>
      <x:c r="I411" s="648" t="n">
        <x:v>98773.43</x:v>
      </x:c>
      <x:c r="J411" s="648" t="n">
        <x:v>1121911.54</x:v>
      </x:c>
      <x:c r="K411" s="648" t="n">
        <x:v>39196.07</x:v>
      </x:c>
      <x:c r="L411" s="648" t="n">
        <x:v>0</x:v>
      </x:c>
      <x:c r="M411" s="648" t="n">
        <x:v>344054.1</x:v>
      </x:c>
      <x:c r="N411" s="648" t="n">
        <x:v>366770.81</x:v>
      </x:c>
      <x:c r="O411" s="648" t="n">
        <x:v>1860672.37</x:v>
      </x:c>
      <x:c r="P411" s="648" t="n">
        <x:v>927916.55</x:v>
      </x:c>
      <x:c r="Q411" s="648" t="n">
        <x:v>64006.76</x:v>
      </x:c>
      <x:c r="R411" s="648" t="n">
        <x:v>-38.13</x:v>
      </x:c>
      <x:c r="S411" s="648" t="n">
        <x:v>0</x:v>
      </x:c>
      <x:c r="T411" s="648" t="n">
        <x:v>0</x:v>
      </x:c>
      <x:c r="U411" s="648">
        <x:v>0</x:v>
      </x:c>
      <x:c r="V411" s="648">
        <x:v>0</x:v>
      </x:c>
      <x:c r="W411" s="648">
        <x:v>0</x:v>
      </x:c>
      <x:c r="X411" s="672">
        <x:v>0</x:v>
      </x:c>
      <x:c r="Y411" s="672">
        <x:v>0</x:v>
      </x:c>
      <x:c r="Z411" s="672" t="n">
        <x:v>0</x:v>
      </x:c>
      <x:c r="AA411" s="667"/>
      <x:c r="AB411" s="667"/>
      <x:c r="AC411" s="667"/>
      <x:c r="AD411" s="667"/>
      <x:c r="AE411" s="667"/>
      <x:c r="AF411" s="667"/>
      <x:c r="AG411" s="667"/>
      <x:c r="AH411" s="667"/>
      <x:c r="AI411" s="667"/>
      <x:c r="AJ411" s="667"/>
      <x:c r="AK411" s="667"/>
      <x:c r="AL411" s="667"/>
      <x:c r="AM411" s="667"/>
      <x:c r="AN411" s="667"/>
      <x:c r="AO411" s="667"/>
      <x:c r="AP411" s="667"/>
      <x:c r="AQ411" s="667"/>
      <x:c r="AR411" s="667"/>
      <x:c r="AS411" s="667"/>
      <x:c r="AT411" s="667"/>
      <x:c r="AU411" s="667"/>
      <x:c r="AV411" s="667"/>
      <x:c r="AW411" s="667"/>
      <x:c r="AX411" s="667"/>
      <x:c r="AY411" s="667"/>
      <x:c r="AZ411" s="667"/>
      <x:c r="BA411" s="667"/>
      <x:c r="BB411" s="667"/>
      <x:c r="BC411" s="667"/>
      <x:c r="BD411" s="667"/>
      <x:c r="BE411" s="667"/>
      <x:c r="BF411" s="667"/>
      <x:c r="BG411" s="667"/>
      <x:c r="BH411" s="667"/>
      <x:c r="BI411" s="667"/>
      <x:c r="BJ411" s="667"/>
      <x:c r="BK411" s="667"/>
      <x:c r="BL411" s="667"/>
      <x:c r="BM411" s="667"/>
      <x:c r="BN411" s="624"/>
    </x:row>
    <x:row r="412" spans="1:66" x14ac:dyDescent="0.2">
      <x:c r="A412"/>
      <x:c r="B412"/>
      <x:c r="C412"/>
      <x:c r="D412"/>
      <x:c r="E412" s="625" t="inlineStr">
        <x:is>
          <x:t>Vlr Servicio</x:t>
        </x:is>
      </x:c>
      <x:c r="F412" s="627" t="n">
        <x:v>48847452.5</x:v>
      </x:c>
      <x:c r="G412" s="627" t="n">
        <x:v>2956898.65</x:v>
      </x:c>
      <x:c r="H412" s="627" t="n">
        <x:v>1670858.56</x:v>
      </x:c>
      <x:c r="I412" s="627" t="n">
        <x:v>890663.49</x:v>
      </x:c>
      <x:c r="J412" s="627" t="n">
        <x:v>10650539.58</x:v>
      </x:c>
      <x:c r="K412" s="627" t="n">
        <x:v>289194.06</x:v>
      </x:c>
      <x:c r="L412" s="627" t="n">
        <x:v>0</x:v>
      </x:c>
      <x:c r="M412" s="627" t="n">
        <x:v>2525057.51</x:v>
      </x:c>
      <x:c r="N412" s="627" t="n">
        <x:v>3504369.81</x:v>
      </x:c>
      <x:c r="O412" s="627" t="n">
        <x:v>18008545.39</x:v>
      </x:c>
      <x:c r="P412" s="627" t="n">
        <x:v>7877853.09</x:v>
      </x:c>
      <x:c r="Q412" s="627" t="n">
        <x:v>473033.96</x:v>
      </x:c>
      <x:c r="R412" s="627" t="n">
        <x:v>438.4</x:v>
      </x:c>
      <x:c r="S412" s="627" t="n">
        <x:v>0</x:v>
      </x:c>
      <x:c r="T412" s="653" t="n">
        <x:v>0</x:v>
      </x:c>
      <x:c r="U412" s="653">
        <x:v>0</x:v>
      </x:c>
      <x:c r="V412" s="653">
        <x:v>0</x:v>
      </x:c>
      <x:c r="W412" s="653">
        <x:v>0</x:v>
      </x:c>
      <x:c r="X412" s="653">
        <x:v>0</x:v>
      </x:c>
      <x:c r="Y412" s="627">
        <x:v>0</x:v>
      </x:c>
      <x:c r="Z412" s="653" t="n">
        <x:v>0</x:v>
      </x:c>
      <x:c r="BN412" s="624"/>
    </x:row>
    <x:row r="413" spans="1:66" x14ac:dyDescent="0.2">
      <x:c r="A413"/>
      <x:c r="B413"/>
      <x:c r="C413"/>
      <x:c r="D413" s="625"/>
      <x:c r="E413" s="625" t="inlineStr">
        <x:is>
          <x:t>Vlr Intereses</x:t>
        </x:is>
      </x:c>
      <x:c r="F413" s="627" t="n">
        <x:v>-4501.92</x:v>
      </x:c>
      <x:c r="G413" s="627" t="n">
        <x:v>1047.21</x:v>
      </x:c>
      <x:c r="H413" s="627" t="n">
        <x:v>565.68</x:v>
      </x:c>
      <x:c r="I413" s="627" t="n">
        <x:v>302.85</x:v>
      </x:c>
      <x:c r="J413" s="627" t="n">
        <x:v>3704.93</x:v>
      </x:c>
      <x:c r="K413" s="627" t="n">
        <x:v>98.85</x:v>
      </x:c>
      <x:c r="L413" s="627" t="n">
        <x:v>0</x:v>
      </x:c>
      <x:c r="M413" s="627" t="n">
        <x:v>865.38</x:v>
      </x:c>
      <x:c r="N413" s="627" t="n">
        <x:v>1214.32</x:v>
      </x:c>
      <x:c r="O413" s="627" t="n">
        <x:v>-15273.45</x:v>
      </x:c>
      <x:c r="P413" s="627" t="n">
        <x:v>2811.97</x:v>
      </x:c>
      <x:c r="Q413" s="627" t="n">
        <x:v>160.66</x:v>
      </x:c>
      <x:c r="R413" s="627" t="n">
        <x:v>-0.44</x:v>
      </x:c>
      <x:c r="S413" s="627" t="n">
        <x:v>0.12</x:v>
      </x:c>
      <x:c r="T413" s="653" t="n">
        <x:v>0</x:v>
      </x:c>
      <x:c r="U413" s="653">
        <x:v>0</x:v>
      </x:c>
      <x:c r="V413" s="653">
        <x:v>0</x:v>
      </x:c>
      <x:c r="W413" s="653">
        <x:v>0</x:v>
      </x:c>
      <x:c r="X413" s="653">
        <x:v>0</x:v>
      </x:c>
      <x:c r="Y413" s="627">
        <x:v>0</x:v>
      </x:c>
      <x:c r="Z413" s="653" t="n">
        <x:v>0</x:v>
      </x:c>
      <x:c r="BN413" s="624"/>
    </x:row>
    <x:row r="414" spans="1:66" x14ac:dyDescent="0.2">
      <x:c r="A414"/>
      <x:c r="B414"/>
      <x:c r="C414"/>
      <x:c r="D414" s="25" t="inlineStr">
        <x:is>
          <x:t>H</x:t>
        </x:is>
      </x:c>
      <x:c r="E414" s="625" t="inlineStr">
        <x:is>
          <x:t>Total</x:t>
        </x:is>
      </x:c>
      <x:c r="F414" s="627" t="n">
        <x:v>48842950.58</x:v>
      </x:c>
      <x:c r="G414" s="627" t="n">
        <x:v>2957945.86</x:v>
      </x:c>
      <x:c r="H414" s="627" t="n">
        <x:v>1671424.24</x:v>
      </x:c>
      <x:c r="I414" s="627" t="n">
        <x:v>890966.34</x:v>
      </x:c>
      <x:c r="J414" s="627" t="n">
        <x:v>10654244.51</x:v>
      </x:c>
      <x:c r="K414" s="627" t="n">
        <x:v>289292.91</x:v>
      </x:c>
      <x:c r="L414" s="627" t="n">
        <x:v>0</x:v>
      </x:c>
      <x:c r="M414" s="627" t="n">
        <x:v>2525922.89</x:v>
      </x:c>
      <x:c r="N414" s="627" t="n">
        <x:v>3505584.13</x:v>
      </x:c>
      <x:c r="O414" s="627" t="n">
        <x:v>17993271.94</x:v>
      </x:c>
      <x:c r="P414" s="627" t="n">
        <x:v>7880665.06</x:v>
      </x:c>
      <x:c r="Q414" s="627" t="n">
        <x:v>473194.62</x:v>
      </x:c>
      <x:c r="R414" s="627" t="n">
        <x:v>437.96</x:v>
      </x:c>
      <x:c r="S414" s="627" t="n">
        <x:v>0.12</x:v>
      </x:c>
      <x:c r="T414" s="653" t="n">
        <x:v>0</x:v>
      </x:c>
      <x:c r="U414" s="653">
        <x:v>0</x:v>
      </x:c>
      <x:c r="V414" s="653">
        <x:v>0</x:v>
      </x:c>
      <x:c r="W414" s="653">
        <x:v>0</x:v>
      </x:c>
      <x:c r="X414" s="653">
        <x:v>0</x:v>
      </x:c>
      <x:c r="Y414" s="627">
        <x:v>0</x:v>
      </x:c>
      <x:c r="Z414" s="653" t="n">
        <x:v>0</x:v>
      </x:c>
      <x:c r="BN414" s="624"/>
    </x:row>
    <x:row r="415" spans="1:66" x14ac:dyDescent="0.2">
      <x:c r="A415"/>
      <x:c r="B415"/>
      <x:c r="C415"/>
      <x:c r="D415"/>
      <x:c r="E415" s="625" t="inlineStr">
        <x:is>
          <x:t>Vlr Servicio</x:t>
        </x:is>
      </x:c>
      <x:c r="F415" s="627" t="n">
        <x:v>137467523.91</x:v>
      </x:c>
      <x:c r="G415" s="627" t="n">
        <x:v>8663269.4</x:v>
      </x:c>
      <x:c r="H415" s="627" t="n">
        <x:v>4412110.42</x:v>
      </x:c>
      <x:c r="I415" s="627" t="n">
        <x:v>2001839.24</x:v>
      </x:c>
      <x:c r="J415" s="627" t="n">
        <x:v>22410734.67</x:v>
      </x:c>
      <x:c r="K415" s="627" t="n">
        <x:v>875496.56</x:v>
      </x:c>
      <x:c r="L415" s="627" t="n">
        <x:v>1472893.34</x:v>
      </x:c>
      <x:c r="M415" s="627" t="n">
        <x:v>9306214.48</x:v>
      </x:c>
      <x:c r="N415" s="627" t="n">
        <x:v>10653553.7</x:v>
      </x:c>
      <x:c r="O415" s="627" t="n">
        <x:v>52243121.2</x:v>
      </x:c>
      <x:c r="P415" s="627" t="n">
        <x:v>23995973.79</x:v>
      </x:c>
      <x:c r="Q415" s="627" t="n">
        <x:v>1432482.64</x:v>
      </x:c>
      <x:c r="R415" s="627" t="n">
        <x:v>-165.53</x:v>
      </x:c>
      <x:c r="S415" s="627" t="n">
        <x:v>0</x:v>
      </x:c>
      <x:c r="T415" s="653" t="n">
        <x:v>0</x:v>
      </x:c>
      <x:c r="U415" s="653">
        <x:v>0</x:v>
      </x:c>
      <x:c r="V415" s="653">
        <x:v>0</x:v>
      </x:c>
      <x:c r="W415" s="653">
        <x:v>0</x:v>
      </x:c>
      <x:c r="X415" s="653">
        <x:v>0</x:v>
      </x:c>
      <x:c r="Y415" s="627">
        <x:v>0</x:v>
      </x:c>
      <x:c r="Z415" s="653" t="n">
        <x:v>0</x:v>
      </x:c>
      <x:c r="BN415" s="624"/>
    </x:row>
    <x:row r="416" spans="1:66" x14ac:dyDescent="0.2">
      <x:c r="A416"/>
      <x:c r="B416"/>
      <x:c r="C416"/>
      <x:c r="D416" s="625"/>
      <x:c r="E416" s="625" t="inlineStr">
        <x:is>
          <x:t>Vlr Intereses</x:t>
        </x:is>
      </x:c>
      <x:c r="F416" s="627" t="n">
        <x:v>18712430.98</x:v>
      </x:c>
      <x:c r="G416" s="627" t="n">
        <x:v>2019789.4</x:v>
      </x:c>
      <x:c r="H416" s="627" t="n">
        <x:v>879794.96</x:v>
      </x:c>
      <x:c r="I416" s="627" t="n">
        <x:v>335545.4</x:v>
      </x:c>
      <x:c r="J416" s="627" t="n">
        <x:v>3041356.19</x:v>
      </x:c>
      <x:c r="K416" s="627" t="n">
        <x:v>124932.99</x:v>
      </x:c>
      <x:c r="L416" s="627" t="n">
        <x:v>0</x:v>
      </x:c>
      <x:c r="M416" s="627" t="n">
        <x:v>1095367.92</x:v>
      </x:c>
      <x:c r="N416" s="627" t="n">
        <x:v>1290315.49</x:v>
      </x:c>
      <x:c r="O416" s="627" t="n">
        <x:v>4393356.75</x:v>
      </x:c>
      <x:c r="P416" s="627" t="n">
        <x:v>5328262.13</x:v>
      </x:c>
      <x:c r="Q416" s="627" t="n">
        <x:v>203881.06</x:v>
      </x:c>
      <x:c r="R416" s="627" t="n">
        <x:v>-90.62</x:v>
      </x:c>
      <x:c r="S416" s="627" t="n">
        <x:v>0</x:v>
      </x:c>
      <x:c r="T416" s="653" t="n">
        <x:v>2.35</x:v>
      </x:c>
      <x:c r="U416" s="653">
        <x:v>0</x:v>
      </x:c>
      <x:c r="V416" s="653">
        <x:v>0</x:v>
      </x:c>
      <x:c r="W416" s="653">
        <x:v>0</x:v>
      </x:c>
      <x:c r="X416" s="653">
        <x:v>0</x:v>
      </x:c>
      <x:c r="Y416" s="627">
        <x:v>0</x:v>
      </x:c>
      <x:c r="Z416" s="653" t="n">
        <x:v>-83.04</x:v>
      </x:c>
      <x:c r="BN416" s="624"/>
    </x:row>
    <x:row r="417" spans="1:66" x14ac:dyDescent="0.2">
      <x:c r="A417"/>
      <x:c r="B417"/>
      <x:c r="C417" s="625"/>
      <x:c r="D417" s="625" t="inlineStr">
        <x:is>
          <x:t>O</x:t>
        </x:is>
      </x:c>
      <x:c r="E417" s="25" t="inlineStr">
        <x:is>
          <x:t>Total</x:t>
        </x:is>
      </x:c>
      <x:c r="F417" s="627" t="n">
        <x:v>156179954.89</x:v>
      </x:c>
      <x:c r="G417" s="627" t="n">
        <x:v>10683058.8</x:v>
      </x:c>
      <x:c r="H417" s="627" t="n">
        <x:v>5291905.38</x:v>
      </x:c>
      <x:c r="I417" s="627" t="n">
        <x:v>2337384.64</x:v>
      </x:c>
      <x:c r="J417" s="627" t="n">
        <x:v>25452090.86</x:v>
      </x:c>
      <x:c r="K417" s="627" t="n">
        <x:v>1000429.55</x:v>
      </x:c>
      <x:c r="L417" s="627" t="n">
        <x:v>1472893.34</x:v>
      </x:c>
      <x:c r="M417" s="627" t="n">
        <x:v>10401582.4</x:v>
      </x:c>
      <x:c r="N417" s="627" t="n">
        <x:v>11943869.19</x:v>
      </x:c>
      <x:c r="O417" s="627" t="n">
        <x:v>56636477.95</x:v>
      </x:c>
      <x:c r="P417" s="627" t="n">
        <x:v>29324235.92</x:v>
      </x:c>
      <x:c r="Q417" s="627" t="n">
        <x:v>1636363.7</x:v>
      </x:c>
      <x:c r="R417" s="627" t="n">
        <x:v>-256.15</x:v>
      </x:c>
      <x:c r="S417" s="627" t="n">
        <x:v>0</x:v>
      </x:c>
      <x:c r="T417" s="653" t="n">
        <x:v>2.35</x:v>
      </x:c>
      <x:c r="U417" s="653">
        <x:v>0</x:v>
      </x:c>
      <x:c r="V417" s="653">
        <x:v>0</x:v>
      </x:c>
      <x:c r="W417" s="653">
        <x:v>0</x:v>
      </x:c>
      <x:c r="X417" s="653">
        <x:v>0</x:v>
      </x:c>
      <x:c r="Y417" s="627">
        <x:v>0</x:v>
      </x:c>
      <x:c r="Z417" s="653" t="n">
        <x:v>-83.04</x:v>
      </x:c>
      <x:c r="BN417" s="624"/>
    </x:row>
    <x:row r="418" spans="1:66" x14ac:dyDescent="0.2">
      <x:c r="A418"/>
      <x:c r="B418" s="625"/>
      <x:c r="C418" s="625"/>
      <x:c r="D418"/>
      <x:c r="E418" s="25" t="inlineStr">
        <x:is>
          <x:t>Vlr Servicio</x:t>
        </x:is>
      </x:c>
      <x:c r="F418" s="627" t="n">
        <x:v>241323099.81</x:v>
      </x:c>
      <x:c r="G418" s="627" t="n">
        <x:v>38330997.58</x:v>
      </x:c>
      <x:c r="H418" s="627" t="n">
        <x:v>21631334.39</x:v>
      </x:c>
      <x:c r="I418" s="627" t="n">
        <x:v>11395580.82</x:v>
      </x:c>
      <x:c r="J418" s="627" t="n">
        <x:v>17111977.15</x:v>
      </x:c>
      <x:c r="K418" s="627" t="n">
        <x:v>446892.78</x:v>
      </x:c>
      <x:c r="L418" s="627" t="n">
        <x:v>13442000</x:v>
      </x:c>
      <x:c r="M418" s="627" t="n">
        <x:v>3889784.64</x:v>
      </x:c>
      <x:c r="N418" s="627" t="n">
        <x:v>5545916.4</x:v>
      </x:c>
      <x:c r="O418" s="627" t="n">
        <x:v>28257377.93</x:v>
      </x:c>
      <x:c r="P418" s="627" t="n">
        <x:v>100541636.9</x:v>
      </x:c>
      <x:c r="Q418" s="627" t="n">
        <x:v>729204.82</x:v>
      </x:c>
      <x:c r="R418" s="627" t="n">
        <x:v>396.4</x:v>
      </x:c>
      <x:c r="S418" s="627" t="n">
        <x:v>0</x:v>
      </x:c>
      <x:c r="T418" s="653" t="n">
        <x:v>0</x:v>
      </x:c>
      <x:c r="U418" s="653">
        <x:v>0</x:v>
      </x:c>
      <x:c r="V418" s="653">
        <x:v>0</x:v>
      </x:c>
      <x:c r="W418" s="653">
        <x:v>0</x:v>
      </x:c>
      <x:c r="X418" s="653">
        <x:v>0</x:v>
      </x:c>
      <x:c r="Y418" s="627">
        <x:v>0</x:v>
      </x:c>
      <x:c r="Z418" s="653" t="n">
        <x:v>0</x:v>
      </x:c>
      <x:c r="BN418" s="624"/>
    </x:row>
    <x:row r="419" spans="1:66" x14ac:dyDescent="0.2">
      <x:c r="A419" s="625"/>
      <x:c r="B419" s="625"/>
      <x:c r="C419"/>
      <x:c r="D419"/>
      <x:c r="E419" s="25" t="inlineStr">
        <x:is>
          <x:t>Vlr Intereses</x:t>
        </x:is>
      </x:c>
      <x:c r="F419" s="627" t="n">
        <x:v>123717.69</x:v>
      </x:c>
      <x:c r="G419" s="627" t="n">
        <x:v>22646.3</x:v>
      </x:c>
      <x:c r="H419" s="627" t="n">
        <x:v>9129.34</x:v>
      </x:c>
      <x:c r="I419" s="627" t="n">
        <x:v>3521.77</x:v>
      </x:c>
      <x:c r="J419" s="627" t="n">
        <x:v>18601.31</x:v>
      </x:c>
      <x:c r="K419" s="627" t="n">
        <x:v>733.66</x:v>
      </x:c>
      <x:c r="L419" s="627" t="n">
        <x:v>4564.06</x:v>
      </x:c>
      <x:c r="M419" s="627" t="n">
        <x:v>6361.15</x:v>
      </x:c>
      <x:c r="N419" s="627" t="n">
        <x:v>7389.75</x:v>
      </x:c>
      <x:c r="O419" s="627" t="n">
        <x:v>-13914.1</x:v>
      </x:c>
      <x:c r="P419" s="627" t="n">
        <x:v>63487.55</x:v>
      </x:c>
      <x:c r="Q419" s="627" t="n">
        <x:v>1198.46</x:v>
      </x:c>
      <x:c r="R419" s="627" t="n">
        <x:v>-1.56</x:v>
      </x:c>
      <x:c r="S419" s="627" t="n">
        <x:v>0</x:v>
      </x:c>
      <x:c r="T419" s="653" t="n">
        <x:v>0</x:v>
      </x:c>
      <x:c r="U419" s="653">
        <x:v>0</x:v>
      </x:c>
      <x:c r="V419" s="653">
        <x:v>0</x:v>
      </x:c>
      <x:c r="W419" s="653">
        <x:v>0</x:v>
      </x:c>
      <x:c r="X419" s="653">
        <x:v>0</x:v>
      </x:c>
      <x:c r="Y419" s="627">
        <x:v>0</x:v>
      </x:c>
      <x:c r="Z419" s="653" t="n">
        <x:v>0</x:v>
      </x:c>
      <x:c r="BN419" s="624"/>
    </x:row>
    <x:row r="420" spans="1:66" x14ac:dyDescent="0.2">
      <x:c r="A420" s="625"/>
      <x:c r="B420" s="625"/>
      <x:c r="C420"/>
      <x:c r="D420" s="25" t="inlineStr">
        <x:is>
          <x:t>T</x:t>
        </x:is>
      </x:c>
      <x:c r="E420" s="25" t="inlineStr">
        <x:is>
          <x:t>Total</x:t>
        </x:is>
      </x:c>
      <x:c r="F420" s="627" t="n">
        <x:v>241446817.5</x:v>
      </x:c>
      <x:c r="G420" s="627" t="n">
        <x:v>38353643.88</x:v>
      </x:c>
      <x:c r="H420" s="627" t="n">
        <x:v>21640463.73</x:v>
      </x:c>
      <x:c r="I420" s="627" t="n">
        <x:v>11399102.59</x:v>
      </x:c>
      <x:c r="J420" s="627" t="n">
        <x:v>17130578.46</x:v>
      </x:c>
      <x:c r="K420" s="627" t="n">
        <x:v>447626.44</x:v>
      </x:c>
      <x:c r="L420" s="627" t="n">
        <x:v>13446564.06</x:v>
      </x:c>
      <x:c r="M420" s="627" t="n">
        <x:v>3896145.79</x:v>
      </x:c>
      <x:c r="N420" s="627" t="n">
        <x:v>5553306.15</x:v>
      </x:c>
      <x:c r="O420" s="627" t="n">
        <x:v>28243463.83</x:v>
      </x:c>
      <x:c r="P420" s="627" t="n">
        <x:v>100605124.45</x:v>
      </x:c>
      <x:c r="Q420" s="627" t="n">
        <x:v>730403.28</x:v>
      </x:c>
      <x:c r="R420" s="627" t="n">
        <x:v>394.84</x:v>
      </x:c>
      <x:c r="S420" s="627" t="n">
        <x:v>0</x:v>
      </x:c>
      <x:c r="T420" s="653" t="n">
        <x:v>0</x:v>
      </x:c>
      <x:c r="U420" s="653">
        <x:v>0</x:v>
      </x:c>
      <x:c r="V420" s="653">
        <x:v>0</x:v>
      </x:c>
      <x:c r="W420" s="653">
        <x:v>0</x:v>
      </x:c>
      <x:c r="X420" s="653">
        <x:v>0</x:v>
      </x:c>
      <x:c r="Y420" s="627">
        <x:v>0</x:v>
      </x:c>
      <x:c r="Z420" s="653" t="n">
        <x:v>0</x:v>
      </x:c>
      <x:c r="BN420" s="624"/>
    </x:row>
    <x:row r="421" spans="1:66" x14ac:dyDescent="0.2">
      <x:c r="A421" s="631"/>
      <x:c r="B421" s="631"/>
      <x:c r="C421" s="632" t="inlineStr">
        <x:is>
          <x:t>OCCIDENTE</x:t>
        </x:is>
      </x:c>
      <x:c r="D421" s="632" t="inlineStr">
        <x:is>
          <x:t>Total</x:t>
        </x:is>
      </x:c>
      <x:c r="E421" s="631"/>
      <x:c r="F421" s="633" t="n">
        <x:v>446469722.97</x:v>
      </x:c>
      <x:c r="G421" s="633" t="n">
        <x:v>51994648.54</x:v>
      </x:c>
      <x:c r="H421" s="633" t="n">
        <x:v>28603793.35</x:v>
      </x:c>
      <x:c r="I421" s="633" t="n">
        <x:v>14627453.57</x:v>
      </x:c>
      <x:c r="J421" s="633" t="n">
        <x:v>53236913.83</x:v>
      </x:c>
      <x:c r="K421" s="633" t="n">
        <x:v>1737348.9</x:v>
      </x:c>
      <x:c r="L421" s="633" t="n">
        <x:v>14919457.4</x:v>
      </x:c>
      <x:c r="M421" s="633" t="n">
        <x:v>16823651.08</x:v>
      </x:c>
      <x:c r="N421" s="633" t="n">
        <x:v>21002759.47</x:v>
      </x:c>
      <x:c r="O421" s="633" t="n">
        <x:v>102873213.72</x:v>
      </x:c>
      <x:c r="P421" s="633" t="n">
        <x:v>137810025.43</x:v>
      </x:c>
      <x:c r="Q421" s="633" t="n">
        <x:v>2839961.6</x:v>
      </x:c>
      <x:c r="R421" s="633" t="n">
        <x:v>576.65</x:v>
      </x:c>
      <x:c r="S421" s="633" t="n">
        <x:v>0.12</x:v>
      </x:c>
      <x:c r="T421" s="633" t="n">
        <x:v>2.35</x:v>
      </x:c>
      <x:c r="U421" s="633">
        <x:v>0</x:v>
      </x:c>
      <x:c r="V421" s="633">
        <x:v>0</x:v>
      </x:c>
      <x:c r="W421" s="633">
        <x:v>0</x:v>
      </x:c>
      <x:c r="X421" s="633">
        <x:v>0</x:v>
      </x:c>
      <x:c r="Y421" s="633">
        <x:v>0</x:v>
      </x:c>
      <x:c r="Z421" s="633" t="n">
        <x:v>-83.04</x:v>
      </x:c>
      <x:c r="AA421" s="631"/>
      <x:c r="AB421" s="631"/>
      <x:c r="AC421" s="631"/>
      <x:c r="AD421" s="631"/>
      <x:c r="AE421" s="631"/>
      <x:c r="AF421" s="631"/>
      <x:c r="AG421" s="631"/>
      <x:c r="AH421" s="631"/>
      <x:c r="AI421" s="631"/>
      <x:c r="AJ421" s="631"/>
      <x:c r="AK421" s="631"/>
      <x:c r="AL421" s="631"/>
      <x:c r="AM421" s="631"/>
      <x:c r="AN421" s="631"/>
      <x:c r="AO421" s="631"/>
      <x:c r="AP421" s="631"/>
      <x:c r="AQ421" s="631"/>
      <x:c r="AR421" s="631"/>
      <x:c r="AS421" s="631"/>
      <x:c r="AT421" s="631"/>
      <x:c r="AU421" s="631"/>
      <x:c r="AV421" s="631"/>
      <x:c r="AW421" s="631"/>
      <x:c r="AX421" s="631"/>
      <x:c r="AY421" s="631"/>
      <x:c r="AZ421" s="631"/>
      <x:c r="BA421" s="631"/>
      <x:c r="BB421" s="631"/>
      <x:c r="BC421" s="631"/>
      <x:c r="BD421" s="631"/>
      <x:c r="BE421" s="631"/>
      <x:c r="BF421" s="631"/>
      <x:c r="BG421" s="631"/>
      <x:c r="BH421" s="631"/>
      <x:c r="BI421" s="631"/>
      <x:c r="BJ421" s="631"/>
      <x:c r="BK421" s="631"/>
      <x:c r="BL421" s="631"/>
      <x:c r="BM421" s="631"/>
      <x:c r="BN421" s="624"/>
    </x:row>
    <x:row r="422" spans="1:66" x14ac:dyDescent="0.2">
      <x:c r="A422" s="638"/>
      <x:c r="B422" s="639" t="inlineStr">
        <x:is>
          <x:t>Mes</x:t>
        </x:is>
      </x:c>
      <x:c r="C422" s="639" t="inlineStr">
        <x:is>
          <x:t>Total</x:t>
        </x:is>
      </x:c>
      <x:c r="D422" s="638"/>
      <x:c r="E422" s="638"/>
      <x:c r="F422" s="640" t="n">
        <x:v>7689912617.57</x:v>
      </x:c>
      <x:c r="G422" s="640" t="n">
        <x:v>460509883.92</x:v>
      </x:c>
      <x:c r="H422" s="640" t="n">
        <x:v>257028430.24</x:v>
      </x:c>
      <x:c r="I422" s="640" t="n">
        <x:v>134312506.69</x:v>
      </x:c>
      <x:c r="J422" s="640" t="n">
        <x:v>1579005549.66</x:v>
      </x:c>
      <x:c r="K422" s="640" t="n">
        <x:v>61676400.04</x:v>
      </x:c>
      <x:c r="L422" s="640" t="n">
        <x:v>34128344.93</x:v>
      </x:c>
      <x:c r="M422" s="640" t="n">
        <x:v>541584187.87</x:v>
      </x:c>
      <x:c r="N422" s="640" t="n">
        <x:v>540082739.66</x:v>
      </x:c>
      <x:c r="O422" s="640" t="n">
        <x:v>2761992106.7</x:v>
      </x:c>
      <x:c r="P422" s="640" t="n">
        <x:v>1218762550.64</x:v>
      </x:c>
      <x:c r="Q422" s="640" t="n">
        <x:v>100846634.72</x:v>
      </x:c>
      <x:c r="R422" s="640" t="n">
        <x:v>-16277.43</x:v>
      </x:c>
      <x:c r="S422" s="640" t="n">
        <x:v>0.14</x:v>
      </x:c>
      <x:c r="T422" s="640" t="n">
        <x:v>6.41</x:v>
      </x:c>
      <x:c r="U422" s="640">
        <x:v>0</x:v>
      </x:c>
      <x:c r="V422" s="640">
        <x:v>0</x:v>
      </x:c>
      <x:c r="W422" s="640">
        <x:v>0</x:v>
      </x:c>
      <x:c r="X422" s="640">
        <x:v>0</x:v>
      </x:c>
      <x:c r="Y422" s="640">
        <x:v>0</x:v>
      </x:c>
      <x:c r="Z422" s="640" t="n">
        <x:v>-446.62</x:v>
      </x:c>
      <x:c r="AA422" s="638"/>
      <x:c r="AB422" s="638"/>
      <x:c r="AC422" s="638"/>
      <x:c r="AD422" s="638"/>
      <x:c r="AE422" s="638"/>
      <x:c r="AF422" s="638"/>
      <x:c r="AG422" s="638"/>
      <x:c r="AH422" s="638"/>
      <x:c r="AI422" s="638"/>
      <x:c r="AJ422" s="638"/>
      <x:c r="AK422" s="638"/>
      <x:c r="AL422" s="638"/>
      <x:c r="AM422" s="638"/>
      <x:c r="AN422" s="638"/>
      <x:c r="AO422" s="638"/>
      <x:c r="AP422" s="638"/>
      <x:c r="AQ422" s="638"/>
      <x:c r="AR422" s="638"/>
      <x:c r="AS422" s="638"/>
      <x:c r="AT422" s="638"/>
      <x:c r="AU422" s="638"/>
      <x:c r="AV422" s="638"/>
      <x:c r="AW422" s="638"/>
      <x:c r="AX422" s="638"/>
      <x:c r="AY422" s="638"/>
      <x:c r="AZ422" s="638"/>
      <x:c r="BA422" s="638"/>
      <x:c r="BB422" s="638"/>
      <x:c r="BC422" s="638"/>
      <x:c r="BD422" s="638"/>
      <x:c r="BE422" s="638"/>
      <x:c r="BF422" s="638"/>
      <x:c r="BG422" s="638"/>
      <x:c r="BH422" s="638"/>
      <x:c r="BI422" s="638"/>
      <x:c r="BJ422" s="638"/>
      <x:c r="BK422" s="638"/>
      <x:c r="BL422" s="638"/>
      <x:c r="BM422" s="638"/>
      <x:c r="BN422" s="624"/>
    </x:row>
    <x:row r="423" spans="1:66" x14ac:dyDescent="0.2">
      <x:c r="A423" s="625" t="inlineStr">
        <x:is>
          <x:t>Componente</x:t>
        </x:is>
      </x:c>
      <x:c r="B423" s="625" t="inlineStr">
        <x:is>
          <x:t>Total</x:t>
        </x:is>
      </x:c>
      <x:c r="C423"/>
      <x:c r="D423"/>
      <x:c r="E423"/>
      <x:c r="F423" s="627" t="n">
        <x:v>7694513192.73</x:v>
      </x:c>
      <x:c r="G423" s="627" t="n">
        <x:v>460821321.98</x:v>
      </x:c>
      <x:c r="H423" s="627" t="n">
        <x:v>257203175.43</x:v>
      </x:c>
      <x:c r="I423" s="627" t="n">
        <x:v>134407059.26</x:v>
      </x:c>
      <x:c r="J423" s="627" t="n">
        <x:v>1579977025.6</x:v>
      </x:c>
      <x:c r="K423" s="627" t="n">
        <x:v>61707932.56</x:v>
      </x:c>
      <x:c r="L423" s="627" t="n">
        <x:v>34128344.93</x:v>
      </x:c>
      <x:c r="M423" s="627" t="n">
        <x:v>541864308.33</x:v>
      </x:c>
      <x:c r="N423" s="627" t="n">
        <x:v>540392643.29</x:v>
      </x:c>
      <x:c r="O423" s="627" t="n">
        <x:v>2763535205.45</x:v>
      </x:c>
      <x:c r="P423" s="627" t="n">
        <x:v>1219593015.28</x:v>
      </x:c>
      <x:c r="Q423" s="627" t="n">
        <x:v>100899955.88</x:v>
      </x:c>
      <x:c r="R423" s="627" t="n">
        <x:v>-16266.45</x:v>
      </x:c>
      <x:c r="S423" s="627" t="n">
        <x:v>0.14</x:v>
      </x:c>
      <x:c r="T423" s="653" t="n">
        <x:v>6.41</x:v>
      </x:c>
      <x:c r="U423" s="653">
        <x:v>0</x:v>
      </x:c>
      <x:c r="V423" s="653">
        <x:v>0</x:v>
      </x:c>
      <x:c r="W423" s="653">
        <x:v>0</x:v>
      </x:c>
      <x:c r="X423" s="653">
        <x:v>0</x:v>
      </x:c>
      <x:c r="Y423" s="627">
        <x:v>0</x:v>
      </x:c>
      <x:c r="Z423" s="653" t="n">
        <x:v>-535.36</x:v>
      </x:c>
      <x:c r="BN423" s="624"/>
    </x:row>
    <x:row r="424" spans="1:66" x14ac:dyDescent="0.2">
      <x:c r="A424"/>
      <x:c r="B424"/>
      <x:c r="C424"/>
      <x:c r="D424"/>
      <x:c r="E424" s="625" t="inlineStr">
        <x:is>
          <x:t>Subsidio(-)/Contribucion(+)</x:t>
        </x:is>
      </x:c>
      <x:c r="F424" s="627" t="n">
        <x:v>-226278.07</x:v>
      </x:c>
      <x:c r="G424" s="627" t="n">
        <x:v>26896.68</x:v>
      </x:c>
      <x:c r="H424" s="627" t="n">
        <x:v>15292.29</x:v>
      </x:c>
      <x:c r="I424" s="627" t="n">
        <x:v>7987.79</x:v>
      </x:c>
      <x:c r="J424" s="627" t="n">
        <x:v>-105125.62</x:v>
      </x:c>
      <x:c r="K424" s="627" t="n">
        <x:v>-3487.78</x:v>
      </x:c>
      <x:c r="L424" s="627" t="n">
        <x:v>0</x:v>
      </x:c>
      <x:c r="M424" s="627" t="n">
        <x:v>-30596.02</x:v>
      </x:c>
      <x:c r="N424" s="627" t="n">
        <x:v>-33825.99</x:v>
      </x:c>
      <x:c r="O424" s="627" t="n">
        <x:v>-169274.83</x:v>
      </x:c>
      <x:c r="P424" s="627" t="n">
        <x:v>71546.22</x:v>
      </x:c>
      <x:c r="Q424" s="627" t="n">
        <x:v>-5690.81</x:v>
      </x:c>
      <x:c r="R424" s="627" t="n">
        <x:v>0</x:v>
      </x:c>
      <x:c r="S424" s="627" t="n">
        <x:v>0</x:v>
      </x:c>
      <x:c r="T424" s="653" t="n">
        <x:v>0</x:v>
      </x:c>
      <x:c r="U424" s="653">
        <x:v>0</x:v>
      </x:c>
      <x:c r="V424" s="653">
        <x:v>0</x:v>
      </x:c>
      <x:c r="W424" s="653">
        <x:v>0</x:v>
      </x:c>
      <x:c r="X424" s="653">
        <x:v>0</x:v>
      </x:c>
      <x:c r="Y424" s="627">
        <x:v>0</x:v>
      </x:c>
      <x:c r="Z424" s="653" t="n">
        <x:v>0</x:v>
      </x:c>
      <x:c r="BN424" s="624"/>
    </x:row>
    <x:row r="425" spans="1:66" x14ac:dyDescent="0.2">
      <x:c r="A425"/>
      <x:c r="B425"/>
      <x:c r="C425"/>
      <x:c r="D425" s="25" t="inlineStr">
        <x:is>
          <x:t>E</x:t>
        </x:is>
      </x:c>
      <x:c r="E425" s="625" t="inlineStr">
        <x:is>
          <x:t>Total</x:t>
        </x:is>
      </x:c>
      <x:c r="F425" s="627" t="n">
        <x:v>-226278.07</x:v>
      </x:c>
      <x:c r="G425" s="627" t="n">
        <x:v>26896.68</x:v>
      </x:c>
      <x:c r="H425" s="627" t="n">
        <x:v>15292.29</x:v>
      </x:c>
      <x:c r="I425" s="627" t="n">
        <x:v>7987.79</x:v>
      </x:c>
      <x:c r="J425" s="627" t="n">
        <x:v>-105125.62</x:v>
      </x:c>
      <x:c r="K425" s="627" t="n">
        <x:v>-3487.78</x:v>
      </x:c>
      <x:c r="L425" s="627" t="n">
        <x:v>0</x:v>
      </x:c>
      <x:c r="M425" s="627" t="n">
        <x:v>-30596.02</x:v>
      </x:c>
      <x:c r="N425" s="627" t="n">
        <x:v>-33825.99</x:v>
      </x:c>
      <x:c r="O425" s="627" t="n">
        <x:v>-169274.83</x:v>
      </x:c>
      <x:c r="P425" s="627" t="n">
        <x:v>71546.22</x:v>
      </x:c>
      <x:c r="Q425" s="627" t="n">
        <x:v>-5690.81</x:v>
      </x:c>
      <x:c r="R425" s="627" t="n">
        <x:v>0</x:v>
      </x:c>
      <x:c r="S425" s="627" t="n">
        <x:v>0</x:v>
      </x:c>
      <x:c r="T425" s="653" t="n">
        <x:v>0</x:v>
      </x:c>
      <x:c r="U425" s="653">
        <x:v>0</x:v>
      </x:c>
      <x:c r="V425" s="653">
        <x:v>0</x:v>
      </x:c>
      <x:c r="W425" s="653">
        <x:v>0</x:v>
      </x:c>
      <x:c r="X425" s="653">
        <x:v>0</x:v>
      </x:c>
      <x:c r="Y425" s="627">
        <x:v>0</x:v>
      </x:c>
      <x:c r="Z425" s="653" t="n">
        <x:v>0</x:v>
      </x:c>
      <x:c r="BN425" s="624"/>
    </x:row>
    <x:row r="426" spans="1:66" x14ac:dyDescent="0.2">
      <x:c r="A426" s="628"/>
      <x:c r="B426" s="628"/>
      <x:c r="C426" s="628" t="inlineStr">
        <x:is>
          <x:t>ENEL</x:t>
        </x:is>
      </x:c>
      <x:c r="D426" s="628" t="inlineStr">
        <x:is>
          <x:t>Total</x:t>
        </x:is>
      </x:c>
      <x:c r="E426" s="629"/>
      <x:c r="F426" s="630" t="n">
        <x:v>-226278.07</x:v>
      </x:c>
      <x:c r="G426" s="630" t="n">
        <x:v>26896.68</x:v>
      </x:c>
      <x:c r="H426" s="630" t="n">
        <x:v>15292.29</x:v>
      </x:c>
      <x:c r="I426" s="630" t="n">
        <x:v>7987.79</x:v>
      </x:c>
      <x:c r="J426" s="630" t="n">
        <x:v>-105125.62</x:v>
      </x:c>
      <x:c r="K426" s="630" t="n">
        <x:v>-3487.78</x:v>
      </x:c>
      <x:c r="L426" s="630" t="n">
        <x:v>0</x:v>
      </x:c>
      <x:c r="M426" s="630" t="n">
        <x:v>-30596.02</x:v>
      </x:c>
      <x:c r="N426" s="630" t="n">
        <x:v>-33825.99</x:v>
      </x:c>
      <x:c r="O426" s="630" t="n">
        <x:v>-169274.83</x:v>
      </x:c>
      <x:c r="P426" s="630" t="n">
        <x:v>71546.22</x:v>
      </x:c>
      <x:c r="Q426" s="630" t="n">
        <x:v>-5690.81</x:v>
      </x:c>
      <x:c r="R426" s="630" t="n">
        <x:v>0</x:v>
      </x:c>
      <x:c r="S426" s="630" t="n">
        <x:v>0</x:v>
      </x:c>
      <x:c r="T426" s="630" t="n">
        <x:v>0</x:v>
      </x:c>
      <x:c r="U426" s="630">
        <x:v>0</x:v>
      </x:c>
      <x:c r="V426" s="630">
        <x:v>0</x:v>
      </x:c>
      <x:c r="W426" s="630">
        <x:v>0</x:v>
      </x:c>
      <x:c r="X426" s="630">
        <x:v>0</x:v>
      </x:c>
      <x:c r="Y426" s="630">
        <x:v>0</x:v>
      </x:c>
      <x:c r="Z426" s="630" t="n">
        <x:v>0</x:v>
      </x:c>
      <x:c r="AA426" s="628"/>
      <x:c r="AB426" s="628"/>
      <x:c r="AC426" s="628"/>
      <x:c r="AD426" s="628"/>
      <x:c r="AE426" s="628"/>
      <x:c r="AF426" s="628"/>
      <x:c r="AG426" s="628"/>
      <x:c r="AH426" s="628"/>
      <x:c r="AI426" s="628"/>
      <x:c r="AJ426" s="628"/>
      <x:c r="AK426" s="628"/>
      <x:c r="AL426" s="628"/>
      <x:c r="AM426" s="628"/>
      <x:c r="AN426" s="628"/>
      <x:c r="AO426" s="628"/>
      <x:c r="AP426" s="628"/>
      <x:c r="AQ426" s="628"/>
      <x:c r="AR426" s="628"/>
      <x:c r="AS426" s="628"/>
      <x:c r="AT426" s="628"/>
      <x:c r="AU426" s="628"/>
      <x:c r="AV426" s="628"/>
      <x:c r="AW426" s="628"/>
      <x:c r="AX426" s="628"/>
      <x:c r="AY426" s="628"/>
      <x:c r="AZ426" s="628"/>
      <x:c r="BA426" s="628"/>
      <x:c r="BB426" s="628"/>
      <x:c r="BC426" s="628"/>
      <x:c r="BD426" s="628"/>
      <x:c r="BE426" s="628"/>
      <x:c r="BF426" s="628"/>
      <x:c r="BG426" s="628"/>
      <x:c r="BH426" s="628"/>
      <x:c r="BI426" s="628"/>
      <x:c r="BJ426" s="628"/>
      <x:c r="BK426" s="628"/>
      <x:c r="BL426" s="628"/>
      <x:c r="BM426" s="628"/>
      <x:c r="BN426" s="624"/>
    </x:row>
    <x:row r="427" spans="1:66" x14ac:dyDescent="0.2">
      <x:c r="A427"/>
      <x:c r="B427"/>
      <x:c r="C427"/>
      <x:c r="D427"/>
      <x:c r="E427" s="625" t="inlineStr">
        <x:is>
          <x:t>Subsidio(-)/Contribucion(+)</x:t>
        </x:is>
      </x:c>
      <x:c r="F427" s="627" t="n">
        <x:v>-31196.09</x:v>
      </x:c>
      <x:c r="G427" s="627" t="n">
        <x:v>2454.39</x:v>
      </x:c>
      <x:c r="H427" s="627" t="n">
        <x:v>1386.66</x:v>
      </x:c>
      <x:c r="I427" s="627" t="n">
        <x:v>731.55</x:v>
      </x:c>
      <x:c r="J427" s="627" t="n">
        <x:v>-14691.57</x:v>
      </x:c>
      <x:c r="K427" s="627" t="n">
        <x:v>-406.98</x:v>
      </x:c>
      <x:c r="L427" s="627" t="n">
        <x:v>0</x:v>
      </x:c>
      <x:c r="M427" s="627" t="n">
        <x:v>-3570.02</x:v>
      </x:c>
      <x:c r="N427" s="627" t="n">
        <x:v>-3811.48</x:v>
      </x:c>
      <x:c r="O427" s="627" t="n">
        <x:v>-19139.53</x:v>
      </x:c>
      <x:c r="P427" s="627" t="n">
        <x:v>6514.92</x:v>
      </x:c>
      <x:c r="Q427" s="627" t="n">
        <x:v>-664.03</x:v>
      </x:c>
      <x:c r="R427" s="627" t="n">
        <x:v>0</x:v>
      </x:c>
      <x:c r="S427" s="627" t="n">
        <x:v>0</x:v>
      </x:c>
      <x:c r="T427" s="653" t="n">
        <x:v>0</x:v>
      </x:c>
      <x:c r="U427" s="653">
        <x:v>0</x:v>
      </x:c>
      <x:c r="V427" s="653">
        <x:v>0</x:v>
      </x:c>
      <x:c r="W427" s="653">
        <x:v>0</x:v>
      </x:c>
      <x:c r="X427" s="653">
        <x:v>0</x:v>
      </x:c>
      <x:c r="Y427" s="627">
        <x:v>0</x:v>
      </x:c>
      <x:c r="Z427" s="653" t="n">
        <x:v>0</x:v>
      </x:c>
      <x:c r="BN427" s="624"/>
    </x:row>
    <x:row r="428" spans="1:66" x14ac:dyDescent="0.2">
      <x:c r="A428"/>
      <x:c r="B428"/>
      <x:c r="C428"/>
      <x:c r="D428" s="25" t="inlineStr">
        <x:is>
          <x:t>O</x:t>
        </x:is>
      </x:c>
      <x:c r="E428" s="625" t="inlineStr">
        <x:is>
          <x:t>Total</x:t>
        </x:is>
      </x:c>
      <x:c r="F428" s="627" t="n">
        <x:v>-31196.09</x:v>
      </x:c>
      <x:c r="G428" s="627" t="n">
        <x:v>2454.39</x:v>
      </x:c>
      <x:c r="H428" s="627" t="n">
        <x:v>1386.66</x:v>
      </x:c>
      <x:c r="I428" s="627" t="n">
        <x:v>731.55</x:v>
      </x:c>
      <x:c r="J428" s="627" t="n">
        <x:v>-14691.57</x:v>
      </x:c>
      <x:c r="K428" s="627" t="n">
        <x:v>-406.98</x:v>
      </x:c>
      <x:c r="L428" s="627" t="n">
        <x:v>0</x:v>
      </x:c>
      <x:c r="M428" s="627" t="n">
        <x:v>-3570.02</x:v>
      </x:c>
      <x:c r="N428" s="627" t="n">
        <x:v>-3811.48</x:v>
      </x:c>
      <x:c r="O428" s="627" t="n">
        <x:v>-19139.53</x:v>
      </x:c>
      <x:c r="P428" s="627" t="n">
        <x:v>6514.92</x:v>
      </x:c>
      <x:c r="Q428" s="627" t="n">
        <x:v>-664.03</x:v>
      </x:c>
      <x:c r="R428" s="627" t="n">
        <x:v>0</x:v>
      </x:c>
      <x:c r="S428" s="627" t="n">
        <x:v>0</x:v>
      </x:c>
      <x:c r="T428" s="653" t="n">
        <x:v>0</x:v>
      </x:c>
      <x:c r="U428" s="653">
        <x:v>0</x:v>
      </x:c>
      <x:c r="V428" s="653">
        <x:v>0</x:v>
      </x:c>
      <x:c r="W428" s="653">
        <x:v>0</x:v>
      </x:c>
      <x:c r="X428" s="653">
        <x:v>0</x:v>
      </x:c>
      <x:c r="Y428" s="627">
        <x:v>0</x:v>
      </x:c>
      <x:c r="Z428" s="653" t="n">
        <x:v>0</x:v>
      </x:c>
      <x:c r="BN428" s="624"/>
    </x:row>
    <x:row r="429" spans="1:66" x14ac:dyDescent="0.2">
      <x:c r="A429" s="631"/>
      <x:c r="B429" s="631"/>
      <x:c r="C429" s="632" t="inlineStr">
        <x:is>
          <x:t>OCCIDENTE</x:t>
        </x:is>
      </x:c>
      <x:c r="D429" s="632" t="inlineStr">
        <x:is>
          <x:t>Total</x:t>
        </x:is>
      </x:c>
      <x:c r="E429" s="631"/>
      <x:c r="F429" s="633" t="n">
        <x:v>-31196.09</x:v>
      </x:c>
      <x:c r="G429" s="633" t="n">
        <x:v>2454.39</x:v>
      </x:c>
      <x:c r="H429" s="633" t="n">
        <x:v>1386.66</x:v>
      </x:c>
      <x:c r="I429" s="633" t="n">
        <x:v>731.55</x:v>
      </x:c>
      <x:c r="J429" s="633" t="n">
        <x:v>-14691.57</x:v>
      </x:c>
      <x:c r="K429" s="633" t="n">
        <x:v>-406.98</x:v>
      </x:c>
      <x:c r="L429" s="633" t="n">
        <x:v>0</x:v>
      </x:c>
      <x:c r="M429" s="633" t="n">
        <x:v>-3570.02</x:v>
      </x:c>
      <x:c r="N429" s="633" t="n">
        <x:v>-3811.48</x:v>
      </x:c>
      <x:c r="O429" s="633" t="n">
        <x:v>-19139.53</x:v>
      </x:c>
      <x:c r="P429" s="633" t="n">
        <x:v>6514.92</x:v>
      </x:c>
      <x:c r="Q429" s="633" t="n">
        <x:v>-664.03</x:v>
      </x:c>
      <x:c r="R429" s="633" t="n">
        <x:v>0</x:v>
      </x:c>
      <x:c r="S429" s="633" t="n">
        <x:v>0</x:v>
      </x:c>
      <x:c r="T429" s="633" t="n">
        <x:v>0</x:v>
      </x:c>
      <x:c r="U429" s="633">
        <x:v>0</x:v>
      </x:c>
      <x:c r="V429" s="633">
        <x:v>0</x:v>
      </x:c>
      <x:c r="W429" s="633">
        <x:v>0</x:v>
      </x:c>
      <x:c r="X429" s="633">
        <x:v>0</x:v>
      </x:c>
      <x:c r="Y429" s="633">
        <x:v>0</x:v>
      </x:c>
      <x:c r="Z429" s="633" t="n">
        <x:v>0</x:v>
      </x:c>
      <x:c r="AA429" s="631"/>
      <x:c r="AB429" s="631"/>
      <x:c r="AC429" s="631"/>
      <x:c r="AD429" s="631"/>
      <x:c r="AE429" s="631"/>
      <x:c r="AF429" s="631"/>
      <x:c r="AG429" s="631"/>
      <x:c r="AH429" s="631"/>
      <x:c r="AI429" s="631"/>
      <x:c r="AJ429" s="631"/>
      <x:c r="AK429" s="631"/>
      <x:c r="AL429" s="631"/>
      <x:c r="AM429" s="631"/>
      <x:c r="AN429" s="631"/>
      <x:c r="AO429" s="631"/>
      <x:c r="AP429" s="631"/>
      <x:c r="AQ429" s="631"/>
      <x:c r="AR429" s="631"/>
      <x:c r="AS429" s="631"/>
      <x:c r="AT429" s="631"/>
      <x:c r="AU429" s="631"/>
      <x:c r="AV429" s="631"/>
      <x:c r="AW429" s="631"/>
      <x:c r="AX429" s="631"/>
      <x:c r="AY429" s="631"/>
      <x:c r="AZ429" s="631"/>
      <x:c r="BA429" s="631"/>
      <x:c r="BB429" s="631"/>
      <x:c r="BC429" s="631"/>
      <x:c r="BD429" s="631"/>
      <x:c r="BE429" s="631"/>
      <x:c r="BF429" s="631"/>
      <x:c r="BG429" s="631"/>
      <x:c r="BH429" s="631"/>
      <x:c r="BI429" s="631"/>
      <x:c r="BJ429" s="631"/>
      <x:c r="BK429" s="631"/>
      <x:c r="BL429" s="631"/>
      <x:c r="BM429" s="631"/>
      <x:c r="BN429" s="624"/>
    </x:row>
    <x:row r="430" spans="1:66" x14ac:dyDescent="0.2">
      <x:c r="A430" s="635"/>
      <x:c r="B430" s="635" t="inlineStr">
        <x:is>
          <x:t>Aplicacion nuevos x reversion</x:t>
        </x:is>
      </x:c>
      <x:c r="C430" s="635" t="inlineStr">
        <x:is>
          <x:t>Total</x:t>
        </x:is>
      </x:c>
      <x:c r="D430" s="635"/>
      <x:c r="E430" s="636"/>
      <x:c r="F430" s="637" t="n">
        <x:v>-257474.16</x:v>
      </x:c>
      <x:c r="G430" s="637" t="n">
        <x:v>29351.07</x:v>
      </x:c>
      <x:c r="H430" s="637" t="n">
        <x:v>16678.95</x:v>
      </x:c>
      <x:c r="I430" s="637" t="n">
        <x:v>8719.34</x:v>
      </x:c>
      <x:c r="J430" s="637" t="n">
        <x:v>-119817.19</x:v>
      </x:c>
      <x:c r="K430" s="637" t="n">
        <x:v>-3894.76</x:v>
      </x:c>
      <x:c r="L430" s="637" t="n">
        <x:v>0</x:v>
      </x:c>
      <x:c r="M430" s="637" t="n">
        <x:v>-34166.04</x:v>
      </x:c>
      <x:c r="N430" s="637" t="n">
        <x:v>-37637.47</x:v>
      </x:c>
      <x:c r="O430" s="637" t="n">
        <x:v>-188414.36</x:v>
      </x:c>
      <x:c r="P430" s="637" t="n">
        <x:v>78061.14</x:v>
      </x:c>
      <x:c r="Q430" s="637" t="n">
        <x:v>-6354.84</x:v>
      </x:c>
      <x:c r="R430" s="637" t="n">
        <x:v>0</x:v>
      </x:c>
      <x:c r="S430" s="637" t="n">
        <x:v>0</x:v>
      </x:c>
      <x:c r="T430" s="637" t="n">
        <x:v>0</x:v>
      </x:c>
      <x:c r="U430" s="637">
        <x:v>0</x:v>
      </x:c>
      <x:c r="V430" s="637">
        <x:v>0</x:v>
      </x:c>
      <x:c r="W430" s="637">
        <x:v>0</x:v>
      </x:c>
      <x:c r="X430" s="637">
        <x:v>0</x:v>
      </x:c>
      <x:c r="Y430" s="637">
        <x:v>0</x:v>
      </x:c>
      <x:c r="Z430" s="637" t="n">
        <x:v>0</x:v>
      </x:c>
      <x:c r="AA430" s="635"/>
      <x:c r="AB430" s="635"/>
      <x:c r="AC430" s="635"/>
      <x:c r="AD430" s="635"/>
      <x:c r="AE430" s="635"/>
      <x:c r="AF430" s="635"/>
      <x:c r="AG430" s="635"/>
      <x:c r="AH430" s="635"/>
      <x:c r="AI430" s="635"/>
      <x:c r="AJ430" s="635"/>
      <x:c r="AK430" s="635"/>
      <x:c r="AL430" s="635"/>
      <x:c r="AM430" s="635"/>
      <x:c r="AN430" s="635"/>
      <x:c r="AO430" s="635"/>
      <x:c r="AP430" s="635"/>
      <x:c r="AQ430" s="635"/>
      <x:c r="AR430" s="635"/>
      <x:c r="AS430" s="635"/>
      <x:c r="AT430" s="635"/>
      <x:c r="AU430" s="635"/>
      <x:c r="AV430" s="635"/>
      <x:c r="AW430" s="635"/>
      <x:c r="AX430" s="635"/>
      <x:c r="AY430" s="635"/>
      <x:c r="AZ430" s="635"/>
      <x:c r="BA430" s="635"/>
      <x:c r="BB430" s="635"/>
      <x:c r="BC430" s="635"/>
      <x:c r="BD430" s="635"/>
      <x:c r="BE430" s="635"/>
      <x:c r="BF430" s="635"/>
      <x:c r="BG430" s="635"/>
      <x:c r="BH430" s="635"/>
      <x:c r="BI430" s="635"/>
      <x:c r="BJ430" s="635"/>
      <x:c r="BK430" s="635"/>
      <x:c r="BL430" s="635"/>
      <x:c r="BM430" s="635"/>
      <x:c r="BN430" s="624"/>
    </x:row>
    <x:row r="431" spans="1:66" x14ac:dyDescent="0.2">
      <x:c r="A431"/>
      <x:c r="B431"/>
      <x:c r="C431"/>
      <x:c r="D431"/>
      <x:c r="E431" s="625" t="inlineStr">
        <x:is>
          <x:t>Subsidio(-)/Contribucion(+)</x:t>
        </x:is>
      </x:c>
      <x:c r="F431" s="627" t="n">
        <x:v>-633811893.27</x:v>
      </x:c>
      <x:c r="G431" s="627" t="n">
        <x:v>10445313.45</x:v>
      </x:c>
      <x:c r="H431" s="627" t="n">
        <x:v>6043668.35</x:v>
      </x:c>
      <x:c r="I431" s="627" t="n">
        <x:v>3225979.12</x:v>
      </x:c>
      <x:c r="J431" s="627" t="n">
        <x:v>-194493967.5</x:v>
      </x:c>
      <x:c r="K431" s="627" t="n">
        <x:v>-7524083.84</x:v>
      </x:c>
      <x:c r="L431" s="627" t="n">
        <x:v>0</x:v>
      </x:c>
      <x:c r="M431" s="627" t="n">
        <x:v>-66004810.5</x:v>
      </x:c>
      <x:c r="N431" s="627" t="n">
        <x:v>-65630053.07</x:v>
      </x:c>
      <x:c r="O431" s="627" t="n">
        <x:v>-335335691.51</x:v>
      </x:c>
      <x:c r="P431" s="627" t="n">
        <x:v>27741086.86</x:v>
      </x:c>
      <x:c r="Q431" s="627" t="n">
        <x:v>-12279334.63</x:v>
      </x:c>
      <x:c r="R431" s="627" t="n">
        <x:v>0</x:v>
      </x:c>
      <x:c r="S431" s="627" t="n">
        <x:v>0</x:v>
      </x:c>
      <x:c r="T431" s="653" t="n">
        <x:v>0</x:v>
      </x:c>
      <x:c r="U431" s="653">
        <x:v>0</x:v>
      </x:c>
      <x:c r="V431" s="653">
        <x:v>0</x:v>
      </x:c>
      <x:c r="W431" s="653">
        <x:v>0</x:v>
      </x:c>
      <x:c r="X431" s="653">
        <x:v>0</x:v>
      </x:c>
      <x:c r="Y431" s="627">
        <x:v>0</x:v>
      </x:c>
      <x:c r="Z431" s="653" t="n">
        <x:v>0</x:v>
      </x:c>
      <x:c r="BN431" s="624"/>
    </x:row>
    <x:row r="432" spans="1:66" x14ac:dyDescent="0.2">
      <x:c r="A432"/>
      <x:c r="B432"/>
      <x:c r="C432"/>
      <x:c r="D432" s="625" t="inlineStr">
        <x:is>
          <x:t>E</x:t>
        </x:is>
      </x:c>
      <x:c r="E432" s="625" t="inlineStr">
        <x:is>
          <x:t>Total</x:t>
        </x:is>
      </x:c>
      <x:c r="F432" s="627" t="n">
        <x:v>-633811893.27</x:v>
      </x:c>
      <x:c r="G432" s="627" t="n">
        <x:v>10445313.45</x:v>
      </x:c>
      <x:c r="H432" s="627" t="n">
        <x:v>6043668.35</x:v>
      </x:c>
      <x:c r="I432" s="627" t="n">
        <x:v>3225979.12</x:v>
      </x:c>
      <x:c r="J432" s="627" t="n">
        <x:v>-194493967.5</x:v>
      </x:c>
      <x:c r="K432" s="627" t="n">
        <x:v>-7524083.84</x:v>
      </x:c>
      <x:c r="L432" s="627" t="n">
        <x:v>0</x:v>
      </x:c>
      <x:c r="M432" s="627" t="n">
        <x:v>-66004810.5</x:v>
      </x:c>
      <x:c r="N432" s="627" t="n">
        <x:v>-65630053.07</x:v>
      </x:c>
      <x:c r="O432" s="627" t="n">
        <x:v>-335335691.51</x:v>
      </x:c>
      <x:c r="P432" s="627" t="n">
        <x:v>27741086.86</x:v>
      </x:c>
      <x:c r="Q432" s="627" t="n">
        <x:v>-12279334.63</x:v>
      </x:c>
      <x:c r="R432" s="627" t="n">
        <x:v>0</x:v>
      </x:c>
      <x:c r="S432" s="627" t="n">
        <x:v>0</x:v>
      </x:c>
      <x:c r="T432" s="653" t="n">
        <x:v>0</x:v>
      </x:c>
      <x:c r="U432" s="653">
        <x:v>0</x:v>
      </x:c>
      <x:c r="V432" s="653">
        <x:v>0</x:v>
      </x:c>
      <x:c r="W432" s="653">
        <x:v>0</x:v>
      </x:c>
      <x:c r="X432" s="653">
        <x:v>0</x:v>
      </x:c>
      <x:c r="Y432" s="627">
        <x:v>0</x:v>
      </x:c>
      <x:c r="Z432" s="653" t="n">
        <x:v>0</x:v>
      </x:c>
      <x:c r="BN432" s="624"/>
    </x:row>
    <x:row r="433" spans="1:66" x14ac:dyDescent="0.2">
      <x:c r="A433" s="628"/>
      <x:c r="B433" s="628"/>
      <x:c r="C433" s="628" t="inlineStr">
        <x:is>
          <x:t>ENEL</x:t>
        </x:is>
      </x:c>
      <x:c r="D433" s="628" t="inlineStr">
        <x:is>
          <x:t>Total</x:t>
        </x:is>
      </x:c>
      <x:c r="E433" s="629"/>
      <x:c r="F433" s="630" t="n">
        <x:v>-633811893.27</x:v>
      </x:c>
      <x:c r="G433" s="630" t="n">
        <x:v>10445313.45</x:v>
      </x:c>
      <x:c r="H433" s="630" t="n">
        <x:v>6043668.35</x:v>
      </x:c>
      <x:c r="I433" s="630" t="n">
        <x:v>3225979.12</x:v>
      </x:c>
      <x:c r="J433" s="630" t="n">
        <x:v>-194493967.5</x:v>
      </x:c>
      <x:c r="K433" s="630" t="n">
        <x:v>-7524083.84</x:v>
      </x:c>
      <x:c r="L433" s="630" t="n">
        <x:v>0</x:v>
      </x:c>
      <x:c r="M433" s="630" t="n">
        <x:v>-66004810.5</x:v>
      </x:c>
      <x:c r="N433" s="630" t="n">
        <x:v>-65630053.07</x:v>
      </x:c>
      <x:c r="O433" s="630" t="n">
        <x:v>-335335691.51</x:v>
      </x:c>
      <x:c r="P433" s="630" t="n">
        <x:v>27741086.86</x:v>
      </x:c>
      <x:c r="Q433" s="630" t="n">
        <x:v>-12279334.63</x:v>
      </x:c>
      <x:c r="R433" s="630" t="n">
        <x:v>0</x:v>
      </x:c>
      <x:c r="S433" s="630" t="n">
        <x:v>0</x:v>
      </x:c>
      <x:c r="T433" s="630" t="n">
        <x:v>0</x:v>
      </x:c>
      <x:c r="U433" s="630">
        <x:v>0</x:v>
      </x:c>
      <x:c r="V433" s="630">
        <x:v>0</x:v>
      </x:c>
      <x:c r="W433" s="630">
        <x:v>0</x:v>
      </x:c>
      <x:c r="X433" s="630">
        <x:v>0</x:v>
      </x:c>
      <x:c r="Y433" s="630">
        <x:v>0</x:v>
      </x:c>
      <x:c r="Z433" s="630" t="n">
        <x:v>0</x:v>
      </x:c>
      <x:c r="AA433" s="628"/>
      <x:c r="AB433" s="628"/>
      <x:c r="AC433" s="628"/>
      <x:c r="AD433" s="628"/>
      <x:c r="AE433" s="628"/>
      <x:c r="AF433" s="628"/>
      <x:c r="AG433" s="628"/>
      <x:c r="AH433" s="628"/>
      <x:c r="AI433" s="628"/>
      <x:c r="AJ433" s="628"/>
      <x:c r="AK433" s="628"/>
      <x:c r="AL433" s="628"/>
      <x:c r="AM433" s="628"/>
      <x:c r="AN433" s="628"/>
      <x:c r="AO433" s="628"/>
      <x:c r="AP433" s="628"/>
      <x:c r="AQ433" s="628"/>
      <x:c r="AR433" s="628"/>
      <x:c r="AS433" s="628"/>
      <x:c r="AT433" s="628"/>
      <x:c r="AU433" s="628"/>
      <x:c r="AV433" s="628"/>
      <x:c r="AW433" s="628"/>
      <x:c r="AX433" s="628"/>
      <x:c r="AY433" s="628"/>
      <x:c r="AZ433" s="628"/>
      <x:c r="BA433" s="628"/>
      <x:c r="BB433" s="628"/>
      <x:c r="BC433" s="628"/>
      <x:c r="BD433" s="628"/>
      <x:c r="BE433" s="628"/>
      <x:c r="BF433" s="628"/>
      <x:c r="BG433" s="628"/>
      <x:c r="BH433" s="628"/>
      <x:c r="BI433" s="628"/>
      <x:c r="BJ433" s="628"/>
      <x:c r="BK433" s="628"/>
      <x:c r="BL433" s="628"/>
      <x:c r="BM433" s="628"/>
      <x:c r="BN433" s="624"/>
    </x:row>
    <x:row r="434" spans="1:66" x14ac:dyDescent="0.2">
      <x:c r="A434"/>
      <x:c r="B434"/>
      <x:c r="C434"/>
      <x:c r="D434" s="625"/>
      <x:c r="E434" s="625" t="inlineStr">
        <x:is>
          <x:t>Subsidio(-)/Contribucion(+)</x:t>
        </x:is>
      </x:c>
      <x:c r="F434" s="627" t="n">
        <x:v>572676.61</x:v>
      </x:c>
      <x:c r="G434" s="627" t="n">
        <x:v>54198.01</x:v>
      </x:c>
      <x:c r="H434" s="627" t="n">
        <x:v>26146.59</x:v>
      </x:c>
      <x:c r="I434" s="627" t="n">
        <x:v>14647.13</x:v>
      </x:c>
      <x:c r="J434" s="627" t="n">
        <x:v>98253.74</x:v>
      </x:c>
      <x:c r="K434" s="627" t="n">
        <x:v>3141.26</x:v>
      </x:c>
      <x:c r="L434" s="627" t="n">
        <x:v>0</x:v>
      </x:c>
      <x:c r="M434" s="627" t="n">
        <x:v>27604.79</x:v>
      </x:c>
      <x:c r="N434" s="627" t="n">
        <x:v>32810.74</x:v>
      </x:c>
      <x:c r="O434" s="627" t="n">
        <x:v>165741.59</x:v>
      </x:c>
      <x:c r="P434" s="627" t="n">
        <x:v>144992.38</x:v>
      </x:c>
      <x:c r="Q434" s="627" t="n">
        <x:v>5140.38</x:v>
      </x:c>
      <x:c r="R434" s="627" t="n">
        <x:v>0</x:v>
      </x:c>
      <x:c r="S434" s="627" t="n">
        <x:v>0</x:v>
      </x:c>
      <x:c r="T434" s="653" t="n">
        <x:v>0</x:v>
      </x:c>
      <x:c r="U434" s="653">
        <x:v>0</x:v>
      </x:c>
      <x:c r="V434" s="653">
        <x:v>0</x:v>
      </x:c>
      <x:c r="W434" s="653">
        <x:v>0</x:v>
      </x:c>
      <x:c r="X434" s="653">
        <x:v>0</x:v>
      </x:c>
      <x:c r="Y434" s="627">
        <x:v>0</x:v>
      </x:c>
      <x:c r="Z434" s="653" t="n">
        <x:v>0</x:v>
      </x:c>
      <x:c r="BN434" s="624"/>
    </x:row>
    <x:row r="435" spans="1:66" x14ac:dyDescent="0.2">
      <x:c r="A435"/>
      <x:c r="B435"/>
      <x:c r="C435"/>
      <x:c r="D435" s="625" t="inlineStr">
        <x:is>
          <x:t>1</x:t>
        </x:is>
      </x:c>
      <x:c r="E435" s="625" t="inlineStr">
        <x:is>
          <x:t>Total</x:t>
        </x:is>
      </x:c>
      <x:c r="F435" s="627" t="n">
        <x:v>572676.61</x:v>
      </x:c>
      <x:c r="G435" s="627" t="n">
        <x:v>54198.01</x:v>
      </x:c>
      <x:c r="H435" s="627" t="n">
        <x:v>26146.59</x:v>
      </x:c>
      <x:c r="I435" s="627" t="n">
        <x:v>14647.13</x:v>
      </x:c>
      <x:c r="J435" s="627" t="n">
        <x:v>98253.74</x:v>
      </x:c>
      <x:c r="K435" s="627" t="n">
        <x:v>3141.26</x:v>
      </x:c>
      <x:c r="L435" s="627" t="n">
        <x:v>0</x:v>
      </x:c>
      <x:c r="M435" s="627" t="n">
        <x:v>27604.79</x:v>
      </x:c>
      <x:c r="N435" s="627" t="n">
        <x:v>32810.74</x:v>
      </x:c>
      <x:c r="O435" s="627" t="n">
        <x:v>165741.59</x:v>
      </x:c>
      <x:c r="P435" s="627" t="n">
        <x:v>144992.38</x:v>
      </x:c>
      <x:c r="Q435" s="627" t="n">
        <x:v>5140.38</x:v>
      </x:c>
      <x:c r="R435" s="627" t="n">
        <x:v>0</x:v>
      </x:c>
      <x:c r="S435" s="627" t="n">
        <x:v>0</x:v>
      </x:c>
      <x:c r="T435" s="653" t="n">
        <x:v>0</x:v>
      </x:c>
      <x:c r="U435" s="653">
        <x:v>0</x:v>
      </x:c>
      <x:c r="V435" s="653">
        <x:v>0</x:v>
      </x:c>
      <x:c r="W435" s="653">
        <x:v>0</x:v>
      </x:c>
      <x:c r="X435" s="653">
        <x:v>0</x:v>
      </x:c>
      <x:c r="Y435" s="627">
        <x:v>0</x:v>
      </x:c>
      <x:c r="Z435" s="653" t="n">
        <x:v>0</x:v>
      </x:c>
      <x:c r="BN435" s="624"/>
    </x:row>
    <x:row r="436" spans="1:66" x14ac:dyDescent="0.2">
      <x:c r="A436"/>
      <x:c r="B436"/>
      <x:c r="C436"/>
      <x:c r="D436" s="625"/>
      <x:c r="E436" s="625" t="inlineStr">
        <x:is>
          <x:t>Subsidio(-)/Contribucion(+)</x:t>
        </x:is>
      </x:c>
      <x:c r="F436" s="627" t="n">
        <x:v>-11495.84</x:v>
      </x:c>
      <x:c r="G436" s="627" t="n">
        <x:v>-603.07</x:v>
      </x:c>
      <x:c r="H436" s="627" t="n">
        <x:v>-277.46</x:v>
      </x:c>
      <x:c r="I436" s="627" t="n">
        <x:v>-168.37</x:v>
      </x:c>
      <x:c r="J436" s="627" t="n">
        <x:v>-2860.6</x:v>
      </x:c>
      <x:c r="K436" s="627" t="n">
        <x:v>-72.14</x:v>
      </x:c>
      <x:c r="L436" s="627" t="n">
        <x:v>0</x:v>
      </x:c>
      <x:c r="M436" s="627" t="n">
        <x:v>-632.82</x:v>
      </x:c>
      <x:c r="N436" s="627" t="n">
        <x:v>-848.15</x:v>
      </x:c>
      <x:c r="O436" s="627" t="n">
        <x:v>-4298.83</x:v>
      </x:c>
      <x:c r="P436" s="627" t="n">
        <x:v>-1616.7</x:v>
      </x:c>
      <x:c r="Q436" s="627" t="n">
        <x:v>-117.7</x:v>
      </x:c>
      <x:c r="R436" s="627" t="n">
        <x:v>0</x:v>
      </x:c>
      <x:c r="S436" s="627" t="n">
        <x:v>0</x:v>
      </x:c>
      <x:c r="T436" s="653" t="n">
        <x:v>0</x:v>
      </x:c>
      <x:c r="U436" s="653">
        <x:v>0</x:v>
      </x:c>
      <x:c r="V436" s="653">
        <x:v>0</x:v>
      </x:c>
      <x:c r="W436" s="653">
        <x:v>0</x:v>
      </x:c>
      <x:c r="X436" s="653">
        <x:v>0</x:v>
      </x:c>
      <x:c r="Y436" s="627">
        <x:v>0</x:v>
      </x:c>
      <x:c r="Z436" s="653" t="n">
        <x:v>0</x:v>
      </x:c>
      <x:c r="BN436" s="624"/>
    </x:row>
    <x:row r="437" spans="1:66" x14ac:dyDescent="0.2">
      <x:c r="A437"/>
      <x:c r="B437"/>
      <x:c r="C437"/>
      <x:c r="D437" s="625" t="inlineStr">
        <x:is>
          <x:t>2</x:t>
        </x:is>
      </x:c>
      <x:c r="E437" s="625" t="inlineStr">
        <x:is>
          <x:t>Total</x:t>
        </x:is>
      </x:c>
      <x:c r="F437" s="627" t="n">
        <x:v>-11495.84</x:v>
      </x:c>
      <x:c r="G437" s="627" t="n">
        <x:v>-603.07</x:v>
      </x:c>
      <x:c r="H437" s="627" t="n">
        <x:v>-277.46</x:v>
      </x:c>
      <x:c r="I437" s="627" t="n">
        <x:v>-168.37</x:v>
      </x:c>
      <x:c r="J437" s="627" t="n">
        <x:v>-2860.6</x:v>
      </x:c>
      <x:c r="K437" s="627" t="n">
        <x:v>-72.14</x:v>
      </x:c>
      <x:c r="L437" s="627" t="n">
        <x:v>0</x:v>
      </x:c>
      <x:c r="M437" s="627" t="n">
        <x:v>-632.82</x:v>
      </x:c>
      <x:c r="N437" s="627" t="n">
        <x:v>-848.15</x:v>
      </x:c>
      <x:c r="O437" s="627" t="n">
        <x:v>-4298.83</x:v>
      </x:c>
      <x:c r="P437" s="627" t="n">
        <x:v>-1616.7</x:v>
      </x:c>
      <x:c r="Q437" s="627" t="n">
        <x:v>-117.7</x:v>
      </x:c>
      <x:c r="R437" s="627" t="n">
        <x:v>0</x:v>
      </x:c>
      <x:c r="S437" s="627" t="n">
        <x:v>0</x:v>
      </x:c>
      <x:c r="T437" s="653" t="n">
        <x:v>0</x:v>
      </x:c>
      <x:c r="U437" s="653">
        <x:v>0</x:v>
      </x:c>
      <x:c r="V437" s="653">
        <x:v>0</x:v>
      </x:c>
      <x:c r="W437" s="653">
        <x:v>0</x:v>
      </x:c>
      <x:c r="X437" s="653">
        <x:v>0</x:v>
      </x:c>
      <x:c r="Y437" s="627">
        <x:v>0</x:v>
      </x:c>
      <x:c r="Z437" s="653" t="n">
        <x:v>0</x:v>
      </x:c>
      <x:c r="BN437" s="624"/>
    </x:row>
    <x:row r="438" spans="1:66" x14ac:dyDescent="0.2">
      <x:c r="A438"/>
      <x:c r="B438"/>
      <x:c r="C438"/>
      <x:c r="D438"/>
      <x:c r="E438" s="625" t="inlineStr">
        <x:is>
          <x:t>Subsidio(-)/Contribucion(+)</x:t>
        </x:is>
      </x:c>
      <x:c r="F438" s="627" t="n">
        <x:v>-298279.45</x:v>
      </x:c>
      <x:c r="G438" s="627" t="n">
        <x:v>-728.17</x:v>
      </x:c>
      <x:c r="H438" s="627" t="n">
        <x:v>-809.31</x:v>
      </x:c>
      <x:c r="I438" s="627" t="n">
        <x:v>-376.02</x:v>
      </x:c>
      <x:c r="J438" s="627" t="n">
        <x:v>-85680.91</x:v>
      </x:c>
      <x:c r="K438" s="627" t="n">
        <x:v>-3328.71</x:v>
      </x:c>
      <x:c r="L438" s="627" t="n">
        <x:v>0</x:v>
      </x:c>
      <x:c r="M438" s="627" t="n">
        <x:v>-29199.66</x:v>
      </x:c>
      <x:c r="N438" s="627" t="n">
        <x:v>-27733.04</x:v>
      </x:c>
      <x:c r="O438" s="627" t="n">
        <x:v>-143587.22</x:v>
      </x:c>
      <x:c r="P438" s="627" t="n">
        <x:v>-1405.26</x:v>
      </x:c>
      <x:c r="Q438" s="627" t="n">
        <x:v>-5431.15</x:v>
      </x:c>
      <x:c r="R438" s="627" t="n">
        <x:v>0</x:v>
      </x:c>
      <x:c r="S438" s="627" t="n">
        <x:v>0</x:v>
      </x:c>
      <x:c r="T438" s="653" t="n">
        <x:v>0</x:v>
      </x:c>
      <x:c r="U438" s="653">
        <x:v>0</x:v>
      </x:c>
      <x:c r="V438" s="653">
        <x:v>0</x:v>
      </x:c>
      <x:c r="W438" s="653">
        <x:v>0</x:v>
      </x:c>
      <x:c r="X438" s="653">
        <x:v>0</x:v>
      </x:c>
      <x:c r="Y438" s="627">
        <x:v>0</x:v>
      </x:c>
      <x:c r="Z438" s="653" t="n">
        <x:v>0</x:v>
      </x:c>
      <x:c r="BN438" s="624"/>
    </x:row>
    <x:row r="439" spans="1:66" x14ac:dyDescent="0.2">
      <x:c r="A439"/>
      <x:c r="B439"/>
      <x:c r="C439"/>
      <x:c r="D439" s="625" t="inlineStr">
        <x:is>
          <x:t>5</x:t>
        </x:is>
      </x:c>
      <x:c r="E439" s="625" t="inlineStr">
        <x:is>
          <x:t>Total</x:t>
        </x:is>
      </x:c>
      <x:c r="F439" s="627" t="n">
        <x:v>-298279.45</x:v>
      </x:c>
      <x:c r="G439" s="627" t="n">
        <x:v>-728.17</x:v>
      </x:c>
      <x:c r="H439" s="627" t="n">
        <x:v>-809.31</x:v>
      </x:c>
      <x:c r="I439" s="627" t="n">
        <x:v>-376.02</x:v>
      </x:c>
      <x:c r="J439" s="627" t="n">
        <x:v>-85680.91</x:v>
      </x:c>
      <x:c r="K439" s="627" t="n">
        <x:v>-3328.71</x:v>
      </x:c>
      <x:c r="L439" s="627" t="n">
        <x:v>0</x:v>
      </x:c>
      <x:c r="M439" s="627" t="n">
        <x:v>-29199.66</x:v>
      </x:c>
      <x:c r="N439" s="627" t="n">
        <x:v>-27733.04</x:v>
      </x:c>
      <x:c r="O439" s="627" t="n">
        <x:v>-143587.22</x:v>
      </x:c>
      <x:c r="P439" s="627" t="n">
        <x:v>-1405.26</x:v>
      </x:c>
      <x:c r="Q439" s="627" t="n">
        <x:v>-5431.15</x:v>
      </x:c>
      <x:c r="R439" s="627" t="n">
        <x:v>0</x:v>
      </x:c>
      <x:c r="S439" s="627" t="n">
        <x:v>0</x:v>
      </x:c>
      <x:c r="T439" s="653" t="n">
        <x:v>0</x:v>
      </x:c>
      <x:c r="U439" s="653">
        <x:v>0</x:v>
      </x:c>
      <x:c r="V439" s="653">
        <x:v>0</x:v>
      </x:c>
      <x:c r="W439" s="653">
        <x:v>0</x:v>
      </x:c>
      <x:c r="X439" s="653">
        <x:v>0</x:v>
      </x:c>
      <x:c r="Y439" s="627">
        <x:v>0</x:v>
      </x:c>
      <x:c r="Z439" s="653" t="n">
        <x:v>0</x:v>
      </x:c>
      <x:c r="BN439" s="624"/>
    </x:row>
    <x:row r="440" spans="1:66" x14ac:dyDescent="0.2">
      <x:c r="A440" s="667"/>
      <x:c r="B440" s="667"/>
      <x:c r="C440" s="647" t="inlineStr">
        <x:is>
          <x:t>NUEVO ESQUEMA</x:t>
        </x:is>
      </x:c>
      <x:c r="D440" s="647" t="inlineStr">
        <x:is>
          <x:t>Total</x:t>
        </x:is>
      </x:c>
      <x:c r="E440" s="667"/>
      <x:c r="F440" s="648" t="n">
        <x:v>262901.32</x:v>
      </x:c>
      <x:c r="G440" s="648" t="n">
        <x:v>52866.77</x:v>
      </x:c>
      <x:c r="H440" s="648" t="n">
        <x:v>25059.82</x:v>
      </x:c>
      <x:c r="I440" s="648" t="n">
        <x:v>14102.74</x:v>
      </x:c>
      <x:c r="J440" s="648" t="n">
        <x:v>9712.23</x:v>
      </x:c>
      <x:c r="K440" s="648" t="n">
        <x:v>-259.59</x:v>
      </x:c>
      <x:c r="L440" s="648" t="n">
        <x:v>0</x:v>
      </x:c>
      <x:c r="M440" s="648" t="n">
        <x:v>-2227.69</x:v>
      </x:c>
      <x:c r="N440" s="648" t="n">
        <x:v>4229.55</x:v>
      </x:c>
      <x:c r="O440" s="648" t="n">
        <x:v>17855.54</x:v>
      </x:c>
      <x:c r="P440" s="648" t="n">
        <x:v>141970.42</x:v>
      </x:c>
      <x:c r="Q440" s="648" t="n">
        <x:v>-408.47</x:v>
      </x:c>
      <x:c r="R440" s="648" t="n">
        <x:v>0</x:v>
      </x:c>
      <x:c r="S440" s="648" t="n">
        <x:v>0</x:v>
      </x:c>
      <x:c r="T440" s="648" t="n">
        <x:v>0</x:v>
      </x:c>
      <x:c r="U440" s="648">
        <x:v>0</x:v>
      </x:c>
      <x:c r="V440" s="648">
        <x:v>0</x:v>
      </x:c>
      <x:c r="W440" s="648">
        <x:v>0</x:v>
      </x:c>
      <x:c r="X440" s="672">
        <x:v>0</x:v>
      </x:c>
      <x:c r="Y440" s="672">
        <x:v>0</x:v>
      </x:c>
      <x:c r="Z440" s="672" t="n">
        <x:v>0</x:v>
      </x:c>
      <x:c r="AA440" s="667"/>
      <x:c r="AB440" s="667"/>
      <x:c r="AC440" s="667"/>
      <x:c r="AD440" s="667"/>
      <x:c r="AE440" s="667"/>
      <x:c r="AF440" s="667"/>
      <x:c r="AG440" s="667"/>
      <x:c r="AH440" s="667"/>
      <x:c r="AI440" s="667"/>
      <x:c r="AJ440" s="667"/>
      <x:c r="AK440" s="667"/>
      <x:c r="AL440" s="667"/>
      <x:c r="AM440" s="667"/>
      <x:c r="AN440" s="667"/>
      <x:c r="AO440" s="667"/>
      <x:c r="AP440" s="667"/>
      <x:c r="AQ440" s="667"/>
      <x:c r="AR440" s="667"/>
      <x:c r="AS440" s="667"/>
      <x:c r="AT440" s="667"/>
      <x:c r="AU440" s="667"/>
      <x:c r="AV440" s="667"/>
      <x:c r="AW440" s="667"/>
      <x:c r="AX440" s="667"/>
      <x:c r="AY440" s="667"/>
      <x:c r="AZ440" s="667"/>
      <x:c r="BA440" s="667"/>
      <x:c r="BB440" s="667"/>
      <x:c r="BC440" s="667"/>
      <x:c r="BD440" s="667"/>
      <x:c r="BE440" s="667"/>
      <x:c r="BF440" s="667"/>
      <x:c r="BG440" s="667"/>
      <x:c r="BH440" s="667"/>
      <x:c r="BI440" s="667"/>
      <x:c r="BJ440" s="667"/>
      <x:c r="BK440" s="667"/>
      <x:c r="BL440" s="667"/>
      <x:c r="BM440" s="667"/>
      <x:c r="BN440" s="624"/>
    </x:row>
    <x:row r="441" spans="1:66" x14ac:dyDescent="0.2">
      <x:c r="A441"/>
      <x:c r="B441"/>
      <x:c r="C441"/>
      <x:c r="D441"/>
      <x:c r="E441" s="625" t="inlineStr">
        <x:is>
          <x:t>Subsidio(-)/Contribucion(+)</x:t>
        </x:is>
      </x:c>
      <x:c r="F441" s="627" t="n">
        <x:v>4631259.42</x:v>
      </x:c>
      <x:c r="G441" s="627" t="n">
        <x:v>558477.52</x:v>
      </x:c>
      <x:c r="H441" s="627" t="n">
        <x:v>316498.74</x:v>
      </x:c>
      <x:c r="I441" s="627" t="n">
        <x:v>167983.06</x:v>
      </x:c>
      <x:c r="J441" s="627" t="n">
        <x:v>664622.82</x:v>
      </x:c>
      <x:c r="K441" s="627" t="n">
        <x:v>17733.67</x:v>
      </x:c>
      <x:c r="L441" s="627" t="n">
        <x:v>0</x:v>
      </x:c>
      <x:c r="M441" s="627" t="n">
        <x:v>156640.94</x:v>
      </x:c>
      <x:c r="N441" s="627" t="n">
        <x:v>207558.96</x:v>
      </x:c>
      <x:c r="O441" s="627" t="n">
        <x:v>1018989.61</x:v>
      </x:c>
      <x:c r="P441" s="627" t="n">
        <x:v>1493820.31</x:v>
      </x:c>
      <x:c r="Q441" s="627" t="n">
        <x:v>28933.79</x:v>
      </x:c>
      <x:c r="R441" s="627" t="n">
        <x:v>0</x:v>
      </x:c>
      <x:c r="S441" s="627" t="n">
        <x:v>0</x:v>
      </x:c>
      <x:c r="T441" s="653" t="n">
        <x:v>0</x:v>
      </x:c>
      <x:c r="U441" s="653">
        <x:v>0</x:v>
      </x:c>
      <x:c r="V441" s="653">
        <x:v>0</x:v>
      </x:c>
      <x:c r="W441" s="653">
        <x:v>0</x:v>
      </x:c>
      <x:c r="X441" s="653">
        <x:v>0</x:v>
      </x:c>
      <x:c r="Y441" s="627">
        <x:v>0</x:v>
      </x:c>
      <x:c r="Z441" s="653" t="n">
        <x:v>0</x:v>
      </x:c>
      <x:c r="BN441" s="624"/>
    </x:row>
    <x:row r="442" spans="1:66" x14ac:dyDescent="0.2">
      <x:c r="A442"/>
      <x:c r="B442"/>
      <x:c r="C442"/>
      <x:c r="D442" s="625" t="inlineStr">
        <x:is>
          <x:t>H</x:t>
        </x:is>
      </x:c>
      <x:c r="E442" s="625" t="inlineStr">
        <x:is>
          <x:t>Total</x:t>
        </x:is>
      </x:c>
      <x:c r="F442" s="627" t="n">
        <x:v>4631259.42</x:v>
      </x:c>
      <x:c r="G442" s="627" t="n">
        <x:v>558477.52</x:v>
      </x:c>
      <x:c r="H442" s="627" t="n">
        <x:v>316498.74</x:v>
      </x:c>
      <x:c r="I442" s="627" t="n">
        <x:v>167983.06</x:v>
      </x:c>
      <x:c r="J442" s="627" t="n">
        <x:v>664622.82</x:v>
      </x:c>
      <x:c r="K442" s="627" t="n">
        <x:v>17733.67</x:v>
      </x:c>
      <x:c r="L442" s="627" t="n">
        <x:v>0</x:v>
      </x:c>
      <x:c r="M442" s="627" t="n">
        <x:v>156640.94</x:v>
      </x:c>
      <x:c r="N442" s="627" t="n">
        <x:v>207558.96</x:v>
      </x:c>
      <x:c r="O442" s="627" t="n">
        <x:v>1018989.61</x:v>
      </x:c>
      <x:c r="P442" s="627" t="n">
        <x:v>1493820.31</x:v>
      </x:c>
      <x:c r="Q442" s="627" t="n">
        <x:v>28933.79</x:v>
      </x:c>
      <x:c r="R442" s="627" t="n">
        <x:v>0</x:v>
      </x:c>
      <x:c r="S442" s="627" t="n">
        <x:v>0</x:v>
      </x:c>
      <x:c r="T442" s="653" t="n">
        <x:v>0</x:v>
      </x:c>
      <x:c r="U442" s="653">
        <x:v>0</x:v>
      </x:c>
      <x:c r="V442" s="653">
        <x:v>0</x:v>
      </x:c>
      <x:c r="W442" s="653">
        <x:v>0</x:v>
      </x:c>
      <x:c r="X442" s="653">
        <x:v>0</x:v>
      </x:c>
      <x:c r="Y442" s="627">
        <x:v>0</x:v>
      </x:c>
      <x:c r="Z442" s="653" t="n">
        <x:v>0</x:v>
      </x:c>
      <x:c r="BN442" s="624"/>
    </x:row>
    <x:row r="443" spans="1:66" x14ac:dyDescent="0.2">
      <x:c r="A443"/>
      <x:c r="B443"/>
      <x:c r="C443"/>
      <x:c r="D443"/>
      <x:c r="E443" s="625" t="inlineStr">
        <x:is>
          <x:t>Subsidio(-)/Contribucion(+)</x:t>
        </x:is>
      </x:c>
      <x:c r="F443" s="627" t="n">
        <x:v>-24884555.57</x:v>
      </x:c>
      <x:c r="G443" s="627" t="n">
        <x:v>-576046.6</x:v>
      </x:c>
      <x:c r="H443" s="627" t="n">
        <x:v>-198940.76</x:v>
      </x:c>
      <x:c r="I443" s="627" t="n">
        <x:v>-60712.45</x:v>
      </x:c>
      <x:c r="J443" s="627" t="n">
        <x:v>-7153441.05</x:v>
      </x:c>
      <x:c r="K443" s="627" t="n">
        <x:v>-233032.41</x:v>
      </x:c>
      <x:c r="L443" s="627" t="n">
        <x:v>0</x:v>
      </x:c>
      <x:c r="M443" s="627" t="n">
        <x:v>-2048680.17</x:v>
      </x:c>
      <x:c r="N443" s="627" t="n">
        <x:v>-2449168.17</x:v>
      </x:c>
      <x:c r="O443" s="627" t="n">
        <x:v>-10286515.01</x:v>
      </x:c>
      <x:c r="P443" s="627" t="n">
        <x:v>-1497871.91</x:v>
      </x:c>
      <x:c r="Q443" s="627" t="n">
        <x:v>-380147.04</x:v>
      </x:c>
      <x:c r="R443" s="627" t="n">
        <x:v>0</x:v>
      </x:c>
      <x:c r="S443" s="627" t="n">
        <x:v>0</x:v>
      </x:c>
      <x:c r="T443" s="653" t="n">
        <x:v>0</x:v>
      </x:c>
      <x:c r="U443" s="653">
        <x:v>0</x:v>
      </x:c>
      <x:c r="V443" s="653">
        <x:v>0</x:v>
      </x:c>
      <x:c r="W443" s="653">
        <x:v>0</x:v>
      </x:c>
      <x:c r="X443" s="653">
        <x:v>0</x:v>
      </x:c>
      <x:c r="Y443" s="627">
        <x:v>0</x:v>
      </x:c>
      <x:c r="Z443" s="653" t="n">
        <x:v>0</x:v>
      </x:c>
      <x:c r="BN443" s="624"/>
    </x:row>
    <x:row r="444" spans="1:66" x14ac:dyDescent="0.2">
      <x:c r="A444"/>
      <x:c r="B444"/>
      <x:c r="C444"/>
      <x:c r="D444" s="625" t="inlineStr">
        <x:is>
          <x:t>O</x:t>
        </x:is>
      </x:c>
      <x:c r="E444" s="625" t="inlineStr">
        <x:is>
          <x:t>Total</x:t>
        </x:is>
      </x:c>
      <x:c r="F444" s="627" t="n">
        <x:v>-24884555.57</x:v>
      </x:c>
      <x:c r="G444" s="627" t="n">
        <x:v>-576046.6</x:v>
      </x:c>
      <x:c r="H444" s="627" t="n">
        <x:v>-198940.76</x:v>
      </x:c>
      <x:c r="I444" s="627" t="n">
        <x:v>-60712.45</x:v>
      </x:c>
      <x:c r="J444" s="627" t="n">
        <x:v>-7153441.05</x:v>
      </x:c>
      <x:c r="K444" s="627" t="n">
        <x:v>-233032.41</x:v>
      </x:c>
      <x:c r="L444" s="627" t="n">
        <x:v>0</x:v>
      </x:c>
      <x:c r="M444" s="627" t="n">
        <x:v>-2048680.17</x:v>
      </x:c>
      <x:c r="N444" s="627" t="n">
        <x:v>-2449168.17</x:v>
      </x:c>
      <x:c r="O444" s="627" t="n">
        <x:v>-10286515.01</x:v>
      </x:c>
      <x:c r="P444" s="627" t="n">
        <x:v>-1497871.91</x:v>
      </x:c>
      <x:c r="Q444" s="627" t="n">
        <x:v>-380147.04</x:v>
      </x:c>
      <x:c r="R444" s="627" t="n">
        <x:v>0</x:v>
      </x:c>
      <x:c r="S444" s="627" t="n">
        <x:v>0</x:v>
      </x:c>
      <x:c r="T444" s="653" t="n">
        <x:v>0</x:v>
      </x:c>
      <x:c r="U444" s="653">
        <x:v>0</x:v>
      </x:c>
      <x:c r="V444" s="653">
        <x:v>0</x:v>
      </x:c>
      <x:c r="W444" s="653">
        <x:v>0</x:v>
      </x:c>
      <x:c r="X444" s="653">
        <x:v>0</x:v>
      </x:c>
      <x:c r="Y444" s="627">
        <x:v>0</x:v>
      </x:c>
      <x:c r="Z444" s="653" t="n">
        <x:v>0</x:v>
      </x:c>
      <x:c r="BN444" s="624"/>
    </x:row>
    <x:row r="445" spans="1:66" x14ac:dyDescent="0.2">
      <x:c r="A445"/>
      <x:c r="B445"/>
      <x:c r="C445"/>
      <x:c r="D445"/>
      <x:c r="E445" s="625" t="inlineStr">
        <x:is>
          <x:t>Subsidio(-)/Contribucion(+)</x:t>
        </x:is>
      </x:c>
      <x:c r="F445" s="627" t="n">
        <x:v>45950466.71</x:v>
      </x:c>
      <x:c r="G445" s="627" t="n">
        <x:v>8781115.82</x:v>
      </x:c>
      <x:c r="H445" s="627" t="n">
        <x:v>4940851.97</x:v>
      </x:c>
      <x:c r="I445" s="627" t="n">
        <x:v>2611795.86</x:v>
      </x:c>
      <x:c r="J445" s="627" t="n">
        <x:v>1898372.42</x:v>
      </x:c>
      <x:c r="K445" s="627" t="n">
        <x:v>49151.99</x:v>
      </x:c>
      <x:c r="L445" s="627" t="n">
        <x:v>0</x:v>
      </x:c>
      <x:c r="M445" s="627" t="n">
        <x:v>431154.43</x:v>
      </x:c>
      <x:c r="N445" s="627" t="n">
        <x:v>619734.97</x:v>
      </x:c>
      <x:c r="O445" s="627" t="n">
        <x:v>3109869.82</x:v>
      </x:c>
      <x:c r="P445" s="627" t="n">
        <x:v>23428222.72</x:v>
      </x:c>
      <x:c r="Q445" s="627" t="n">
        <x:v>80196.71</x:v>
      </x:c>
      <x:c r="R445" s="627" t="n">
        <x:v>0</x:v>
      </x:c>
      <x:c r="S445" s="627" t="n">
        <x:v>0</x:v>
      </x:c>
      <x:c r="T445" s="653" t="n">
        <x:v>0</x:v>
      </x:c>
      <x:c r="U445" s="653">
        <x:v>0</x:v>
      </x:c>
      <x:c r="V445" s="653">
        <x:v>0</x:v>
      </x:c>
      <x:c r="W445" s="653">
        <x:v>0</x:v>
      </x:c>
      <x:c r="X445" s="653">
        <x:v>0</x:v>
      </x:c>
      <x:c r="Y445" s="627">
        <x:v>0</x:v>
      </x:c>
      <x:c r="Z445" s="653" t="n">
        <x:v>0</x:v>
      </x:c>
      <x:c r="BN445" s="624"/>
    </x:row>
    <x:row r="446" spans="1:66" x14ac:dyDescent="0.2">
      <x:c r="A446"/>
      <x:c r="B446"/>
      <x:c r="C446"/>
      <x:c r="D446" s="625" t="inlineStr">
        <x:is>
          <x:t>T</x:t>
        </x:is>
      </x:c>
      <x:c r="E446" s="625" t="inlineStr">
        <x:is>
          <x:t>Total</x:t>
        </x:is>
      </x:c>
      <x:c r="F446" s="627" t="n">
        <x:v>45950466.71</x:v>
      </x:c>
      <x:c r="G446" s="627" t="n">
        <x:v>8781115.82</x:v>
      </x:c>
      <x:c r="H446" s="627" t="n">
        <x:v>4940851.97</x:v>
      </x:c>
      <x:c r="I446" s="627" t="n">
        <x:v>2611795.86</x:v>
      </x:c>
      <x:c r="J446" s="627" t="n">
        <x:v>1898372.42</x:v>
      </x:c>
      <x:c r="K446" s="627" t="n">
        <x:v>49151.99</x:v>
      </x:c>
      <x:c r="L446" s="627" t="n">
        <x:v>0</x:v>
      </x:c>
      <x:c r="M446" s="627" t="n">
        <x:v>431154.43</x:v>
      </x:c>
      <x:c r="N446" s="627" t="n">
        <x:v>619734.97</x:v>
      </x:c>
      <x:c r="O446" s="627" t="n">
        <x:v>3109869.82</x:v>
      </x:c>
      <x:c r="P446" s="627" t="n">
        <x:v>23428222.72</x:v>
      </x:c>
      <x:c r="Q446" s="627" t="n">
        <x:v>80196.71</x:v>
      </x:c>
      <x:c r="R446" s="627" t="n">
        <x:v>0</x:v>
      </x:c>
      <x:c r="S446" s="627" t="n">
        <x:v>0</x:v>
      </x:c>
      <x:c r="T446" s="653" t="n">
        <x:v>0</x:v>
      </x:c>
      <x:c r="U446" s="653">
        <x:v>0</x:v>
      </x:c>
      <x:c r="V446" s="653">
        <x:v>0</x:v>
      </x:c>
      <x:c r="W446" s="653">
        <x:v>0</x:v>
      </x:c>
      <x:c r="X446" s="653">
        <x:v>0</x:v>
      </x:c>
      <x:c r="Y446" s="627">
        <x:v>0</x:v>
      </x:c>
      <x:c r="Z446" s="653" t="n">
        <x:v>0</x:v>
      </x:c>
      <x:c r="BN446" s="624"/>
    </x:row>
    <x:row r="447" spans="1:66" x14ac:dyDescent="0.2">
      <x:c r="A447" s="631"/>
      <x:c r="B447" s="631"/>
      <x:c r="C447" s="632" t="inlineStr">
        <x:is>
          <x:t>OCCIDENTE</x:t>
        </x:is>
      </x:c>
      <x:c r="D447" s="632" t="inlineStr">
        <x:is>
          <x:t>Total</x:t>
        </x:is>
      </x:c>
      <x:c r="E447" s="631"/>
      <x:c r="F447" s="633" t="n">
        <x:v>25697170.56</x:v>
      </x:c>
      <x:c r="G447" s="633" t="n">
        <x:v>8763546.74</x:v>
      </x:c>
      <x:c r="H447" s="633" t="n">
        <x:v>5058409.95</x:v>
      </x:c>
      <x:c r="I447" s="633" t="n">
        <x:v>2719066.47</x:v>
      </x:c>
      <x:c r="J447" s="633" t="n">
        <x:v>-4590445.81</x:v>
      </x:c>
      <x:c r="K447" s="633" t="n">
        <x:v>-166146.75</x:v>
      </x:c>
      <x:c r="L447" s="633" t="n">
        <x:v>0</x:v>
      </x:c>
      <x:c r="M447" s="633" t="n">
        <x:v>-1460884.8</x:v>
      </x:c>
      <x:c r="N447" s="633" t="n">
        <x:v>-1621874.24</x:v>
      </x:c>
      <x:c r="O447" s="633" t="n">
        <x:v>-6157655.58</x:v>
      </x:c>
      <x:c r="P447" s="633" t="n">
        <x:v>23424171.12</x:v>
      </x:c>
      <x:c r="Q447" s="633" t="n">
        <x:v>-271016.54</x:v>
      </x:c>
      <x:c r="R447" s="633" t="n">
        <x:v>0</x:v>
      </x:c>
      <x:c r="S447" s="633" t="n">
        <x:v>0</x:v>
      </x:c>
      <x:c r="T447" s="633" t="n">
        <x:v>0</x:v>
      </x:c>
      <x:c r="U447" s="633">
        <x:v>0</x:v>
      </x:c>
      <x:c r="V447" s="633">
        <x:v>0</x:v>
      </x:c>
      <x:c r="W447" s="633">
        <x:v>0</x:v>
      </x:c>
      <x:c r="X447" s="633">
        <x:v>0</x:v>
      </x:c>
      <x:c r="Y447" s="633">
        <x:v>0</x:v>
      </x:c>
      <x:c r="Z447" s="633" t="n">
        <x:v>0</x:v>
      </x:c>
      <x:c r="AA447" s="631"/>
      <x:c r="AB447" s="631"/>
      <x:c r="AC447" s="631"/>
      <x:c r="AD447" s="631"/>
      <x:c r="AE447" s="631"/>
      <x:c r="AF447" s="631"/>
      <x:c r="AG447" s="631"/>
      <x:c r="AH447" s="631"/>
      <x:c r="AI447" s="631"/>
      <x:c r="AJ447" s="631"/>
      <x:c r="AK447" s="631"/>
      <x:c r="AL447" s="631"/>
      <x:c r="AM447" s="631"/>
      <x:c r="AN447" s="631"/>
      <x:c r="AO447" s="631"/>
      <x:c r="AP447" s="631"/>
      <x:c r="AQ447" s="631"/>
      <x:c r="AR447" s="631"/>
      <x:c r="AS447" s="631"/>
      <x:c r="AT447" s="631"/>
      <x:c r="AU447" s="631"/>
      <x:c r="AV447" s="631"/>
      <x:c r="AW447" s="631"/>
      <x:c r="AX447" s="631"/>
      <x:c r="AY447" s="631"/>
      <x:c r="AZ447" s="631"/>
      <x:c r="BA447" s="631"/>
      <x:c r="BB447" s="631"/>
      <x:c r="BC447" s="631"/>
      <x:c r="BD447" s="631"/>
      <x:c r="BE447" s="631"/>
      <x:c r="BF447" s="631"/>
      <x:c r="BG447" s="631"/>
      <x:c r="BH447" s="631"/>
      <x:c r="BI447" s="631"/>
      <x:c r="BJ447" s="631"/>
      <x:c r="BK447" s="631"/>
      <x:c r="BL447" s="631"/>
      <x:c r="BM447" s="631"/>
      <x:c r="BN447" s="624"/>
    </x:row>
    <x:row r="448" spans="1:66" x14ac:dyDescent="0.2">
      <x:c r="A448" s="638"/>
      <x:c r="B448" s="639" t="inlineStr">
        <x:is>
          <x:t>Mes</x:t>
        </x:is>
      </x:c>
      <x:c r="C448" s="639" t="inlineStr">
        <x:is>
          <x:t>Total</x:t>
        </x:is>
      </x:c>
      <x:c r="D448" s="638"/>
      <x:c r="E448" s="638"/>
      <x:c r="F448" s="640" t="n">
        <x:v>-607851821.39</x:v>
      </x:c>
      <x:c r="G448" s="640" t="n">
        <x:v>19261726.96</x:v>
      </x:c>
      <x:c r="H448" s="640" t="n">
        <x:v>11127138.12</x:v>
      </x:c>
      <x:c r="I448" s="640" t="n">
        <x:v>5959148.33</x:v>
      </x:c>
      <x:c r="J448" s="640" t="n">
        <x:v>-199074701.08</x:v>
      </x:c>
      <x:c r="K448" s="640" t="n">
        <x:v>-7690490.18</x:v>
      </x:c>
      <x:c r="L448" s="640" t="n">
        <x:v>0</x:v>
      </x:c>
      <x:c r="M448" s="640" t="n">
        <x:v>-67467922.99</x:v>
      </x:c>
      <x:c r="N448" s="640" t="n">
        <x:v>-67247697.76</x:v>
      </x:c>
      <x:c r="O448" s="640" t="n">
        <x:v>-341475491.55</x:v>
      </x:c>
      <x:c r="P448" s="640" t="n">
        <x:v>51307228.4</x:v>
      </x:c>
      <x:c r="Q448" s="640" t="n">
        <x:v>-12550759.64</x:v>
      </x:c>
      <x:c r="R448" s="640" t="n">
        <x:v>0</x:v>
      </x:c>
      <x:c r="S448" s="640" t="n">
        <x:v>0</x:v>
      </x:c>
      <x:c r="T448" s="640" t="n">
        <x:v>0</x:v>
      </x:c>
      <x:c r="U448" s="640">
        <x:v>0</x:v>
      </x:c>
      <x:c r="V448" s="640">
        <x:v>0</x:v>
      </x:c>
      <x:c r="W448" s="640">
        <x:v>0</x:v>
      </x:c>
      <x:c r="X448" s="640">
        <x:v>0</x:v>
      </x:c>
      <x:c r="Y448" s="640">
        <x:v>0</x:v>
      </x:c>
      <x:c r="Z448" s="640" t="n">
        <x:v>0</x:v>
      </x:c>
      <x:c r="AA448" s="638"/>
      <x:c r="AB448" s="638"/>
      <x:c r="AC448" s="638"/>
      <x:c r="AD448" s="638"/>
      <x:c r="AE448" s="638"/>
      <x:c r="AF448" s="638"/>
      <x:c r="AG448" s="638"/>
      <x:c r="AH448" s="638"/>
      <x:c r="AI448" s="638"/>
      <x:c r="AJ448" s="638"/>
      <x:c r="AK448" s="638"/>
      <x:c r="AL448" s="638"/>
      <x:c r="AM448" s="638"/>
      <x:c r="AN448" s="638"/>
      <x:c r="AO448" s="638"/>
      <x:c r="AP448" s="638"/>
      <x:c r="AQ448" s="638"/>
      <x:c r="AR448" s="638"/>
      <x:c r="AS448" s="638"/>
      <x:c r="AT448" s="638"/>
      <x:c r="AU448" s="638"/>
      <x:c r="AV448" s="638"/>
      <x:c r="AW448" s="638"/>
      <x:c r="AX448" s="638"/>
      <x:c r="AY448" s="638"/>
      <x:c r="AZ448" s="638"/>
      <x:c r="BA448" s="638"/>
      <x:c r="BB448" s="638"/>
      <x:c r="BC448" s="638"/>
      <x:c r="BD448" s="638"/>
      <x:c r="BE448" s="638"/>
      <x:c r="BF448" s="638"/>
      <x:c r="BG448" s="638"/>
      <x:c r="BH448" s="638"/>
      <x:c r="BI448" s="638"/>
      <x:c r="BJ448" s="638"/>
      <x:c r="BK448" s="638"/>
      <x:c r="BL448" s="638"/>
      <x:c r="BM448" s="638"/>
      <x:c r="BN448" s="624"/>
    </x:row>
    <x:row r="449" spans="1:66" x14ac:dyDescent="0.2">
      <x:c r="A449" s="625" t="inlineStr">
        <x:is>
          <x:t>Subs/Cont</x:t>
        </x:is>
      </x:c>
      <x:c r="B449" s="625" t="inlineStr">
        <x:is>
          <x:t>Total</x:t>
        </x:is>
      </x:c>
      <x:c r="C449"/>
      <x:c r="D449"/>
      <x:c r="E449"/>
      <x:c r="F449" s="627" t="n">
        <x:v>-608109295.55</x:v>
      </x:c>
      <x:c r="G449" s="627" t="n">
        <x:v>19291078.03</x:v>
      </x:c>
      <x:c r="H449" s="627" t="n">
        <x:v>11143817.07</x:v>
      </x:c>
      <x:c r="I449" s="627" t="n">
        <x:v>5967867.67</x:v>
      </x:c>
      <x:c r="J449" s="627" t="n">
        <x:v>-199194518.27</x:v>
      </x:c>
      <x:c r="K449" s="627" t="n">
        <x:v>-7694384.94</x:v>
      </x:c>
      <x:c r="L449" s="627" t="n">
        <x:v>0</x:v>
      </x:c>
      <x:c r="M449" s="627" t="n">
        <x:v>-67502089.03</x:v>
      </x:c>
      <x:c r="N449" s="627" t="n">
        <x:v>-67285335.23</x:v>
      </x:c>
      <x:c r="O449" s="627" t="n">
        <x:v>-341663905.91</x:v>
      </x:c>
      <x:c r="P449" s="627" t="n">
        <x:v>51385289.54</x:v>
      </x:c>
      <x:c r="Q449" s="627" t="n">
        <x:v>-12557114.48</x:v>
      </x:c>
      <x:c r="R449" s="627" t="n">
        <x:v>0</x:v>
      </x:c>
      <x:c r="S449" s="627" t="n">
        <x:v>0</x:v>
      </x:c>
      <x:c r="T449" s="653" t="n">
        <x:v>0</x:v>
      </x:c>
      <x:c r="U449" s="653">
        <x:v>0</x:v>
      </x:c>
      <x:c r="V449" s="653">
        <x:v>0</x:v>
      </x:c>
      <x:c r="W449" s="653">
        <x:v>0</x:v>
      </x:c>
      <x:c r="X449" s="653">
        <x:v>0</x:v>
      </x:c>
      <x:c r="Y449" s="627">
        <x:v>0</x:v>
      </x:c>
      <x:c r="Z449" s="653" t="n">
        <x:v>0</x:v>
      </x:c>
      <x:c r="BN449" s="624"/>
    </x:row>
    <x:row r="450" spans="1:66" x14ac:dyDescent="0.2">
      <x:c r="A450" s="625" t="inlineStr">
        <x:is>
          <x:t>Total</x:t>
        </x:is>
      </x:c>
      <x:c r="B450"/>
      <x:c r="C450"/>
      <x:c r="D450"/>
      <x:c r="E450"/>
      <x:c r="F450" s="627" t="n">
        <x:v>7085963940.66</x:v>
      </x:c>
      <x:c r="G450" s="627" t="n">
        <x:v>480076955.6</x:v>
      </x:c>
      <x:c r="H450" s="627" t="n">
        <x:v>268331934.46</x:v>
      </x:c>
      <x:c r="I450" s="627" t="n">
        <x:v>140368351.2</x:v>
      </x:c>
      <x:c r="J450" s="627" t="n">
        <x:v>1380700865.15</x:v>
      </x:c>
      <x:c r="K450" s="627" t="n">
        <x:v>54010222.78</x:v>
      </x:c>
      <x:c r="L450" s="627" t="n">
        <x:v>34128344.93</x:v>
      </x:c>
      <x:c r="M450" s="627" t="n">
        <x:v>474333055</x:v>
      </x:c>
      <x:c r="N450" s="627" t="n">
        <x:v>473070222.57</x:v>
      </x:c>
      <x:c r="O450" s="627" t="n">
        <x:v>2421735127.85</x:v>
      </x:c>
      <x:c r="P450" s="627" t="n">
        <x:v>1270888239.83</x:v>
      </x:c>
      <x:c r="Q450" s="627" t="n">
        <x:v>88337416.55</x:v>
      </x:c>
      <x:c r="R450" s="627" t="n">
        <x:v>-16266.45</x:v>
      </x:c>
      <x:c r="S450" s="627" t="n">
        <x:v>0.14</x:v>
      </x:c>
      <x:c r="T450" s="653" t="n">
        <x:v>6.41</x:v>
      </x:c>
      <x:c r="U450" s="653">
        <x:v>0</x:v>
      </x:c>
      <x:c r="V450" s="653">
        <x:v>0</x:v>
      </x:c>
      <x:c r="W450" s="653">
        <x:v>0</x:v>
      </x:c>
      <x:c r="X450" s="653">
        <x:v>0</x:v>
      </x:c>
      <x:c r="Y450" s="627">
        <x:v>0</x:v>
      </x:c>
      <x:c r="Z450" s="653" t="n">
        <x:v>-535.36</x:v>
      </x:c>
      <x:c r="BN450" s="624"/>
    </x:row>
    <x:row r="451" spans="1:66" x14ac:dyDescent="0.2">
      <x:c r="A451" s="625"/>
      <x:c r="F451" s="627"/>
      <x:c r="G451" s="627"/>
      <x:c r="H451" s="627"/>
      <x:c r="I451" s="627"/>
      <x:c r="J451" s="627"/>
      <x:c r="K451" s="627"/>
      <x:c r="L451" s="627"/>
      <x:c r="M451" s="627"/>
      <x:c r="N451" s="627"/>
      <x:c r="O451" s="627"/>
      <x:c r="P451" s="627"/>
      <x:c r="Q451" s="627"/>
      <x:c r="R451" s="627"/>
      <x:c r="S451" s="627"/>
      <x:c r="T451" s="627"/>
      <x:c r="U451" s="627"/>
      <x:c r="V451" s="627"/>
      <x:c r="W451" s="627"/>
      <x:c r="BN451" s="624"/>
    </x:row>
    <x:row r="452" spans="1:66" x14ac:dyDescent="0.2">
      <x:c r="A452" s="625"/>
      <x:c r="F452" s="627"/>
      <x:c r="G452" s="627"/>
      <x:c r="H452" s="627"/>
      <x:c r="I452" s="627"/>
      <x:c r="J452" s="627"/>
      <x:c r="K452" s="627"/>
      <x:c r="L452" s="627"/>
      <x:c r="M452" s="627"/>
      <x:c r="N452" s="627"/>
      <x:c r="O452" s="627"/>
      <x:c r="P452" s="627"/>
      <x:c r="Q452" s="627"/>
      <x:c r="R452" s="627"/>
      <x:c r="S452" s="627"/>
      <x:c r="BN452" s="624"/>
    </x:row>
    <x:row r="453" spans="1:66" x14ac:dyDescent="0.2">
      <x:c r="A453" s="625"/>
      <x:c r="F453" s="627"/>
      <x:c r="G453" s="627"/>
      <x:c r="H453" s="627"/>
      <x:c r="I453" s="627"/>
      <x:c r="J453" s="627"/>
      <x:c r="K453" s="627"/>
      <x:c r="L453" s="627"/>
      <x:c r="M453" s="627"/>
      <x:c r="N453" s="627"/>
      <x:c r="O453" s="627"/>
      <x:c r="P453" s="627"/>
      <x:c r="Q453" s="627"/>
      <x:c r="R453" s="627"/>
      <x:c r="S453" s="627"/>
      <x:c r="BN453" s="624"/>
    </x:row>
    <x:row r="454" spans="1:66" x14ac:dyDescent="0.2">
      <x:c r="A454" s="625"/>
      <x:c r="F454" s="627"/>
      <x:c r="G454" s="627"/>
      <x:c r="H454" s="627"/>
      <x:c r="I454" s="627"/>
      <x:c r="J454" s="627"/>
      <x:c r="K454" s="627"/>
      <x:c r="L454" s="627"/>
      <x:c r="M454" s="627"/>
      <x:c r="N454" s="627"/>
      <x:c r="O454" s="627"/>
      <x:c r="P454" s="627"/>
      <x:c r="Q454" s="627"/>
      <x:c r="R454" s="627"/>
      <x:c r="S454" s="627"/>
      <x:c r="BN454" s="624"/>
    </x:row>
    <x:row r="455" spans="1:66" x14ac:dyDescent="0.2">
      <x:c r="A455" s="625"/>
      <x:c r="F455" s="627"/>
      <x:c r="G455" s="627"/>
      <x:c r="H455" s="627"/>
      <x:c r="I455" s="627"/>
      <x:c r="J455" s="627"/>
      <x:c r="K455" s="627"/>
      <x:c r="L455" s="627"/>
      <x:c r="M455" s="627"/>
      <x:c r="N455" s="627"/>
      <x:c r="O455" s="627"/>
      <x:c r="P455" s="627"/>
      <x:c r="Q455" s="627"/>
      <x:c r="R455" s="627"/>
      <x:c r="S455" s="627"/>
      <x:c r="BN455" s="624"/>
    </x:row>
    <x:row r="456" spans="1:66" x14ac:dyDescent="0.2">
      <x:c r="A456" s="625"/>
      <x:c r="F456" s="627"/>
      <x:c r="G456" s="627"/>
      <x:c r="H456" s="627"/>
      <x:c r="I456" s="627"/>
      <x:c r="J456" s="627"/>
      <x:c r="K456" s="627"/>
      <x:c r="L456" s="627"/>
      <x:c r="M456" s="627"/>
      <x:c r="N456" s="627"/>
      <x:c r="O456" s="627"/>
      <x:c r="P456" s="627"/>
      <x:c r="Q456" s="627"/>
      <x:c r="R456" s="627"/>
      <x:c r="S456" s="627"/>
      <x:c r="BN456" s="624"/>
    </x:row>
    <x:row r="457" spans="1:66" x14ac:dyDescent="0.2">
      <x:c r="A457" s="625"/>
      <x:c r="F457" s="627"/>
      <x:c r="G457" s="627"/>
      <x:c r="H457" s="627"/>
      <x:c r="I457" s="627"/>
      <x:c r="J457" s="627"/>
      <x:c r="K457" s="627"/>
      <x:c r="L457" s="627"/>
      <x:c r="M457" s="627"/>
      <x:c r="N457" s="627"/>
      <x:c r="O457" s="627"/>
      <x:c r="P457" s="627"/>
      <x:c r="Q457" s="627"/>
      <x:c r="R457" s="627"/>
      <x:c r="S457" s="627"/>
      <x:c r="BN457" s="624"/>
    </x:row>
    <x:row r="458" spans="1:66" x14ac:dyDescent="0.2">
      <x:c r="A458" s="625"/>
      <x:c r="F458" s="627"/>
      <x:c r="G458" s="627"/>
      <x:c r="H458" s="627"/>
      <x:c r="I458" s="627"/>
      <x:c r="J458" s="627"/>
      <x:c r="K458" s="627"/>
      <x:c r="L458" s="627"/>
      <x:c r="M458" s="627"/>
      <x:c r="N458" s="627"/>
      <x:c r="O458" s="627"/>
      <x:c r="P458" s="627"/>
      <x:c r="Q458" s="627"/>
      <x:c r="R458" s="627"/>
      <x:c r="S458" s="627"/>
      <x:c r="BN458" s="624"/>
    </x:row>
    <x:row r="459" spans="1:66" x14ac:dyDescent="0.2">
      <x:c r="A459" s="625"/>
      <x:c r="F459" s="627"/>
      <x:c r="G459" s="627"/>
      <x:c r="H459" s="627"/>
      <x:c r="I459" s="627"/>
      <x:c r="J459" s="627"/>
      <x:c r="K459" s="627"/>
      <x:c r="L459" s="627"/>
      <x:c r="M459" s="627"/>
      <x:c r="N459" s="627"/>
      <x:c r="O459" s="627"/>
      <x:c r="P459" s="627"/>
      <x:c r="Q459" s="627"/>
      <x:c r="R459" s="627"/>
      <x:c r="S459" s="627"/>
      <x:c r="BN459" s="624"/>
    </x:row>
    <x:row r="460" spans="1:66" x14ac:dyDescent="0.2">
      <x:c r="A460" s="625"/>
      <x:c r="F460" s="627"/>
      <x:c r="G460" s="627"/>
      <x:c r="H460" s="627"/>
      <x:c r="I460" s="627"/>
      <x:c r="J460" s="627"/>
      <x:c r="K460" s="627"/>
      <x:c r="L460" s="627"/>
      <x:c r="M460" s="627"/>
      <x:c r="N460" s="627"/>
      <x:c r="O460" s="627"/>
      <x:c r="P460" s="627"/>
      <x:c r="Q460" s="627"/>
      <x:c r="R460" s="627"/>
      <x:c r="S460" s="627"/>
      <x:c r="BN460" s="624"/>
    </x:row>
    <x:row r="461" spans="1:66" x14ac:dyDescent="0.2">
      <x:c r="A461" s="625"/>
      <x:c r="F461" s="627"/>
      <x:c r="G461" s="627"/>
      <x:c r="H461" s="627"/>
      <x:c r="I461" s="627"/>
      <x:c r="J461" s="627"/>
      <x:c r="K461" s="627"/>
      <x:c r="L461" s="627"/>
      <x:c r="M461" s="627"/>
      <x:c r="N461" s="627"/>
      <x:c r="O461" s="627"/>
      <x:c r="P461" s="627"/>
      <x:c r="Q461" s="627"/>
      <x:c r="R461" s="627"/>
      <x:c r="S461" s="627"/>
      <x:c r="BN461" s="624"/>
    </x:row>
    <x:row r="462" spans="1:66" x14ac:dyDescent="0.2">
      <x:c r="A462" s="625"/>
      <x:c r="F462" s="627"/>
      <x:c r="G462" s="627"/>
      <x:c r="H462" s="627"/>
      <x:c r="I462" s="627"/>
      <x:c r="J462" s="627"/>
      <x:c r="K462" s="627"/>
      <x:c r="L462" s="627"/>
      <x:c r="M462" s="627"/>
      <x:c r="N462" s="627"/>
      <x:c r="O462" s="627"/>
      <x:c r="P462" s="627"/>
      <x:c r="Q462" s="627"/>
      <x:c r="R462" s="627"/>
      <x:c r="S462" s="627"/>
      <x:c r="BN462" s="624"/>
    </x:row>
    <x:row r="463" spans="1:66" x14ac:dyDescent="0.2">
      <x:c r="A463" s="625"/>
      <x:c r="F463" s="627"/>
      <x:c r="G463" s="627"/>
      <x:c r="H463" s="627"/>
      <x:c r="I463" s="627"/>
      <x:c r="J463" s="627"/>
      <x:c r="K463" s="627"/>
      <x:c r="L463" s="627"/>
      <x:c r="M463" s="627"/>
      <x:c r="N463" s="627"/>
      <x:c r="O463" s="627"/>
      <x:c r="P463" s="627"/>
      <x:c r="Q463" s="627"/>
      <x:c r="R463" s="627"/>
      <x:c r="S463" s="627"/>
      <x:c r="BN463" s="624"/>
    </x:row>
    <x:row r="464" spans="1:66" x14ac:dyDescent="0.2">
      <x:c r="A464" s="625"/>
      <x:c r="F464" s="627"/>
      <x:c r="G464" s="627"/>
      <x:c r="H464" s="627"/>
      <x:c r="I464" s="627"/>
      <x:c r="J464" s="627"/>
      <x:c r="K464" s="627"/>
      <x:c r="L464" s="627"/>
      <x:c r="M464" s="627"/>
      <x:c r="N464" s="627"/>
      <x:c r="O464" s="627"/>
      <x:c r="P464" s="627"/>
      <x:c r="Q464" s="627"/>
      <x:c r="R464" s="627"/>
      <x:c r="S464" s="627"/>
      <x:c r="BN464" s="624"/>
    </x:row>
    <x:row r="465" spans="1:66" x14ac:dyDescent="0.2">
      <x:c r="A465" s="625"/>
      <x:c r="F465" s="627"/>
      <x:c r="G465" s="627"/>
      <x:c r="H465" s="627"/>
      <x:c r="I465" s="627"/>
      <x:c r="J465" s="627"/>
      <x:c r="K465" s="627"/>
      <x:c r="L465" s="627"/>
      <x:c r="M465" s="627"/>
      <x:c r="N465" s="627"/>
      <x:c r="O465" s="627"/>
      <x:c r="P465" s="627"/>
      <x:c r="Q465" s="627"/>
      <x:c r="R465" s="627"/>
      <x:c r="S465" s="627"/>
      <x:c r="BN465" s="624"/>
    </x:row>
    <x:row r="466" spans="1:66" x14ac:dyDescent="0.2">
      <x:c r="A466" s="625"/>
      <x:c r="F466" s="627"/>
      <x:c r="G466" s="627"/>
      <x:c r="H466" s="627"/>
      <x:c r="I466" s="627"/>
      <x:c r="J466" s="627"/>
      <x:c r="K466" s="627"/>
      <x:c r="L466" s="627"/>
      <x:c r="M466" s="627"/>
      <x:c r="N466" s="627"/>
      <x:c r="O466" s="627"/>
      <x:c r="P466" s="627"/>
      <x:c r="Q466" s="627"/>
      <x:c r="R466" s="627"/>
      <x:c r="S466" s="627"/>
      <x:c r="BN466" s="624"/>
    </x:row>
    <x:row r="467" spans="1:66" x14ac:dyDescent="0.2">
      <x:c r="A467" s="625"/>
      <x:c r="F467" s="627"/>
      <x:c r="G467" s="627"/>
      <x:c r="H467" s="627"/>
      <x:c r="I467" s="627"/>
      <x:c r="J467" s="627"/>
      <x:c r="K467" s="627"/>
      <x:c r="L467" s="627"/>
      <x:c r="M467" s="627"/>
      <x:c r="N467" s="627"/>
      <x:c r="O467" s="627"/>
      <x:c r="P467" s="627"/>
      <x:c r="Q467" s="627"/>
      <x:c r="R467" s="627"/>
      <x:c r="S467" s="627"/>
      <x:c r="BN467" s="624"/>
    </x:row>
    <x:row r="468" spans="1:66" x14ac:dyDescent="0.2">
      <x:c r="C468" s="770" t="s">
        <x:v>2</x:v>
      </x:c>
      <x:c r="D468" s="768" t="s">
        <x:v>132</x:v>
      </x:c>
      <x:c r="E468" s="639" t="s">
        <x:v>70</x:v>
      </x:c>
      <x:c r="F468" s="640">
        <x:f>F422+F448+F384-L384-L422</x:f>
        <x:v>0</x:v>
      </x:c>
      <x:c r="G468" s="640">
        <x:f>G422+G384</x:f>
        <x:v>0</x:v>
      </x:c>
      <x:c r="H468" s="640">
        <x:f t="shared" si="20"/>
        <x:v>0</x:v>
      </x:c>
      <x:c r="I468" s="640">
        <x:f t="shared" si="20"/>
        <x:v>0</x:v>
      </x:c>
      <x:c r="J468" s="640">
        <x:f t="shared" si="20"/>
        <x:v>0</x:v>
      </x:c>
      <x:c r="K468" s="640">
        <x:f t="shared" si="20"/>
        <x:v>0</x:v>
      </x:c>
      <x:c r="L468" s="640">
        <x:f t="shared" si="20"/>
        <x:v>0</x:v>
      </x:c>
      <x:c r="M468" s="640">
        <x:f t="shared" si="20"/>
        <x:v>0</x:v>
      </x:c>
      <x:c r="N468" s="640">
        <x:f t="shared" si="20"/>
        <x:v>0</x:v>
      </x:c>
      <x:c r="O468" s="640">
        <x:f t="shared" si="20"/>
        <x:v>0</x:v>
      </x:c>
      <x:c r="P468" s="640">
        <x:f t="shared" si="20"/>
        <x:v>0</x:v>
      </x:c>
      <x:c r="Q468" s="640">
        <x:f t="shared" si="20"/>
        <x:v>0</x:v>
      </x:c>
      <x:c r="R468" s="640">
        <x:f t="shared" si="20"/>
        <x:v>0</x:v>
      </x:c>
      <x:c r="S468" s="640">
        <x:f t="shared" si="20"/>
        <x:v>0</x:v>
      </x:c>
      <x:c r="T468" s="640">
        <x:f t="shared" si="20"/>
        <x:v>0</x:v>
      </x:c>
      <x:c r="U468" s="640">
        <x:f t="shared" si="20"/>
        <x:v>0</x:v>
      </x:c>
      <x:c r="V468" s="640">
        <x:f t="shared" si="20"/>
        <x:v>0</x:v>
      </x:c>
      <x:c r="W468" s="640">
        <x:f t="shared" si="20"/>
        <x:v>0</x:v>
      </x:c>
      <x:c r="X468" s="640">
        <x:f t="shared" si="20"/>
        <x:v>0</x:v>
      </x:c>
      <x:c r="Y468" s="640">
        <x:f t="shared" si="20"/>
        <x:v>0</x:v>
      </x:c>
      <x:c r="Z468" s="640">
        <x:f t="shared" si="20"/>
        <x:v>0</x:v>
      </x:c>
      <x:c r="AA468" s="640">
        <x:f t="shared" si="20"/>
        <x:v>0</x:v>
      </x:c>
      <x:c r="AB468" s="640">
        <x:f t="shared" si="20"/>
        <x:v>0</x:v>
      </x:c>
      <x:c r="AC468" s="640">
        <x:f t="shared" si="20"/>
        <x:v>0</x:v>
      </x:c>
      <x:c r="AD468" s="640">
        <x:f t="shared" si="20"/>
        <x:v>0</x:v>
      </x:c>
      <x:c r="AE468" s="640">
        <x:f t="shared" si="20"/>
        <x:v>0</x:v>
      </x:c>
      <x:c r="AF468" s="640">
        <x:f t="shared" si="20"/>
        <x:v>0</x:v>
      </x:c>
      <x:c r="AG468" s="640">
        <x:f t="shared" si="20"/>
        <x:v>0</x:v>
      </x:c>
      <x:c r="AH468" s="640">
        <x:f t="shared" si="20"/>
        <x:v>0</x:v>
      </x:c>
      <x:c r="AI468" s="640">
        <x:f t="shared" si="20"/>
        <x:v>0</x:v>
      </x:c>
      <x:c r="AJ468" s="640">
        <x:f t="shared" si="20"/>
        <x:v>0</x:v>
      </x:c>
      <x:c r="AK468" s="640">
        <x:f t="shared" si="20"/>
        <x:v>0</x:v>
      </x:c>
      <x:c r="AL468" s="640">
        <x:f t="shared" si="20"/>
        <x:v>0</x:v>
      </x:c>
      <x:c r="AM468" s="640">
        <x:f t="shared" si="20"/>
        <x:v>0</x:v>
      </x:c>
      <x:c r="AN468" s="640">
        <x:f t="shared" si="20"/>
        <x:v>0</x:v>
      </x:c>
      <x:c r="AO468" s="640">
        <x:f t="shared" si="20"/>
        <x:v>0</x:v>
      </x:c>
      <x:c r="BN468" s="624"/>
    </x:row>
    <x:row r="469" spans="1:66" x14ac:dyDescent="0.2">
      <x:c r="C469" s="770"/>
      <x:c r="D469" s="768"/>
      <x:c r="E469" s="639" t="s">
        <x:v>73</x:v>
      </x:c>
      <x:c r="F469" s="640">
        <x:f>F448</x:f>
        <x:v>0</x:v>
      </x:c>
      <x:c r="G469" s="627"/>
      <x:c r="H469" s="627"/>
      <x:c r="I469" s="627"/>
      <x:c r="J469" s="627"/>
      <x:c r="K469" s="627"/>
      <x:c r="L469" s="627"/>
      <x:c r="M469" s="627"/>
      <x:c r="N469" s="627"/>
      <x:c r="O469" s="627"/>
      <x:c r="P469" s="627"/>
      <x:c r="Q469" s="627"/>
      <x:c r="R469" s="627"/>
      <x:c r="S469" s="627"/>
      <x:c r="BN469" s="624"/>
    </x:row>
    <x:row r="470" spans="1:66" x14ac:dyDescent="0.2">
      <x:c r="C470" s="770"/>
      <x:c r="D470" s="768" t="s">
        <x:v>133</x:v>
      </x:c>
      <x:c r="E470" s="645" t="s">
        <x:v>70</x:v>
      </x:c>
      <x:c r="F470" s="646">
        <x:f>F430+F397-L397</x:f>
        <x:v>0</x:v>
      </x:c>
      <x:c r="G470" s="646">
        <x:f t="shared" ref="G470:AA470" si="21">G397</x:f>
        <x:v>0</x:v>
      </x:c>
      <x:c r="H470" s="646">
        <x:f t="shared" si="21"/>
        <x:v>0</x:v>
      </x:c>
      <x:c r="I470" s="646">
        <x:f t="shared" si="21"/>
        <x:v>0</x:v>
      </x:c>
      <x:c r="J470" s="646">
        <x:f t="shared" si="21"/>
        <x:v>0</x:v>
      </x:c>
      <x:c r="K470" s="646">
        <x:f t="shared" si="21"/>
        <x:v>0</x:v>
      </x:c>
      <x:c r="L470" s="646">
        <x:f t="shared" si="21"/>
        <x:v>0</x:v>
      </x:c>
      <x:c r="M470" s="646">
        <x:f t="shared" si="21"/>
        <x:v>0</x:v>
      </x:c>
      <x:c r="N470" s="646">
        <x:f t="shared" si="21"/>
        <x:v>0</x:v>
      </x:c>
      <x:c r="O470" s="646">
        <x:f t="shared" si="21"/>
        <x:v>0</x:v>
      </x:c>
      <x:c r="P470" s="646">
        <x:f t="shared" si="21"/>
        <x:v>0</x:v>
      </x:c>
      <x:c r="Q470" s="646">
        <x:f t="shared" si="21"/>
        <x:v>0</x:v>
      </x:c>
      <x:c r="R470" s="646">
        <x:f t="shared" si="21"/>
        <x:v>0</x:v>
      </x:c>
      <x:c r="S470" s="646">
        <x:f t="shared" si="21"/>
        <x:v>0</x:v>
      </x:c>
      <x:c r="T470" s="646">
        <x:f t="shared" si="21"/>
        <x:v>0</x:v>
      </x:c>
      <x:c r="U470" s="646">
        <x:f t="shared" si="21"/>
        <x:v>0</x:v>
      </x:c>
      <x:c r="V470" s="646">
        <x:f t="shared" si="21"/>
        <x:v>0</x:v>
      </x:c>
      <x:c r="W470" s="646">
        <x:f t="shared" si="21"/>
        <x:v>0</x:v>
      </x:c>
      <x:c r="X470" s="646">
        <x:f t="shared" si="21"/>
        <x:v>0</x:v>
      </x:c>
      <x:c r="Y470" s="646">
        <x:f t="shared" si="21"/>
        <x:v>0</x:v>
      </x:c>
      <x:c r="Z470" s="646">
        <x:f t="shared" si="21"/>
        <x:v>0</x:v>
      </x:c>
      <x:c r="AA470" s="646">
        <x:f t="shared" si="21"/>
        <x:v>0</x:v>
      </x:c>
      <x:c r="BN470" s="624"/>
    </x:row>
    <x:row r="471" spans="1:66" x14ac:dyDescent="0.2">
      <x:c r="C471" s="770"/>
      <x:c r="D471" s="768"/>
      <x:c r="E471" s="645" t="s">
        <x:v>73</x:v>
      </x:c>
      <x:c r="F471" s="646">
        <x:f>F430</x:f>
        <x:v>0</x:v>
      </x:c>
      <x:c r="G471" s="627"/>
      <x:c r="H471" s="627"/>
      <x:c r="I471" s="627"/>
      <x:c r="J471" s="627"/>
      <x:c r="K471" s="627"/>
      <x:c r="L471" s="627"/>
      <x:c r="M471" s="627"/>
      <x:c r="N471" s="627"/>
      <x:c r="O471" s="627"/>
      <x:c r="P471" s="627"/>
      <x:c r="Q471" s="627"/>
      <x:c r="R471" s="627"/>
      <x:c r="BN471" s="624"/>
    </x:row>
    <x:row r="472" spans="1:66" ht="15" x14ac:dyDescent="0.25">
      <x:c r="A472" s="625"/>
      <x:c r="C472" s="50"/>
      <x:c r="F472" s="627"/>
      <x:c r="G472" s="627"/>
      <x:c r="H472" s="627"/>
      <x:c r="I472" s="627"/>
      <x:c r="J472" s="627"/>
      <x:c r="K472" s="627"/>
      <x:c r="L472" s="627"/>
      <x:c r="M472" s="627"/>
      <x:c r="N472" s="627"/>
      <x:c r="O472" s="627"/>
      <x:c r="P472" s="627"/>
      <x:c r="Q472" s="627"/>
      <x:c r="R472" s="627"/>
      <x:c r="S472" s="627"/>
      <x:c r="BN472" s="624"/>
    </x:row>
    <x:row r="473" spans="1:66" x14ac:dyDescent="0.2">
      <x:c r="C473" s="770" t="s">
        <x:v>160</x:v>
      </x:c>
      <x:c r="D473" s="768" t="s">
        <x:v>132</x:v>
      </x:c>
      <x:c r="E473" s="647" t="s">
        <x:v>70</x:v>
      </x:c>
      <x:c r="F473" s="648">
        <x:f>F440+F411-L411</x:f>
        <x:v>0</x:v>
      </x:c>
      <x:c r="G473" s="648">
        <x:f t="shared" ref="G473:AO473" si="22">G411</x:f>
        <x:v>0</x:v>
      </x:c>
      <x:c r="H473" s="648">
        <x:f t="shared" si="22"/>
        <x:v>0</x:v>
      </x:c>
      <x:c r="I473" s="648">
        <x:f t="shared" si="22"/>
        <x:v>0</x:v>
      </x:c>
      <x:c r="J473" s="648">
        <x:f t="shared" si="22"/>
        <x:v>0</x:v>
      </x:c>
      <x:c r="K473" s="648">
        <x:f t="shared" si="22"/>
        <x:v>0</x:v>
      </x:c>
      <x:c r="L473" s="648">
        <x:f t="shared" si="22"/>
        <x:v>0</x:v>
      </x:c>
      <x:c r="M473" s="648">
        <x:f t="shared" si="22"/>
        <x:v>0</x:v>
      </x:c>
      <x:c r="N473" s="648">
        <x:f t="shared" si="22"/>
        <x:v>0</x:v>
      </x:c>
      <x:c r="O473" s="648">
        <x:f t="shared" si="22"/>
        <x:v>0</x:v>
      </x:c>
      <x:c r="P473" s="648">
        <x:f t="shared" si="22"/>
        <x:v>0</x:v>
      </x:c>
      <x:c r="Q473" s="648">
        <x:f t="shared" si="22"/>
        <x:v>0</x:v>
      </x:c>
      <x:c r="R473" s="648">
        <x:f t="shared" si="22"/>
        <x:v>0</x:v>
      </x:c>
      <x:c r="S473" s="648">
        <x:f t="shared" si="22"/>
        <x:v>0</x:v>
      </x:c>
      <x:c r="T473" s="648">
        <x:f t="shared" si="22"/>
        <x:v>0</x:v>
      </x:c>
      <x:c r="U473" s="648">
        <x:f t="shared" si="22"/>
        <x:v>0</x:v>
      </x:c>
      <x:c r="V473" s="648">
        <x:f t="shared" si="22"/>
        <x:v>0</x:v>
      </x:c>
      <x:c r="W473" s="648">
        <x:f t="shared" si="22"/>
        <x:v>0</x:v>
      </x:c>
      <x:c r="X473" s="648">
        <x:f t="shared" si="22"/>
        <x:v>0</x:v>
      </x:c>
      <x:c r="Y473" s="648">
        <x:f t="shared" si="22"/>
        <x:v>0</x:v>
      </x:c>
      <x:c r="Z473" s="648">
        <x:f t="shared" si="22"/>
        <x:v>0</x:v>
      </x:c>
      <x:c r="AA473" s="648">
        <x:f t="shared" si="22"/>
        <x:v>0</x:v>
      </x:c>
      <x:c r="AB473" s="648">
        <x:f t="shared" si="22"/>
        <x:v>0</x:v>
      </x:c>
      <x:c r="AC473" s="648">
        <x:f t="shared" si="22"/>
        <x:v>0</x:v>
      </x:c>
      <x:c r="AD473" s="648">
        <x:f t="shared" si="22"/>
        <x:v>0</x:v>
      </x:c>
      <x:c r="AE473" s="648">
        <x:f t="shared" si="22"/>
        <x:v>0</x:v>
      </x:c>
      <x:c r="AF473" s="648">
        <x:f t="shared" si="22"/>
        <x:v>0</x:v>
      </x:c>
      <x:c r="AG473" s="648">
        <x:f t="shared" si="22"/>
        <x:v>0</x:v>
      </x:c>
      <x:c r="AH473" s="648">
        <x:f t="shared" si="22"/>
        <x:v>0</x:v>
      </x:c>
      <x:c r="AI473" s="648">
        <x:f t="shared" si="22"/>
        <x:v>0</x:v>
      </x:c>
      <x:c r="AJ473" s="648">
        <x:f t="shared" si="22"/>
        <x:v>0</x:v>
      </x:c>
      <x:c r="AK473" s="648">
        <x:f t="shared" si="22"/>
        <x:v>0</x:v>
      </x:c>
      <x:c r="AL473" s="648">
        <x:f t="shared" si="22"/>
        <x:v>0</x:v>
      </x:c>
      <x:c r="AM473" s="648">
        <x:f t="shared" si="22"/>
        <x:v>0</x:v>
      </x:c>
      <x:c r="AN473" s="648">
        <x:f t="shared" si="22"/>
        <x:v>0</x:v>
      </x:c>
      <x:c r="AO473" s="648">
        <x:f t="shared" si="22"/>
        <x:v>0</x:v>
      </x:c>
      <x:c r="BN473" s="624"/>
    </x:row>
    <x:row r="474" spans="1:66" x14ac:dyDescent="0.2">
      <x:c r="C474" s="770"/>
      <x:c r="D474" s="768"/>
      <x:c r="E474" s="647" t="s">
        <x:v>73</x:v>
      </x:c>
      <x:c r="F474" s="648">
        <x:f>F440</x:f>
        <x:v>0</x:v>
      </x:c>
      <x:c r="G474" s="627"/>
      <x:c r="H474" s="627"/>
      <x:c r="I474" s="627"/>
      <x:c r="J474" s="627"/>
      <x:c r="K474" s="627"/>
      <x:c r="L474" s="627"/>
      <x:c r="M474" s="627"/>
      <x:c r="N474" s="627"/>
      <x:c r="O474" s="627"/>
      <x:c r="P474" s="627"/>
      <x:c r="Q474" s="627"/>
      <x:c r="R474" s="627"/>
      <x:c r="S474" s="627"/>
      <x:c r="BN474" s="624"/>
    </x:row>
    <x:row r="475" spans="1:66" x14ac:dyDescent="0.2">
      <x:c r="C475" s="770"/>
      <x:c r="D475" s="768" t="s">
        <x:v>133</x:v>
      </x:c>
      <x:c r="E475" s="649" t="s">
        <x:v>70</x:v>
      </x:c>
      <x:c r="F475" s="650">
        <x:f>F392-L392</x:f>
        <x:v>0</x:v>
      </x:c>
      <x:c r="G475" s="650">
        <x:f>G392</x:f>
        <x:v>0</x:v>
      </x:c>
      <x:c r="H475" s="650">
        <x:f t="shared" ref="H475:Z475" si="23">H392</x:f>
        <x:v>0</x:v>
      </x:c>
      <x:c r="I475" s="650">
        <x:f t="shared" si="23"/>
        <x:v>0</x:v>
      </x:c>
      <x:c r="J475" s="650">
        <x:f t="shared" si="23"/>
        <x:v>0</x:v>
      </x:c>
      <x:c r="K475" s="650">
        <x:f t="shared" si="23"/>
        <x:v>0</x:v>
      </x:c>
      <x:c r="L475" s="650">
        <x:f t="shared" si="23"/>
        <x:v>0</x:v>
      </x:c>
      <x:c r="M475" s="650">
        <x:f t="shared" si="23"/>
        <x:v>0</x:v>
      </x:c>
      <x:c r="N475" s="650">
        <x:f t="shared" si="23"/>
        <x:v>0</x:v>
      </x:c>
      <x:c r="O475" s="650">
        <x:f t="shared" si="23"/>
        <x:v>0</x:v>
      </x:c>
      <x:c r="P475" s="650">
        <x:f t="shared" si="23"/>
        <x:v>0</x:v>
      </x:c>
      <x:c r="Q475" s="650">
        <x:f t="shared" si="23"/>
        <x:v>0</x:v>
      </x:c>
      <x:c r="R475" s="650">
        <x:f t="shared" si="23"/>
        <x:v>0</x:v>
      </x:c>
      <x:c r="S475" s="650">
        <x:f t="shared" si="23"/>
        <x:v>0</x:v>
      </x:c>
      <x:c r="T475" s="650">
        <x:f t="shared" si="23"/>
        <x:v>0</x:v>
      </x:c>
      <x:c r="U475" s="650">
        <x:f t="shared" si="23"/>
        <x:v>0</x:v>
      </x:c>
      <x:c r="V475" s="650">
        <x:f t="shared" si="23"/>
        <x:v>0</x:v>
      </x:c>
      <x:c r="W475" s="650">
        <x:f t="shared" si="23"/>
        <x:v>0</x:v>
      </x:c>
      <x:c r="X475" s="650">
        <x:f t="shared" si="23"/>
        <x:v>0</x:v>
      </x:c>
      <x:c r="Y475" s="650">
        <x:f t="shared" si="23"/>
        <x:v>0</x:v>
      </x:c>
      <x:c r="Z475" s="650">
        <x:f t="shared" si="23"/>
        <x:v>0</x:v>
      </x:c>
      <x:c r="BN475" s="624"/>
    </x:row>
    <x:row r="476" spans="1:66" x14ac:dyDescent="0.2">
      <x:c r="C476" s="770"/>
      <x:c r="D476" s="768"/>
      <x:c r="E476" s="649" t="s">
        <x:v>73</x:v>
      </x:c>
      <x:c r="F476" s="650">
        <x:v>0</x:v>
      </x:c>
      <x:c r="G476" s="627"/>
      <x:c r="H476" s="627"/>
      <x:c r="I476" s="627"/>
      <x:c r="J476" s="627"/>
      <x:c r="K476" s="627"/>
      <x:c r="L476" s="627"/>
      <x:c r="M476" s="627"/>
      <x:c r="N476" s="627"/>
      <x:c r="O476" s="627"/>
      <x:c r="P476" s="627"/>
      <x:c r="Q476" s="627"/>
      <x:c r="R476" s="627"/>
      <x:c r="BN476" s="624"/>
    </x:row>
    <x:row r="477" spans="1:66" ht="15" x14ac:dyDescent="0.25">
      <x:c r="A477" s="625"/>
      <x:c r="C477" s="50"/>
      <x:c r="F477" s="627"/>
      <x:c r="G477" s="627"/>
      <x:c r="H477" s="627"/>
      <x:c r="I477" s="627"/>
      <x:c r="J477" s="627"/>
      <x:c r="K477" s="627"/>
      <x:c r="L477" s="627"/>
      <x:c r="M477" s="627"/>
      <x:c r="N477" s="627"/>
      <x:c r="O477" s="627"/>
      <x:c r="P477" s="627"/>
      <x:c r="Q477" s="627"/>
      <x:c r="R477" s="627"/>
      <x:c r="S477" s="627"/>
      <x:c r="BN477" s="624"/>
    </x:row>
    <x:row r="478" spans="1:66" x14ac:dyDescent="0.2">
      <x:c r="C478" s="770" t="s">
        <x:v>155</x:v>
      </x:c>
      <x:c r="D478" s="768" t="s">
        <x:v>132</x:v>
      </x:c>
      <x:c r="E478" s="651" t="s">
        <x:v>70</x:v>
      </x:c>
      <x:c r="F478" s="652">
        <x:f>F433+F401+F380-L380-L401</x:f>
        <x:v>0</x:v>
      </x:c>
      <x:c r="G478" s="652">
        <x:f t="shared" ref="G478:Z478" si="24">G401+G380</x:f>
        <x:v>0</x:v>
      </x:c>
      <x:c r="H478" s="652">
        <x:f t="shared" si="24"/>
        <x:v>0</x:v>
      </x:c>
      <x:c r="I478" s="652">
        <x:f t="shared" si="24"/>
        <x:v>0</x:v>
      </x:c>
      <x:c r="J478" s="652">
        <x:f t="shared" si="24"/>
        <x:v>0</x:v>
      </x:c>
      <x:c r="K478" s="652">
        <x:f t="shared" si="24"/>
        <x:v>0</x:v>
      </x:c>
      <x:c r="L478" s="652">
        <x:f t="shared" si="24"/>
        <x:v>0</x:v>
      </x:c>
      <x:c r="M478" s="652">
        <x:f t="shared" si="24"/>
        <x:v>0</x:v>
      </x:c>
      <x:c r="N478" s="652">
        <x:f t="shared" si="24"/>
        <x:v>0</x:v>
      </x:c>
      <x:c r="O478" s="652">
        <x:f t="shared" si="24"/>
        <x:v>0</x:v>
      </x:c>
      <x:c r="P478" s="652">
        <x:f t="shared" si="24"/>
        <x:v>0</x:v>
      </x:c>
      <x:c r="Q478" s="652">
        <x:f t="shared" si="24"/>
        <x:v>0</x:v>
      </x:c>
      <x:c r="R478" s="652">
        <x:f t="shared" si="24"/>
        <x:v>0</x:v>
      </x:c>
      <x:c r="S478" s="652">
        <x:f t="shared" si="24"/>
        <x:v>0</x:v>
      </x:c>
      <x:c r="T478" s="652">
        <x:f t="shared" si="24"/>
        <x:v>0</x:v>
      </x:c>
      <x:c r="U478" s="652">
        <x:f t="shared" si="24"/>
        <x:v>0</x:v>
      </x:c>
      <x:c r="V478" s="652">
        <x:f t="shared" si="24"/>
        <x:v>0</x:v>
      </x:c>
      <x:c r="W478" s="652">
        <x:f t="shared" si="24"/>
        <x:v>0</x:v>
      </x:c>
      <x:c r="X478" s="652">
        <x:f t="shared" si="24"/>
        <x:v>0</x:v>
      </x:c>
      <x:c r="Y478" s="652">
        <x:f t="shared" si="24"/>
        <x:v>0</x:v>
      </x:c>
      <x:c r="Z478" s="652">
        <x:f t="shared" si="24"/>
        <x:v>0</x:v>
      </x:c>
      <x:c r="BN478" s="624"/>
    </x:row>
    <x:row r="479" spans="1:66" x14ac:dyDescent="0.2">
      <x:c r="C479" s="770"/>
      <x:c r="D479" s="768"/>
      <x:c r="E479" s="651" t="s">
        <x:v>73</x:v>
      </x:c>
      <x:c r="F479" s="652">
        <x:f>F433</x:f>
        <x:v>0</x:v>
      </x:c>
      <x:c r="G479" s="627"/>
      <x:c r="H479" s="627"/>
      <x:c r="I479" s="627"/>
      <x:c r="J479" s="627"/>
      <x:c r="K479" s="627"/>
      <x:c r="L479" s="627"/>
      <x:c r="M479" s="627"/>
      <x:c r="N479" s="627"/>
      <x:c r="O479" s="627"/>
      <x:c r="P479" s="627"/>
      <x:c r="Q479" s="627"/>
      <x:c r="R479" s="627"/>
      <x:c r="S479" s="627"/>
      <x:c r="BN479" s="624"/>
    </x:row>
    <x:row r="480" spans="1:66" x14ac:dyDescent="0.2">
      <x:c r="C480" s="770"/>
      <x:c r="D480" s="768" t="s">
        <x:v>133</x:v>
      </x:c>
      <x:c r="E480" s="629" t="s">
        <x:v>70</x:v>
      </x:c>
      <x:c r="F480" s="630">
        <x:f>F426+F389-L389</x:f>
        <x:v>0</x:v>
      </x:c>
      <x:c r="G480" s="630">
        <x:f>G389</x:f>
        <x:v>0</x:v>
      </x:c>
      <x:c r="H480" s="630">
        <x:f t="shared" ref="H480:Z480" si="25">H389</x:f>
        <x:v>0</x:v>
      </x:c>
      <x:c r="I480" s="630">
        <x:f t="shared" si="25"/>
        <x:v>0</x:v>
      </x:c>
      <x:c r="J480" s="630">
        <x:f t="shared" si="25"/>
        <x:v>0</x:v>
      </x:c>
      <x:c r="K480" s="630">
        <x:f t="shared" si="25"/>
        <x:v>0</x:v>
      </x:c>
      <x:c r="L480" s="630">
        <x:f t="shared" si="25"/>
        <x:v>0</x:v>
      </x:c>
      <x:c r="M480" s="630">
        <x:f t="shared" si="25"/>
        <x:v>0</x:v>
      </x:c>
      <x:c r="N480" s="630">
        <x:f t="shared" si="25"/>
        <x:v>0</x:v>
      </x:c>
      <x:c r="O480" s="630">
        <x:f t="shared" si="25"/>
        <x:v>0</x:v>
      </x:c>
      <x:c r="P480" s="630">
        <x:f t="shared" si="25"/>
        <x:v>0</x:v>
      </x:c>
      <x:c r="Q480" s="630">
        <x:f t="shared" si="25"/>
        <x:v>0</x:v>
      </x:c>
      <x:c r="R480" s="630">
        <x:f t="shared" si="25"/>
        <x:v>0</x:v>
      </x:c>
      <x:c r="S480" s="630">
        <x:f t="shared" si="25"/>
        <x:v>0</x:v>
      </x:c>
      <x:c r="T480" s="630">
        <x:f t="shared" si="25"/>
        <x:v>0</x:v>
      </x:c>
      <x:c r="U480" s="630">
        <x:f t="shared" si="25"/>
        <x:v>0</x:v>
      </x:c>
      <x:c r="V480" s="630">
        <x:f t="shared" si="25"/>
        <x:v>0</x:v>
      </x:c>
      <x:c r="W480" s="630">
        <x:f t="shared" si="25"/>
        <x:v>0</x:v>
      </x:c>
      <x:c r="X480" s="630">
        <x:f t="shared" si="25"/>
        <x:v>0</x:v>
      </x:c>
      <x:c r="Y480" s="630">
        <x:f t="shared" si="25"/>
        <x:v>0</x:v>
      </x:c>
      <x:c r="Z480" s="630">
        <x:f t="shared" si="25"/>
        <x:v>0</x:v>
      </x:c>
      <x:c r="BN480" s="624"/>
    </x:row>
    <x:row r="481" spans="1:66" x14ac:dyDescent="0.2">
      <x:c r="C481" s="770"/>
      <x:c r="D481" s="768"/>
      <x:c r="E481" s="629" t="s">
        <x:v>73</x:v>
      </x:c>
      <x:c r="F481" s="630">
        <x:f>F426</x:f>
        <x:v>0</x:v>
      </x:c>
      <x:c r="G481" s="627"/>
      <x:c r="H481" s="627"/>
      <x:c r="I481" s="627"/>
      <x:c r="J481" s="627"/>
      <x:c r="K481" s="627"/>
      <x:c r="L481" s="627"/>
      <x:c r="M481" s="627"/>
      <x:c r="N481" s="627"/>
      <x:c r="O481" s="627"/>
      <x:c r="P481" s="627"/>
      <x:c r="Q481" s="627"/>
      <x:c r="R481" s="627"/>
      <x:c r="BN481" s="624"/>
    </x:row>
    <x:row r="482" spans="1:66" ht="15" x14ac:dyDescent="0.25">
      <x:c r="A482" s="625"/>
      <x:c r="C482" s="50"/>
      <x:c r="F482" s="627"/>
      <x:c r="G482" s="627"/>
      <x:c r="H482" s="627"/>
      <x:c r="I482" s="627"/>
      <x:c r="J482" s="627"/>
      <x:c r="K482" s="627"/>
      <x:c r="L482" s="627"/>
      <x:c r="M482" s="627"/>
      <x:c r="N482" s="627"/>
      <x:c r="O482" s="627"/>
      <x:c r="P482" s="627"/>
      <x:c r="Q482" s="627"/>
      <x:c r="R482" s="627"/>
      <x:c r="S482" s="627"/>
      <x:c r="BN482" s="624"/>
    </x:row>
    <x:row r="483" spans="1:66" x14ac:dyDescent="0.2">
      <x:c r="C483" s="771" t="s">
        <x:v>326</x:v>
      </x:c>
      <x:c r="D483" s="768" t="s">
        <x:v>132</x:v>
      </x:c>
      <x:c r="E483" s="654" t="s">
        <x:v>70</x:v>
      </x:c>
      <x:c r="F483" s="655">
        <x:v>0</x:v>
      </x:c>
      <x:c r="G483" s="655">
        <x:v>0</x:v>
      </x:c>
      <x:c r="H483" s="655">
        <x:v>0</x:v>
      </x:c>
      <x:c r="I483" s="655">
        <x:v>0</x:v>
      </x:c>
      <x:c r="J483" s="655">
        <x:v>0</x:v>
      </x:c>
      <x:c r="K483" s="655">
        <x:v>0</x:v>
      </x:c>
      <x:c r="L483" s="655">
        <x:v>0</x:v>
      </x:c>
      <x:c r="M483" s="655">
        <x:v>0</x:v>
      </x:c>
      <x:c r="N483" s="655">
        <x:v>0</x:v>
      </x:c>
      <x:c r="O483" s="655">
        <x:v>0</x:v>
      </x:c>
      <x:c r="P483" s="655">
        <x:v>0</x:v>
      </x:c>
      <x:c r="Q483" s="655">
        <x:v>0</x:v>
      </x:c>
      <x:c r="R483" s="655">
        <x:v>0</x:v>
      </x:c>
      <x:c r="S483" s="655">
        <x:v>0</x:v>
      </x:c>
      <x:c r="T483" s="655">
        <x:v>0</x:v>
      </x:c>
      <x:c r="U483" s="655">
        <x:v>0</x:v>
      </x:c>
      <x:c r="V483" s="655">
        <x:v>0</x:v>
      </x:c>
      <x:c r="W483" s="655">
        <x:v>0</x:v>
      </x:c>
      <x:c r="X483" s="655">
        <x:v>0</x:v>
      </x:c>
      <x:c r="Y483" s="655">
        <x:v>0</x:v>
      </x:c>
      <x:c r="Z483" s="655">
        <x:v>0</x:v>
      </x:c>
      <x:c r="AA483" s="655">
        <x:v>0</x:v>
      </x:c>
      <x:c r="AB483" s="655">
        <x:v>0</x:v>
      </x:c>
      <x:c r="AC483" s="655">
        <x:v>0</x:v>
      </x:c>
      <x:c r="AD483" s="655">
        <x:v>0</x:v>
      </x:c>
      <x:c r="AE483" s="655">
        <x:v>0</x:v>
      </x:c>
      <x:c r="AF483" s="655">
        <x:v>0</x:v>
      </x:c>
      <x:c r="AG483" s="655">
        <x:v>0</x:v>
      </x:c>
      <x:c r="AH483" s="655">
        <x:v>0</x:v>
      </x:c>
      <x:c r="AI483" s="655">
        <x:v>0</x:v>
      </x:c>
      <x:c r="AJ483" s="655">
        <x:v>0</x:v>
      </x:c>
      <x:c r="AK483" s="655">
        <x:v>0</x:v>
      </x:c>
      <x:c r="AL483" s="655">
        <x:v>0</x:v>
      </x:c>
      <x:c r="AM483" s="655">
        <x:v>0</x:v>
      </x:c>
      <x:c r="AN483" s="655">
        <x:v>0</x:v>
      </x:c>
      <x:c r="AO483" s="655">
        <x:v>0</x:v>
      </x:c>
      <x:c r="BN483" s="624"/>
    </x:row>
    <x:row r="484" spans="1:66" x14ac:dyDescent="0.2">
      <x:c r="C484" s="771"/>
      <x:c r="D484" s="768"/>
      <x:c r="E484" s="654" t="s">
        <x:v>73</x:v>
      </x:c>
      <x:c r="F484" s="655">
        <x:v>0</x:v>
      </x:c>
      <x:c r="G484" s="627"/>
      <x:c r="H484" s="627"/>
      <x:c r="I484" s="627"/>
      <x:c r="J484" s="627"/>
      <x:c r="K484" s="627"/>
      <x:c r="L484" s="627"/>
      <x:c r="M484" s="627"/>
      <x:c r="N484" s="627"/>
      <x:c r="O484" s="627"/>
      <x:c r="P484" s="627"/>
      <x:c r="Q484" s="627"/>
      <x:c r="R484" s="627"/>
      <x:c r="S484" s="627"/>
      <x:c r="BN484" s="624"/>
    </x:row>
    <x:row r="485" spans="1:66" x14ac:dyDescent="0.2">
      <x:c r="C485" s="771"/>
      <x:c r="D485" s="768" t="s">
        <x:v>133</x:v>
      </x:c>
      <x:c r="E485" s="656" t="s">
        <x:v>70</x:v>
      </x:c>
      <x:c r="F485" s="657">
        <x:v>0</x:v>
      </x:c>
      <x:c r="G485" s="657">
        <x:v>0</x:v>
      </x:c>
      <x:c r="H485" s="657">
        <x:v>0</x:v>
      </x:c>
      <x:c r="I485" s="657">
        <x:v>0</x:v>
      </x:c>
      <x:c r="J485" s="657">
        <x:v>0</x:v>
      </x:c>
      <x:c r="K485" s="657">
        <x:v>0</x:v>
      </x:c>
      <x:c r="L485" s="657">
        <x:v>0</x:v>
      </x:c>
      <x:c r="M485" s="657">
        <x:v>0</x:v>
      </x:c>
      <x:c r="N485" s="657">
        <x:v>0</x:v>
      </x:c>
      <x:c r="O485" s="657">
        <x:v>0</x:v>
      </x:c>
      <x:c r="P485" s="657">
        <x:v>0</x:v>
      </x:c>
      <x:c r="Q485" s="657">
        <x:v>0</x:v>
      </x:c>
      <x:c r="R485" s="657">
        <x:v>0</x:v>
      </x:c>
      <x:c r="S485" s="657">
        <x:v>0</x:v>
      </x:c>
      <x:c r="T485" s="657">
        <x:v>0</x:v>
      </x:c>
      <x:c r="U485" s="657">
        <x:v>0</x:v>
      </x:c>
      <x:c r="V485" s="657">
        <x:v>0</x:v>
      </x:c>
      <x:c r="W485" s="657">
        <x:v>0</x:v>
      </x:c>
      <x:c r="X485" s="657">
        <x:v>0</x:v>
      </x:c>
      <x:c r="Y485" s="657">
        <x:v>0</x:v>
      </x:c>
      <x:c r="Z485" s="657">
        <x:v>0</x:v>
      </x:c>
      <x:c r="AA485" s="657">
        <x:v>0</x:v>
      </x:c>
      <x:c r="AB485" s="657">
        <x:v>0</x:v>
      </x:c>
      <x:c r="AC485" s="657">
        <x:v>0</x:v>
      </x:c>
      <x:c r="AD485" s="657">
        <x:v>0</x:v>
      </x:c>
      <x:c r="AE485" s="657">
        <x:v>0</x:v>
      </x:c>
      <x:c r="AF485" s="657">
        <x:v>0</x:v>
      </x:c>
      <x:c r="AG485" s="657">
        <x:v>0</x:v>
      </x:c>
      <x:c r="AH485" s="657">
        <x:v>0</x:v>
      </x:c>
      <x:c r="AI485" s="657">
        <x:v>0</x:v>
      </x:c>
      <x:c r="AJ485" s="657">
        <x:v>0</x:v>
      </x:c>
      <x:c r="AK485" s="657">
        <x:v>0</x:v>
      </x:c>
      <x:c r="AL485" s="657">
        <x:v>0</x:v>
      </x:c>
      <x:c r="AM485" s="657">
        <x:v>0</x:v>
      </x:c>
      <x:c r="AN485" s="657">
        <x:v>0</x:v>
      </x:c>
      <x:c r="AO485" s="657">
        <x:v>0</x:v>
      </x:c>
      <x:c r="BN485" s="624"/>
    </x:row>
    <x:row r="486" spans="1:66" x14ac:dyDescent="0.2">
      <x:c r="C486" s="771"/>
      <x:c r="D486" s="768"/>
      <x:c r="E486" s="656" t="s">
        <x:v>73</x:v>
      </x:c>
      <x:c r="F486" s="657">
        <x:v>0</x:v>
      </x:c>
      <x:c r="G486" s="627"/>
      <x:c r="H486" s="627"/>
      <x:c r="I486" s="627"/>
      <x:c r="J486" s="627"/>
      <x:c r="K486" s="627"/>
      <x:c r="L486" s="627"/>
      <x:c r="M486" s="627"/>
      <x:c r="N486" s="627"/>
      <x:c r="O486" s="627"/>
      <x:c r="P486" s="627"/>
      <x:c r="Q486" s="627"/>
      <x:c r="R486" s="627"/>
      <x:c r="BN486" s="624"/>
    </x:row>
    <x:row r="487" spans="1:66" ht="15" x14ac:dyDescent="0.25">
      <x:c r="A487" s="625"/>
      <x:c r="C487" s="50"/>
      <x:c r="F487" s="627"/>
      <x:c r="G487" s="627"/>
      <x:c r="H487" s="627"/>
      <x:c r="I487" s="627"/>
      <x:c r="J487" s="627"/>
      <x:c r="K487" s="627"/>
      <x:c r="L487" s="627"/>
      <x:c r="M487" s="627"/>
      <x:c r="N487" s="627"/>
      <x:c r="O487" s="627"/>
      <x:c r="P487" s="627"/>
      <x:c r="Q487" s="627"/>
      <x:c r="R487" s="627"/>
      <x:c r="S487" s="627"/>
      <x:c r="BN487" s="624"/>
    </x:row>
    <x:row r="488" spans="1:66" x14ac:dyDescent="0.2">
      <x:c r="C488" s="770" t="s">
        <x:v>119</x:v>
      </x:c>
      <x:c r="D488" s="768" t="s">
        <x:v>132</x:v>
      </x:c>
      <x:c r="E488" s="632" t="s">
        <x:v>70</x:v>
      </x:c>
      <x:c r="F488" s="633">
        <x:f>F447+F421+F383-L383-L421</x:f>
        <x:v>0</x:v>
      </x:c>
      <x:c r="G488" s="633">
        <x:f t="shared" ref="G488:AO488" si="26">G421+G383</x:f>
        <x:v>0</x:v>
      </x:c>
      <x:c r="H488" s="633">
        <x:f t="shared" si="26"/>
        <x:v>0</x:v>
      </x:c>
      <x:c r="I488" s="633">
        <x:f t="shared" si="26"/>
        <x:v>0</x:v>
      </x:c>
      <x:c r="J488" s="633">
        <x:f t="shared" si="26"/>
        <x:v>0</x:v>
      </x:c>
      <x:c r="K488" s="633">
        <x:f t="shared" si="26"/>
        <x:v>0</x:v>
      </x:c>
      <x:c r="L488" s="633">
        <x:f t="shared" si="26"/>
        <x:v>0</x:v>
      </x:c>
      <x:c r="M488" s="633">
        <x:f t="shared" si="26"/>
        <x:v>0</x:v>
      </x:c>
      <x:c r="N488" s="633">
        <x:f t="shared" si="26"/>
        <x:v>0</x:v>
      </x:c>
      <x:c r="O488" s="633">
        <x:f t="shared" si="26"/>
        <x:v>0</x:v>
      </x:c>
      <x:c r="P488" s="633">
        <x:f t="shared" si="26"/>
        <x:v>0</x:v>
      </x:c>
      <x:c r="Q488" s="633">
        <x:f t="shared" si="26"/>
        <x:v>0</x:v>
      </x:c>
      <x:c r="R488" s="633">
        <x:f t="shared" si="26"/>
        <x:v>0</x:v>
      </x:c>
      <x:c r="S488" s="633">
        <x:f t="shared" si="26"/>
        <x:v>0</x:v>
      </x:c>
      <x:c r="T488" s="633">
        <x:f t="shared" si="26"/>
        <x:v>0</x:v>
      </x:c>
      <x:c r="U488" s="633">
        <x:f t="shared" si="26"/>
        <x:v>0</x:v>
      </x:c>
      <x:c r="V488" s="633">
        <x:f t="shared" si="26"/>
        <x:v>0</x:v>
      </x:c>
      <x:c r="W488" s="633">
        <x:f t="shared" si="26"/>
        <x:v>0</x:v>
      </x:c>
      <x:c r="X488" s="633">
        <x:f t="shared" si="26"/>
        <x:v>0</x:v>
      </x:c>
      <x:c r="Y488" s="633">
        <x:f t="shared" si="26"/>
        <x:v>0</x:v>
      </x:c>
      <x:c r="Z488" s="633">
        <x:f t="shared" si="26"/>
        <x:v>0</x:v>
      </x:c>
      <x:c r="AA488" s="633">
        <x:f t="shared" si="26"/>
        <x:v>0</x:v>
      </x:c>
      <x:c r="AB488" s="633">
        <x:f t="shared" si="26"/>
        <x:v>0</x:v>
      </x:c>
      <x:c r="AC488" s="633">
        <x:f t="shared" si="26"/>
        <x:v>0</x:v>
      </x:c>
      <x:c r="AD488" s="633">
        <x:f t="shared" si="26"/>
        <x:v>0</x:v>
      </x:c>
      <x:c r="AE488" s="633">
        <x:f t="shared" si="26"/>
        <x:v>0</x:v>
      </x:c>
      <x:c r="AF488" s="633">
        <x:f t="shared" si="26"/>
        <x:v>0</x:v>
      </x:c>
      <x:c r="AG488" s="633">
        <x:f t="shared" si="26"/>
        <x:v>0</x:v>
      </x:c>
      <x:c r="AH488" s="633">
        <x:f t="shared" si="26"/>
        <x:v>0</x:v>
      </x:c>
      <x:c r="AI488" s="633">
        <x:f t="shared" si="26"/>
        <x:v>0</x:v>
      </x:c>
      <x:c r="AJ488" s="633">
        <x:f t="shared" si="26"/>
        <x:v>0</x:v>
      </x:c>
      <x:c r="AK488" s="633">
        <x:f t="shared" si="26"/>
        <x:v>0</x:v>
      </x:c>
      <x:c r="AL488" s="633">
        <x:f t="shared" si="26"/>
        <x:v>0</x:v>
      </x:c>
      <x:c r="AM488" s="633">
        <x:f t="shared" si="26"/>
        <x:v>0</x:v>
      </x:c>
      <x:c r="AN488" s="633">
        <x:f t="shared" si="26"/>
        <x:v>0</x:v>
      </x:c>
      <x:c r="AO488" s="633">
        <x:f t="shared" si="26"/>
        <x:v>0</x:v>
      </x:c>
      <x:c r="BN488" s="624"/>
    </x:row>
    <x:row r="489" spans="1:66" x14ac:dyDescent="0.2">
      <x:c r="C489" s="770"/>
      <x:c r="D489" s="768"/>
      <x:c r="E489" s="632" t="s">
        <x:v>73</x:v>
      </x:c>
      <x:c r="F489" s="633">
        <x:f>F447</x:f>
        <x:v>0</x:v>
      </x:c>
      <x:c r="G489" s="627"/>
      <x:c r="H489" s="627"/>
      <x:c r="I489" s="627"/>
      <x:c r="J489" s="627"/>
      <x:c r="K489" s="627"/>
      <x:c r="L489" s="627"/>
      <x:c r="M489" s="627"/>
      <x:c r="N489" s="627"/>
      <x:c r="O489" s="627"/>
      <x:c r="P489" s="627"/>
      <x:c r="Q489" s="627"/>
      <x:c r="R489" s="627"/>
      <x:c r="S489" s="627"/>
      <x:c r="BN489" s="624"/>
    </x:row>
    <x:row r="490" spans="1:66" x14ac:dyDescent="0.2">
      <x:c r="C490" s="770"/>
      <x:c r="D490" s="768" t="s">
        <x:v>133</x:v>
      </x:c>
      <x:c r="E490" s="658" t="s">
        <x:v>70</x:v>
      </x:c>
      <x:c r="F490" s="659">
        <x:f>F429+F396-L396</x:f>
        <x:v>0</x:v>
      </x:c>
      <x:c r="G490" s="659">
        <x:f t="shared" ref="G490:Z490" si="27">G396</x:f>
        <x:v>0</x:v>
      </x:c>
      <x:c r="H490" s="659">
        <x:f t="shared" si="27"/>
        <x:v>0</x:v>
      </x:c>
      <x:c r="I490" s="659">
        <x:f t="shared" si="27"/>
        <x:v>0</x:v>
      </x:c>
      <x:c r="J490" s="659">
        <x:f t="shared" si="27"/>
        <x:v>0</x:v>
      </x:c>
      <x:c r="K490" s="659">
        <x:f t="shared" si="27"/>
        <x:v>0</x:v>
      </x:c>
      <x:c r="L490" s="659">
        <x:f t="shared" si="27"/>
        <x:v>0</x:v>
      </x:c>
      <x:c r="M490" s="659">
        <x:f t="shared" si="27"/>
        <x:v>0</x:v>
      </x:c>
      <x:c r="N490" s="659">
        <x:f t="shared" si="27"/>
        <x:v>0</x:v>
      </x:c>
      <x:c r="O490" s="659">
        <x:f t="shared" si="27"/>
        <x:v>0</x:v>
      </x:c>
      <x:c r="P490" s="659">
        <x:f t="shared" si="27"/>
        <x:v>0</x:v>
      </x:c>
      <x:c r="Q490" s="659">
        <x:f t="shared" si="27"/>
        <x:v>0</x:v>
      </x:c>
      <x:c r="R490" s="659">
        <x:f t="shared" si="27"/>
        <x:v>0</x:v>
      </x:c>
      <x:c r="S490" s="659">
        <x:f t="shared" si="27"/>
        <x:v>0</x:v>
      </x:c>
      <x:c r="T490" s="659">
        <x:f t="shared" si="27"/>
        <x:v>0</x:v>
      </x:c>
      <x:c r="U490" s="659">
        <x:f t="shared" si="27"/>
        <x:v>0</x:v>
      </x:c>
      <x:c r="V490" s="659">
        <x:f t="shared" si="27"/>
        <x:v>0</x:v>
      </x:c>
      <x:c r="W490" s="659">
        <x:f t="shared" si="27"/>
        <x:v>0</x:v>
      </x:c>
      <x:c r="X490" s="659">
        <x:f t="shared" si="27"/>
        <x:v>0</x:v>
      </x:c>
      <x:c r="Y490" s="659">
        <x:f t="shared" si="27"/>
        <x:v>0</x:v>
      </x:c>
      <x:c r="Z490" s="659">
        <x:f t="shared" si="27"/>
        <x:v>0</x:v>
      </x:c>
      <x:c r="BN490" s="624"/>
    </x:row>
    <x:row r="491" spans="1:66" x14ac:dyDescent="0.2">
      <x:c r="C491" s="770"/>
      <x:c r="D491" s="768"/>
      <x:c r="E491" s="658" t="s">
        <x:v>73</x:v>
      </x:c>
      <x:c r="F491" s="659">
        <x:f>F429</x:f>
        <x:v>0</x:v>
      </x:c>
      <x:c r="G491" s="627"/>
      <x:c r="H491" s="627"/>
      <x:c r="I491" s="627"/>
      <x:c r="J491" s="627"/>
      <x:c r="K491" s="627"/>
      <x:c r="L491" s="627"/>
      <x:c r="M491" s="627"/>
      <x:c r="N491" s="627"/>
      <x:c r="O491" s="627"/>
      <x:c r="P491" s="627"/>
      <x:c r="Q491" s="627"/>
      <x:c r="R491" s="627"/>
      <x:c r="BN491" s="624"/>
    </x:row>
    <x:row r="492" spans="1:66" ht="15" x14ac:dyDescent="0.25">
      <x:c r="A492" s="625"/>
      <x:c r="C492" s="50"/>
      <x:c r="F492" s="627"/>
      <x:c r="G492" s="627"/>
      <x:c r="H492" s="627"/>
      <x:c r="I492" s="627"/>
      <x:c r="J492" s="627"/>
      <x:c r="K492" s="627"/>
      <x:c r="L492" s="627"/>
      <x:c r="M492" s="627"/>
      <x:c r="N492" s="627"/>
      <x:c r="O492" s="627"/>
      <x:c r="P492" s="627"/>
      <x:c r="Q492" s="627"/>
      <x:c r="R492" s="627"/>
      <x:c r="S492" s="627"/>
      <x:c r="BN492" s="624"/>
    </x:row>
    <x:row r="493" spans="1:66" x14ac:dyDescent="0.2">
      <x:c r="C493" s="769" t="s">
        <x:v>161</x:v>
      </x:c>
      <x:c r="D493" s="768" t="s">
        <x:v>132</x:v>
      </x:c>
      <x:c r="E493" s="661" t="s">
        <x:v>70</x:v>
      </x:c>
      <x:c r="F493" s="662">
        <x:v>0</x:v>
      </x:c>
      <x:c r="G493" s="662">
        <x:v>0</x:v>
      </x:c>
      <x:c r="H493" s="662">
        <x:v>0</x:v>
      </x:c>
      <x:c r="I493" s="662">
        <x:v>0</x:v>
      </x:c>
      <x:c r="J493" s="662">
        <x:v>0</x:v>
      </x:c>
      <x:c r="K493" s="662">
        <x:v>0</x:v>
      </x:c>
      <x:c r="L493" s="662">
        <x:v>0</x:v>
      </x:c>
      <x:c r="M493" s="662">
        <x:v>0</x:v>
      </x:c>
      <x:c r="N493" s="662">
        <x:v>0</x:v>
      </x:c>
      <x:c r="O493" s="662">
        <x:v>0</x:v>
      </x:c>
      <x:c r="P493" s="662">
        <x:v>0</x:v>
      </x:c>
      <x:c r="Q493" s="662">
        <x:v>0</x:v>
      </x:c>
      <x:c r="R493" s="662">
        <x:v>0</x:v>
      </x:c>
      <x:c r="S493" s="662">
        <x:v>0</x:v>
      </x:c>
      <x:c r="T493" s="662">
        <x:v>0</x:v>
      </x:c>
      <x:c r="U493" s="662">
        <x:v>0</x:v>
      </x:c>
      <x:c r="V493" s="662">
        <x:v>0</x:v>
      </x:c>
      <x:c r="W493" s="662">
        <x:v>0</x:v>
      </x:c>
      <x:c r="X493" s="662">
        <x:v>0</x:v>
      </x:c>
      <x:c r="Y493" s="662">
        <x:v>0</x:v>
      </x:c>
      <x:c r="Z493" s="662">
        <x:v>0</x:v>
      </x:c>
      <x:c r="AA493" s="662">
        <x:v>0</x:v>
      </x:c>
      <x:c r="AB493" s="662">
        <x:v>0</x:v>
      </x:c>
      <x:c r="AC493" s="662">
        <x:v>0</x:v>
      </x:c>
      <x:c r="AD493" s="662">
        <x:v>0</x:v>
      </x:c>
      <x:c r="AE493" s="662">
        <x:v>0</x:v>
      </x:c>
      <x:c r="AF493" s="662">
        <x:v>0</x:v>
      </x:c>
      <x:c r="AG493" s="662">
        <x:v>0</x:v>
      </x:c>
      <x:c r="AH493" s="662">
        <x:v>0</x:v>
      </x:c>
      <x:c r="AI493" s="662">
        <x:v>0</x:v>
      </x:c>
      <x:c r="AJ493" s="662">
        <x:v>0</x:v>
      </x:c>
      <x:c r="AK493" s="662">
        <x:v>0</x:v>
      </x:c>
      <x:c r="AL493" s="662">
        <x:v>0</x:v>
      </x:c>
      <x:c r="AM493" s="662">
        <x:v>0</x:v>
      </x:c>
      <x:c r="AN493" s="662">
        <x:v>0</x:v>
      </x:c>
      <x:c r="AO493" s="662">
        <x:v>0</x:v>
      </x:c>
      <x:c r="BN493" s="624"/>
    </x:row>
    <x:row r="494" spans="1:66" x14ac:dyDescent="0.2">
      <x:c r="C494" s="769"/>
      <x:c r="D494" s="768"/>
      <x:c r="E494" s="661" t="s">
        <x:v>73</x:v>
      </x:c>
      <x:c r="F494" s="662">
        <x:v>0</x:v>
      </x:c>
      <x:c r="G494" s="627"/>
      <x:c r="H494" s="627"/>
      <x:c r="I494" s="627"/>
      <x:c r="J494" s="627"/>
      <x:c r="K494" s="627"/>
      <x:c r="L494" s="627"/>
      <x:c r="M494" s="627"/>
      <x:c r="N494" s="627"/>
      <x:c r="O494" s="627"/>
      <x:c r="P494" s="627"/>
      <x:c r="Q494" s="627"/>
      <x:c r="R494" s="627"/>
      <x:c r="S494" s="627"/>
      <x:c r="BN494" s="624"/>
    </x:row>
    <x:row r="495" spans="1:66" x14ac:dyDescent="0.2">
      <x:c r="C495" s="769"/>
      <x:c r="E495" s="663" t="s">
        <x:v>70</x:v>
      </x:c>
      <x:c r="F495" s="664">
        <x:v>0</x:v>
      </x:c>
      <x:c r="G495" s="664">
        <x:v>0</x:v>
      </x:c>
      <x:c r="H495" s="664">
        <x:v>0</x:v>
      </x:c>
      <x:c r="I495" s="664">
        <x:v>0</x:v>
      </x:c>
      <x:c r="J495" s="664">
        <x:v>0</x:v>
      </x:c>
      <x:c r="K495" s="664">
        <x:v>0</x:v>
      </x:c>
      <x:c r="L495" s="664">
        <x:v>0</x:v>
      </x:c>
      <x:c r="M495" s="664">
        <x:v>0</x:v>
      </x:c>
      <x:c r="N495" s="664">
        <x:v>0</x:v>
      </x:c>
      <x:c r="O495" s="664">
        <x:v>0</x:v>
      </x:c>
      <x:c r="P495" s="664">
        <x:v>0</x:v>
      </x:c>
      <x:c r="Q495" s="664">
        <x:v>0</x:v>
      </x:c>
      <x:c r="R495" s="664">
        <x:v>0</x:v>
      </x:c>
      <x:c r="S495" s="664">
        <x:v>0</x:v>
      </x:c>
      <x:c r="T495" s="664">
        <x:v>0</x:v>
      </x:c>
      <x:c r="U495" s="664">
        <x:v>0</x:v>
      </x:c>
      <x:c r="V495" s="664">
        <x:v>0</x:v>
      </x:c>
      <x:c r="W495" s="664">
        <x:v>0</x:v>
      </x:c>
      <x:c r="X495" s="664">
        <x:v>0</x:v>
      </x:c>
      <x:c r="Y495" s="664">
        <x:v>0</x:v>
      </x:c>
      <x:c r="Z495" s="664">
        <x:v>0</x:v>
      </x:c>
      <x:c r="BN495" s="624"/>
    </x:row>
    <x:row r="496" spans="1:66" x14ac:dyDescent="0.2">
      <x:c r="C496" s="769"/>
      <x:c r="D496" s="644" t="s">
        <x:v>132</x:v>
      </x:c>
      <x:c r="E496" s="663" t="s">
        <x:v>73</x:v>
      </x:c>
      <x:c r="F496" s="664">
        <x:v>0</x:v>
      </x:c>
      <x:c r="G496" s="627"/>
      <x:c r="H496" s="627"/>
      <x:c r="I496" s="627"/>
      <x:c r="J496" s="627"/>
      <x:c r="K496" s="627"/>
      <x:c r="L496" s="627"/>
      <x:c r="M496" s="627"/>
      <x:c r="N496" s="627"/>
      <x:c r="O496" s="627"/>
      <x:c r="P496" s="627"/>
      <x:c r="Q496" s="627"/>
      <x:c r="R496" s="627"/>
      <x:c r="BN496" s="624"/>
    </x:row>
    <x:row r="497" spans="1:66" ht="15" x14ac:dyDescent="0.2">
      <x:c r="C497" s="660"/>
      <x:c r="D497" s="644"/>
      <x:c r="E497" s="625"/>
      <x:c r="F497" s="627"/>
      <x:c r="G497" s="627"/>
      <x:c r="H497" s="627"/>
      <x:c r="I497" s="627"/>
      <x:c r="J497" s="627"/>
      <x:c r="K497" s="627"/>
      <x:c r="L497" s="627"/>
      <x:c r="M497" s="627"/>
      <x:c r="N497" s="627"/>
      <x:c r="O497" s="627"/>
      <x:c r="P497" s="627"/>
      <x:c r="Q497" s="627"/>
      <x:c r="R497" s="627"/>
      <x:c r="BN497" s="624"/>
    </x:row>
    <x:row r="498" spans="1:66" x14ac:dyDescent="0.2">
      <x:c r="D498" s="634" t="s">
        <x:v>185</x:v>
      </x:c>
      <x:c r="E498" s="665" t="s">
        <x:v>70</x:v>
      </x:c>
      <x:c r="F498" s="666">
        <x:f t="shared" ref="F498:Z498" si="28">F385</x:f>
        <x:v>0</x:v>
      </x:c>
      <x:c r="G498" s="666">
        <x:f t="shared" si="28"/>
        <x:v>0</x:v>
      </x:c>
      <x:c r="H498" s="666">
        <x:f t="shared" si="28"/>
        <x:v>0</x:v>
      </x:c>
      <x:c r="I498" s="666">
        <x:f t="shared" si="28"/>
        <x:v>0</x:v>
      </x:c>
      <x:c r="J498" s="666">
        <x:f t="shared" si="28"/>
        <x:v>0</x:v>
      </x:c>
      <x:c r="K498" s="666">
        <x:f t="shared" si="28"/>
        <x:v>0</x:v>
      </x:c>
      <x:c r="L498" s="666">
        <x:f t="shared" si="28"/>
        <x:v>0</x:v>
      </x:c>
      <x:c r="M498" s="666">
        <x:f t="shared" si="28"/>
        <x:v>0</x:v>
      </x:c>
      <x:c r="N498" s="666">
        <x:f t="shared" si="28"/>
        <x:v>0</x:v>
      </x:c>
      <x:c r="O498" s="666">
        <x:f t="shared" si="28"/>
        <x:v>0</x:v>
      </x:c>
      <x:c r="P498" s="666">
        <x:f t="shared" si="28"/>
        <x:v>0</x:v>
      </x:c>
      <x:c r="Q498" s="666">
        <x:f t="shared" si="28"/>
        <x:v>0</x:v>
      </x:c>
      <x:c r="R498" s="666">
        <x:f t="shared" si="28"/>
        <x:v>0</x:v>
      </x:c>
      <x:c r="S498" s="666">
        <x:f t="shared" si="28"/>
        <x:v>0</x:v>
      </x:c>
      <x:c r="T498" s="666">
        <x:f t="shared" si="28"/>
        <x:v>0</x:v>
      </x:c>
      <x:c r="U498" s="666">
        <x:f t="shared" si="28"/>
        <x:v>0</x:v>
      </x:c>
      <x:c r="V498" s="666">
        <x:f t="shared" si="28"/>
        <x:v>0</x:v>
      </x:c>
      <x:c r="W498" s="666">
        <x:f t="shared" si="28"/>
        <x:v>0</x:v>
      </x:c>
      <x:c r="X498" s="666">
        <x:f t="shared" si="28"/>
        <x:v>0</x:v>
      </x:c>
      <x:c r="Y498" s="666">
        <x:f t="shared" si="28"/>
        <x:v>0</x:v>
      </x:c>
      <x:c r="Z498" s="666">
        <x:f t="shared" si="28"/>
        <x:v>0</x:v>
      </x:c>
      <x:c r="BN498" s="624"/>
    </x:row>
    <x:row r="499" spans="1:66" ht="15" x14ac:dyDescent="0.2">
      <x:c r="C499" s="660"/>
      <x:c r="D499" s="644"/>
      <x:c r="E499" s="625"/>
      <x:c r="F499" s="627"/>
      <x:c r="G499" s="627"/>
      <x:c r="H499" s="627"/>
      <x:c r="I499" s="627"/>
      <x:c r="J499" s="627"/>
      <x:c r="K499" s="627"/>
      <x:c r="L499" s="627"/>
      <x:c r="M499" s="627"/>
      <x:c r="N499" s="627"/>
      <x:c r="O499" s="627"/>
      <x:c r="P499" s="627"/>
      <x:c r="Q499" s="627"/>
      <x:c r="R499" s="627"/>
      <x:c r="BN499" s="624"/>
    </x:row>
    <x:row r="500" spans="1:66" x14ac:dyDescent="0.2">
      <x:c r="A500" s="624"/>
      <x:c r="B500" s="624"/>
      <x:c r="C500" s="624"/>
      <x:c r="D500" s="624"/>
      <x:c r="E500" s="624"/>
      <x:c r="F500" s="624"/>
      <x:c r="G500" s="624"/>
      <x:c r="H500" s="624"/>
      <x:c r="I500" s="624"/>
      <x:c r="J500" s="624"/>
      <x:c r="K500" s="624"/>
      <x:c r="L500" s="624"/>
      <x:c r="M500" s="624"/>
      <x:c r="N500" s="624"/>
      <x:c r="O500" s="624"/>
      <x:c r="P500" s="624"/>
      <x:c r="Q500" s="624"/>
      <x:c r="R500" s="624"/>
      <x:c r="S500" s="624"/>
      <x:c r="T500" s="624"/>
      <x:c r="U500" s="624"/>
      <x:c r="V500" s="624"/>
      <x:c r="W500" s="624"/>
      <x:c r="X500" s="624"/>
      <x:c r="Y500" s="624"/>
      <x:c r="Z500" s="624"/>
      <x:c r="AA500" s="624"/>
      <x:c r="AB500" s="624"/>
      <x:c r="AC500" s="624"/>
      <x:c r="AD500" s="624"/>
      <x:c r="AE500" s="624"/>
      <x:c r="AF500" s="624"/>
      <x:c r="AG500" s="624"/>
      <x:c r="AH500" s="624"/>
      <x:c r="AI500" s="624"/>
      <x:c r="AJ500" s="624"/>
      <x:c r="AK500" s="624"/>
      <x:c r="AL500" s="624"/>
      <x:c r="AM500" s="624"/>
      <x:c r="AN500" s="624"/>
      <x:c r="AO500" s="624"/>
      <x:c r="AP500" s="624"/>
      <x:c r="AQ500" s="624"/>
      <x:c r="AR500" s="624"/>
      <x:c r="AS500" s="624"/>
      <x:c r="AT500" s="624"/>
      <x:c r="AU500" s="624"/>
      <x:c r="AV500" s="624"/>
      <x:c r="AW500" s="624"/>
      <x:c r="AX500" s="624"/>
      <x:c r="AY500" s="624"/>
      <x:c r="AZ500" s="624"/>
      <x:c r="BA500" s="624"/>
      <x:c r="BB500" s="624"/>
      <x:c r="BC500" s="624"/>
      <x:c r="BD500" s="624"/>
      <x:c r="BE500" s="624"/>
      <x:c r="BF500" s="624"/>
      <x:c r="BG500" s="624"/>
      <x:c r="BH500" s="624"/>
      <x:c r="BI500" s="624"/>
      <x:c r="BJ500" s="624"/>
      <x:c r="BK500" s="624"/>
      <x:c r="BL500" s="624"/>
      <x:c r="BM500" s="624"/>
      <x:c r="BN500" s="624"/>
    </x:row>
    <x:row r="501" spans="1:66" ht="15" x14ac:dyDescent="0.25">
      <x:c r="A501" s="625"/>
      <x:c r="B501" s="50" t="s">
        <x:v>93</x:v>
      </x:c>
      <x:c r="E501" s="627"/>
      <x:c r="F501" s="627"/>
      <x:c r="G501" s="627"/>
      <x:c r="H501" s="627"/>
      <x:c r="I501" s="627"/>
      <x:c r="J501" s="627"/>
      <x:c r="K501" s="627"/>
      <x:c r="L501" s="627"/>
      <x:c r="M501" s="627"/>
      <x:c r="N501" s="627"/>
      <x:c r="O501" s="627"/>
      <x:c r="P501" s="627"/>
      <x:c r="Q501" s="627"/>
      <x:c r="BN501" s="624"/>
    </x:row>
    <x:row r="502" spans="1:66" s="50" customFormat="1" ht="30" x14ac:dyDescent="0.25">
      <x:c r="F502" s="669" t="s">
        <x:v>70</x:v>
      </x:c>
      <x:c r="G502" s="669" t="s">
        <x:v>64</x:v>
      </x:c>
      <x:c r="H502" s="669" t="s">
        <x:v>65</x:v>
      </x:c>
      <x:c r="I502" s="626" t="s">
        <x:v>164</x:v>
      </x:c>
      <x:c r="J502" s="669" t="s">
        <x:v>69</x:v>
      </x:c>
      <x:c r="K502" s="669" t="s">
        <x:v>68</x:v>
      </x:c>
      <x:c r="L502" s="669" t="s">
        <x:v>71</x:v>
      </x:c>
      <x:c r="M502" s="669" t="s">
        <x:v>66</x:v>
      </x:c>
      <x:c r="N502" s="669" t="s">
        <x:v>63</x:v>
      </x:c>
      <x:c r="O502" s="669" t="s">
        <x:v>61</x:v>
      </x:c>
      <x:c r="P502" s="669" t="s">
        <x:v>62</x:v>
      </x:c>
      <x:c r="Q502" s="669" t="s">
        <x:v>67</x:v>
      </x:c>
      <x:c r="R502" s="669" t="s">
        <x:v>77</x:v>
      </x:c>
      <x:c r="S502" s="669" t="s">
        <x:v>80</x:v>
      </x:c>
      <x:c r="T502" s="669" t="s">
        <x:v>135</x:v>
      </x:c>
      <x:c r="U502" s="669" t="s">
        <x:v>223</x:v>
      </x:c>
      <x:c r="V502" s="669" t="s">
        <x:v>223</x:v>
      </x:c>
      <x:c r="W502" s="669" t="s">
        <x:v>172</x:v>
      </x:c>
      <x:c r="X502" s="50" t="s">
        <x:v>222</x:v>
      </x:c>
      <x:c r="Y502" s="669" t="s">
        <x:v>135</x:v>
      </x:c>
      <x:c r="Z502" s="669" t="s">
        <x:v>166</x:v>
      </x:c>
      <x:c r="BN502" s="618"/>
    </x:row>
    <x:row r="503" spans="1:66" x14ac:dyDescent="0.2">
      <x:c r="A503" s="625"/>
      <x:c r="B503" s="625"/>
      <x:c r="C503"/>
      <x:c r="D503"/>
      <x:c r="E503" s="25" t="inlineStr">
        <x:is>
          <x:t>Vlr Servicio</x:t>
        </x:is>
      </x:c>
      <x:c r="F503" s="627" t="n">
        <x:v>52706.16</x:v>
      </x:c>
      <x:c r="G503" s="627" t="n">
        <x:v>3111.59</x:v>
      </x:c>
      <x:c r="H503" s="627" t="n">
        <x:v>1751.34</x:v>
      </x:c>
      <x:c r="I503" s="627" t="n">
        <x:v>897.63</x:v>
      </x:c>
      <x:c r="J503" s="627" t="n">
        <x:v>11377.58</x:v>
      </x:c>
      <x:c r="K503" s="627" t="n">
        <x:v>312.11</x:v>
      </x:c>
      <x:c r="L503" s="627" t="n">
        <x:v>0</x:v>
      </x:c>
      <x:c r="M503" s="627" t="n">
        <x:v>2737.85</x:v>
      </x:c>
      <x:c r="N503" s="627" t="n">
        <x:v>3754.56</x:v>
      </x:c>
      <x:c r="O503" s="627" t="n">
        <x:v>19228.87</x:v>
      </x:c>
      <x:c r="P503" s="627" t="n">
        <x:v>9026.77</x:v>
      </x:c>
      <x:c r="Q503" s="627" t="n">
        <x:v>509.25</x:v>
      </x:c>
      <x:c r="R503" s="627" t="n">
        <x:v>-1.39</x:v>
      </x:c>
      <x:c r="S503" s="627" t="n">
        <x:v>0</x:v>
      </x:c>
      <x:c r="T503" s="653" t="n">
        <x:v>0</x:v>
      </x:c>
      <x:c r="U503" s="653">
        <x:v>0</x:v>
      </x:c>
      <x:c r="V503" s="653">
        <x:v>0</x:v>
      </x:c>
      <x:c r="W503" s="653">
        <x:v>0</x:v>
      </x:c>
      <x:c r="X503" s="653">
        <x:v>0</x:v>
      </x:c>
      <x:c r="Y503" s="653">
        <x:v>0</x:v>
      </x:c>
      <x:c r="Z503" s="653" t="n">
        <x:v>0</x:v>
      </x:c>
      <x:c r="BN503" s="624"/>
    </x:row>
    <x:row r="504" spans="1:66" x14ac:dyDescent="0.2">
      <x:c r="A504" s="625"/>
      <x:c r="B504" s="625"/>
      <x:c r="C504"/>
      <x:c r="D504" s="25" t="inlineStr">
        <x:is>
          <x:t>H</x:t>
        </x:is>
      </x:c>
      <x:c r="E504" s="25" t="inlineStr">
        <x:is>
          <x:t>Total</x:t>
        </x:is>
      </x:c>
      <x:c r="F504" s="627" t="n">
        <x:v>52706.16</x:v>
      </x:c>
      <x:c r="G504" s="627" t="n">
        <x:v>3111.59</x:v>
      </x:c>
      <x:c r="H504" s="627" t="n">
        <x:v>1751.34</x:v>
      </x:c>
      <x:c r="I504" s="627" t="n">
        <x:v>897.63</x:v>
      </x:c>
      <x:c r="J504" s="627" t="n">
        <x:v>11377.58</x:v>
      </x:c>
      <x:c r="K504" s="627" t="n">
        <x:v>312.11</x:v>
      </x:c>
      <x:c r="L504" s="627" t="n">
        <x:v>0</x:v>
      </x:c>
      <x:c r="M504" s="627" t="n">
        <x:v>2737.85</x:v>
      </x:c>
      <x:c r="N504" s="627" t="n">
        <x:v>3754.56</x:v>
      </x:c>
      <x:c r="O504" s="627" t="n">
        <x:v>19228.87</x:v>
      </x:c>
      <x:c r="P504" s="627" t="n">
        <x:v>9026.77</x:v>
      </x:c>
      <x:c r="Q504" s="627" t="n">
        <x:v>509.25</x:v>
      </x:c>
      <x:c r="R504" s="627" t="n">
        <x:v>-1.39</x:v>
      </x:c>
      <x:c r="S504" s="627" t="n">
        <x:v>0</x:v>
      </x:c>
      <x:c r="T504" s="653" t="n">
        <x:v>0</x:v>
      </x:c>
      <x:c r="U504" s="653">
        <x:v>0</x:v>
      </x:c>
      <x:c r="V504" s="653">
        <x:v>0</x:v>
      </x:c>
      <x:c r="W504" s="653">
        <x:v>0</x:v>
      </x:c>
      <x:c r="X504" s="653">
        <x:v>0</x:v>
      </x:c>
      <x:c r="Y504" s="653">
        <x:v>0</x:v>
      </x:c>
      <x:c r="Z504" s="653" t="n">
        <x:v>0</x:v>
      </x:c>
      <x:c r="BN504" s="624"/>
    </x:row>
    <x:row r="505" spans="1:66" x14ac:dyDescent="0.2">
      <x:c r="A505" s="625"/>
      <x:c r="B505" s="625"/>
      <x:c r="C505"/>
      <x:c r="D505"/>
      <x:c r="E505" s="25" t="inlineStr">
        <x:is>
          <x:t>Vlr Servicio</x:t>
        </x:is>
      </x:c>
      <x:c r="F505" s="627" t="n">
        <x:v>49921.06</x:v>
      </x:c>
      <x:c r="G505" s="627" t="n">
        <x:v>3993.69</x:v>
      </x:c>
      <x:c r="H505" s="627" t="n">
        <x:v>2254.83</x:v>
      </x:c>
      <x:c r="I505" s="627" t="n">
        <x:v>1183.5</x:v>
      </x:c>
      <x:c r="J505" s="627" t="n">
        <x:v>9237.34</x:v>
      </x:c>
      <x:c r="K505" s="627" t="n">
        <x:v>236.44</x:v>
      </x:c>
      <x:c r="L505" s="627" t="n">
        <x:v>0</x:v>
      </x:c>
      <x:c r="M505" s="627" t="n">
        <x:v>2074.09</x:v>
      </x:c>
      <x:c r="N505" s="627" t="n">
        <x:v>3047.22</x:v>
      </x:c>
      <x:c r="O505" s="627" t="n">
        <x:v>15606.67</x:v>
      </x:c>
      <x:c r="P505" s="627" t="n">
        <x:v>11901.49</x:v>
      </x:c>
      <x:c r="Q505" s="627" t="n">
        <x:v>385.79</x:v>
      </x:c>
      <x:c r="R505" s="627" t="n">
        <x:v>0</x:v>
      </x:c>
      <x:c r="S505" s="627" t="n">
        <x:v>0</x:v>
      </x:c>
      <x:c r="T505" s="653" t="n">
        <x:v>0</x:v>
      </x:c>
      <x:c r="U505" s="653">
        <x:v>0</x:v>
      </x:c>
      <x:c r="V505" s="653">
        <x:v>0</x:v>
      </x:c>
      <x:c r="W505" s="653">
        <x:v>0</x:v>
      </x:c>
      <x:c r="X505" s="653">
        <x:v>0</x:v>
      </x:c>
      <x:c r="Y505" s="653">
        <x:v>0</x:v>
      </x:c>
      <x:c r="Z505" s="653" t="n">
        <x:v>0</x:v>
      </x:c>
      <x:c r="BN505" s="624"/>
    </x:row>
    <x:row r="506" spans="1:66" x14ac:dyDescent="0.2">
      <x:c r="A506" s="625"/>
      <x:c r="B506" s="625"/>
      <x:c r="C506"/>
      <x:c r="D506"/>
      <x:c r="E506" s="25" t="inlineStr">
        <x:is>
          <x:t>Vlr Intereses</x:t>
        </x:is>
      </x:c>
      <x:c r="F506" s="627" t="n">
        <x:v>402.4</x:v>
      </x:c>
      <x:c r="G506" s="627" t="n">
        <x:v>32.54</x:v>
      </x:c>
      <x:c r="H506" s="627" t="n">
        <x:v>18.34</x:v>
      </x:c>
      <x:c r="I506" s="627" t="n">
        <x:v>9.53</x:v>
      </x:c>
      <x:c r="J506" s="627" t="n">
        <x:v>74.32</x:v>
      </x:c>
      <x:c r="K506" s="627" t="n">
        <x:v>1.9</x:v>
      </x:c>
      <x:c r="L506" s="627" t="n">
        <x:v>0</x:v>
      </x:c>
      <x:c r="M506" s="627" t="n">
        <x:v>16.7</x:v>
      </x:c>
      <x:c r="N506" s="627" t="n">
        <x:v>24.53</x:v>
      </x:c>
      <x:c r="O506" s="627" t="n">
        <x:v>125.62</x:v>
      </x:c>
      <x:c r="P506" s="627" t="n">
        <x:v>95.81</x:v>
      </x:c>
      <x:c r="Q506" s="627" t="n">
        <x:v>3.11</x:v>
      </x:c>
      <x:c r="R506" s="627" t="n">
        <x:v>0</x:v>
      </x:c>
      <x:c r="S506" s="627" t="n">
        <x:v>0</x:v>
      </x:c>
      <x:c r="T506" s="653" t="n">
        <x:v>0</x:v>
      </x:c>
      <x:c r="U506" s="653">
        <x:v>0</x:v>
      </x:c>
      <x:c r="V506" s="653">
        <x:v>0</x:v>
      </x:c>
      <x:c r="W506" s="653">
        <x:v>0</x:v>
      </x:c>
      <x:c r="X506" s="653">
        <x:v>0</x:v>
      </x:c>
      <x:c r="Y506" s="653">
        <x:v>0</x:v>
      </x:c>
      <x:c r="Z506" s="653" t="n">
        <x:v>0</x:v>
      </x:c>
      <x:c r="BN506" s="624"/>
    </x:row>
    <x:row r="507" spans="1:66" x14ac:dyDescent="0.2">
      <x:c r="A507" s="625"/>
      <x:c r="B507" s="625"/>
      <x:c r="C507"/>
      <x:c r="D507" s="25" t="inlineStr">
        <x:is>
          <x:t>O</x:t>
        </x:is>
      </x:c>
      <x:c r="E507" s="25" t="inlineStr">
        <x:is>
          <x:t>Total</x:t>
        </x:is>
      </x:c>
      <x:c r="F507" s="627" t="n">
        <x:v>50323.46</x:v>
      </x:c>
      <x:c r="G507" s="627" t="n">
        <x:v>4026.23</x:v>
      </x:c>
      <x:c r="H507" s="627" t="n">
        <x:v>2273.17</x:v>
      </x:c>
      <x:c r="I507" s="627" t="n">
        <x:v>1193.03</x:v>
      </x:c>
      <x:c r="J507" s="627" t="n">
        <x:v>9311.66</x:v>
      </x:c>
      <x:c r="K507" s="627" t="n">
        <x:v>238.34</x:v>
      </x:c>
      <x:c r="L507" s="627" t="n">
        <x:v>0</x:v>
      </x:c>
      <x:c r="M507" s="627" t="n">
        <x:v>2090.79</x:v>
      </x:c>
      <x:c r="N507" s="627" t="n">
        <x:v>3071.75</x:v>
      </x:c>
      <x:c r="O507" s="627" t="n">
        <x:v>15732.29</x:v>
      </x:c>
      <x:c r="P507" s="627" t="n">
        <x:v>11997.3</x:v>
      </x:c>
      <x:c r="Q507" s="627" t="n">
        <x:v>388.9</x:v>
      </x:c>
      <x:c r="R507" s="627" t="n">
        <x:v>0</x:v>
      </x:c>
      <x:c r="S507" s="627" t="n">
        <x:v>0</x:v>
      </x:c>
      <x:c r="T507" s="653" t="n">
        <x:v>0</x:v>
      </x:c>
      <x:c r="U507" s="653">
        <x:v>0</x:v>
      </x:c>
      <x:c r="V507" s="653">
        <x:v>0</x:v>
      </x:c>
      <x:c r="W507" s="653">
        <x:v>0</x:v>
      </x:c>
      <x:c r="X507" s="653">
        <x:v>0</x:v>
      </x:c>
      <x:c r="Y507" s="653">
        <x:v>0</x:v>
      </x:c>
      <x:c r="Z507" s="653" t="n">
        <x:v>0</x:v>
      </x:c>
      <x:c r="BN507" s="624"/>
    </x:row>
    <x:row r="508" spans="1:66" x14ac:dyDescent="0.2">
      <x:c r="A508" s="625"/>
      <x:c r="B508" s="625"/>
      <x:c r="C508"/>
      <x:c r="D508"/>
      <x:c r="E508" s="25" t="inlineStr">
        <x:is>
          <x:t>Vlr Servicio</x:t>
        </x:is>
      </x:c>
      <x:c r="F508" s="627" t="n">
        <x:v>306792.77</x:v>
      </x:c>
      <x:c r="G508" s="627" t="n">
        <x:v>19035.04</x:v>
      </x:c>
      <x:c r="H508" s="627" t="n">
        <x:v>9869.84</x:v>
      </x:c>
      <x:c r="I508" s="627" t="n">
        <x:v>5496.23</x:v>
      </x:c>
      <x:c r="J508" s="627" t="n">
        <x:v>71436.63</x:v>
      </x:c>
      <x:c r="K508" s="627" t="n">
        <x:v>1696.42</x:v>
      </x:c>
      <x:c r="L508" s="627" t="n">
        <x:v>0</x:v>
      </x:c>
      <x:c r="M508" s="627" t="n">
        <x:v>14880.73</x:v>
      </x:c>
      <x:c r="N508" s="627" t="n">
        <x:v>20748.09</x:v>
      </x:c>
      <x:c r="O508" s="627" t="n">
        <x:v>103786.58</x:v>
      </x:c>
      <x:c r="P508" s="627" t="n">
        <x:v>57071.46</x:v>
      </x:c>
      <x:c r="Q508" s="627" t="n">
        <x:v>2767.81</x:v>
      </x:c>
      <x:c r="R508" s="627" t="n">
        <x:v>3.94</x:v>
      </x:c>
      <x:c r="S508" s="627" t="n">
        <x:v>0</x:v>
      </x:c>
      <x:c r="T508" s="653" t="n">
        <x:v>0</x:v>
      </x:c>
      <x:c r="U508" s="653">
        <x:v>0</x:v>
      </x:c>
      <x:c r="V508" s="653">
        <x:v>0</x:v>
      </x:c>
      <x:c r="W508" s="653">
        <x:v>0</x:v>
      </x:c>
      <x:c r="X508" s="653">
        <x:v>0</x:v>
      </x:c>
      <x:c r="Y508" s="653">
        <x:v>0</x:v>
      </x:c>
      <x:c r="Z508" s="653" t="n">
        <x:v>0</x:v>
      </x:c>
      <x:c r="BN508" s="624"/>
    </x:row>
    <x:row r="509" spans="1:66" x14ac:dyDescent="0.2">
      <x:c r="A509" s="625"/>
      <x:c r="B509" s="625"/>
      <x:c r="C509"/>
      <x:c r="D509"/>
      <x:c r="E509" s="25" t="inlineStr">
        <x:is>
          <x:t>Vlr Intereses</x:t>
        </x:is>
      </x:c>
      <x:c r="F509" s="627" t="n">
        <x:v>7697.23</x:v>
      </x:c>
      <x:c r="G509" s="627" t="n">
        <x:v>484.57</x:v>
      </x:c>
      <x:c r="H509" s="627" t="n">
        <x:v>243.67</x:v>
      </x:c>
      <x:c r="I509" s="627" t="n">
        <x:v>136.38</x:v>
      </x:c>
      <x:c r="J509" s="627" t="n">
        <x:v>1785.86</x:v>
      </x:c>
      <x:c r="K509" s="627" t="n">
        <x:v>43.42</x:v>
      </x:c>
      <x:c r="L509" s="627" t="n">
        <x:v>0</x:v>
      </x:c>
      <x:c r="M509" s="627" t="n">
        <x:v>379.97</x:v>
      </x:c>
      <x:c r="N509" s="627" t="n">
        <x:v>517.96</x:v>
      </x:c>
      <x:c r="O509" s="627" t="n">
        <x:v>2585.26</x:v>
      </x:c>
      <x:c r="P509" s="627" t="n">
        <x:v>1449.26</x:v>
      </x:c>
      <x:c r="Q509" s="627" t="n">
        <x:v>70.74</x:v>
      </x:c>
      <x:c r="R509" s="627" t="n">
        <x:v>0.14</x:v>
      </x:c>
      <x:c r="S509" s="627" t="n">
        <x:v>0</x:v>
      </x:c>
      <x:c r="T509" s="653" t="n">
        <x:v>0</x:v>
      </x:c>
      <x:c r="U509" s="653">
        <x:v>0</x:v>
      </x:c>
      <x:c r="V509" s="653">
        <x:v>0</x:v>
      </x:c>
      <x:c r="W509" s="653">
        <x:v>0</x:v>
      </x:c>
      <x:c r="X509" s="653">
        <x:v>0</x:v>
      </x:c>
      <x:c r="Y509" s="653">
        <x:v>0</x:v>
      </x:c>
      <x:c r="Z509" s="653" t="n">
        <x:v>0</x:v>
      </x:c>
      <x:c r="BN509" s="624"/>
    </x:row>
    <x:row r="510" spans="1:66" x14ac:dyDescent="0.2">
      <x:c r="A510" s="625"/>
      <x:c r="B510" s="625"/>
      <x:c r="C510"/>
      <x:c r="D510" s="25" t="inlineStr">
        <x:is>
          <x:t>T</x:t>
        </x:is>
      </x:c>
      <x:c r="E510" s="25" t="inlineStr">
        <x:is>
          <x:t>Total</x:t>
        </x:is>
      </x:c>
      <x:c r="F510" s="627" t="n">
        <x:v>314490</x:v>
      </x:c>
      <x:c r="G510" s="627" t="n">
        <x:v>19519.61</x:v>
      </x:c>
      <x:c r="H510" s="627" t="n">
        <x:v>10113.51</x:v>
      </x:c>
      <x:c r="I510" s="627" t="n">
        <x:v>5632.61</x:v>
      </x:c>
      <x:c r="J510" s="627" t="n">
        <x:v>73222.49</x:v>
      </x:c>
      <x:c r="K510" s="627" t="n">
        <x:v>1739.84</x:v>
      </x:c>
      <x:c r="L510" s="627" t="n">
        <x:v>0</x:v>
      </x:c>
      <x:c r="M510" s="627" t="n">
        <x:v>15260.7</x:v>
      </x:c>
      <x:c r="N510" s="627" t="n">
        <x:v>21266.05</x:v>
      </x:c>
      <x:c r="O510" s="627" t="n">
        <x:v>106371.84</x:v>
      </x:c>
      <x:c r="P510" s="627" t="n">
        <x:v>58520.72</x:v>
      </x:c>
      <x:c r="Q510" s="627" t="n">
        <x:v>2838.55</x:v>
      </x:c>
      <x:c r="R510" s="627" t="n">
        <x:v>4.08</x:v>
      </x:c>
      <x:c r="S510" s="627" t="n">
        <x:v>0</x:v>
      </x:c>
      <x:c r="T510" s="653" t="n">
        <x:v>0</x:v>
      </x:c>
      <x:c r="U510" s="653">
        <x:v>0</x:v>
      </x:c>
      <x:c r="V510" s="653">
        <x:v>0</x:v>
      </x:c>
      <x:c r="W510" s="653">
        <x:v>0</x:v>
      </x:c>
      <x:c r="X510" s="653">
        <x:v>0</x:v>
      </x:c>
      <x:c r="Y510" s="653">
        <x:v>0</x:v>
      </x:c>
      <x:c r="Z510" s="653" t="n">
        <x:v>0</x:v>
      </x:c>
      <x:c r="BN510" s="624"/>
    </x:row>
    <x:row r="511" spans="1:66" x14ac:dyDescent="0.2">
      <x:c r="A511" s="631"/>
      <x:c r="B511" s="631"/>
      <x:c r="C511" s="632" t="inlineStr">
        <x:is>
          <x:t>OCCIDENTE</x:t>
        </x:is>
      </x:c>
      <x:c r="D511" s="632" t="inlineStr">
        <x:is>
          <x:t>Total</x:t>
        </x:is>
      </x:c>
      <x:c r="E511" s="631"/>
      <x:c r="F511" s="633" t="n">
        <x:v>417519.62</x:v>
      </x:c>
      <x:c r="G511" s="633" t="n">
        <x:v>26657.43</x:v>
      </x:c>
      <x:c r="H511" s="633" t="n">
        <x:v>14138.02</x:v>
      </x:c>
      <x:c r="I511" s="633" t="n">
        <x:v>7723.27</x:v>
      </x:c>
      <x:c r="J511" s="633" t="n">
        <x:v>93911.73</x:v>
      </x:c>
      <x:c r="K511" s="633" t="n">
        <x:v>2290.29</x:v>
      </x:c>
      <x:c r="L511" s="633" t="n">
        <x:v>0</x:v>
      </x:c>
      <x:c r="M511" s="633" t="n">
        <x:v>20089.34</x:v>
      </x:c>
      <x:c r="N511" s="633" t="n">
        <x:v>28092.36</x:v>
      </x:c>
      <x:c r="O511" s="633" t="n">
        <x:v>141333</x:v>
      </x:c>
      <x:c r="P511" s="633" t="n">
        <x:v>79544.79</x:v>
      </x:c>
      <x:c r="Q511" s="633" t="n">
        <x:v>3736.7</x:v>
      </x:c>
      <x:c r="R511" s="633" t="n">
        <x:v>2.69</x:v>
      </x:c>
      <x:c r="S511" s="633" t="n">
        <x:v>0</x:v>
      </x:c>
      <x:c r="T511" s="633" t="n">
        <x:v>0</x:v>
      </x:c>
      <x:c r="U511" s="633">
        <x:v>0</x:v>
      </x:c>
      <x:c r="V511" s="633">
        <x:v>0</x:v>
      </x:c>
      <x:c r="W511" s="633">
        <x:v>0</x:v>
      </x:c>
      <x:c r="X511" s="633">
        <x:v>0</x:v>
      </x:c>
      <x:c r="Y511" s="633">
        <x:v>0</x:v>
      </x:c>
      <x:c r="Z511" s="633" t="n">
        <x:v>0</x:v>
      </x:c>
      <x:c r="AA511" s="631"/>
      <x:c r="AB511" s="631"/>
      <x:c r="AC511" s="631"/>
      <x:c r="AD511" s="631"/>
      <x:c r="AE511" s="631"/>
      <x:c r="AF511" s="631"/>
      <x:c r="AG511" s="631"/>
      <x:c r="AH511" s="631"/>
      <x:c r="AI511" s="631"/>
      <x:c r="AJ511" s="631"/>
      <x:c r="AK511" s="631"/>
      <x:c r="AL511" s="631"/>
      <x:c r="AM511" s="631"/>
      <x:c r="AN511" s="631"/>
      <x:c r="AO511" s="631"/>
      <x:c r="AP511" s="631"/>
      <x:c r="AQ511" s="631"/>
      <x:c r="AR511" s="631"/>
      <x:c r="AS511" s="631"/>
      <x:c r="AT511" s="631"/>
      <x:c r="AU511" s="631"/>
      <x:c r="AV511" s="631"/>
      <x:c r="AW511" s="631"/>
      <x:c r="AX511" s="631"/>
      <x:c r="AY511" s="631"/>
      <x:c r="AZ511" s="631"/>
      <x:c r="BA511" s="631"/>
      <x:c r="BB511" s="631"/>
      <x:c r="BC511" s="631"/>
      <x:c r="BD511" s="631"/>
      <x:c r="BE511" s="631"/>
      <x:c r="BF511" s="631"/>
      <x:c r="BG511" s="631"/>
      <x:c r="BH511" s="631"/>
      <x:c r="BI511" s="631"/>
      <x:c r="BJ511" s="631"/>
      <x:c r="BK511" s="631"/>
      <x:c r="BL511" s="631"/>
      <x:c r="BM511" s="631"/>
      <x:c r="BN511" s="624"/>
    </x:row>
    <x:row r="512" spans="1:66" x14ac:dyDescent="0.2">
      <x:c r="A512" s="635"/>
      <x:c r="B512" s="635" t="inlineStr">
        <x:is>
          <x:t>Aplicacion nuevos x reversion</x:t>
        </x:is>
      </x:c>
      <x:c r="C512" s="635" t="inlineStr">
        <x:is>
          <x:t>Total</x:t>
        </x:is>
      </x:c>
      <x:c r="D512" s="635"/>
      <x:c r="E512" s="636"/>
      <x:c r="F512" s="637" t="n">
        <x:v>417519.62</x:v>
      </x:c>
      <x:c r="G512" s="637" t="n">
        <x:v>26657.43</x:v>
      </x:c>
      <x:c r="H512" s="637" t="n">
        <x:v>14138.02</x:v>
      </x:c>
      <x:c r="I512" s="637" t="n">
        <x:v>7723.27</x:v>
      </x:c>
      <x:c r="J512" s="637" t="n">
        <x:v>93911.73</x:v>
      </x:c>
      <x:c r="K512" s="637" t="n">
        <x:v>2290.29</x:v>
      </x:c>
      <x:c r="L512" s="637" t="n">
        <x:v>0</x:v>
      </x:c>
      <x:c r="M512" s="637" t="n">
        <x:v>20089.34</x:v>
      </x:c>
      <x:c r="N512" s="637" t="n">
        <x:v>28092.36</x:v>
      </x:c>
      <x:c r="O512" s="637" t="n">
        <x:v>141333</x:v>
      </x:c>
      <x:c r="P512" s="637" t="n">
        <x:v>79544.79</x:v>
      </x:c>
      <x:c r="Q512" s="637" t="n">
        <x:v>3736.7</x:v>
      </x:c>
      <x:c r="R512" s="637" t="n">
        <x:v>2.69</x:v>
      </x:c>
      <x:c r="S512" s="637" t="n">
        <x:v>0</x:v>
      </x:c>
      <x:c r="T512" s="637" t="n">
        <x:v>0</x:v>
      </x:c>
      <x:c r="U512" s="637">
        <x:v>0</x:v>
      </x:c>
      <x:c r="V512" s="637">
        <x:v>0</x:v>
      </x:c>
      <x:c r="W512" s="637">
        <x:v>0</x:v>
      </x:c>
      <x:c r="X512" s="637">
        <x:v>0</x:v>
      </x:c>
      <x:c r="Y512" s="637">
        <x:v>0</x:v>
      </x:c>
      <x:c r="Z512" s="637" t="n">
        <x:v>0</x:v>
      </x:c>
      <x:c r="AA512" s="635"/>
      <x:c r="AB512" s="635"/>
      <x:c r="AC512" s="635"/>
      <x:c r="AD512" s="635"/>
      <x:c r="AE512" s="635"/>
      <x:c r="AF512" s="635"/>
      <x:c r="AG512" s="635"/>
      <x:c r="AH512" s="635"/>
      <x:c r="AI512" s="635"/>
      <x:c r="AJ512" s="635"/>
      <x:c r="AK512" s="635"/>
      <x:c r="AL512" s="635"/>
      <x:c r="AM512" s="635"/>
      <x:c r="AN512" s="635"/>
      <x:c r="AO512" s="635"/>
      <x:c r="AP512" s="635"/>
      <x:c r="AQ512" s="635"/>
      <x:c r="AR512" s="635"/>
      <x:c r="AS512" s="635"/>
      <x:c r="AT512" s="635"/>
      <x:c r="AU512" s="635"/>
      <x:c r="AV512" s="635"/>
      <x:c r="AW512" s="635"/>
      <x:c r="AX512" s="635"/>
      <x:c r="AY512" s="635"/>
      <x:c r="AZ512" s="635"/>
      <x:c r="BA512" s="635"/>
      <x:c r="BB512" s="635"/>
      <x:c r="BC512" s="635"/>
      <x:c r="BD512" s="635"/>
      <x:c r="BE512" s="635"/>
      <x:c r="BF512" s="635"/>
      <x:c r="BG512" s="635"/>
      <x:c r="BH512" s="635"/>
      <x:c r="BI512" s="635"/>
      <x:c r="BJ512" s="635"/>
      <x:c r="BK512" s="635"/>
      <x:c r="BL512" s="635"/>
      <x:c r="BM512" s="635"/>
      <x:c r="BN512" s="624"/>
    </x:row>
    <x:row r="513" spans="1:66" x14ac:dyDescent="0.2">
      <x:c r="A513"/>
      <x:c r="B513"/>
      <x:c r="C513" s="625"/>
      <x:c r="D513" s="625"/>
      <x:c r="E513" s="25" t="inlineStr">
        <x:is>
          <x:t>Vlr Servicio</x:t>
        </x:is>
      </x:c>
      <x:c r="F513" s="627" t="n">
        <x:v>12815008425</x:v>
      </x:c>
      <x:c r="G513" s="627" t="n">
        <x:v>696132424.7</x:v>
      </x:c>
      <x:c r="H513" s="627" t="n">
        <x:v>392646983.91</x:v>
      </x:c>
      <x:c r="I513" s="627" t="n">
        <x:v>205894711.43</x:v>
      </x:c>
      <x:c r="J513" s="627" t="n">
        <x:v>2739311715.72</x:v>
      </x:c>
      <x:c r="K513" s="627" t="n">
        <x:v>104518413.21</x:v>
      </x:c>
      <x:c r="L513" s="627" t="n">
        <x:v>8994251.4</x:v>
      </x:c>
      <x:c r="M513" s="627" t="n">
        <x:v>916374237.59</x:v>
      </x:c>
      <x:c r="N513" s="627" t="n">
        <x:v>897814237.13</x:v>
      </x:c>
      <x:c r="O513" s="627" t="n">
        <x:v>4614704417.48</x:v>
      </x:c>
      <x:c r="P513" s="627" t="n">
        <x:v>2068182494.33</x:v>
      </x:c>
      <x:c r="Q513" s="627" t="n">
        <x:v>170581693.39</x:v>
      </x:c>
      <x:c r="R513" s="627" t="n">
        <x:v>-147155.29</x:v>
      </x:c>
      <x:c r="S513" s="627" t="n">
        <x:v>0</x:v>
      </x:c>
      <x:c r="T513" s="653" t="n">
        <x:v>0</x:v>
      </x:c>
      <x:c r="U513" s="653">
        <x:v>0</x:v>
      </x:c>
      <x:c r="V513" s="653">
        <x:v>0</x:v>
      </x:c>
      <x:c r="W513" s="653">
        <x:v>0</x:v>
      </x:c>
      <x:c r="X513" s="653">
        <x:v>0</x:v>
      </x:c>
      <x:c r="Y513" s="653">
        <x:v>0</x:v>
      </x:c>
      <x:c r="Z513" s="653" t="n">
        <x:v>0</x:v>
      </x:c>
      <x:c r="BN513" s="624"/>
    </x:row>
    <x:row r="514" spans="1:66" x14ac:dyDescent="0.2">
      <x:c r="A514"/>
      <x:c r="B514"/>
      <x:c r="C514" s="625"/>
      <x:c r="D514" s="625"/>
      <x:c r="E514" s="25" t="inlineStr">
        <x:is>
          <x:t>Vlr Intereses</x:t>
        </x:is>
      </x:c>
      <x:c r="F514" s="627" t="n">
        <x:v>8188043.26</x:v>
      </x:c>
      <x:c r="G514" s="627" t="n">
        <x:v>712370.33</x:v>
      </x:c>
      <x:c r="H514" s="627" t="n">
        <x:v>342656.4</x:v>
      </x:c>
      <x:c r="I514" s="627" t="n">
        <x:v>174871.02</x:v>
      </x:c>
      <x:c r="J514" s="627" t="n">
        <x:v>1410634.79</x:v>
      </x:c>
      <x:c r="K514" s="627" t="n">
        <x:v>60481.35</x:v>
      </x:c>
      <x:c r="L514" s="627" t="n">
        <x:v>2825.7</x:v>
      </x:c>
      <x:c r="M514" s="627" t="n">
        <x:v>530371.72</x:v>
      </x:c>
      <x:c r="N514" s="627" t="n">
        <x:v>474850.33</x:v>
      </x:c>
      <x:c r="O514" s="627" t="n">
        <x:v>2281402.99</x:v>
      </x:c>
      <x:c r="P514" s="627" t="n">
        <x:v>2098966.43</x:v>
      </x:c>
      <x:c r="Q514" s="627" t="n">
        <x:v>98638.71</x:v>
      </x:c>
      <x:c r="R514" s="627" t="n">
        <x:v>6.82</x:v>
      </x:c>
      <x:c r="S514" s="627" t="n">
        <x:v>0</x:v>
      </x:c>
      <x:c r="T514" s="653" t="n">
        <x:v>7.04</x:v>
      </x:c>
      <x:c r="U514" s="653">
        <x:v>0</x:v>
      </x:c>
      <x:c r="V514" s="653">
        <x:v>0</x:v>
      </x:c>
      <x:c r="W514" s="653">
        <x:v>0</x:v>
      </x:c>
      <x:c r="X514" s="653">
        <x:v>0</x:v>
      </x:c>
      <x:c r="Y514" s="653">
        <x:v>0</x:v>
      </x:c>
      <x:c r="Z514" s="653" t="n">
        <x:v>-40.37</x:v>
      </x:c>
      <x:c r="BN514" s="624"/>
    </x:row>
    <x:row r="515" spans="1:66" x14ac:dyDescent="0.2">
      <x:c r="A515"/>
      <x:c r="B515"/>
      <x:c r="C515"/>
      <x:c r="D515" s="25" t="inlineStr">
        <x:is>
          <x:t>E</x:t>
        </x:is>
      </x:c>
      <x:c r="E515" s="625" t="inlineStr">
        <x:is>
          <x:t>Total</x:t>
        </x:is>
      </x:c>
      <x:c r="F515" s="627" t="n">
        <x:v>12823196468.26</x:v>
      </x:c>
      <x:c r="G515" s="627" t="n">
        <x:v>696844795.03</x:v>
      </x:c>
      <x:c r="H515" s="627" t="n">
        <x:v>392989640.31</x:v>
      </x:c>
      <x:c r="I515" s="627" t="n">
        <x:v>206069582.45</x:v>
      </x:c>
      <x:c r="J515" s="627" t="n">
        <x:v>2740722350.51</x:v>
      </x:c>
      <x:c r="K515" s="627" t="n">
        <x:v>104578894.56</x:v>
      </x:c>
      <x:c r="L515" s="627" t="n">
        <x:v>8997077.1</x:v>
      </x:c>
      <x:c r="M515" s="627" t="n">
        <x:v>916904609.31</x:v>
      </x:c>
      <x:c r="N515" s="627" t="n">
        <x:v>898289087.46</x:v>
      </x:c>
      <x:c r="O515" s="627" t="n">
        <x:v>4616985820.47</x:v>
      </x:c>
      <x:c r="P515" s="627" t="n">
        <x:v>2070281460.76</x:v>
      </x:c>
      <x:c r="Q515" s="627" t="n">
        <x:v>170680332.1</x:v>
      </x:c>
      <x:c r="R515" s="627" t="n">
        <x:v>-147148.47</x:v>
      </x:c>
      <x:c r="S515" s="627" t="n">
        <x:v>0</x:v>
      </x:c>
      <x:c r="T515" s="653" t="n">
        <x:v>7.04</x:v>
      </x:c>
      <x:c r="U515" s="653">
        <x:v>0</x:v>
      </x:c>
      <x:c r="V515" s="653">
        <x:v>0</x:v>
      </x:c>
      <x:c r="W515" s="653">
        <x:v>0</x:v>
      </x:c>
      <x:c r="X515" s="653">
        <x:v>0</x:v>
      </x:c>
      <x:c r="Y515" s="653">
        <x:v>0</x:v>
      </x:c>
      <x:c r="Z515" s="653" t="n">
        <x:v>-40.37</x:v>
      </x:c>
      <x:c r="BN515" s="624"/>
    </x:row>
    <x:row r="516" spans="1:66" x14ac:dyDescent="0.2">
      <x:c r="A516" s="628"/>
      <x:c r="B516" s="628"/>
      <x:c r="C516" s="628" t="inlineStr">
        <x:is>
          <x:t>ENEL</x:t>
        </x:is>
      </x:c>
      <x:c r="D516" s="628" t="inlineStr">
        <x:is>
          <x:t>Total</x:t>
        </x:is>
      </x:c>
      <x:c r="E516" s="629"/>
      <x:c r="F516" s="630" t="n">
        <x:v>12823196468.26</x:v>
      </x:c>
      <x:c r="G516" s="630" t="n">
        <x:v>696844795.03</x:v>
      </x:c>
      <x:c r="H516" s="630" t="n">
        <x:v>392989640.31</x:v>
      </x:c>
      <x:c r="I516" s="630" t="n">
        <x:v>206069582.45</x:v>
      </x:c>
      <x:c r="J516" s="630" t="n">
        <x:v>2740722350.51</x:v>
      </x:c>
      <x:c r="K516" s="630" t="n">
        <x:v>104578894.56</x:v>
      </x:c>
      <x:c r="L516" s="630" t="n">
        <x:v>8997077.1</x:v>
      </x:c>
      <x:c r="M516" s="630" t="n">
        <x:v>916904609.31</x:v>
      </x:c>
      <x:c r="N516" s="630" t="n">
        <x:v>898289087.46</x:v>
      </x:c>
      <x:c r="O516" s="630" t="n">
        <x:v>4616985820.47</x:v>
      </x:c>
      <x:c r="P516" s="630" t="n">
        <x:v>2070281460.76</x:v>
      </x:c>
      <x:c r="Q516" s="630" t="n">
        <x:v>170680332.1</x:v>
      </x:c>
      <x:c r="R516" s="630" t="n">
        <x:v>-147148.47</x:v>
      </x:c>
      <x:c r="S516" s="630" t="n">
        <x:v>0</x:v>
      </x:c>
      <x:c r="T516" s="630" t="n">
        <x:v>7.04</x:v>
      </x:c>
      <x:c r="U516" s="630">
        <x:v>0</x:v>
      </x:c>
      <x:c r="V516" s="630">
        <x:v>0</x:v>
      </x:c>
      <x:c r="W516" s="630">
        <x:v>0</x:v>
      </x:c>
      <x:c r="X516" s="630">
        <x:v>0</x:v>
      </x:c>
      <x:c r="Y516" s="630">
        <x:v>0</x:v>
      </x:c>
      <x:c r="Z516" s="630" t="n">
        <x:v>-40.37</x:v>
      </x:c>
      <x:c r="AA516" s="628"/>
      <x:c r="AB516" s="628"/>
      <x:c r="AC516" s="628"/>
      <x:c r="AD516" s="628"/>
      <x:c r="AE516" s="628"/>
      <x:c r="AF516" s="628"/>
      <x:c r="AG516" s="628"/>
      <x:c r="AH516" s="628"/>
      <x:c r="AI516" s="628"/>
      <x:c r="AJ516" s="628"/>
      <x:c r="AK516" s="628"/>
      <x:c r="AL516" s="628"/>
      <x:c r="AM516" s="628"/>
      <x:c r="AN516" s="628"/>
      <x:c r="AO516" s="628"/>
      <x:c r="AP516" s="628"/>
      <x:c r="AQ516" s="628"/>
      <x:c r="AR516" s="628"/>
      <x:c r="AS516" s="628"/>
      <x:c r="AT516" s="628"/>
      <x:c r="AU516" s="628"/>
      <x:c r="AV516" s="628"/>
      <x:c r="AW516" s="628"/>
      <x:c r="AX516" s="628"/>
      <x:c r="AY516" s="628"/>
      <x:c r="AZ516" s="628"/>
      <x:c r="BA516" s="628"/>
      <x:c r="BB516" s="628"/>
      <x:c r="BC516" s="628"/>
      <x:c r="BD516" s="628"/>
      <x:c r="BE516" s="628"/>
      <x:c r="BF516" s="628"/>
      <x:c r="BG516" s="628"/>
      <x:c r="BH516" s="628"/>
      <x:c r="BI516" s="628"/>
      <x:c r="BJ516" s="628"/>
      <x:c r="BK516" s="628"/>
      <x:c r="BL516" s="628"/>
      <x:c r="BM516" s="628"/>
      <x:c r="BN516" s="624"/>
    </x:row>
    <x:row r="517" spans="1:66" x14ac:dyDescent="0.2">
      <x:c r="A517"/>
      <x:c r="B517"/>
      <x:c r="C517"/>
      <x:c r="D517"/>
      <x:c r="E517" s="625" t="inlineStr">
        <x:is>
          <x:t>Vlr Servicio</x:t>
        </x:is>
      </x:c>
      <x:c r="F517" s="627" t="n">
        <x:v>31744217.36</x:v>
      </x:c>
      <x:c r="G517" s="627" t="n">
        <x:v>1896011.44</x:v>
      </x:c>
      <x:c r="H517" s="627" t="n">
        <x:v>1043946.05</x:v>
      </x:c>
      <x:c r="I517" s="627" t="n">
        <x:v>566202.45</x:v>
      </x:c>
      <x:c r="J517" s="627" t="n">
        <x:v>6825335.78</x:v>
      </x:c>
      <x:c r="K517" s="627" t="n">
        <x:v>247149.67</x:v>
      </x:c>
      <x:c r="L517" s="627" t="n">
        <x:v>0</x:v>
      </x:c>
      <x:c r="M517" s="627" t="n">
        <x:v>2156364.29</x:v>
      </x:c>
      <x:c r="N517" s="627" t="n">
        <x:v>2123158.74</x:v>
      </x:c>
      <x:c r="O517" s="627" t="n">
        <x:v>11056616.23</x:v>
      </x:c>
      <x:c r="P517" s="627" t="n">
        <x:v>5422637.66</x:v>
      </x:c>
      <x:c r="Q517" s="627" t="n">
        <x:v>406705.98</x:v>
      </x:c>
      <x:c r="R517" s="627" t="n">
        <x:v>89.07</x:v>
      </x:c>
      <x:c r="S517" s="627" t="n">
        <x:v>0</x:v>
      </x:c>
      <x:c r="T517" s="653" t="n">
        <x:v>0</x:v>
      </x:c>
      <x:c r="U517" s="653">
        <x:v>0</x:v>
      </x:c>
      <x:c r="V517" s="653">
        <x:v>0</x:v>
      </x:c>
      <x:c r="W517" s="653">
        <x:v>0</x:v>
      </x:c>
      <x:c r="X517" s="653">
        <x:v>0</x:v>
      </x:c>
      <x:c r="Y517" s="653">
        <x:v>0</x:v>
      </x:c>
      <x:c r="Z517" s="653" t="n">
        <x:v>0</x:v>
      </x:c>
      <x:c r="BN517" s="624"/>
    </x:row>
    <x:row r="518" spans="1:66" x14ac:dyDescent="0.2">
      <x:c r="A518"/>
      <x:c r="B518"/>
      <x:c r="C518"/>
      <x:c r="D518"/>
      <x:c r="E518" s="625" t="inlineStr">
        <x:is>
          <x:t>Vlr Intereses</x:t>
        </x:is>
      </x:c>
      <x:c r="F518" s="627" t="n">
        <x:v>90800.2</x:v>
      </x:c>
      <x:c r="G518" s="627" t="n">
        <x:v>5476.81</x:v>
      </x:c>
      <x:c r="H518" s="627" t="n">
        <x:v>2878.22</x:v>
      </x:c>
      <x:c r="I518" s="627" t="n">
        <x:v>1571.13</x:v>
      </x:c>
      <x:c r="J518" s="627" t="n">
        <x:v>19966.92</x:v>
      </x:c>
      <x:c r="K518" s="627" t="n">
        <x:v>645.25</x:v>
      </x:c>
      <x:c r="L518" s="627" t="n">
        <x:v>0</x:v>
      </x:c>
      <x:c r="M518" s="627" t="n">
        <x:v>5639.74</x:v>
      </x:c>
      <x:c r="N518" s="627" t="n">
        <x:v>6109.13</x:v>
      </x:c>
      <x:c r="O518" s="627" t="n">
        <x:v>31292.26</x:v>
      </x:c>
      <x:c r="P518" s="627" t="n">
        <x:v>16162.57</x:v>
      </x:c>
      <x:c r="Q518" s="627" t="n">
        <x:v>1059.69</x:v>
      </x:c>
      <x:c r="R518" s="627" t="n">
        <x:v>-1.52</x:v>
      </x:c>
      <x:c r="S518" s="627" t="n">
        <x:v>0</x:v>
      </x:c>
      <x:c r="T518" s="653" t="n">
        <x:v>0</x:v>
      </x:c>
      <x:c r="U518" s="653">
        <x:v>0</x:v>
      </x:c>
      <x:c r="V518" s="653">
        <x:v>0</x:v>
      </x:c>
      <x:c r="W518" s="653">
        <x:v>0</x:v>
      </x:c>
      <x:c r="X518" s="653">
        <x:v>0</x:v>
      </x:c>
      <x:c r="Y518" s="653">
        <x:v>0</x:v>
      </x:c>
      <x:c r="Z518" s="653" t="n">
        <x:v>0</x:v>
      </x:c>
      <x:c r="BN518" s="624"/>
    </x:row>
    <x:row r="519" spans="1:66" x14ac:dyDescent="0.2">
      <x:c r="A519"/>
      <x:c r="B519"/>
      <x:c r="C519"/>
      <x:c r="D519" s="25" t="inlineStr">
        <x:is>
          <x:t>E</x:t>
        </x:is>
      </x:c>
      <x:c r="E519" s="625" t="inlineStr">
        <x:is>
          <x:t>Total</x:t>
        </x:is>
      </x:c>
      <x:c r="F519" s="627" t="n">
        <x:v>31835017.56</x:v>
      </x:c>
      <x:c r="G519" s="627" t="n">
        <x:v>1901488.25</x:v>
      </x:c>
      <x:c r="H519" s="627" t="n">
        <x:v>1046824.27</x:v>
      </x:c>
      <x:c r="I519" s="627" t="n">
        <x:v>567773.58</x:v>
      </x:c>
      <x:c r="J519" s="627" t="n">
        <x:v>6845302.7</x:v>
      </x:c>
      <x:c r="K519" s="627" t="n">
        <x:v>247794.92</x:v>
      </x:c>
      <x:c r="L519" s="627" t="n">
        <x:v>0</x:v>
      </x:c>
      <x:c r="M519" s="627" t="n">
        <x:v>2162004.03</x:v>
      </x:c>
      <x:c r="N519" s="627" t="n">
        <x:v>2129267.87</x:v>
      </x:c>
      <x:c r="O519" s="627" t="n">
        <x:v>11087908.49</x:v>
      </x:c>
      <x:c r="P519" s="627" t="n">
        <x:v>5438800.23</x:v>
      </x:c>
      <x:c r="Q519" s="627" t="n">
        <x:v>407765.67</x:v>
      </x:c>
      <x:c r="R519" s="627" t="n">
        <x:v>87.55</x:v>
      </x:c>
      <x:c r="S519" s="627" t="n">
        <x:v>0</x:v>
      </x:c>
      <x:c r="T519" s="653" t="n">
        <x:v>0</x:v>
      </x:c>
      <x:c r="U519" s="653">
        <x:v>0</x:v>
      </x:c>
      <x:c r="V519" s="653">
        <x:v>0</x:v>
      </x:c>
      <x:c r="W519" s="653">
        <x:v>0</x:v>
      </x:c>
      <x:c r="X519" s="653">
        <x:v>0</x:v>
      </x:c>
      <x:c r="Y519" s="653">
        <x:v>0</x:v>
      </x:c>
      <x:c r="Z519" s="653" t="n">
        <x:v>0</x:v>
      </x:c>
      <x:c r="BN519" s="624"/>
    </x:row>
    <x:row r="520" spans="1:66" x14ac:dyDescent="0.2">
      <x:c r="A520" s="668"/>
      <x:c r="B520" s="668"/>
      <x:c r="C520" s="668" t="inlineStr">
        <x:is>
          <x:t>ENERBIT</x:t>
        </x:is>
      </x:c>
      <x:c r="D520" s="668" t="inlineStr">
        <x:is>
          <x:t>Total</x:t>
        </x:is>
      </x:c>
      <x:c r="E520" s="661"/>
      <x:c r="F520" s="662" t="n">
        <x:v>31835017.56</x:v>
      </x:c>
      <x:c r="G520" s="662" t="n">
        <x:v>1901488.25</x:v>
      </x:c>
      <x:c r="H520" s="662" t="n">
        <x:v>1046824.27</x:v>
      </x:c>
      <x:c r="I520" s="662" t="n">
        <x:v>567773.58</x:v>
      </x:c>
      <x:c r="J520" s="662" t="n">
        <x:v>6845302.7</x:v>
      </x:c>
      <x:c r="K520" s="662" t="n">
        <x:v>247794.92</x:v>
      </x:c>
      <x:c r="L520" s="662" t="n">
        <x:v>0</x:v>
      </x:c>
      <x:c r="M520" s="662" t="n">
        <x:v>2162004.03</x:v>
      </x:c>
      <x:c r="N520" s="662" t="n">
        <x:v>2129267.87</x:v>
      </x:c>
      <x:c r="O520" s="662" t="n">
        <x:v>11087908.49</x:v>
      </x:c>
      <x:c r="P520" s="662" t="n">
        <x:v>5438800.23</x:v>
      </x:c>
      <x:c r="Q520" s="662" t="n">
        <x:v>407765.67</x:v>
      </x:c>
      <x:c r="R520" s="662" t="n">
        <x:v>87.55</x:v>
      </x:c>
      <x:c r="S520" s="662" t="n">
        <x:v>0</x:v>
      </x:c>
      <x:c r="T520" s="673" t="n">
        <x:v>0</x:v>
      </x:c>
      <x:c r="U520" s="673">
        <x:v>0</x:v>
      </x:c>
      <x:c r="V520" s="673">
        <x:v>0</x:v>
      </x:c>
      <x:c r="W520" s="673">
        <x:v>0</x:v>
      </x:c>
      <x:c r="X520" s="673">
        <x:v>0</x:v>
      </x:c>
      <x:c r="Y520" s="673">
        <x:v>0</x:v>
      </x:c>
      <x:c r="Z520" s="673" t="n">
        <x:v>0</x:v>
      </x:c>
      <x:c r="AA520" s="668"/>
      <x:c r="AB520" s="668"/>
      <x:c r="AC520" s="668"/>
      <x:c r="AD520" s="668"/>
      <x:c r="AE520" s="668"/>
      <x:c r="AF520" s="668"/>
      <x:c r="AG520" s="668"/>
      <x:c r="AH520" s="668"/>
      <x:c r="AI520" s="668"/>
      <x:c r="AJ520" s="668"/>
      <x:c r="AK520" s="668"/>
      <x:c r="AL520" s="668"/>
      <x:c r="AM520" s="668"/>
      <x:c r="AN520" s="668"/>
      <x:c r="AO520" s="668"/>
      <x:c r="AP520" s="668"/>
      <x:c r="AQ520" s="668"/>
      <x:c r="AR520" s="668"/>
      <x:c r="AS520" s="668"/>
      <x:c r="AT520" s="668"/>
      <x:c r="AU520" s="668"/>
      <x:c r="AV520" s="668"/>
      <x:c r="AW520" s="668"/>
      <x:c r="AX520" s="668"/>
      <x:c r="AY520" s="668"/>
      <x:c r="AZ520" s="668"/>
      <x:c r="BA520" s="668"/>
      <x:c r="BB520" s="668"/>
      <x:c r="BC520" s="668"/>
      <x:c r="BD520" s="668"/>
      <x:c r="BE520" s="668"/>
      <x:c r="BF520" s="668"/>
      <x:c r="BG520" s="668"/>
      <x:c r="BH520" s="668"/>
      <x:c r="BI520" s="668"/>
      <x:c r="BJ520" s="668"/>
      <x:c r="BK520" s="668"/>
      <x:c r="BL520" s="668"/>
      <x:c r="BM520" s="668"/>
      <x:c r="BN520" s="624"/>
    </x:row>
    <x:row r="521" spans="1:66" x14ac:dyDescent="0.2">
      <x:c r="A521"/>
      <x:c r="B521"/>
      <x:c r="C521"/>
      <x:c r="D521"/>
      <x:c r="E521" s="625" t="inlineStr">
        <x:is>
          <x:t>Vlr Servicio</x:t>
        </x:is>
      </x:c>
      <x:c r="F521" s="627" t="n">
        <x:v>23681387.87</x:v>
      </x:c>
      <x:c r="G521" s="627" t="n">
        <x:v>1342192.95</x:v>
      </x:c>
      <x:c r="H521" s="627" t="n">
        <x:v>741594.96</x:v>
      </x:c>
      <x:c r="I521" s="627" t="n">
        <x:v>386605.36</x:v>
      </x:c>
      <x:c r="J521" s="627" t="n">
        <x:v>3574834.93</x:v>
      </x:c>
      <x:c r="K521" s="627" t="n">
        <x:v>163810.99</x:v>
      </x:c>
      <x:c r="L521" s="627" t="n">
        <x:v>0</x:v>
      </x:c>
      <x:c r="M521" s="627" t="n">
        <x:v>1432646.73</x:v>
      </x:c>
      <x:c r="N521" s="627" t="n">
        <x:v>1903396.27</x:v>
      </x:c>
      <x:c r="O521" s="627" t="n">
        <x:v>9913238.58</x:v>
      </x:c>
      <x:c r="P521" s="627" t="n">
        <x:v>3949237.62</x:v>
      </x:c>
      <x:c r="Q521" s="627" t="n">
        <x:v>273858.43</x:v>
      </x:c>
      <x:c r="R521" s="627" t="n">
        <x:v>-28.95</x:v>
      </x:c>
      <x:c r="S521" s="627" t="n">
        <x:v>0</x:v>
      </x:c>
      <x:c r="T521" s="653" t="n">
        <x:v>0</x:v>
      </x:c>
      <x:c r="U521" s="653">
        <x:v>0</x:v>
      </x:c>
      <x:c r="V521" s="653">
        <x:v>0</x:v>
      </x:c>
      <x:c r="W521" s="653">
        <x:v>0</x:v>
      </x:c>
      <x:c r="X521" s="653">
        <x:v>0</x:v>
      </x:c>
      <x:c r="Y521" s="653">
        <x:v>0</x:v>
      </x:c>
      <x:c r="Z521" s="653" t="n">
        <x:v>0</x:v>
      </x:c>
      <x:c r="BN521" s="624"/>
    </x:row>
    <x:row r="522" spans="1:66" x14ac:dyDescent="0.2">
      <x:c r="A522"/>
      <x:c r="B522"/>
      <x:c r="C522"/>
      <x:c r="D522"/>
      <x:c r="E522" s="625" t="inlineStr">
        <x:is>
          <x:t>Vlr Intereses</x:t>
        </x:is>
      </x:c>
      <x:c r="F522" s="627" t="n">
        <x:v>203478.11</x:v>
      </x:c>
      <x:c r="G522" s="627" t="n">
        <x:v>12513.73</x:v>
      </x:c>
      <x:c r="H522" s="627" t="n">
        <x:v>6267.59</x:v>
      </x:c>
      <x:c r="I522" s="627" t="n">
        <x:v>3281.56</x:v>
      </x:c>
      <x:c r="J522" s="627" t="n">
        <x:v>40756.89</x:v>
      </x:c>
      <x:c r="K522" s="627" t="n">
        <x:v>1395.27</x:v>
      </x:c>
      <x:c r="L522" s="627" t="n">
        <x:v>0</x:v>
      </x:c>
      <x:c r="M522" s="627" t="n">
        <x:v>12103.55</x:v>
      </x:c>
      <x:c r="N522" s="627" t="n">
        <x:v>15375.27</x:v>
      </x:c>
      <x:c r="O522" s="627" t="n">
        <x:v>72617.7</x:v>
      </x:c>
      <x:c r="P522" s="627" t="n">
        <x:v>36833.6</x:v>
      </x:c>
      <x:c r="Q522" s="627" t="n">
        <x:v>2332.77</x:v>
      </x:c>
      <x:c r="R522" s="627" t="n">
        <x:v>0.24</x:v>
      </x:c>
      <x:c r="S522" s="627" t="n">
        <x:v>-0.06</x:v>
      </x:c>
      <x:c r="T522" s="653" t="n">
        <x:v>0</x:v>
      </x:c>
      <x:c r="U522" s="653">
        <x:v>0</x:v>
      </x:c>
      <x:c r="V522" s="653">
        <x:v>0</x:v>
      </x:c>
      <x:c r="W522" s="653">
        <x:v>0</x:v>
      </x:c>
      <x:c r="X522" s="653">
        <x:v>0</x:v>
      </x:c>
      <x:c r="Y522" s="653">
        <x:v>0</x:v>
      </x:c>
      <x:c r="Z522" s="653" t="n">
        <x:v>0</x:v>
      </x:c>
      <x:c r="BN522" s="624"/>
    </x:row>
    <x:row r="523" spans="1:66" x14ac:dyDescent="0.2">
      <x:c r="A523"/>
      <x:c r="B523"/>
      <x:c r="C523"/>
      <x:c r="D523" s="625" t="inlineStr">
        <x:is>
          <x:t>H</x:t>
        </x:is>
      </x:c>
      <x:c r="E523" s="625" t="inlineStr">
        <x:is>
          <x:t>Total</x:t>
        </x:is>
      </x:c>
      <x:c r="F523" s="627" t="n">
        <x:v>23884865.98</x:v>
      </x:c>
      <x:c r="G523" s="627" t="n">
        <x:v>1354706.68</x:v>
      </x:c>
      <x:c r="H523" s="627" t="n">
        <x:v>747862.55</x:v>
      </x:c>
      <x:c r="I523" s="627" t="n">
        <x:v>389886.92</x:v>
      </x:c>
      <x:c r="J523" s="627" t="n">
        <x:v>3615591.82</x:v>
      </x:c>
      <x:c r="K523" s="627" t="n">
        <x:v>165206.26</x:v>
      </x:c>
      <x:c r="L523" s="627" t="n">
        <x:v>0</x:v>
      </x:c>
      <x:c r="M523" s="627" t="n">
        <x:v>1444750.28</x:v>
      </x:c>
      <x:c r="N523" s="627" t="n">
        <x:v>1918771.54</x:v>
      </x:c>
      <x:c r="O523" s="627" t="n">
        <x:v>9985856.28</x:v>
      </x:c>
      <x:c r="P523" s="627" t="n">
        <x:v>3986071.22</x:v>
      </x:c>
      <x:c r="Q523" s="627" t="n">
        <x:v>276191.2</x:v>
      </x:c>
      <x:c r="R523" s="627" t="n">
        <x:v>-28.71</x:v>
      </x:c>
      <x:c r="S523" s="627" t="n">
        <x:v>-0.06</x:v>
      </x:c>
      <x:c r="T523" s="653" t="n">
        <x:v>0</x:v>
      </x:c>
      <x:c r="U523" s="653">
        <x:v>0</x:v>
      </x:c>
      <x:c r="V523" s="653">
        <x:v>0</x:v>
      </x:c>
      <x:c r="W523" s="653">
        <x:v>0</x:v>
      </x:c>
      <x:c r="X523" s="653">
        <x:v>0</x:v>
      </x:c>
      <x:c r="Y523" s="653">
        <x:v>0</x:v>
      </x:c>
      <x:c r="Z523" s="653" t="n">
        <x:v>0</x:v>
      </x:c>
      <x:c r="BN523" s="624"/>
    </x:row>
    <x:row r="524" spans="1:66" x14ac:dyDescent="0.2">
      <x:c r="A524"/>
      <x:c r="B524"/>
      <x:c r="C524" s="625"/>
      <x:c r="D524" s="625"/>
      <x:c r="E524" s="25" t="inlineStr">
        <x:is>
          <x:t>Vlr Servicio</x:t>
        </x:is>
      </x:c>
      <x:c r="F524" s="627" t="n">
        <x:v>37326194.02</x:v>
      </x:c>
      <x:c r="G524" s="627" t="n">
        <x:v>2341567.69</x:v>
      </x:c>
      <x:c r="H524" s="627" t="n">
        <x:v>1226225.59</x:v>
      </x:c>
      <x:c r="I524" s="627" t="n">
        <x:v>646313.08</x:v>
      </x:c>
      <x:c r="J524" s="627" t="n">
        <x:v>4830560.89</x:v>
      </x:c>
      <x:c r="K524" s="627" t="n">
        <x:v>328790.96</x:v>
      </x:c>
      <x:c r="L524" s="627" t="n">
        <x:v>10</x:v>
      </x:c>
      <x:c r="M524" s="627" t="n">
        <x:v>2887566.34</x:v>
      </x:c>
      <x:c r="N524" s="627" t="n">
        <x:v>2940701.95</x:v>
      </x:c>
      <x:c r="O524" s="627" t="n">
        <x:v>14675858.98</x:v>
      </x:c>
      <x:c r="P524" s="627" t="n">
        <x:v>6912081.86</x:v>
      </x:c>
      <x:c r="Q524" s="627" t="n">
        <x:v>536760.03</x:v>
      </x:c>
      <x:c r="R524" s="627" t="n">
        <x:v>-243.35</x:v>
      </x:c>
      <x:c r="S524" s="627" t="n">
        <x:v>0</x:v>
      </x:c>
      <x:c r="T524" s="653" t="n">
        <x:v>0</x:v>
      </x:c>
      <x:c r="U524" s="653">
        <x:v>0</x:v>
      </x:c>
      <x:c r="V524" s="653">
        <x:v>0</x:v>
      </x:c>
      <x:c r="W524" s="653">
        <x:v>0</x:v>
      </x:c>
      <x:c r="X524" s="653">
        <x:v>0</x:v>
      </x:c>
      <x:c r="Y524" s="653">
        <x:v>0</x:v>
      </x:c>
      <x:c r="Z524" s="653" t="n">
        <x:v>0</x:v>
      </x:c>
      <x:c r="BN524" s="624"/>
    </x:row>
    <x:row r="525" spans="1:66" x14ac:dyDescent="0.2">
      <x:c r="A525"/>
      <x:c r="B525" s="625"/>
      <x:c r="C525" s="625"/>
      <x:c r="D525"/>
      <x:c r="E525" s="25" t="inlineStr">
        <x:is>
          <x:t>Vlr Intereses</x:t>
        </x:is>
      </x:c>
      <x:c r="F525" s="627" t="n">
        <x:v>1803780.95</x:v>
      </x:c>
      <x:c r="G525" s="627" t="n">
        <x:v>148635.05</x:v>
      </x:c>
      <x:c r="H525" s="627" t="n">
        <x:v>70152.76</x:v>
      </x:c>
      <x:c r="I525" s="627" t="n">
        <x:v>35493.92</x:v>
      </x:c>
      <x:c r="J525" s="627" t="n">
        <x:v>325744.4</x:v>
      </x:c>
      <x:c r="K525" s="627" t="n">
        <x:v>14357.08</x:v>
      </x:c>
      <x:c r="L525" s="627" t="n">
        <x:v>0</x:v>
      </x:c>
      <x:c r="M525" s="627" t="n">
        <x:v>125760.45</x:v>
      </x:c>
      <x:c r="N525" s="627" t="n">
        <x:v>115572.28</x:v>
      </x:c>
      <x:c r="O525" s="627" t="n">
        <x:v>509189.7</x:v>
      </x:c>
      <x:c r="P525" s="627" t="n">
        <x:v>435456.11</x:v>
      </x:c>
      <x:c r="Q525" s="627" t="n">
        <x:v>23424.97</x:v>
      </x:c>
      <x:c r="R525" s="627" t="n">
        <x:v>-6.29</x:v>
      </x:c>
      <x:c r="S525" s="627" t="n">
        <x:v>-0.02</x:v>
      </x:c>
      <x:c r="T525" s="653" t="n">
        <x:v>0.54</x:v>
      </x:c>
      <x:c r="U525" s="653">
        <x:v>0</x:v>
      </x:c>
      <x:c r="V525" s="653">
        <x:v>0</x:v>
      </x:c>
      <x:c r="W525" s="653">
        <x:v>0</x:v>
      </x:c>
      <x:c r="X525" s="653">
        <x:v>0</x:v>
      </x:c>
      <x:c r="Y525" s="653">
        <x:v>0</x:v>
      </x:c>
      <x:c r="Z525" s="653" t="n">
        <x:v>0</x:v>
      </x:c>
      <x:c r="BN525" s="624"/>
    </x:row>
    <x:row r="526" spans="1:66" x14ac:dyDescent="0.2">
      <x:c r="A526" s="625"/>
      <x:c r="B526" s="625"/>
      <x:c r="C526"/>
      <x:c r="D526" s="25" t="inlineStr">
        <x:is>
          <x:t>O</x:t>
        </x:is>
      </x:c>
      <x:c r="E526" s="25" t="inlineStr">
        <x:is>
          <x:t>Total</x:t>
        </x:is>
      </x:c>
      <x:c r="F526" s="627" t="n">
        <x:v>39129974.97</x:v>
      </x:c>
      <x:c r="G526" s="627" t="n">
        <x:v>2490202.74</x:v>
      </x:c>
      <x:c r="H526" s="627" t="n">
        <x:v>1296378.35</x:v>
      </x:c>
      <x:c r="I526" s="627" t="n">
        <x:v>681807</x:v>
      </x:c>
      <x:c r="J526" s="627" t="n">
        <x:v>5156305.29</x:v>
      </x:c>
      <x:c r="K526" s="627" t="n">
        <x:v>343148.04</x:v>
      </x:c>
      <x:c r="L526" s="627" t="n">
        <x:v>10</x:v>
      </x:c>
      <x:c r="M526" s="627" t="n">
        <x:v>3013326.79</x:v>
      </x:c>
      <x:c r="N526" s="627" t="n">
        <x:v>3056274.23</x:v>
      </x:c>
      <x:c r="O526" s="627" t="n">
        <x:v>15185048.68</x:v>
      </x:c>
      <x:c r="P526" s="627" t="n">
        <x:v>7347537.97</x:v>
      </x:c>
      <x:c r="Q526" s="627" t="n">
        <x:v>560185</x:v>
      </x:c>
      <x:c r="R526" s="627" t="n">
        <x:v>-249.64</x:v>
      </x:c>
      <x:c r="S526" s="627" t="n">
        <x:v>-0.02</x:v>
      </x:c>
      <x:c r="T526" s="653" t="n">
        <x:v>0.54</x:v>
      </x:c>
      <x:c r="U526" s="653">
        <x:v>0</x:v>
      </x:c>
      <x:c r="V526" s="653">
        <x:v>0</x:v>
      </x:c>
      <x:c r="W526" s="653">
        <x:v>0</x:v>
      </x:c>
      <x:c r="X526" s="653">
        <x:v>0</x:v>
      </x:c>
      <x:c r="Y526" s="653">
        <x:v>0</x:v>
      </x:c>
      <x:c r="Z526" s="653" t="n">
        <x:v>0</x:v>
      </x:c>
      <x:c r="BN526" s="624"/>
    </x:row>
    <x:row r="527" spans="1:66" x14ac:dyDescent="0.2">
      <x:c r="A527"/>
      <x:c r="B527"/>
      <x:c r="C527"/>
      <x:c r="D527"/>
      <x:c r="E527" s="625" t="inlineStr">
        <x:is>
          <x:t>Vlr Servicio</x:t>
        </x:is>
      </x:c>
      <x:c r="F527" s="627" t="n">
        <x:v>165149724.54</x:v>
      </x:c>
      <x:c r="G527" s="627" t="n">
        <x:v>26075002.84</x:v>
      </x:c>
      <x:c r="H527" s="627" t="n">
        <x:v>14679186.14</x:v>
      </x:c>
      <x:c r="I527" s="627" t="n">
        <x:v>7710705.03</x:v>
      </x:c>
      <x:c r="J527" s="627" t="n">
        <x:v>8226271.17</x:v>
      </x:c>
      <x:c r="K527" s="627" t="n">
        <x:v>298707.28</x:v>
      </x:c>
      <x:c r="L527" s="627" t="n">
        <x:v>5865000</x:v>
      </x:c>
      <x:c r="M527" s="627" t="n">
        <x:v>2614088.55</x:v>
      </x:c>
      <x:c r="N527" s="627" t="n">
        <x:v>3478316.82</x:v>
      </x:c>
      <x:c r="O527" s="627" t="n">
        <x:v>18102958.87</x:v>
      </x:c>
      <x:c r="P527" s="627" t="n">
        <x:v>77609539.06</x:v>
      </x:c>
      <x:c r="Q527" s="627" t="n">
        <x:v>490342.43</x:v>
      </x:c>
      <x:c r="R527" s="627" t="n">
        <x:v>-393.65</x:v>
      </x:c>
      <x:c r="S527" s="627" t="n">
        <x:v>0</x:v>
      </x:c>
      <x:c r="T527" s="653" t="n">
        <x:v>0</x:v>
      </x:c>
      <x:c r="U527" s="653">
        <x:v>0</x:v>
      </x:c>
      <x:c r="V527" s="653">
        <x:v>0</x:v>
      </x:c>
      <x:c r="W527" s="653">
        <x:v>0</x:v>
      </x:c>
      <x:c r="X527" s="653">
        <x:v>0</x:v>
      </x:c>
      <x:c r="Y527" s="653">
        <x:v>0</x:v>
      </x:c>
      <x:c r="Z527" s="653" t="n">
        <x:v>0</x:v>
      </x:c>
      <x:c r="BN527" s="624"/>
    </x:row>
    <x:row r="528" spans="1:66" x14ac:dyDescent="0.2">
      <x:c r="A528" s="625"/>
      <x:c r="B528" s="625"/>
      <x:c r="C528"/>
      <x:c r="D528"/>
      <x:c r="E528" s="25" t="inlineStr">
        <x:is>
          <x:t>Vlr Intereses</x:t>
        </x:is>
      </x:c>
      <x:c r="F528" s="627" t="n">
        <x:v>1037886.13</x:v>
      </x:c>
      <x:c r="G528" s="627" t="n">
        <x:v>151445.04</x:v>
      </x:c>
      <x:c r="H528" s="627" t="n">
        <x:v>83302.72</x:v>
      </x:c>
      <x:c r="I528" s="627" t="n">
        <x:v>44417.4</x:v>
      </x:c>
      <x:c r="J528" s="627" t="n">
        <x:v>83722.74</x:v>
      </x:c>
      <x:c r="K528" s="627" t="n">
        <x:v>2286.49</x:v>
      </x:c>
      <x:c r="L528" s="627" t="n">
        <x:v>39642.23</x:v>
      </x:c>
      <x:c r="M528" s="627" t="n">
        <x:v>20012.88</x:v>
      </x:c>
      <x:c r="N528" s="627" t="n">
        <x:v>25666.09</x:v>
      </x:c>
      <x:c r="O528" s="627" t="n">
        <x:v>131338.6</x:v>
      </x:c>
      <x:c r="P528" s="627" t="n">
        <x:v>452293.81</x:v>
      </x:c>
      <x:c r="Q528" s="627" t="n">
        <x:v>3759.65</x:v>
      </x:c>
      <x:c r="R528" s="627" t="n">
        <x:v>-1.41</x:v>
      </x:c>
      <x:c r="S528" s="627" t="n">
        <x:v>-0.11</x:v>
      </x:c>
      <x:c r="T528" s="653" t="n">
        <x:v>0</x:v>
      </x:c>
      <x:c r="U528" s="653">
        <x:v>0</x:v>
      </x:c>
      <x:c r="V528" s="653">
        <x:v>0</x:v>
      </x:c>
      <x:c r="W528" s="653">
        <x:v>0</x:v>
      </x:c>
      <x:c r="X528" s="653">
        <x:v>0</x:v>
      </x:c>
      <x:c r="Y528" s="653">
        <x:v>0</x:v>
      </x:c>
      <x:c r="Z528" s="653" t="n">
        <x:v>0</x:v>
      </x:c>
      <x:c r="BN528" s="624"/>
    </x:row>
    <x:row r="529" spans="1:66" x14ac:dyDescent="0.2">
      <x:c r="A529"/>
      <x:c r="B529"/>
      <x:c r="C529"/>
      <x:c r="D529" s="25" t="inlineStr">
        <x:is>
          <x:t>T</x:t>
        </x:is>
      </x:c>
      <x:c r="E529" s="625" t="inlineStr">
        <x:is>
          <x:t>Total</x:t>
        </x:is>
      </x:c>
      <x:c r="F529" s="627" t="n">
        <x:v>166187610.67</x:v>
      </x:c>
      <x:c r="G529" s="627" t="n">
        <x:v>26226447.88</x:v>
      </x:c>
      <x:c r="H529" s="627" t="n">
        <x:v>14762488.86</x:v>
      </x:c>
      <x:c r="I529" s="627" t="n">
        <x:v>7755122.43</x:v>
      </x:c>
      <x:c r="J529" s="627" t="n">
        <x:v>8309993.91</x:v>
      </x:c>
      <x:c r="K529" s="627" t="n">
        <x:v>300993.77</x:v>
      </x:c>
      <x:c r="L529" s="627" t="n">
        <x:v>5904642.23</x:v>
      </x:c>
      <x:c r="M529" s="627" t="n">
        <x:v>2634101.43</x:v>
      </x:c>
      <x:c r="N529" s="627" t="n">
        <x:v>3503982.91</x:v>
      </x:c>
      <x:c r="O529" s="627" t="n">
        <x:v>18234297.47</x:v>
      </x:c>
      <x:c r="P529" s="627" t="n">
        <x:v>78061832.87</x:v>
      </x:c>
      <x:c r="Q529" s="627" t="n">
        <x:v>494102.08</x:v>
      </x:c>
      <x:c r="R529" s="627" t="n">
        <x:v>-395.06</x:v>
      </x:c>
      <x:c r="S529" s="627" t="n">
        <x:v>-0.11</x:v>
      </x:c>
      <x:c r="T529" s="653" t="n">
        <x:v>0</x:v>
      </x:c>
      <x:c r="U529" s="653">
        <x:v>0</x:v>
      </x:c>
      <x:c r="V529" s="653">
        <x:v>0</x:v>
      </x:c>
      <x:c r="W529" s="653">
        <x:v>0</x:v>
      </x:c>
      <x:c r="X529" s="653">
        <x:v>0</x:v>
      </x:c>
      <x:c r="Y529" s="653">
        <x:v>0</x:v>
      </x:c>
      <x:c r="Z529" s="653" t="n">
        <x:v>0</x:v>
      </x:c>
      <x:c r="BN529" s="624"/>
    </x:row>
    <x:row r="530" spans="1:66" x14ac:dyDescent="0.2">
      <x:c r="A530" s="631"/>
      <x:c r="B530" s="631"/>
      <x:c r="C530" s="632" t="inlineStr">
        <x:is>
          <x:t>OCCIDENTE</x:t>
        </x:is>
      </x:c>
      <x:c r="D530" s="632" t="inlineStr">
        <x:is>
          <x:t>Total</x:t>
        </x:is>
      </x:c>
      <x:c r="E530" s="631"/>
      <x:c r="F530" s="633" t="n">
        <x:v>229202451.62</x:v>
      </x:c>
      <x:c r="G530" s="633" t="n">
        <x:v>30071357.3</x:v>
      </x:c>
      <x:c r="H530" s="633" t="n">
        <x:v>16806729.76</x:v>
      </x:c>
      <x:c r="I530" s="633" t="n">
        <x:v>8826816.35</x:v>
      </x:c>
      <x:c r="J530" s="633" t="n">
        <x:v>17081891.02</x:v>
      </x:c>
      <x:c r="K530" s="633" t="n">
        <x:v>809348.07</x:v>
      </x:c>
      <x:c r="L530" s="633" t="n">
        <x:v>5904652.23</x:v>
      </x:c>
      <x:c r="M530" s="633" t="n">
        <x:v>7092178.5</x:v>
      </x:c>
      <x:c r="N530" s="633" t="n">
        <x:v>8479028.68</x:v>
      </x:c>
      <x:c r="O530" s="633" t="n">
        <x:v>43405202.43</x:v>
      </x:c>
      <x:c r="P530" s="633" t="n">
        <x:v>89395442.06</x:v>
      </x:c>
      <x:c r="Q530" s="633" t="n">
        <x:v>1330478.28</x:v>
      </x:c>
      <x:c r="R530" s="633" t="n">
        <x:v>-673.41</x:v>
      </x:c>
      <x:c r="S530" s="633" t="n">
        <x:v>-0.19</x:v>
      </x:c>
      <x:c r="T530" s="633" t="n">
        <x:v>0.54</x:v>
      </x:c>
      <x:c r="U530" s="633">
        <x:v>0</x:v>
      </x:c>
      <x:c r="V530" s="633">
        <x:v>0</x:v>
      </x:c>
      <x:c r="W530" s="633">
        <x:v>0</x:v>
      </x:c>
      <x:c r="X530" s="633">
        <x:v>0</x:v>
      </x:c>
      <x:c r="Y530" s="633">
        <x:v>0</x:v>
      </x:c>
      <x:c r="Z530" s="633" t="n">
        <x:v>0</x:v>
      </x:c>
      <x:c r="AA530" s="631"/>
      <x:c r="AB530" s="631"/>
      <x:c r="AC530" s="631"/>
      <x:c r="AD530" s="631"/>
      <x:c r="AE530" s="631"/>
      <x:c r="AF530" s="631"/>
      <x:c r="AG530" s="631"/>
      <x:c r="AH530" s="631"/>
      <x:c r="AI530" s="631"/>
      <x:c r="AJ530" s="631"/>
      <x:c r="AK530" s="631"/>
      <x:c r="AL530" s="631"/>
      <x:c r="AM530" s="631"/>
      <x:c r="AN530" s="631"/>
      <x:c r="AO530" s="631"/>
      <x:c r="AP530" s="631"/>
      <x:c r="AQ530" s="631"/>
      <x:c r="AR530" s="631"/>
      <x:c r="AS530" s="631"/>
      <x:c r="AT530" s="631"/>
      <x:c r="AU530" s="631"/>
      <x:c r="AV530" s="631"/>
      <x:c r="AW530" s="631"/>
      <x:c r="AX530" s="631"/>
      <x:c r="AY530" s="631"/>
      <x:c r="AZ530" s="631"/>
      <x:c r="BA530" s="631"/>
      <x:c r="BB530" s="631"/>
      <x:c r="BC530" s="631"/>
      <x:c r="BD530" s="631"/>
      <x:c r="BE530" s="631"/>
      <x:c r="BF530" s="631"/>
      <x:c r="BG530" s="631"/>
      <x:c r="BH530" s="631"/>
      <x:c r="BI530" s="631"/>
      <x:c r="BJ530" s="631"/>
      <x:c r="BK530" s="631"/>
      <x:c r="BL530" s="631"/>
      <x:c r="BM530" s="631"/>
      <x:c r="BN530" s="624"/>
    </x:row>
    <x:row r="531" spans="1:66" x14ac:dyDescent="0.2">
      <x:c r="A531" s="638"/>
      <x:c r="B531" s="639" t="inlineStr">
        <x:is>
          <x:t>Mes</x:t>
        </x:is>
      </x:c>
      <x:c r="C531" s="639" t="inlineStr">
        <x:is>
          <x:t>Total</x:t>
        </x:is>
      </x:c>
      <x:c r="D531" s="638"/>
      <x:c r="E531" s="638"/>
      <x:c r="F531" s="640" t="n">
        <x:v>13084233937.44</x:v>
      </x:c>
      <x:c r="G531" s="640" t="n">
        <x:v>728817640.58</x:v>
      </x:c>
      <x:c r="H531" s="640" t="n">
        <x:v>410843194.34</x:v>
      </x:c>
      <x:c r="I531" s="640" t="n">
        <x:v>215464172.38</x:v>
      </x:c>
      <x:c r="J531" s="640" t="n">
        <x:v>2764649544.23</x:v>
      </x:c>
      <x:c r="K531" s="640" t="n">
        <x:v>105636037.55</x:v>
      </x:c>
      <x:c r="L531" s="640" t="n">
        <x:v>14901729.33</x:v>
      </x:c>
      <x:c r="M531" s="640" t="n">
        <x:v>926158791.84</x:v>
      </x:c>
      <x:c r="N531" s="640" t="n">
        <x:v>908897384.01</x:v>
      </x:c>
      <x:c r="O531" s="640" t="n">
        <x:v>4671478931.39</x:v>
      </x:c>
      <x:c r="P531" s="640" t="n">
        <x:v>2165115703.05</x:v>
      </x:c>
      <x:c r="Q531" s="640" t="n">
        <x:v>172418576.05</x:v>
      </x:c>
      <x:c r="R531" s="640" t="n">
        <x:v>-147734.33</x:v>
      </x:c>
      <x:c r="S531" s="640" t="n">
        <x:v>-0.19</x:v>
      </x:c>
      <x:c r="T531" s="640" t="n">
        <x:v>7.58</x:v>
      </x:c>
      <x:c r="U531" s="640">
        <x:v>0</x:v>
      </x:c>
      <x:c r="V531" s="640">
        <x:v>0</x:v>
      </x:c>
      <x:c r="W531" s="640">
        <x:v>0</x:v>
      </x:c>
      <x:c r="X531" s="640">
        <x:v>0</x:v>
      </x:c>
      <x:c r="Y531" s="640">
        <x:v>0</x:v>
      </x:c>
      <x:c r="Z531" s="640" t="n">
        <x:v>-40.37</x:v>
      </x:c>
      <x:c r="AA531" s="638"/>
      <x:c r="AB531" s="638"/>
      <x:c r="AC531" s="638"/>
      <x:c r="AD531" s="638"/>
      <x:c r="AE531" s="638"/>
      <x:c r="AF531" s="638"/>
      <x:c r="AG531" s="638"/>
      <x:c r="AH531" s="638"/>
      <x:c r="AI531" s="638"/>
      <x:c r="AJ531" s="638"/>
      <x:c r="AK531" s="638"/>
      <x:c r="AL531" s="638"/>
      <x:c r="AM531" s="638"/>
      <x:c r="AN531" s="638"/>
      <x:c r="AO531" s="638"/>
      <x:c r="AP531" s="638"/>
      <x:c r="AQ531" s="638"/>
      <x:c r="AR531" s="638"/>
      <x:c r="AS531" s="638"/>
      <x:c r="AT531" s="638"/>
      <x:c r="AU531" s="638"/>
      <x:c r="AV531" s="638"/>
      <x:c r="AW531" s="638"/>
      <x:c r="AX531" s="638"/>
      <x:c r="AY531" s="638"/>
      <x:c r="AZ531" s="638"/>
      <x:c r="BA531" s="638"/>
      <x:c r="BB531" s="638"/>
      <x:c r="BC531" s="638"/>
      <x:c r="BD531" s="638"/>
      <x:c r="BE531" s="638"/>
      <x:c r="BF531" s="638"/>
      <x:c r="BG531" s="638"/>
      <x:c r="BH531" s="638"/>
      <x:c r="BI531" s="638"/>
      <x:c r="BJ531" s="638"/>
      <x:c r="BK531" s="638"/>
      <x:c r="BL531" s="638"/>
      <x:c r="BM531" s="638"/>
      <x:c r="BN531" s="624"/>
    </x:row>
    <x:row r="532" spans="1:66" x14ac:dyDescent="0.2">
      <x:c r="A532" s="25" t="inlineStr">
        <x:is>
          <x:t>Componente</x:t>
        </x:is>
      </x:c>
      <x:c r="B532" s="25" t="inlineStr">
        <x:is>
          <x:t>Total</x:t>
        </x:is>
      </x:c>
      <x:c r="C532"/>
      <x:c r="D532"/>
      <x:c r="E532" s="625"/>
      <x:c r="F532" s="627" t="n">
        <x:v>13084651457.06</x:v>
      </x:c>
      <x:c r="G532" s="627" t="n">
        <x:v>728844298.01</x:v>
      </x:c>
      <x:c r="H532" s="627" t="n">
        <x:v>410857332.36</x:v>
      </x:c>
      <x:c r="I532" s="627" t="n">
        <x:v>215471895.65</x:v>
      </x:c>
      <x:c r="J532" s="627" t="n">
        <x:v>2764743455.96</x:v>
      </x:c>
      <x:c r="K532" s="627" t="n">
        <x:v>105638327.84</x:v>
      </x:c>
      <x:c r="L532" s="627" t="n">
        <x:v>14901729.33</x:v>
      </x:c>
      <x:c r="M532" s="627" t="n">
        <x:v>926178881.18</x:v>
      </x:c>
      <x:c r="N532" s="627" t="n">
        <x:v>908925476.37</x:v>
      </x:c>
      <x:c r="O532" s="627" t="n">
        <x:v>4671620264.39</x:v>
      </x:c>
      <x:c r="P532" s="627" t="n">
        <x:v>2165195247.84</x:v>
      </x:c>
      <x:c r="Q532" s="627" t="n">
        <x:v>172422312.75</x:v>
      </x:c>
      <x:c r="R532" s="627" t="n">
        <x:v>-147731.64</x:v>
      </x:c>
      <x:c r="S532" s="627" t="n">
        <x:v>-0.19</x:v>
      </x:c>
      <x:c r="T532" s="653" t="n">
        <x:v>7.58</x:v>
      </x:c>
      <x:c r="U532" s="653">
        <x:v>0</x:v>
      </x:c>
      <x:c r="V532" s="653">
        <x:v>0</x:v>
      </x:c>
      <x:c r="W532" s="653">
        <x:v>0</x:v>
      </x:c>
      <x:c r="X532" s="653">
        <x:v>0</x:v>
      </x:c>
      <x:c r="Y532" s="653">
        <x:v>0</x:v>
      </x:c>
      <x:c r="Z532" s="653" t="n">
        <x:v>-40.37</x:v>
      </x:c>
      <x:c r="BN532" s="624"/>
    </x:row>
    <x:row r="533" spans="1:66" x14ac:dyDescent="0.2">
      <x:c r="A533"/>
      <x:c r="B533"/>
      <x:c r="C533"/>
      <x:c r="D533"/>
      <x:c r="E533" s="625" t="inlineStr">
        <x:is>
          <x:t>Subsidio(-)/Contribucion(+)</x:t>
        </x:is>
      </x:c>
      <x:c r="F533" s="627" t="n">
        <x:v>-7906.16</x:v>
      </x:c>
      <x:c r="G533" s="627" t="n">
        <x:v>-466.73</x:v>
      </x:c>
      <x:c r="H533" s="627" t="n">
        <x:v>-262.7</x:v>
      </x:c>
      <x:c r="I533" s="627" t="n">
        <x:v>-134.64</x:v>
      </x:c>
      <x:c r="J533" s="627" t="n">
        <x:v>-1706.65</x:v>
      </x:c>
      <x:c r="K533" s="627" t="n">
        <x:v>-46.82</x:v>
      </x:c>
      <x:c r="L533" s="627" t="n">
        <x:v>0</x:v>
      </x:c>
      <x:c r="M533" s="627" t="n">
        <x:v>-410.68</x:v>
      </x:c>
      <x:c r="N533" s="627" t="n">
        <x:v>-563.19</x:v>
      </x:c>
      <x:c r="O533" s="627" t="n">
        <x:v>-2884.34</x:v>
      </x:c>
      <x:c r="P533" s="627" t="n">
        <x:v>-1354.02</x:v>
      </x:c>
      <x:c r="Q533" s="627" t="n">
        <x:v>-76.39</x:v>
      </x:c>
      <x:c r="R533" s="627" t="n">
        <x:v>0</x:v>
      </x:c>
      <x:c r="S533" s="627" t="n">
        <x:v>0</x:v>
      </x:c>
      <x:c r="T533" s="653" t="n">
        <x:v>0</x:v>
      </x:c>
      <x:c r="U533" s="653">
        <x:v>0</x:v>
      </x:c>
      <x:c r="V533" s="653">
        <x:v>0</x:v>
      </x:c>
      <x:c r="W533" s="653">
        <x:v>0</x:v>
      </x:c>
      <x:c r="X533" s="653">
        <x:v>0</x:v>
      </x:c>
      <x:c r="Y533" s="653">
        <x:v>0</x:v>
      </x:c>
      <x:c r="Z533" s="653" t="n">
        <x:v>0</x:v>
      </x:c>
      <x:c r="BN533" s="624"/>
    </x:row>
    <x:row r="534" spans="1:66" x14ac:dyDescent="0.2">
      <x:c r="A534"/>
      <x:c r="B534"/>
      <x:c r="C534"/>
      <x:c r="D534" s="25" t="inlineStr">
        <x:is>
          <x:t>H</x:t>
        </x:is>
      </x:c>
      <x:c r="E534" s="625" t="inlineStr">
        <x:is>
          <x:t>Total</x:t>
        </x:is>
      </x:c>
      <x:c r="F534" s="627" t="n">
        <x:v>-7906.16</x:v>
      </x:c>
      <x:c r="G534" s="627" t="n">
        <x:v>-466.73</x:v>
      </x:c>
      <x:c r="H534" s="627" t="n">
        <x:v>-262.7</x:v>
      </x:c>
      <x:c r="I534" s="627" t="n">
        <x:v>-134.64</x:v>
      </x:c>
      <x:c r="J534" s="627" t="n">
        <x:v>-1706.65</x:v>
      </x:c>
      <x:c r="K534" s="627" t="n">
        <x:v>-46.82</x:v>
      </x:c>
      <x:c r="L534" s="627" t="n">
        <x:v>0</x:v>
      </x:c>
      <x:c r="M534" s="627" t="n">
        <x:v>-410.68</x:v>
      </x:c>
      <x:c r="N534" s="627" t="n">
        <x:v>-563.19</x:v>
      </x:c>
      <x:c r="O534" s="627" t="n">
        <x:v>-2884.34</x:v>
      </x:c>
      <x:c r="P534" s="627" t="n">
        <x:v>-1354.02</x:v>
      </x:c>
      <x:c r="Q534" s="627" t="n">
        <x:v>-76.39</x:v>
      </x:c>
      <x:c r="R534" s="627" t="n">
        <x:v>0</x:v>
      </x:c>
      <x:c r="S534" s="627" t="n">
        <x:v>0</x:v>
      </x:c>
      <x:c r="T534" s="653" t="n">
        <x:v>0</x:v>
      </x:c>
      <x:c r="U534" s="653">
        <x:v>0</x:v>
      </x:c>
      <x:c r="V534" s="653">
        <x:v>0</x:v>
      </x:c>
      <x:c r="W534" s="653">
        <x:v>0</x:v>
      </x:c>
      <x:c r="X534" s="653">
        <x:v>0</x:v>
      </x:c>
      <x:c r="Y534" s="653">
        <x:v>0</x:v>
      </x:c>
      <x:c r="Z534" s="653" t="n">
        <x:v>0</x:v>
      </x:c>
      <x:c r="BN534" s="624"/>
    </x:row>
    <x:row r="535" spans="1:66" x14ac:dyDescent="0.2">
      <x:c r="A535"/>
      <x:c r="B535"/>
      <x:c r="C535"/>
      <x:c r="D535"/>
      <x:c r="E535" s="625" t="inlineStr">
        <x:is>
          <x:t>Subsidio(-)/Contribucion(+)</x:t>
        </x:is>
      </x:c>
      <x:c r="F535" s="627" t="n">
        <x:v>32235.54</x:v>
      </x:c>
      <x:c r="G535" s="627" t="n">
        <x:v>2648.41</x:v>
      </x:c>
      <x:c r="H535" s="627" t="n">
        <x:v>1490.18</x:v>
      </x:c>
      <x:c r="I535" s="627" t="n">
        <x:v>761.92</x:v>
      </x:c>
      <x:c r="J535" s="627" t="n">
        <x:v>5936.43</x:v>
      </x:c>
      <x:c r="K535" s="627" t="n">
        <x:v>152.22</x:v>
      </x:c>
      <x:c r="L535" s="627" t="n">
        <x:v>0</x:v>
      </x:c>
      <x:c r="M535" s="627" t="n">
        <x:v>1335.24</x:v>
      </x:c>
      <x:c r="N535" s="627" t="n">
        <x:v>1960.56</x:v>
      </x:c>
      <x:c r="O535" s="627" t="n">
        <x:v>10040.34</x:v>
      </x:c>
      <x:c r="P535" s="627" t="n">
        <x:v>7661.89</x:v>
      </x:c>
      <x:c r="Q535" s="627" t="n">
        <x:v>248.35</x:v>
      </x:c>
      <x:c r="R535" s="627" t="n">
        <x:v>0</x:v>
      </x:c>
      <x:c r="S535" s="627" t="n">
        <x:v>0</x:v>
      </x:c>
      <x:c r="T535" s="653" t="n">
        <x:v>0</x:v>
      </x:c>
      <x:c r="U535" s="653">
        <x:v>0</x:v>
      </x:c>
      <x:c r="V535" s="653">
        <x:v>0</x:v>
      </x:c>
      <x:c r="W535" s="653">
        <x:v>0</x:v>
      </x:c>
      <x:c r="X535" s="653">
        <x:v>0</x:v>
      </x:c>
      <x:c r="Y535" s="653">
        <x:v>0</x:v>
      </x:c>
      <x:c r="Z535" s="653" t="n">
        <x:v>0</x:v>
      </x:c>
      <x:c r="BN535" s="624"/>
    </x:row>
    <x:row r="536" spans="1:66" x14ac:dyDescent="0.2">
      <x:c r="A536"/>
      <x:c r="B536"/>
      <x:c r="C536"/>
      <x:c r="D536" s="25" t="inlineStr">
        <x:is>
          <x:t>O</x:t>
        </x:is>
      </x:c>
      <x:c r="E536" s="625" t="inlineStr">
        <x:is>
          <x:t>Total</x:t>
        </x:is>
      </x:c>
      <x:c r="F536" s="627" t="n">
        <x:v>32235.54</x:v>
      </x:c>
      <x:c r="G536" s="627" t="n">
        <x:v>2648.41</x:v>
      </x:c>
      <x:c r="H536" s="627" t="n">
        <x:v>1490.18</x:v>
      </x:c>
      <x:c r="I536" s="627" t="n">
        <x:v>761.92</x:v>
      </x:c>
      <x:c r="J536" s="627" t="n">
        <x:v>5936.43</x:v>
      </x:c>
      <x:c r="K536" s="627" t="n">
        <x:v>152.22</x:v>
      </x:c>
      <x:c r="L536" s="627" t="n">
        <x:v>0</x:v>
      </x:c>
      <x:c r="M536" s="627" t="n">
        <x:v>1335.24</x:v>
      </x:c>
      <x:c r="N536" s="627" t="n">
        <x:v>1960.56</x:v>
      </x:c>
      <x:c r="O536" s="627" t="n">
        <x:v>10040.34</x:v>
      </x:c>
      <x:c r="P536" s="627" t="n">
        <x:v>7661.89</x:v>
      </x:c>
      <x:c r="Q536" s="627" t="n">
        <x:v>248.35</x:v>
      </x:c>
      <x:c r="R536" s="627" t="n">
        <x:v>0</x:v>
      </x:c>
      <x:c r="S536" s="627" t="n">
        <x:v>0</x:v>
      </x:c>
      <x:c r="T536" s="653" t="n">
        <x:v>0</x:v>
      </x:c>
      <x:c r="U536" s="653">
        <x:v>0</x:v>
      </x:c>
      <x:c r="V536" s="653">
        <x:v>0</x:v>
      </x:c>
      <x:c r="W536" s="653">
        <x:v>0</x:v>
      </x:c>
      <x:c r="X536" s="653">
        <x:v>0</x:v>
      </x:c>
      <x:c r="Y536" s="653">
        <x:v>0</x:v>
      </x:c>
      <x:c r="Z536" s="653" t="n">
        <x:v>0</x:v>
      </x:c>
      <x:c r="BN536" s="624"/>
    </x:row>
    <x:row r="537" spans="1:66" x14ac:dyDescent="0.2">
      <x:c r="A537" s="631"/>
      <x:c r="B537" s="631"/>
      <x:c r="C537" s="632" t="inlineStr">
        <x:is>
          <x:t>OCCIDENTE</x:t>
        </x:is>
      </x:c>
      <x:c r="D537" s="632" t="inlineStr">
        <x:is>
          <x:t>Total</x:t>
        </x:is>
      </x:c>
      <x:c r="E537" s="631"/>
      <x:c r="F537" s="633" t="n">
        <x:v>24329.38</x:v>
      </x:c>
      <x:c r="G537" s="633" t="n">
        <x:v>2181.68</x:v>
      </x:c>
      <x:c r="H537" s="633" t="n">
        <x:v>1227.48</x:v>
      </x:c>
      <x:c r="I537" s="633" t="n">
        <x:v>627.28</x:v>
      </x:c>
      <x:c r="J537" s="633" t="n">
        <x:v>4229.78</x:v>
      </x:c>
      <x:c r="K537" s="633" t="n">
        <x:v>105.4</x:v>
      </x:c>
      <x:c r="L537" s="633" t="n">
        <x:v>0</x:v>
      </x:c>
      <x:c r="M537" s="633" t="n">
        <x:v>924.56</x:v>
      </x:c>
      <x:c r="N537" s="633" t="n">
        <x:v>1397.37</x:v>
      </x:c>
      <x:c r="O537" s="633" t="n">
        <x:v>7156</x:v>
      </x:c>
      <x:c r="P537" s="633" t="n">
        <x:v>6307.87</x:v>
      </x:c>
      <x:c r="Q537" s="633" t="n">
        <x:v>171.96</x:v>
      </x:c>
      <x:c r="R537" s="633" t="n">
        <x:v>0</x:v>
      </x:c>
      <x:c r="S537" s="633" t="n">
        <x:v>0</x:v>
      </x:c>
      <x:c r="T537" s="633" t="n">
        <x:v>0</x:v>
      </x:c>
      <x:c r="U537" s="633">
        <x:v>0</x:v>
      </x:c>
      <x:c r="V537" s="633">
        <x:v>0</x:v>
      </x:c>
      <x:c r="W537" s="633">
        <x:v>0</x:v>
      </x:c>
      <x:c r="X537" s="633">
        <x:v>0</x:v>
      </x:c>
      <x:c r="Y537" s="633">
        <x:v>0</x:v>
      </x:c>
      <x:c r="Z537" s="633" t="n">
        <x:v>0</x:v>
      </x:c>
      <x:c r="AA537" s="631"/>
      <x:c r="AB537" s="631"/>
      <x:c r="AC537" s="631"/>
      <x:c r="AD537" s="631"/>
      <x:c r="AE537" s="631"/>
      <x:c r="AF537" s="631"/>
      <x:c r="AG537" s="631"/>
      <x:c r="AH537" s="631"/>
      <x:c r="AI537" s="631"/>
      <x:c r="AJ537" s="631"/>
      <x:c r="AK537" s="631"/>
      <x:c r="AL537" s="631"/>
      <x:c r="AM537" s="631"/>
      <x:c r="AN537" s="631"/>
      <x:c r="AO537" s="631"/>
      <x:c r="AP537" s="631"/>
      <x:c r="AQ537" s="631"/>
      <x:c r="AR537" s="631"/>
      <x:c r="AS537" s="631"/>
      <x:c r="AT537" s="631"/>
      <x:c r="AU537" s="631"/>
      <x:c r="AV537" s="631"/>
      <x:c r="AW537" s="631"/>
      <x:c r="AX537" s="631"/>
      <x:c r="AY537" s="631"/>
      <x:c r="AZ537" s="631"/>
      <x:c r="BA537" s="631"/>
      <x:c r="BB537" s="631"/>
      <x:c r="BC537" s="631"/>
      <x:c r="BD537" s="631"/>
      <x:c r="BE537" s="631"/>
      <x:c r="BF537" s="631"/>
      <x:c r="BG537" s="631"/>
      <x:c r="BH537" s="631"/>
      <x:c r="BI537" s="631"/>
      <x:c r="BJ537" s="631"/>
      <x:c r="BK537" s="631"/>
      <x:c r="BL537" s="631"/>
      <x:c r="BM537" s="631"/>
      <x:c r="BN537" s="624"/>
    </x:row>
    <x:row r="538" spans="1:66" x14ac:dyDescent="0.2">
      <x:c r="A538" s="635"/>
      <x:c r="B538" s="635" t="inlineStr">
        <x:is>
          <x:t>Aplicacion nuevos x reversion</x:t>
        </x:is>
      </x:c>
      <x:c r="C538" s="635" t="inlineStr">
        <x:is>
          <x:t>Total</x:t>
        </x:is>
      </x:c>
      <x:c r="D538" s="635"/>
      <x:c r="E538" s="636"/>
      <x:c r="F538" s="637" t="n">
        <x:v>24329.38</x:v>
      </x:c>
      <x:c r="G538" s="637" t="n">
        <x:v>2181.68</x:v>
      </x:c>
      <x:c r="H538" s="637" t="n">
        <x:v>1227.48</x:v>
      </x:c>
      <x:c r="I538" s="637" t="n">
        <x:v>627.28</x:v>
      </x:c>
      <x:c r="J538" s="637" t="n">
        <x:v>4229.78</x:v>
      </x:c>
      <x:c r="K538" s="637" t="n">
        <x:v>105.4</x:v>
      </x:c>
      <x:c r="L538" s="637" t="n">
        <x:v>0</x:v>
      </x:c>
      <x:c r="M538" s="637" t="n">
        <x:v>924.56</x:v>
      </x:c>
      <x:c r="N538" s="637" t="n">
        <x:v>1397.37</x:v>
      </x:c>
      <x:c r="O538" s="637" t="n">
        <x:v>7156</x:v>
      </x:c>
      <x:c r="P538" s="637" t="n">
        <x:v>6307.87</x:v>
      </x:c>
      <x:c r="Q538" s="637" t="n">
        <x:v>171.96</x:v>
      </x:c>
      <x:c r="R538" s="637" t="n">
        <x:v>0</x:v>
      </x:c>
      <x:c r="S538" s="637" t="n">
        <x:v>0</x:v>
      </x:c>
      <x:c r="T538" s="637" t="n">
        <x:v>0</x:v>
      </x:c>
      <x:c r="U538" s="637">
        <x:v>0</x:v>
      </x:c>
      <x:c r="V538" s="637">
        <x:v>0</x:v>
      </x:c>
      <x:c r="W538" s="637">
        <x:v>0</x:v>
      </x:c>
      <x:c r="X538" s="637">
        <x:v>0</x:v>
      </x:c>
      <x:c r="Y538" s="637">
        <x:v>0</x:v>
      </x:c>
      <x:c r="Z538" s="637" t="n">
        <x:v>0</x:v>
      </x:c>
      <x:c r="AA538" s="635"/>
      <x:c r="AB538" s="635"/>
      <x:c r="AC538" s="635"/>
      <x:c r="AD538" s="635"/>
      <x:c r="AE538" s="635"/>
      <x:c r="AF538" s="635"/>
      <x:c r="AG538" s="635"/>
      <x:c r="AH538" s="635"/>
      <x:c r="AI538" s="635"/>
      <x:c r="AJ538" s="635"/>
      <x:c r="AK538" s="635"/>
      <x:c r="AL538" s="635"/>
      <x:c r="AM538" s="635"/>
      <x:c r="AN538" s="635"/>
      <x:c r="AO538" s="635"/>
      <x:c r="AP538" s="635"/>
      <x:c r="AQ538" s="635"/>
      <x:c r="AR538" s="635"/>
      <x:c r="AS538" s="635"/>
      <x:c r="AT538" s="635"/>
      <x:c r="AU538" s="635"/>
      <x:c r="AV538" s="635"/>
      <x:c r="AW538" s="635"/>
      <x:c r="AX538" s="635"/>
      <x:c r="AY538" s="635"/>
      <x:c r="AZ538" s="635"/>
      <x:c r="BA538" s="635"/>
      <x:c r="BB538" s="635"/>
      <x:c r="BC538" s="635"/>
      <x:c r="BD538" s="635"/>
      <x:c r="BE538" s="635"/>
      <x:c r="BF538" s="635"/>
      <x:c r="BG538" s="635"/>
      <x:c r="BH538" s="635"/>
      <x:c r="BI538" s="635"/>
      <x:c r="BJ538" s="635"/>
      <x:c r="BK538" s="635"/>
      <x:c r="BL538" s="635"/>
      <x:c r="BM538" s="635"/>
      <x:c r="BN538" s="624"/>
    </x:row>
    <x:row r="539" spans="1:66" x14ac:dyDescent="0.2">
      <x:c r="A539"/>
      <x:c r="B539"/>
      <x:c r="C539"/>
      <x:c r="D539"/>
      <x:c r="E539" s="625" t="inlineStr">
        <x:is>
          <x:t>Subsidio(-)/Contribucion(+)</x:t>
        </x:is>
      </x:c>
      <x:c r="F539" s="627" t="n">
        <x:v>-1113041546.26</x:v>
      </x:c>
      <x:c r="G539" s="627" t="n">
        <x:v>-34176388.44</x:v>
      </x:c>
      <x:c r="H539" s="627" t="n">
        <x:v>-19324425.78</x:v>
      </x:c>
      <x:c r="I539" s="627" t="n">
        <x:v>-10114900.89</x:v>
      </x:c>
      <x:c r="J539" s="627" t="n">
        <x:v>-275747180.09</x:v>
      </x:c>
      <x:c r="K539" s="627" t="n">
        <x:v>-10481720.58</x:v>
      </x:c>
      <x:c r="L539" s="627" t="n">
        <x:v>0</x:v>
      </x:c>
      <x:c r="M539" s="627" t="n">
        <x:v>-91967934.27</x:v>
      </x:c>
      <x:c r="N539" s="627" t="n">
        <x:v>-91302320.33</x:v>
      </x:c>
      <x:c r="O539" s="627" t="n">
        <x:v>-463542591.24</x:v>
      </x:c>
      <x:c r="P539" s="627" t="n">
        <x:v>-99282901.75</x:v>
      </x:c>
      <x:c r="Q539" s="627" t="n">
        <x:v>-17101182.89</x:v>
      </x:c>
      <x:c r="R539" s="627" t="n">
        <x:v>0</x:v>
      </x:c>
      <x:c r="S539" s="627" t="n">
        <x:v>0</x:v>
      </x:c>
      <x:c r="T539" s="653" t="n">
        <x:v>0</x:v>
      </x:c>
      <x:c r="U539" s="653">
        <x:v>0</x:v>
      </x:c>
      <x:c r="V539" s="653">
        <x:v>0</x:v>
      </x:c>
      <x:c r="W539" s="653">
        <x:v>0</x:v>
      </x:c>
      <x:c r="X539" s="653">
        <x:v>0</x:v>
      </x:c>
      <x:c r="Y539" s="653">
        <x:v>0</x:v>
      </x:c>
      <x:c r="Z539" s="653" t="n">
        <x:v>0</x:v>
      </x:c>
      <x:c r="BN539" s="624"/>
    </x:row>
    <x:row r="540" spans="1:66" x14ac:dyDescent="0.2">
      <x:c r="A540"/>
      <x:c r="B540"/>
      <x:c r="C540"/>
      <x:c r="D540" s="25" t="inlineStr">
        <x:is>
          <x:t>E</x:t>
        </x:is>
      </x:c>
      <x:c r="E540" s="625" t="inlineStr">
        <x:is>
          <x:t>Total</x:t>
        </x:is>
      </x:c>
      <x:c r="F540" s="627" t="n">
        <x:v>-1113041546.26</x:v>
      </x:c>
      <x:c r="G540" s="627" t="n">
        <x:v>-34176388.44</x:v>
      </x:c>
      <x:c r="H540" s="627" t="n">
        <x:v>-19324425.78</x:v>
      </x:c>
      <x:c r="I540" s="627" t="n">
        <x:v>-10114900.89</x:v>
      </x:c>
      <x:c r="J540" s="627" t="n">
        <x:v>-275747180.09</x:v>
      </x:c>
      <x:c r="K540" s="627" t="n">
        <x:v>-10481720.58</x:v>
      </x:c>
      <x:c r="L540" s="627" t="n">
        <x:v>0</x:v>
      </x:c>
      <x:c r="M540" s="627" t="n">
        <x:v>-91967934.27</x:v>
      </x:c>
      <x:c r="N540" s="627" t="n">
        <x:v>-91302320.33</x:v>
      </x:c>
      <x:c r="O540" s="627" t="n">
        <x:v>-463542591.24</x:v>
      </x:c>
      <x:c r="P540" s="627" t="n">
        <x:v>-99282901.75</x:v>
      </x:c>
      <x:c r="Q540" s="627" t="n">
        <x:v>-17101182.89</x:v>
      </x:c>
      <x:c r="R540" s="627" t="n">
        <x:v>0</x:v>
      </x:c>
      <x:c r="S540" s="627" t="n">
        <x:v>0</x:v>
      </x:c>
      <x:c r="T540" s="653" t="n">
        <x:v>0</x:v>
      </x:c>
      <x:c r="U540" s="653">
        <x:v>0</x:v>
      </x:c>
      <x:c r="V540" s="653">
        <x:v>0</x:v>
      </x:c>
      <x:c r="W540" s="653">
        <x:v>0</x:v>
      </x:c>
      <x:c r="X540" s="653">
        <x:v>0</x:v>
      </x:c>
      <x:c r="Y540" s="653">
        <x:v>0</x:v>
      </x:c>
      <x:c r="Z540" s="653" t="n">
        <x:v>0</x:v>
      </x:c>
      <x:c r="BN540" s="624"/>
    </x:row>
    <x:row r="541" spans="1:66" x14ac:dyDescent="0.2">
      <x:c r="A541" s="628"/>
      <x:c r="B541" s="628"/>
      <x:c r="C541" s="628" t="inlineStr">
        <x:is>
          <x:t>ENEL</x:t>
        </x:is>
      </x:c>
      <x:c r="D541" s="628" t="inlineStr">
        <x:is>
          <x:t>Total</x:t>
        </x:is>
      </x:c>
      <x:c r="E541" s="629"/>
      <x:c r="F541" s="630" t="n">
        <x:v>-1113041546.26</x:v>
      </x:c>
      <x:c r="G541" s="630" t="n">
        <x:v>-34176388.44</x:v>
      </x:c>
      <x:c r="H541" s="630" t="n">
        <x:v>-19324425.78</x:v>
      </x:c>
      <x:c r="I541" s="630" t="n">
        <x:v>-10114900.89</x:v>
      </x:c>
      <x:c r="J541" s="630" t="n">
        <x:v>-275747180.09</x:v>
      </x:c>
      <x:c r="K541" s="630" t="n">
        <x:v>-10481720.58</x:v>
      </x:c>
      <x:c r="L541" s="630" t="n">
        <x:v>0</x:v>
      </x:c>
      <x:c r="M541" s="630" t="n">
        <x:v>-91967934.27</x:v>
      </x:c>
      <x:c r="N541" s="630" t="n">
        <x:v>-91302320.33</x:v>
      </x:c>
      <x:c r="O541" s="630" t="n">
        <x:v>-463542591.24</x:v>
      </x:c>
      <x:c r="P541" s="630" t="n">
        <x:v>-99282901.75</x:v>
      </x:c>
      <x:c r="Q541" s="630" t="n">
        <x:v>-17101182.89</x:v>
      </x:c>
      <x:c r="R541" s="630" t="n">
        <x:v>0</x:v>
      </x:c>
      <x:c r="S541" s="630" t="n">
        <x:v>0</x:v>
      </x:c>
      <x:c r="T541" s="630" t="n">
        <x:v>0</x:v>
      </x:c>
      <x:c r="U541" s="630">
        <x:v>0</x:v>
      </x:c>
      <x:c r="V541" s="630">
        <x:v>0</x:v>
      </x:c>
      <x:c r="W541" s="630">
        <x:v>0</x:v>
      </x:c>
      <x:c r="X541" s="630">
        <x:v>0</x:v>
      </x:c>
      <x:c r="Y541" s="630">
        <x:v>0</x:v>
      </x:c>
      <x:c r="Z541" s="630" t="n">
        <x:v>0</x:v>
      </x:c>
      <x:c r="AA541" s="628"/>
      <x:c r="AB541" s="628"/>
      <x:c r="AC541" s="628"/>
      <x:c r="AD541" s="628"/>
      <x:c r="AE541" s="628"/>
      <x:c r="AF541" s="628"/>
      <x:c r="AG541" s="628"/>
      <x:c r="AH541" s="628"/>
      <x:c r="AI541" s="628"/>
      <x:c r="AJ541" s="628"/>
      <x:c r="AK541" s="628"/>
      <x:c r="AL541" s="628"/>
      <x:c r="AM541" s="628"/>
      <x:c r="AN541" s="628"/>
      <x:c r="AO541" s="628"/>
      <x:c r="AP541" s="628"/>
      <x:c r="AQ541" s="628"/>
      <x:c r="AR541" s="628"/>
      <x:c r="AS541" s="628"/>
      <x:c r="AT541" s="628"/>
      <x:c r="AU541" s="628"/>
      <x:c r="AV541" s="628"/>
      <x:c r="AW541" s="628"/>
      <x:c r="AX541" s="628"/>
      <x:c r="AY541" s="628"/>
      <x:c r="AZ541" s="628"/>
      <x:c r="BA541" s="628"/>
      <x:c r="BB541" s="628"/>
      <x:c r="BC541" s="628"/>
      <x:c r="BD541" s="628"/>
      <x:c r="BE541" s="628"/>
      <x:c r="BF541" s="628"/>
      <x:c r="BG541" s="628"/>
      <x:c r="BH541" s="628"/>
      <x:c r="BI541" s="628"/>
      <x:c r="BJ541" s="628"/>
      <x:c r="BK541" s="628"/>
      <x:c r="BL541" s="628"/>
      <x:c r="BM541" s="628"/>
      <x:c r="BN541" s="624"/>
    </x:row>
    <x:row r="542" spans="1:66" x14ac:dyDescent="0.2">
      <x:c r="A542"/>
      <x:c r="B542"/>
      <x:c r="C542"/>
      <x:c r="D542"/>
      <x:c r="E542" s="625" t="inlineStr">
        <x:is>
          <x:t>Subsidio(-)/Contribucion(+)</x:t>
        </x:is>
      </x:c>
      <x:c r="F542" s="627" t="n">
        <x:v>-4970797.56</x:v>
      </x:c>
      <x:c r="G542" s="627" t="n">
        <x:v>-269325.89</x:v>
      </x:c>
      <x:c r="H542" s="627" t="n">
        <x:v>-149624.97</x:v>
      </x:c>
      <x:c r="I542" s="627" t="n">
        <x:v>-78121.59</x:v>
      </x:c>
      <x:c r="J542" s="627" t="n">
        <x:v>-1076036.63</x:v>
      </x:c>
      <x:c r="K542" s="627" t="n">
        <x:v>-39426.57</x:v>
      </x:c>
      <x:c r="L542" s="627" t="n">
        <x:v>0</x:v>
      </x:c>
      <x:c r="M542" s="627" t="n">
        <x:v>-348506.58</x:v>
      </x:c>
      <x:c r="N542" s="627" t="n">
        <x:v>-354157.74</x:v>
      </x:c>
      <x:c r="O542" s="627" t="n">
        <x:v>-1798678.49</x:v>
      </x:c>
      <x:c r="P542" s="627" t="n">
        <x:v>-792592.58</x:v>
      </x:c>
      <x:c r="Q542" s="627" t="n">
        <x:v>-64326.52</x:v>
      </x:c>
      <x:c r="R542" s="627" t="n">
        <x:v>0</x:v>
      </x:c>
      <x:c r="S542" s="627" t="n">
        <x:v>0</x:v>
      </x:c>
      <x:c r="T542" s="653" t="n">
        <x:v>0</x:v>
      </x:c>
      <x:c r="U542" s="653">
        <x:v>0</x:v>
      </x:c>
      <x:c r="V542" s="653">
        <x:v>0</x:v>
      </x:c>
      <x:c r="W542" s="653">
        <x:v>0</x:v>
      </x:c>
      <x:c r="X542" s="653">
        <x:v>0</x:v>
      </x:c>
      <x:c r="Y542" s="653">
        <x:v>0</x:v>
      </x:c>
      <x:c r="Z542" s="653" t="n">
        <x:v>0</x:v>
      </x:c>
      <x:c r="BN542" s="624"/>
    </x:row>
    <x:row r="543" spans="1:66" x14ac:dyDescent="0.2">
      <x:c r="A543"/>
      <x:c r="B543"/>
      <x:c r="C543"/>
      <x:c r="D543" s="25" t="inlineStr">
        <x:is>
          <x:t>E</x:t>
        </x:is>
      </x:c>
      <x:c r="E543" s="625" t="inlineStr">
        <x:is>
          <x:t>Total</x:t>
        </x:is>
      </x:c>
      <x:c r="F543" s="627" t="n">
        <x:v>-4970797.56</x:v>
      </x:c>
      <x:c r="G543" s="627" t="n">
        <x:v>-269325.89</x:v>
      </x:c>
      <x:c r="H543" s="627" t="n">
        <x:v>-149624.97</x:v>
      </x:c>
      <x:c r="I543" s="627" t="n">
        <x:v>-78121.59</x:v>
      </x:c>
      <x:c r="J543" s="627" t="n">
        <x:v>-1076036.63</x:v>
      </x:c>
      <x:c r="K543" s="627" t="n">
        <x:v>-39426.57</x:v>
      </x:c>
      <x:c r="L543" s="627" t="n">
        <x:v>0</x:v>
      </x:c>
      <x:c r="M543" s="627" t="n">
        <x:v>-348506.58</x:v>
      </x:c>
      <x:c r="N543" s="627" t="n">
        <x:v>-354157.74</x:v>
      </x:c>
      <x:c r="O543" s="627" t="n">
        <x:v>-1798678.49</x:v>
      </x:c>
      <x:c r="P543" s="627" t="n">
        <x:v>-792592.58</x:v>
      </x:c>
      <x:c r="Q543" s="627" t="n">
        <x:v>-64326.52</x:v>
      </x:c>
      <x:c r="R543" s="627" t="n">
        <x:v>0</x:v>
      </x:c>
      <x:c r="S543" s="627" t="n">
        <x:v>0</x:v>
      </x:c>
      <x:c r="T543" s="653" t="n">
        <x:v>0</x:v>
      </x:c>
      <x:c r="U543" s="653">
        <x:v>0</x:v>
      </x:c>
      <x:c r="V543" s="653">
        <x:v>0</x:v>
      </x:c>
      <x:c r="W543" s="653">
        <x:v>0</x:v>
      </x:c>
      <x:c r="X543" s="653">
        <x:v>0</x:v>
      </x:c>
      <x:c r="Y543" s="653">
        <x:v>0</x:v>
      </x:c>
      <x:c r="Z543" s="653" t="n">
        <x:v>0</x:v>
      </x:c>
      <x:c r="BN543" s="624"/>
    </x:row>
    <x:row r="544" spans="1:66" x14ac:dyDescent="0.2">
      <x:c r="A544" s="668"/>
      <x:c r="B544" s="668"/>
      <x:c r="C544" s="668" t="inlineStr">
        <x:is>
          <x:t>ENERBIT</x:t>
        </x:is>
      </x:c>
      <x:c r="D544" s="668" t="inlineStr">
        <x:is>
          <x:t>Total</x:t>
        </x:is>
      </x:c>
      <x:c r="E544" s="661"/>
      <x:c r="F544" s="662" t="n">
        <x:v>-4970797.56</x:v>
      </x:c>
      <x:c r="G544" s="662" t="n">
        <x:v>-269325.89</x:v>
      </x:c>
      <x:c r="H544" s="662" t="n">
        <x:v>-149624.97</x:v>
      </x:c>
      <x:c r="I544" s="662" t="n">
        <x:v>-78121.59</x:v>
      </x:c>
      <x:c r="J544" s="662" t="n">
        <x:v>-1076036.63</x:v>
      </x:c>
      <x:c r="K544" s="662" t="n">
        <x:v>-39426.57</x:v>
      </x:c>
      <x:c r="L544" s="662" t="n">
        <x:v>0</x:v>
      </x:c>
      <x:c r="M544" s="662" t="n">
        <x:v>-348506.58</x:v>
      </x:c>
      <x:c r="N544" s="662" t="n">
        <x:v>-354157.74</x:v>
      </x:c>
      <x:c r="O544" s="662" t="n">
        <x:v>-1798678.49</x:v>
      </x:c>
      <x:c r="P544" s="662" t="n">
        <x:v>-792592.58</x:v>
      </x:c>
      <x:c r="Q544" s="662" t="n">
        <x:v>-64326.52</x:v>
      </x:c>
      <x:c r="R544" s="662" t="n">
        <x:v>0</x:v>
      </x:c>
      <x:c r="S544" s="662" t="n">
        <x:v>0</x:v>
      </x:c>
      <x:c r="T544" s="673" t="n">
        <x:v>0</x:v>
      </x:c>
      <x:c r="U544" s="673">
        <x:v>0</x:v>
      </x:c>
      <x:c r="V544" s="673">
        <x:v>0</x:v>
      </x:c>
      <x:c r="W544" s="673">
        <x:v>0</x:v>
      </x:c>
      <x:c r="X544" s="673">
        <x:v>0</x:v>
      </x:c>
      <x:c r="Y544" s="673">
        <x:v>0</x:v>
      </x:c>
      <x:c r="Z544" s="673" t="n">
        <x:v>0</x:v>
      </x:c>
      <x:c r="AA544" s="668"/>
      <x:c r="AB544" s="668"/>
      <x:c r="AC544" s="668"/>
      <x:c r="AD544" s="668"/>
      <x:c r="AE544" s="668"/>
      <x:c r="AF544" s="668"/>
      <x:c r="AG544" s="668"/>
      <x:c r="AH544" s="668"/>
      <x:c r="AI544" s="668"/>
      <x:c r="AJ544" s="668"/>
      <x:c r="AK544" s="668"/>
      <x:c r="AL544" s="668"/>
      <x:c r="AM544" s="668"/>
      <x:c r="AN544" s="668"/>
      <x:c r="AO544" s="668"/>
      <x:c r="AP544" s="668"/>
      <x:c r="AQ544" s="668"/>
      <x:c r="AR544" s="668"/>
      <x:c r="AS544" s="668"/>
      <x:c r="AT544" s="668"/>
      <x:c r="AU544" s="668"/>
      <x:c r="AV544" s="668"/>
      <x:c r="AW544" s="668"/>
      <x:c r="AX544" s="668"/>
      <x:c r="AY544" s="668"/>
      <x:c r="AZ544" s="668"/>
      <x:c r="BA544" s="668"/>
      <x:c r="BB544" s="668"/>
      <x:c r="BC544" s="668"/>
      <x:c r="BD544" s="668"/>
      <x:c r="BE544" s="668"/>
      <x:c r="BF544" s="668"/>
      <x:c r="BG544" s="668"/>
      <x:c r="BH544" s="668"/>
      <x:c r="BI544" s="668"/>
      <x:c r="BJ544" s="668"/>
      <x:c r="BK544" s="668"/>
      <x:c r="BL544" s="668"/>
      <x:c r="BM544" s="668"/>
      <x:c r="BN544" s="624"/>
    </x:row>
    <x:row r="545" spans="1:66" x14ac:dyDescent="0.2">
      <x:c r="A545"/>
      <x:c r="B545"/>
      <x:c r="C545"/>
      <x:c r="D545"/>
      <x:c r="E545" s="625" t="inlineStr">
        <x:is>
          <x:t>Subsidio(-)/Contribucion(+)</x:t>
        </x:is>
      </x:c>
      <x:c r="F545" s="627" t="n">
        <x:v>-187855.98</x:v>
      </x:c>
      <x:c r="G545" s="627" t="n">
        <x:v>203417.85</x:v>
      </x:c>
      <x:c r="H545" s="627" t="n">
        <x:v>118300.72</x:v>
      </x:c>
      <x:c r="I545" s="627" t="n">
        <x:v>61829.01</x:v>
      </x:c>
      <x:c r="J545" s="627" t="n">
        <x:v>-228807.34</x:v>
      </x:c>
      <x:c r="K545" s="627" t="n">
        <x:v>-10295.56</x:v>
      </x:c>
      <x:c r="L545" s="627" t="n">
        <x:v>0</x:v>
      </x:c>
      <x:c r="M545" s="627" t="n">
        <x:v>-90305.3</x:v>
      </x:c>
      <x:c r="N545" s="627" t="n">
        <x:v>-128220.63</x:v>
      </x:c>
      <x:c r="O545" s="627" t="n">
        <x:v>-702462.52</x:v>
      </x:c>
      <x:c r="P545" s="627" t="n">
        <x:v>605486.11</x:v>
      </x:c>
      <x:c r="Q545" s="627" t="n">
        <x:v>-16798.32</x:v>
      </x:c>
      <x:c r="R545" s="627" t="n">
        <x:v>0</x:v>
      </x:c>
      <x:c r="S545" s="627" t="n">
        <x:v>0</x:v>
      </x:c>
      <x:c r="T545" s="653" t="n">
        <x:v>0</x:v>
      </x:c>
      <x:c r="U545" s="653">
        <x:v>0</x:v>
      </x:c>
      <x:c r="V545" s="653">
        <x:v>0</x:v>
      </x:c>
      <x:c r="W545" s="653">
        <x:v>0</x:v>
      </x:c>
      <x:c r="X545" s="653">
        <x:v>0</x:v>
      </x:c>
      <x:c r="Y545" s="653">
        <x:v>0</x:v>
      </x:c>
      <x:c r="Z545" s="653" t="n">
        <x:v>0</x:v>
      </x:c>
      <x:c r="BN545" s="624"/>
    </x:row>
    <x:row r="546" spans="1:66" x14ac:dyDescent="0.2">
      <x:c r="A546"/>
      <x:c r="B546"/>
      <x:c r="C546"/>
      <x:c r="D546" s="625" t="inlineStr">
        <x:is>
          <x:t>H</x:t>
        </x:is>
      </x:c>
      <x:c r="E546" s="625" t="inlineStr">
        <x:is>
          <x:t>Total</x:t>
        </x:is>
      </x:c>
      <x:c r="F546" s="627" t="n">
        <x:v>-187855.98</x:v>
      </x:c>
      <x:c r="G546" s="627" t="n">
        <x:v>203417.85</x:v>
      </x:c>
      <x:c r="H546" s="627" t="n">
        <x:v>118300.72</x:v>
      </x:c>
      <x:c r="I546" s="627" t="n">
        <x:v>61829.01</x:v>
      </x:c>
      <x:c r="J546" s="627" t="n">
        <x:v>-228807.34</x:v>
      </x:c>
      <x:c r="K546" s="627" t="n">
        <x:v>-10295.56</x:v>
      </x:c>
      <x:c r="L546" s="627" t="n">
        <x:v>0</x:v>
      </x:c>
      <x:c r="M546" s="627" t="n">
        <x:v>-90305.3</x:v>
      </x:c>
      <x:c r="N546" s="627" t="n">
        <x:v>-128220.63</x:v>
      </x:c>
      <x:c r="O546" s="627" t="n">
        <x:v>-702462.52</x:v>
      </x:c>
      <x:c r="P546" s="627" t="n">
        <x:v>605486.11</x:v>
      </x:c>
      <x:c r="Q546" s="627" t="n">
        <x:v>-16798.32</x:v>
      </x:c>
      <x:c r="R546" s="627" t="n">
        <x:v>0</x:v>
      </x:c>
      <x:c r="S546" s="627" t="n">
        <x:v>0</x:v>
      </x:c>
      <x:c r="T546" s="653" t="n">
        <x:v>0</x:v>
      </x:c>
      <x:c r="U546" s="653">
        <x:v>0</x:v>
      </x:c>
      <x:c r="V546" s="653">
        <x:v>0</x:v>
      </x:c>
      <x:c r="W546" s="653">
        <x:v>0</x:v>
      </x:c>
      <x:c r="X546" s="653">
        <x:v>0</x:v>
      </x:c>
      <x:c r="Y546" s="653">
        <x:v>0</x:v>
      </x:c>
      <x:c r="Z546" s="653" t="n">
        <x:v>0</x:v>
      </x:c>
      <x:c r="BN546" s="624"/>
    </x:row>
    <x:row r="547" spans="1:66" x14ac:dyDescent="0.2">
      <x:c r="A547"/>
      <x:c r="B547"/>
      <x:c r="C547"/>
      <x:c r="D547"/>
      <x:c r="E547" s="625" t="inlineStr">
        <x:is>
          <x:t>Subsidio(-)/Contribucion(+)</x:t>
        </x:is>
      </x:c>
      <x:c r="F547" s="627" t="n">
        <x:v>2459860.03</x:v>
      </x:c>
      <x:c r="G547" s="627" t="n">
        <x:v>709867.57</x:v>
      </x:c>
      <x:c r="H547" s="627" t="n">
        <x:v>402138.38</x:v>
      </x:c>
      <x:c r="I547" s="627" t="n">
        <x:v>215517.65</x:v>
      </x:c>
      <x:c r="J547" s="627" t="n">
        <x:v>-244697.65</x:v>
      </x:c>
      <x:c r="K547" s="627" t="n">
        <x:v>-17630.91</x:v>
      </x:c>
      <x:c r="L547" s="627" t="n">
        <x:v>0</x:v>
      </x:c>
      <x:c r="M547" s="627" t="n">
        <x:v>-152005.54</x:v>
      </x:c>
      <x:c r="N547" s="627" t="n">
        <x:v>-109036.85</x:v>
      </x:c>
      <x:c r="O547" s="627" t="n">
        <x:v>-437383.69</x:v>
      </x:c>
      <x:c r="P547" s="627" t="n">
        <x:v>2121895.4</x:v>
      </x:c>
      <x:c r="Q547" s="627" t="n">
        <x:v>-28804.33</x:v>
      </x:c>
      <x:c r="R547" s="627" t="n">
        <x:v>0</x:v>
      </x:c>
      <x:c r="S547" s="627" t="n">
        <x:v>0</x:v>
      </x:c>
      <x:c r="T547" s="653" t="n">
        <x:v>0</x:v>
      </x:c>
      <x:c r="U547" s="653">
        <x:v>0</x:v>
      </x:c>
      <x:c r="V547" s="653">
        <x:v>0</x:v>
      </x:c>
      <x:c r="W547" s="653">
        <x:v>0</x:v>
      </x:c>
      <x:c r="X547" s="653">
        <x:v>0</x:v>
      </x:c>
      <x:c r="Y547" s="653">
        <x:v>0</x:v>
      </x:c>
      <x:c r="Z547" s="653" t="n">
        <x:v>0</x:v>
      </x:c>
      <x:c r="BN547" s="624"/>
    </x:row>
    <x:row r="548" spans="1:66" x14ac:dyDescent="0.2">
      <x:c r="A548"/>
      <x:c r="B548"/>
      <x:c r="C548"/>
      <x:c r="D548" s="625" t="inlineStr">
        <x:is>
          <x:t>O</x:t>
        </x:is>
      </x:c>
      <x:c r="E548" s="625" t="inlineStr">
        <x:is>
          <x:t>Total</x:t>
        </x:is>
      </x:c>
      <x:c r="F548" s="627" t="n">
        <x:v>2459860.03</x:v>
      </x:c>
      <x:c r="G548" s="627" t="n">
        <x:v>709867.57</x:v>
      </x:c>
      <x:c r="H548" s="627" t="n">
        <x:v>402138.38</x:v>
      </x:c>
      <x:c r="I548" s="627" t="n">
        <x:v>215517.65</x:v>
      </x:c>
      <x:c r="J548" s="627" t="n">
        <x:v>-244697.65</x:v>
      </x:c>
      <x:c r="K548" s="627" t="n">
        <x:v>-17630.91</x:v>
      </x:c>
      <x:c r="L548" s="627" t="n">
        <x:v>0</x:v>
      </x:c>
      <x:c r="M548" s="627" t="n">
        <x:v>-152005.54</x:v>
      </x:c>
      <x:c r="N548" s="627" t="n">
        <x:v>-109036.85</x:v>
      </x:c>
      <x:c r="O548" s="627" t="n">
        <x:v>-437383.69</x:v>
      </x:c>
      <x:c r="P548" s="627" t="n">
        <x:v>2121895.4</x:v>
      </x:c>
      <x:c r="Q548" s="627" t="n">
        <x:v>-28804.33</x:v>
      </x:c>
      <x:c r="R548" s="627" t="n">
        <x:v>0</x:v>
      </x:c>
      <x:c r="S548" s="627" t="n">
        <x:v>0</x:v>
      </x:c>
      <x:c r="T548" s="653" t="n">
        <x:v>0</x:v>
      </x:c>
      <x:c r="U548" s="653">
        <x:v>0</x:v>
      </x:c>
      <x:c r="V548" s="653">
        <x:v>0</x:v>
      </x:c>
      <x:c r="W548" s="653">
        <x:v>0</x:v>
      </x:c>
      <x:c r="X548" s="653">
        <x:v>0</x:v>
      </x:c>
      <x:c r="Y548" s="653">
        <x:v>0</x:v>
      </x:c>
      <x:c r="Z548" s="653" t="n">
        <x:v>0</x:v>
      </x:c>
      <x:c r="BN548" s="624"/>
    </x:row>
    <x:row r="549" spans="1:66" x14ac:dyDescent="0.2">
      <x:c r="A549"/>
      <x:c r="B549"/>
      <x:c r="C549"/>
      <x:c r="D549"/>
      <x:c r="E549" s="625" t="inlineStr">
        <x:is>
          <x:t>Subsidio(-)/Contribucion(+)</x:t>
        </x:is>
      </x:c>
      <x:c r="F549" s="627" t="n">
        <x:v>79419817.37</x:v>
      </x:c>
      <x:c r="G549" s="627" t="n">
        <x:v>15404559.3</x:v>
      </x:c>
      <x:c r="H549" s="627" t="n">
        <x:v>8757302.64</x:v>
      </x:c>
      <x:c r="I549" s="627" t="n">
        <x:v>4758799.73</x:v>
      </x:c>
      <x:c r="J549" s="627" t="n">
        <x:v>1342820.06</x:v>
      </x:c>
      <x:c r="K549" s="627" t="n">
        <x:v>41036.71</x:v>
      </x:c>
      <x:c r="L549" s="627" t="n">
        <x:v>0</x:v>
      </x:c>
      <x:c r="M549" s="627" t="n">
        <x:v>357948.17</x:v>
      </x:c>
      <x:c r="N549" s="627" t="n">
        <x:v>413932.09</x:v>
      </x:c>
      <x:c r="O549" s="627" t="n">
        <x:v>2225480.44</x:v>
      </x:c>
      <x:c r="P549" s="627" t="n">
        <x:v>46050982.4</x:v>
      </x:c>
      <x:c r="Q549" s="627" t="n">
        <x:v>66955.83</x:v>
      </x:c>
      <x:c r="R549" s="627" t="n">
        <x:v>0</x:v>
      </x:c>
      <x:c r="S549" s="627" t="n">
        <x:v>0</x:v>
      </x:c>
      <x:c r="T549" s="653" t="n">
        <x:v>0</x:v>
      </x:c>
      <x:c r="U549" s="653">
        <x:v>0</x:v>
      </x:c>
      <x:c r="V549" s="653">
        <x:v>0</x:v>
      </x:c>
      <x:c r="W549" s="653">
        <x:v>0</x:v>
      </x:c>
      <x:c r="X549" s="653">
        <x:v>0</x:v>
      </x:c>
      <x:c r="Y549" s="653">
        <x:v>0</x:v>
      </x:c>
      <x:c r="Z549" s="653" t="n">
        <x:v>0</x:v>
      </x:c>
      <x:c r="BN549" s="624"/>
    </x:row>
    <x:row r="550" spans="1:66" x14ac:dyDescent="0.2">
      <x:c r="A550"/>
      <x:c r="B550"/>
      <x:c r="C550"/>
      <x:c r="D550" s="625" t="inlineStr">
        <x:is>
          <x:t>T</x:t>
        </x:is>
      </x:c>
      <x:c r="E550" s="625" t="inlineStr">
        <x:is>
          <x:t>Total</x:t>
        </x:is>
      </x:c>
      <x:c r="F550" s="627" t="n">
        <x:v>79419817.37</x:v>
      </x:c>
      <x:c r="G550" s="627" t="n">
        <x:v>15404559.3</x:v>
      </x:c>
      <x:c r="H550" s="627" t="n">
        <x:v>8757302.64</x:v>
      </x:c>
      <x:c r="I550" s="627" t="n">
        <x:v>4758799.73</x:v>
      </x:c>
      <x:c r="J550" s="627" t="n">
        <x:v>1342820.06</x:v>
      </x:c>
      <x:c r="K550" s="627" t="n">
        <x:v>41036.71</x:v>
      </x:c>
      <x:c r="L550" s="627" t="n">
        <x:v>0</x:v>
      </x:c>
      <x:c r="M550" s="627" t="n">
        <x:v>357948.17</x:v>
      </x:c>
      <x:c r="N550" s="627" t="n">
        <x:v>413932.09</x:v>
      </x:c>
      <x:c r="O550" s="627" t="n">
        <x:v>2225480.44</x:v>
      </x:c>
      <x:c r="P550" s="627" t="n">
        <x:v>46050982.4</x:v>
      </x:c>
      <x:c r="Q550" s="627" t="n">
        <x:v>66955.83</x:v>
      </x:c>
      <x:c r="R550" s="627" t="n">
        <x:v>0</x:v>
      </x:c>
      <x:c r="S550" s="627" t="n">
        <x:v>0</x:v>
      </x:c>
      <x:c r="T550" s="653" t="n">
        <x:v>0</x:v>
      </x:c>
      <x:c r="U550" s="653">
        <x:v>0</x:v>
      </x:c>
      <x:c r="V550" s="653">
        <x:v>0</x:v>
      </x:c>
      <x:c r="W550" s="653">
        <x:v>0</x:v>
      </x:c>
      <x:c r="X550" s="653">
        <x:v>0</x:v>
      </x:c>
      <x:c r="Y550" s="653">
        <x:v>0</x:v>
      </x:c>
      <x:c r="Z550" s="653" t="n">
        <x:v>0</x:v>
      </x:c>
      <x:c r="BN550" s="624"/>
    </x:row>
    <x:row r="551" spans="1:66" x14ac:dyDescent="0.2">
      <x:c r="A551" s="631"/>
      <x:c r="B551" s="631"/>
      <x:c r="C551" s="632" t="inlineStr">
        <x:is>
          <x:t>OCCIDENTE</x:t>
        </x:is>
      </x:c>
      <x:c r="D551" s="632" t="inlineStr">
        <x:is>
          <x:t>Total</x:t>
        </x:is>
      </x:c>
      <x:c r="E551" s="631"/>
      <x:c r="F551" s="633" t="n">
        <x:v>81691821.42</x:v>
      </x:c>
      <x:c r="G551" s="633" t="n">
        <x:v>16317844.72</x:v>
      </x:c>
      <x:c r="H551" s="633" t="n">
        <x:v>9277741.74</x:v>
      </x:c>
      <x:c r="I551" s="633" t="n">
        <x:v>5036146.39</x:v>
      </x:c>
      <x:c r="J551" s="633" t="n">
        <x:v>869315.07</x:v>
      </x:c>
      <x:c r="K551" s="633" t="n">
        <x:v>13110.24</x:v>
      </x:c>
      <x:c r="L551" s="633" t="n">
        <x:v>0</x:v>
      </x:c>
      <x:c r="M551" s="633" t="n">
        <x:v>115637.33</x:v>
      </x:c>
      <x:c r="N551" s="633" t="n">
        <x:v>176674.61</x:v>
      </x:c>
      <x:c r="O551" s="633" t="n">
        <x:v>1085634.23</x:v>
      </x:c>
      <x:c r="P551" s="633" t="n">
        <x:v>48778363.91</x:v>
      </x:c>
      <x:c r="Q551" s="633" t="n">
        <x:v>21353.18</x:v>
      </x:c>
      <x:c r="R551" s="633" t="n">
        <x:v>0</x:v>
      </x:c>
      <x:c r="S551" s="633" t="n">
        <x:v>0</x:v>
      </x:c>
      <x:c r="T551" s="633" t="n">
        <x:v>0</x:v>
      </x:c>
      <x:c r="U551" s="633">
        <x:v>0</x:v>
      </x:c>
      <x:c r="V551" s="633">
        <x:v>0</x:v>
      </x:c>
      <x:c r="W551" s="633">
        <x:v>0</x:v>
      </x:c>
      <x:c r="X551" s="633">
        <x:v>0</x:v>
      </x:c>
      <x:c r="Y551" s="633">
        <x:v>0</x:v>
      </x:c>
      <x:c r="Z551" s="633" t="n">
        <x:v>0</x:v>
      </x:c>
      <x:c r="AA551" s="631"/>
      <x:c r="AB551" s="631"/>
      <x:c r="AC551" s="631"/>
      <x:c r="AD551" s="631"/>
      <x:c r="AE551" s="631"/>
      <x:c r="AF551" s="631"/>
      <x:c r="AG551" s="631"/>
      <x:c r="AH551" s="631"/>
      <x:c r="AI551" s="631"/>
      <x:c r="AJ551" s="631"/>
      <x:c r="AK551" s="631"/>
      <x:c r="AL551" s="631"/>
      <x:c r="AM551" s="631"/>
      <x:c r="AN551" s="631"/>
      <x:c r="AO551" s="631"/>
      <x:c r="AP551" s="631"/>
      <x:c r="AQ551" s="631"/>
      <x:c r="AR551" s="631"/>
      <x:c r="AS551" s="631"/>
      <x:c r="AT551" s="631"/>
      <x:c r="AU551" s="631"/>
      <x:c r="AV551" s="631"/>
      <x:c r="AW551" s="631"/>
      <x:c r="AX551" s="631"/>
      <x:c r="AY551" s="631"/>
      <x:c r="AZ551" s="631"/>
      <x:c r="BA551" s="631"/>
      <x:c r="BB551" s="631"/>
      <x:c r="BC551" s="631"/>
      <x:c r="BD551" s="631"/>
      <x:c r="BE551" s="631"/>
      <x:c r="BF551" s="631"/>
      <x:c r="BG551" s="631"/>
      <x:c r="BH551" s="631"/>
      <x:c r="BI551" s="631"/>
      <x:c r="BJ551" s="631"/>
      <x:c r="BK551" s="631"/>
      <x:c r="BL551" s="631"/>
      <x:c r="BM551" s="631"/>
      <x:c r="BN551" s="624"/>
    </x:row>
    <x:row r="552" spans="1:66" x14ac:dyDescent="0.2">
      <x:c r="A552" s="638"/>
      <x:c r="B552" s="639" t="inlineStr">
        <x:is>
          <x:t>Mes</x:t>
        </x:is>
      </x:c>
      <x:c r="C552" s="639" t="inlineStr">
        <x:is>
          <x:t>Total</x:t>
        </x:is>
      </x:c>
      <x:c r="D552" s="638"/>
      <x:c r="E552" s="638"/>
      <x:c r="F552" s="640" t="n">
        <x:v>-1036320522.4</x:v>
      </x:c>
      <x:c r="G552" s="640" t="n">
        <x:v>-18127869.61</x:v>
      </x:c>
      <x:c r="H552" s="640" t="n">
        <x:v>-10196309.01</x:v>
      </x:c>
      <x:c r="I552" s="640" t="n">
        <x:v>-5156876.09</x:v>
      </x:c>
      <x:c r="J552" s="640" t="n">
        <x:v>-275953901.65</x:v>
      </x:c>
      <x:c r="K552" s="640" t="n">
        <x:v>-10508036.91</x:v>
      </x:c>
      <x:c r="L552" s="640" t="n">
        <x:v>0</x:v>
      </x:c>
      <x:c r="M552" s="640" t="n">
        <x:v>-92200803.52</x:v>
      </x:c>
      <x:c r="N552" s="640" t="n">
        <x:v>-91479803.46</x:v>
      </x:c>
      <x:c r="O552" s="640" t="n">
        <x:v>-464255635.5</x:v>
      </x:c>
      <x:c r="P552" s="640" t="n">
        <x:v>-51297130.42</x:v>
      </x:c>
      <x:c r="Q552" s="640" t="n">
        <x:v>-17144156.23</x:v>
      </x:c>
      <x:c r="R552" s="640" t="n">
        <x:v>0</x:v>
      </x:c>
      <x:c r="S552" s="640" t="n">
        <x:v>0</x:v>
      </x:c>
      <x:c r="T552" s="640" t="n">
        <x:v>0</x:v>
      </x:c>
      <x:c r="U552" s="640">
        <x:v>0</x:v>
      </x:c>
      <x:c r="V552" s="640">
        <x:v>0</x:v>
      </x:c>
      <x:c r="W552" s="640">
        <x:v>0</x:v>
      </x:c>
      <x:c r="X552" s="640">
        <x:v>0</x:v>
      </x:c>
      <x:c r="Y552" s="640">
        <x:v>0</x:v>
      </x:c>
      <x:c r="Z552" s="640" t="n">
        <x:v>0</x:v>
      </x:c>
      <x:c r="AA552" s="638"/>
      <x:c r="AB552" s="638"/>
      <x:c r="AC552" s="638"/>
      <x:c r="AD552" s="638"/>
      <x:c r="AE552" s="638"/>
      <x:c r="AF552" s="638"/>
      <x:c r="AG552" s="638"/>
      <x:c r="AH552" s="638"/>
      <x:c r="AI552" s="638"/>
      <x:c r="AJ552" s="638"/>
      <x:c r="AK552" s="638"/>
      <x:c r="AL552" s="638"/>
      <x:c r="AM552" s="638"/>
      <x:c r="AN552" s="638"/>
      <x:c r="AO552" s="638"/>
      <x:c r="AP552" s="638"/>
      <x:c r="AQ552" s="638"/>
      <x:c r="AR552" s="638"/>
      <x:c r="AS552" s="638"/>
      <x:c r="AT552" s="638"/>
      <x:c r="AU552" s="638"/>
      <x:c r="AV552" s="638"/>
      <x:c r="AW552" s="638"/>
      <x:c r="AX552" s="638"/>
      <x:c r="AY552" s="638"/>
      <x:c r="AZ552" s="638"/>
      <x:c r="BA552" s="638"/>
      <x:c r="BB552" s="638"/>
      <x:c r="BC552" s="638"/>
      <x:c r="BD552" s="638"/>
      <x:c r="BE552" s="638"/>
      <x:c r="BF552" s="638"/>
      <x:c r="BG552" s="638"/>
      <x:c r="BH552" s="638"/>
      <x:c r="BI552" s="638"/>
      <x:c r="BJ552" s="638"/>
      <x:c r="BK552" s="638"/>
      <x:c r="BL552" s="638"/>
      <x:c r="BM552" s="638"/>
      <x:c r="BN552" s="624"/>
    </x:row>
    <x:row r="553" spans="1:66" x14ac:dyDescent="0.2">
      <x:c r="A553" s="625" t="inlineStr">
        <x:is>
          <x:t>Subs/Cont</x:t>
        </x:is>
      </x:c>
      <x:c r="B553" s="625" t="inlineStr">
        <x:is>
          <x:t>Total</x:t>
        </x:is>
      </x:c>
      <x:c r="C553"/>
      <x:c r="D553"/>
      <x:c r="E553"/>
      <x:c r="F553" s="627" t="n">
        <x:v>-1036296193.02</x:v>
      </x:c>
      <x:c r="G553" s="627" t="n">
        <x:v>-18125687.93</x:v>
      </x:c>
      <x:c r="H553" s="627" t="n">
        <x:v>-10195081.53</x:v>
      </x:c>
      <x:c r="I553" s="627" t="n">
        <x:v>-5156248.81</x:v>
      </x:c>
      <x:c r="J553" s="627" t="n">
        <x:v>-275949671.87</x:v>
      </x:c>
      <x:c r="K553" s="627" t="n">
        <x:v>-10507931.51</x:v>
      </x:c>
      <x:c r="L553" s="627" t="n">
        <x:v>0</x:v>
      </x:c>
      <x:c r="M553" s="627" t="n">
        <x:v>-92199878.96</x:v>
      </x:c>
      <x:c r="N553" s="627" t="n">
        <x:v>-91478406.09</x:v>
      </x:c>
      <x:c r="O553" s="627" t="n">
        <x:v>-464248479.5</x:v>
      </x:c>
      <x:c r="P553" s="627" t="n">
        <x:v>-51290822.55</x:v>
      </x:c>
      <x:c r="Q553" s="627" t="n">
        <x:v>-17143984.27</x:v>
      </x:c>
      <x:c r="R553" s="627" t="n">
        <x:v>0</x:v>
      </x:c>
      <x:c r="S553" s="627" t="n">
        <x:v>0</x:v>
      </x:c>
      <x:c r="T553" s="653" t="n">
        <x:v>0</x:v>
      </x:c>
      <x:c r="U553" s="653">
        <x:v>0</x:v>
      </x:c>
      <x:c r="V553" s="653">
        <x:v>0</x:v>
      </x:c>
      <x:c r="W553" s="653">
        <x:v>0</x:v>
      </x:c>
      <x:c r="X553" s="653">
        <x:v>0</x:v>
      </x:c>
      <x:c r="Y553" s="653">
        <x:v>0</x:v>
      </x:c>
      <x:c r="Z553" s="653" t="n">
        <x:v>0</x:v>
      </x:c>
      <x:c r="BN553" s="624"/>
    </x:row>
    <x:row r="554" spans="1:66" x14ac:dyDescent="0.2">
      <x:c r="A554" s="625" t="inlineStr">
        <x:is>
          <x:t>Total</x:t>
        </x:is>
      </x:c>
      <x:c r="B554"/>
      <x:c r="C554"/>
      <x:c r="D554"/>
      <x:c r="E554"/>
      <x:c r="F554" s="627" t="n">
        <x:v>12048355264.04</x:v>
      </x:c>
      <x:c r="G554" s="627" t="n">
        <x:v>710718610.08</x:v>
      </x:c>
      <x:c r="H554" s="627" t="n">
        <x:v>400662250.83</x:v>
      </x:c>
      <x:c r="I554" s="627" t="n">
        <x:v>210315646.84</x:v>
      </x:c>
      <x:c r="J554" s="627" t="n">
        <x:v>2488793784.09</x:v>
      </x:c>
      <x:c r="K554" s="627" t="n">
        <x:v>95130396.33</x:v>
      </x:c>
      <x:c r="L554" s="627" t="n">
        <x:v>14901729.33</x:v>
      </x:c>
      <x:c r="M554" s="627" t="n">
        <x:v>833979002.22</x:v>
      </x:c>
      <x:c r="N554" s="627" t="n">
        <x:v>817447070.28</x:v>
      </x:c>
      <x:c r="O554" s="627" t="n">
        <x:v>4207371784.89</x:v>
      </x:c>
      <x:c r="P554" s="627" t="n">
        <x:v>2113904425.29</x:v>
      </x:c>
      <x:c r="Q554" s="627" t="n">
        <x:v>155278328.48</x:v>
      </x:c>
      <x:c r="R554" s="627" t="n">
        <x:v>-147731.64</x:v>
      </x:c>
      <x:c r="S554" s="627" t="n">
        <x:v>-0.19</x:v>
      </x:c>
      <x:c r="T554" s="653" t="n">
        <x:v>7.58</x:v>
      </x:c>
      <x:c r="U554" s="653">
        <x:v>0</x:v>
      </x:c>
      <x:c r="V554" s="653">
        <x:v>0</x:v>
      </x:c>
      <x:c r="W554" s="653">
        <x:v>0</x:v>
      </x:c>
      <x:c r="X554" s="653">
        <x:v>0</x:v>
      </x:c>
      <x:c r="Y554" s="653">
        <x:v>0</x:v>
      </x:c>
      <x:c r="Z554" s="653" t="n">
        <x:v>-40.37</x:v>
      </x:c>
      <x:c r="BN554" s="624"/>
    </x:row>
    <x:row r="555" spans="1:66" x14ac:dyDescent="0.2">
      <x:c r="A555" s="625"/>
      <x:c r="F555" s="627"/>
      <x:c r="G555" s="627"/>
      <x:c r="H555" s="627"/>
      <x:c r="I555" s="627"/>
      <x:c r="J555" s="627"/>
      <x:c r="K555" s="627"/>
      <x:c r="L555" s="627"/>
      <x:c r="M555" s="627"/>
      <x:c r="N555" s="627"/>
      <x:c r="O555" s="627"/>
      <x:c r="P555" s="627"/>
      <x:c r="Q555" s="627"/>
      <x:c r="R555" s="627"/>
      <x:c r="S555" s="627"/>
      <x:c r="T555" s="627"/>
      <x:c r="U555" s="627"/>
      <x:c r="V555" s="627"/>
      <x:c r="W555" s="627"/>
      <x:c r="X555" s="653"/>
      <x:c r="BN555" s="624"/>
    </x:row>
    <x:row r="556" spans="1:66" x14ac:dyDescent="0.2">
      <x:c r="A556" s="625"/>
      <x:c r="F556" s="627"/>
      <x:c r="G556" s="627"/>
      <x:c r="H556" s="627"/>
      <x:c r="I556" s="627"/>
      <x:c r="J556" s="627"/>
      <x:c r="K556" s="627"/>
      <x:c r="L556" s="627"/>
      <x:c r="M556" s="627"/>
      <x:c r="N556" s="627"/>
      <x:c r="O556" s="627"/>
      <x:c r="P556" s="627"/>
      <x:c r="Q556" s="627"/>
      <x:c r="R556" s="627"/>
      <x:c r="S556" s="627"/>
      <x:c r="BN556" s="624"/>
    </x:row>
    <x:row r="557" spans="1:66" x14ac:dyDescent="0.2">
      <x:c r="A557" s="625"/>
      <x:c r="F557" s="627"/>
      <x:c r="G557" s="627"/>
      <x:c r="H557" s="627"/>
      <x:c r="I557" s="627"/>
      <x:c r="J557" s="627"/>
      <x:c r="K557" s="627"/>
      <x:c r="L557" s="627"/>
      <x:c r="M557" s="627"/>
      <x:c r="N557" s="627"/>
      <x:c r="O557" s="627"/>
      <x:c r="P557" s="627"/>
      <x:c r="Q557" s="627"/>
      <x:c r="R557" s="627"/>
      <x:c r="S557" s="627"/>
      <x:c r="BN557" s="624"/>
    </x:row>
    <x:row r="558" spans="1:66" x14ac:dyDescent="0.2">
      <x:c r="C558" s="770" t="s">
        <x:v>2</x:v>
      </x:c>
      <x:c r="D558" s="768" t="s">
        <x:v>132</x:v>
      </x:c>
      <x:c r="E558" s="639" t="s">
        <x:v>70</x:v>
      </x:c>
      <x:c r="F558" s="640">
        <x:f>F552+F531-L531</x:f>
        <x:v>0</x:v>
      </x:c>
      <x:c r="G558" s="640">
        <x:f>G531</x:f>
        <x:v>0</x:v>
      </x:c>
      <x:c r="H558" s="640">
        <x:f t="shared" ref="H558:AO558" si="29">H531</x:f>
        <x:v>0</x:v>
      </x:c>
      <x:c r="I558" s="640">
        <x:f t="shared" si="29"/>
        <x:v>0</x:v>
      </x:c>
      <x:c r="J558" s="640">
        <x:f t="shared" si="29"/>
        <x:v>0</x:v>
      </x:c>
      <x:c r="K558" s="640">
        <x:f t="shared" si="29"/>
        <x:v>0</x:v>
      </x:c>
      <x:c r="L558" s="640">
        <x:f t="shared" si="29"/>
        <x:v>0</x:v>
      </x:c>
      <x:c r="M558" s="640">
        <x:f t="shared" si="29"/>
        <x:v>0</x:v>
      </x:c>
      <x:c r="N558" s="640">
        <x:f t="shared" si="29"/>
        <x:v>0</x:v>
      </x:c>
      <x:c r="O558" s="640">
        <x:f t="shared" si="29"/>
        <x:v>0</x:v>
      </x:c>
      <x:c r="P558" s="640">
        <x:f t="shared" si="29"/>
        <x:v>0</x:v>
      </x:c>
      <x:c r="Q558" s="640">
        <x:f t="shared" si="29"/>
        <x:v>0</x:v>
      </x:c>
      <x:c r="R558" s="640">
        <x:f t="shared" si="29"/>
        <x:v>0</x:v>
      </x:c>
      <x:c r="S558" s="640">
        <x:f t="shared" si="29"/>
        <x:v>0</x:v>
      </x:c>
      <x:c r="T558" s="640">
        <x:f t="shared" si="29"/>
        <x:v>0</x:v>
      </x:c>
      <x:c r="U558" s="640">
        <x:f t="shared" si="29"/>
        <x:v>0</x:v>
      </x:c>
      <x:c r="V558" s="640">
        <x:f t="shared" si="29"/>
        <x:v>0</x:v>
      </x:c>
      <x:c r="W558" s="640">
        <x:f t="shared" si="29"/>
        <x:v>0</x:v>
      </x:c>
      <x:c r="X558" s="640">
        <x:f t="shared" si="29"/>
        <x:v>0</x:v>
      </x:c>
      <x:c r="Y558" s="640">
        <x:f t="shared" si="29"/>
        <x:v>0</x:v>
      </x:c>
      <x:c r="Z558" s="640">
        <x:f t="shared" si="29"/>
        <x:v>0</x:v>
      </x:c>
      <x:c r="AA558" s="640">
        <x:f t="shared" si="29"/>
        <x:v>0</x:v>
      </x:c>
      <x:c r="AB558" s="640">
        <x:f t="shared" si="29"/>
        <x:v>0</x:v>
      </x:c>
      <x:c r="AC558" s="640">
        <x:f t="shared" si="29"/>
        <x:v>0</x:v>
      </x:c>
      <x:c r="AD558" s="640">
        <x:f t="shared" si="29"/>
        <x:v>0</x:v>
      </x:c>
      <x:c r="AE558" s="640">
        <x:f t="shared" si="29"/>
        <x:v>0</x:v>
      </x:c>
      <x:c r="AF558" s="640">
        <x:f t="shared" si="29"/>
        <x:v>0</x:v>
      </x:c>
      <x:c r="AG558" s="640">
        <x:f t="shared" si="29"/>
        <x:v>0</x:v>
      </x:c>
      <x:c r="AH558" s="640">
        <x:f t="shared" si="29"/>
        <x:v>0</x:v>
      </x:c>
      <x:c r="AI558" s="640">
        <x:f t="shared" si="29"/>
        <x:v>0</x:v>
      </x:c>
      <x:c r="AJ558" s="640">
        <x:f t="shared" si="29"/>
        <x:v>0</x:v>
      </x:c>
      <x:c r="AK558" s="640">
        <x:f t="shared" si="29"/>
        <x:v>0</x:v>
      </x:c>
      <x:c r="AL558" s="640">
        <x:f t="shared" si="29"/>
        <x:v>0</x:v>
      </x:c>
      <x:c r="AM558" s="640">
        <x:f t="shared" si="29"/>
        <x:v>0</x:v>
      </x:c>
      <x:c r="AN558" s="640">
        <x:f t="shared" si="29"/>
        <x:v>0</x:v>
      </x:c>
      <x:c r="AO558" s="640">
        <x:f t="shared" si="29"/>
        <x:v>0</x:v>
      </x:c>
      <x:c r="BN558" s="624"/>
    </x:row>
    <x:row r="559" spans="1:66" x14ac:dyDescent="0.2">
      <x:c r="C559" s="770"/>
      <x:c r="D559" s="768"/>
      <x:c r="E559" s="639" t="s">
        <x:v>73</x:v>
      </x:c>
      <x:c r="F559" s="640">
        <x:f>F552</x:f>
        <x:v>0</x:v>
      </x:c>
      <x:c r="G559" s="627"/>
      <x:c r="H559" s="627"/>
      <x:c r="I559" s="627"/>
      <x:c r="J559" s="627"/>
      <x:c r="K559" s="627"/>
      <x:c r="L559" s="627"/>
      <x:c r="M559" s="627"/>
      <x:c r="N559" s="627"/>
      <x:c r="O559" s="627"/>
      <x:c r="P559" s="627"/>
      <x:c r="Q559" s="627"/>
      <x:c r="R559" s="627"/>
      <x:c r="S559" s="627"/>
      <x:c r="BN559" s="624"/>
    </x:row>
    <x:row r="560" spans="1:66" x14ac:dyDescent="0.2">
      <x:c r="C560" s="770"/>
      <x:c r="D560" s="768" t="s">
        <x:v>133</x:v>
      </x:c>
      <x:c r="E560" s="645" t="s">
        <x:v>70</x:v>
      </x:c>
      <x:c r="F560" s="646">
        <x:f>F538+F512-L512</x:f>
        <x:v>0</x:v>
      </x:c>
      <x:c r="G560" s="646">
        <x:f>G512</x:f>
        <x:v>0</x:v>
      </x:c>
      <x:c r="H560" s="646">
        <x:f t="shared" ref="H560:AO560" si="30">H512</x:f>
        <x:v>0</x:v>
      </x:c>
      <x:c r="I560" s="646">
        <x:f t="shared" si="30"/>
        <x:v>0</x:v>
      </x:c>
      <x:c r="J560" s="646">
        <x:f t="shared" si="30"/>
        <x:v>0</x:v>
      </x:c>
      <x:c r="K560" s="646">
        <x:f t="shared" si="30"/>
        <x:v>0</x:v>
      </x:c>
      <x:c r="L560" s="646">
        <x:f t="shared" si="30"/>
        <x:v>0</x:v>
      </x:c>
      <x:c r="M560" s="646">
        <x:f t="shared" si="30"/>
        <x:v>0</x:v>
      </x:c>
      <x:c r="N560" s="646">
        <x:f t="shared" si="30"/>
        <x:v>0</x:v>
      </x:c>
      <x:c r="O560" s="646">
        <x:f t="shared" si="30"/>
        <x:v>0</x:v>
      </x:c>
      <x:c r="P560" s="646">
        <x:f t="shared" si="30"/>
        <x:v>0</x:v>
      </x:c>
      <x:c r="Q560" s="646">
        <x:f t="shared" si="30"/>
        <x:v>0</x:v>
      </x:c>
      <x:c r="R560" s="646">
        <x:f t="shared" si="30"/>
        <x:v>0</x:v>
      </x:c>
      <x:c r="S560" s="646">
        <x:f t="shared" si="30"/>
        <x:v>0</x:v>
      </x:c>
      <x:c r="T560" s="646">
        <x:f t="shared" si="30"/>
        <x:v>0</x:v>
      </x:c>
      <x:c r="U560" s="646">
        <x:f t="shared" si="30"/>
        <x:v>0</x:v>
      </x:c>
      <x:c r="V560" s="646">
        <x:f t="shared" si="30"/>
        <x:v>0</x:v>
      </x:c>
      <x:c r="W560" s="646">
        <x:f t="shared" si="30"/>
        <x:v>0</x:v>
      </x:c>
      <x:c r="X560" s="646">
        <x:f t="shared" si="30"/>
        <x:v>0</x:v>
      </x:c>
      <x:c r="Y560" s="646">
        <x:f t="shared" si="30"/>
        <x:v>0</x:v>
      </x:c>
      <x:c r="Z560" s="646">
        <x:f t="shared" si="30"/>
        <x:v>0</x:v>
      </x:c>
      <x:c r="AA560" s="646">
        <x:f t="shared" si="30"/>
        <x:v>0</x:v>
      </x:c>
      <x:c r="AB560" s="646">
        <x:f t="shared" si="30"/>
        <x:v>0</x:v>
      </x:c>
      <x:c r="AC560" s="646">
        <x:f t="shared" si="30"/>
        <x:v>0</x:v>
      </x:c>
      <x:c r="AD560" s="646">
        <x:f t="shared" si="30"/>
        <x:v>0</x:v>
      </x:c>
      <x:c r="AE560" s="646">
        <x:f t="shared" si="30"/>
        <x:v>0</x:v>
      </x:c>
      <x:c r="AF560" s="646">
        <x:f t="shared" si="30"/>
        <x:v>0</x:v>
      </x:c>
      <x:c r="AG560" s="646">
        <x:f t="shared" si="30"/>
        <x:v>0</x:v>
      </x:c>
      <x:c r="AH560" s="646">
        <x:f t="shared" si="30"/>
        <x:v>0</x:v>
      </x:c>
      <x:c r="AI560" s="646">
        <x:f t="shared" si="30"/>
        <x:v>0</x:v>
      </x:c>
      <x:c r="AJ560" s="646">
        <x:f t="shared" si="30"/>
        <x:v>0</x:v>
      </x:c>
      <x:c r="AK560" s="646">
        <x:f t="shared" si="30"/>
        <x:v>0</x:v>
      </x:c>
      <x:c r="AL560" s="646">
        <x:f t="shared" si="30"/>
        <x:v>0</x:v>
      </x:c>
      <x:c r="AM560" s="646">
        <x:f t="shared" si="30"/>
        <x:v>0</x:v>
      </x:c>
      <x:c r="AN560" s="646">
        <x:f t="shared" si="30"/>
        <x:v>0</x:v>
      </x:c>
      <x:c r="AO560" s="646">
        <x:f t="shared" si="30"/>
        <x:v>0</x:v>
      </x:c>
      <x:c r="BN560" s="624"/>
    </x:row>
    <x:row r="561" spans="1:66" x14ac:dyDescent="0.2">
      <x:c r="C561" s="770"/>
      <x:c r="D561" s="768"/>
      <x:c r="E561" s="645" t="s">
        <x:v>73</x:v>
      </x:c>
      <x:c r="F561" s="646">
        <x:f>F538</x:f>
        <x:v>0</x:v>
      </x:c>
      <x:c r="G561" s="627"/>
      <x:c r="H561" s="627"/>
      <x:c r="I561" s="627"/>
      <x:c r="J561" s="627"/>
      <x:c r="K561" s="627"/>
      <x:c r="L561" s="627"/>
      <x:c r="M561" s="627"/>
      <x:c r="N561" s="627"/>
      <x:c r="O561" s="627"/>
      <x:c r="P561" s="627"/>
      <x:c r="Q561" s="627"/>
      <x:c r="R561" s="627"/>
      <x:c r="BN561" s="624"/>
    </x:row>
    <x:row r="562" spans="1:66" ht="15" x14ac:dyDescent="0.25">
      <x:c r="A562" s="625"/>
      <x:c r="C562" s="50"/>
      <x:c r="F562" s="627"/>
      <x:c r="G562" s="627"/>
      <x:c r="H562" s="627"/>
      <x:c r="I562" s="627"/>
      <x:c r="J562" s="627"/>
      <x:c r="K562" s="627"/>
      <x:c r="L562" s="627"/>
      <x:c r="M562" s="627"/>
      <x:c r="N562" s="627"/>
      <x:c r="O562" s="627"/>
      <x:c r="P562" s="627"/>
      <x:c r="Q562" s="627"/>
      <x:c r="R562" s="627"/>
      <x:c r="S562" s="627"/>
      <x:c r="BN562" s="624"/>
    </x:row>
    <x:row r="563" spans="1:66" x14ac:dyDescent="0.2">
      <x:c r="C563" s="770" t="s">
        <x:v>160</x:v>
      </x:c>
      <x:c r="D563" s="768" t="s">
        <x:v>132</x:v>
      </x:c>
      <x:c r="E563" s="647" t="s">
        <x:v>70</x:v>
      </x:c>
      <x:c r="F563" s="648">
        <x:v>0</x:v>
      </x:c>
      <x:c r="G563" s="648">
        <x:v>0</x:v>
      </x:c>
      <x:c r="H563" s="648">
        <x:v>0</x:v>
      </x:c>
      <x:c r="I563" s="648">
        <x:v>0</x:v>
      </x:c>
      <x:c r="J563" s="648">
        <x:v>0</x:v>
      </x:c>
      <x:c r="K563" s="648">
        <x:v>0</x:v>
      </x:c>
      <x:c r="L563" s="648">
        <x:v>0</x:v>
      </x:c>
      <x:c r="M563" s="648">
        <x:v>0</x:v>
      </x:c>
      <x:c r="N563" s="648">
        <x:v>0</x:v>
      </x:c>
      <x:c r="O563" s="648">
        <x:v>0</x:v>
      </x:c>
      <x:c r="P563" s="648">
        <x:v>0</x:v>
      </x:c>
      <x:c r="Q563" s="648">
        <x:v>0</x:v>
      </x:c>
      <x:c r="R563" s="648">
        <x:v>0</x:v>
      </x:c>
      <x:c r="S563" s="648">
        <x:v>0</x:v>
      </x:c>
      <x:c r="T563" s="648">
        <x:v>0</x:v>
      </x:c>
      <x:c r="U563" s="648"/>
      <x:c r="V563" s="648"/>
      <x:c r="W563" s="648"/>
      <x:c r="X563" s="648">
        <x:v>0</x:v>
      </x:c>
      <x:c r="Y563" s="648">
        <x:v>0</x:v>
      </x:c>
      <x:c r="Z563" s="648">
        <x:v>0</x:v>
      </x:c>
      <x:c r="AA563" s="648">
        <x:v>0</x:v>
      </x:c>
      <x:c r="AB563" s="648">
        <x:v>0</x:v>
      </x:c>
      <x:c r="AC563" s="648">
        <x:v>0</x:v>
      </x:c>
      <x:c r="AD563" s="648">
        <x:v>0</x:v>
      </x:c>
      <x:c r="AE563" s="648">
        <x:v>0</x:v>
      </x:c>
      <x:c r="AF563" s="648">
        <x:v>0</x:v>
      </x:c>
      <x:c r="AG563" s="648">
        <x:v>0</x:v>
      </x:c>
      <x:c r="AH563" s="648">
        <x:v>0</x:v>
      </x:c>
      <x:c r="AI563" s="648">
        <x:v>0</x:v>
      </x:c>
      <x:c r="AJ563" s="648">
        <x:v>0</x:v>
      </x:c>
      <x:c r="AK563" s="648">
        <x:v>0</x:v>
      </x:c>
      <x:c r="AL563" s="648">
        <x:v>0</x:v>
      </x:c>
      <x:c r="AM563" s="648">
        <x:v>0</x:v>
      </x:c>
      <x:c r="AN563" s="648">
        <x:v>0</x:v>
      </x:c>
      <x:c r="AO563" s="648">
        <x:v>0</x:v>
      </x:c>
      <x:c r="BN563" s="624"/>
    </x:row>
    <x:row r="564" spans="1:66" x14ac:dyDescent="0.2">
      <x:c r="C564" s="770"/>
      <x:c r="D564" s="768"/>
      <x:c r="E564" s="647" t="s">
        <x:v>73</x:v>
      </x:c>
      <x:c r="F564" s="648">
        <x:v>0</x:v>
      </x:c>
      <x:c r="G564" s="627"/>
      <x:c r="H564" s="627"/>
      <x:c r="I564" s="627"/>
      <x:c r="J564" s="627"/>
      <x:c r="K564" s="627"/>
      <x:c r="L564" s="627"/>
      <x:c r="M564" s="627"/>
      <x:c r="N564" s="627"/>
      <x:c r="O564" s="627"/>
      <x:c r="P564" s="627"/>
      <x:c r="Q564" s="627"/>
      <x:c r="R564" s="627"/>
      <x:c r="S564" s="627"/>
      <x:c r="BN564" s="624"/>
    </x:row>
    <x:row r="565" spans="1:66" x14ac:dyDescent="0.2">
      <x:c r="C565" s="770"/>
      <x:c r="D565" s="768" t="s">
        <x:v>133</x:v>
      </x:c>
      <x:c r="E565" s="649" t="s">
        <x:v>70</x:v>
      </x:c>
      <x:c r="F565" s="650">
        <x:v>0</x:v>
      </x:c>
      <x:c r="G565" s="650">
        <x:v>0</x:v>
      </x:c>
      <x:c r="H565" s="650">
        <x:v>0</x:v>
      </x:c>
      <x:c r="I565" s="650">
        <x:v>0</x:v>
      </x:c>
      <x:c r="J565" s="650">
        <x:v>0</x:v>
      </x:c>
      <x:c r="K565" s="650">
        <x:v>0</x:v>
      </x:c>
      <x:c r="L565" s="650">
        <x:v>0</x:v>
      </x:c>
      <x:c r="M565" s="650">
        <x:v>0</x:v>
      </x:c>
      <x:c r="N565" s="650">
        <x:v>0</x:v>
      </x:c>
      <x:c r="O565" s="650">
        <x:v>0</x:v>
      </x:c>
      <x:c r="P565" s="650">
        <x:v>0</x:v>
      </x:c>
      <x:c r="Q565" s="650">
        <x:v>0</x:v>
      </x:c>
      <x:c r="R565" s="650">
        <x:v>0</x:v>
      </x:c>
      <x:c r="S565" s="650">
        <x:v>0</x:v>
      </x:c>
      <x:c r="T565" s="650">
        <x:v>0</x:v>
      </x:c>
      <x:c r="U565" s="650"/>
      <x:c r="V565" s="650"/>
      <x:c r="W565" s="650"/>
      <x:c r="X565" s="650">
        <x:v>0</x:v>
      </x:c>
      <x:c r="Y565" s="650">
        <x:v>0</x:v>
      </x:c>
      <x:c r="Z565" s="650">
        <x:v>0</x:v>
      </x:c>
      <x:c r="AA565" s="650">
        <x:v>0</x:v>
      </x:c>
      <x:c r="AB565" s="650">
        <x:v>0</x:v>
      </x:c>
      <x:c r="AC565" s="650">
        <x:v>0</x:v>
      </x:c>
      <x:c r="AD565" s="650">
        <x:v>0</x:v>
      </x:c>
      <x:c r="AE565" s="650">
        <x:v>0</x:v>
      </x:c>
      <x:c r="AF565" s="650">
        <x:v>0</x:v>
      </x:c>
      <x:c r="AG565" s="650">
        <x:v>0</x:v>
      </x:c>
      <x:c r="AH565" s="650">
        <x:v>0</x:v>
      </x:c>
      <x:c r="AI565" s="650">
        <x:v>0</x:v>
      </x:c>
      <x:c r="AJ565" s="650">
        <x:v>0</x:v>
      </x:c>
      <x:c r="AK565" s="650">
        <x:v>0</x:v>
      </x:c>
      <x:c r="AL565" s="650">
        <x:v>0</x:v>
      </x:c>
      <x:c r="AM565" s="650">
        <x:v>0</x:v>
      </x:c>
      <x:c r="AN565" s="650">
        <x:v>0</x:v>
      </x:c>
      <x:c r="AO565" s="650">
        <x:v>0</x:v>
      </x:c>
      <x:c r="BN565" s="624"/>
    </x:row>
    <x:row r="566" spans="1:66" x14ac:dyDescent="0.2">
      <x:c r="C566" s="770"/>
      <x:c r="D566" s="768"/>
      <x:c r="E566" s="649" t="s">
        <x:v>73</x:v>
      </x:c>
      <x:c r="F566" s="650">
        <x:v>0</x:v>
      </x:c>
      <x:c r="G566" s="627"/>
      <x:c r="H566" s="627"/>
      <x:c r="I566" s="627"/>
      <x:c r="J566" s="627"/>
      <x:c r="K566" s="627"/>
      <x:c r="L566" s="627"/>
      <x:c r="M566" s="627"/>
      <x:c r="N566" s="627"/>
      <x:c r="O566" s="627"/>
      <x:c r="P566" s="627"/>
      <x:c r="Q566" s="627"/>
      <x:c r="R566" s="627"/>
      <x:c r="BN566" s="624"/>
    </x:row>
    <x:row r="567" spans="1:66" ht="15" x14ac:dyDescent="0.25">
      <x:c r="A567" s="625"/>
      <x:c r="C567" s="50"/>
      <x:c r="F567" s="627"/>
      <x:c r="G567" s="627"/>
      <x:c r="H567" s="627"/>
      <x:c r="I567" s="627"/>
      <x:c r="J567" s="627"/>
      <x:c r="K567" s="627"/>
      <x:c r="L567" s="627"/>
      <x:c r="M567" s="627"/>
      <x:c r="N567" s="627"/>
      <x:c r="O567" s="627"/>
      <x:c r="P567" s="627"/>
      <x:c r="Q567" s="627"/>
      <x:c r="R567" s="627"/>
      <x:c r="S567" s="627"/>
      <x:c r="BN567" s="624"/>
    </x:row>
    <x:row r="568" spans="1:66" x14ac:dyDescent="0.2">
      <x:c r="C568" s="770" t="s">
        <x:v>155</x:v>
      </x:c>
      <x:c r="D568" s="768" t="s">
        <x:v>132</x:v>
      </x:c>
      <x:c r="E568" s="651" t="s">
        <x:v>70</x:v>
      </x:c>
      <x:c r="F568" s="652">
        <x:f>F541+F516-L516</x:f>
        <x:v>0</x:v>
      </x:c>
      <x:c r="G568" s="652">
        <x:f>G516</x:f>
        <x:v>0</x:v>
      </x:c>
      <x:c r="H568" s="652">
        <x:f t="shared" ref="H568:AO568" si="31">H516</x:f>
        <x:v>0</x:v>
      </x:c>
      <x:c r="I568" s="652">
        <x:f t="shared" si="31"/>
        <x:v>0</x:v>
      </x:c>
      <x:c r="J568" s="652">
        <x:f t="shared" si="31"/>
        <x:v>0</x:v>
      </x:c>
      <x:c r="K568" s="652">
        <x:f t="shared" si="31"/>
        <x:v>0</x:v>
      </x:c>
      <x:c r="L568" s="652">
        <x:f t="shared" si="31"/>
        <x:v>0</x:v>
      </x:c>
      <x:c r="M568" s="652">
        <x:f t="shared" si="31"/>
        <x:v>0</x:v>
      </x:c>
      <x:c r="N568" s="652">
        <x:f t="shared" si="31"/>
        <x:v>0</x:v>
      </x:c>
      <x:c r="O568" s="652">
        <x:f t="shared" si="31"/>
        <x:v>0</x:v>
      </x:c>
      <x:c r="P568" s="652">
        <x:f t="shared" si="31"/>
        <x:v>0</x:v>
      </x:c>
      <x:c r="Q568" s="652">
        <x:f t="shared" si="31"/>
        <x:v>0</x:v>
      </x:c>
      <x:c r="R568" s="652">
        <x:f t="shared" si="31"/>
        <x:v>0</x:v>
      </x:c>
      <x:c r="S568" s="652">
        <x:f t="shared" si="31"/>
        <x:v>0</x:v>
      </x:c>
      <x:c r="T568" s="652">
        <x:f t="shared" si="31"/>
        <x:v>0</x:v>
      </x:c>
      <x:c r="U568" s="652">
        <x:f t="shared" si="31"/>
        <x:v>0</x:v>
      </x:c>
      <x:c r="V568" s="652">
        <x:f t="shared" si="31"/>
        <x:v>0</x:v>
      </x:c>
      <x:c r="W568" s="652">
        <x:f t="shared" si="31"/>
        <x:v>0</x:v>
      </x:c>
      <x:c r="X568" s="652">
        <x:f t="shared" si="31"/>
        <x:v>0</x:v>
      </x:c>
      <x:c r="Y568" s="652">
        <x:f t="shared" si="31"/>
        <x:v>0</x:v>
      </x:c>
      <x:c r="Z568" s="652">
        <x:f t="shared" si="31"/>
        <x:v>0</x:v>
      </x:c>
      <x:c r="AA568" s="652">
        <x:f t="shared" si="31"/>
        <x:v>0</x:v>
      </x:c>
      <x:c r="AB568" s="652">
        <x:f t="shared" si="31"/>
        <x:v>0</x:v>
      </x:c>
      <x:c r="AC568" s="652">
        <x:f t="shared" si="31"/>
        <x:v>0</x:v>
      </x:c>
      <x:c r="AD568" s="652">
        <x:f t="shared" si="31"/>
        <x:v>0</x:v>
      </x:c>
      <x:c r="AE568" s="652">
        <x:f t="shared" si="31"/>
        <x:v>0</x:v>
      </x:c>
      <x:c r="AF568" s="652">
        <x:f t="shared" si="31"/>
        <x:v>0</x:v>
      </x:c>
      <x:c r="AG568" s="652">
        <x:f t="shared" si="31"/>
        <x:v>0</x:v>
      </x:c>
      <x:c r="AH568" s="652">
        <x:f t="shared" si="31"/>
        <x:v>0</x:v>
      </x:c>
      <x:c r="AI568" s="652">
        <x:f t="shared" si="31"/>
        <x:v>0</x:v>
      </x:c>
      <x:c r="AJ568" s="652">
        <x:f t="shared" si="31"/>
        <x:v>0</x:v>
      </x:c>
      <x:c r="AK568" s="652">
        <x:f t="shared" si="31"/>
        <x:v>0</x:v>
      </x:c>
      <x:c r="AL568" s="652">
        <x:f t="shared" si="31"/>
        <x:v>0</x:v>
      </x:c>
      <x:c r="AM568" s="652">
        <x:f t="shared" si="31"/>
        <x:v>0</x:v>
      </x:c>
      <x:c r="AN568" s="652">
        <x:f t="shared" si="31"/>
        <x:v>0</x:v>
      </x:c>
      <x:c r="AO568" s="652">
        <x:f t="shared" si="31"/>
        <x:v>0</x:v>
      </x:c>
      <x:c r="BN568" s="624"/>
    </x:row>
    <x:row r="569" spans="1:66" x14ac:dyDescent="0.2">
      <x:c r="C569" s="770"/>
      <x:c r="D569" s="768"/>
      <x:c r="E569" s="651" t="s">
        <x:v>73</x:v>
      </x:c>
      <x:c r="F569" s="652">
        <x:f>F541</x:f>
        <x:v>0</x:v>
      </x:c>
      <x:c r="G569" s="627"/>
      <x:c r="H569" s="627"/>
      <x:c r="I569" s="627"/>
      <x:c r="J569" s="627"/>
      <x:c r="K569" s="627"/>
      <x:c r="L569" s="627"/>
      <x:c r="M569" s="627"/>
      <x:c r="N569" s="627"/>
      <x:c r="O569" s="627"/>
      <x:c r="P569" s="627"/>
      <x:c r="Q569" s="627"/>
      <x:c r="R569" s="627"/>
      <x:c r="S569" s="627"/>
      <x:c r="BN569" s="624"/>
    </x:row>
    <x:row r="570" spans="1:66" x14ac:dyDescent="0.2">
      <x:c r="C570" s="770"/>
      <x:c r="D570" s="768" t="s">
        <x:v>133</x:v>
      </x:c>
      <x:c r="E570" s="656" t="s">
        <x:v>70</x:v>
      </x:c>
      <x:c r="F570" s="657">
        <x:v>0</x:v>
      </x:c>
      <x:c r="G570" s="657">
        <x:v>0</x:v>
      </x:c>
      <x:c r="H570" s="657">
        <x:v>0</x:v>
      </x:c>
      <x:c r="I570" s="657">
        <x:v>0</x:v>
      </x:c>
      <x:c r="J570" s="657">
        <x:v>0</x:v>
      </x:c>
      <x:c r="K570" s="657">
        <x:v>0</x:v>
      </x:c>
      <x:c r="L570" s="657">
        <x:v>0</x:v>
      </x:c>
      <x:c r="M570" s="657">
        <x:v>0</x:v>
      </x:c>
      <x:c r="N570" s="657">
        <x:v>0</x:v>
      </x:c>
      <x:c r="O570" s="657">
        <x:v>0</x:v>
      </x:c>
      <x:c r="P570" s="657">
        <x:v>0</x:v>
      </x:c>
      <x:c r="Q570" s="657">
        <x:v>0</x:v>
      </x:c>
      <x:c r="R570" s="657">
        <x:v>0</x:v>
      </x:c>
      <x:c r="S570" s="657">
        <x:v>0</x:v>
      </x:c>
      <x:c r="T570" s="657">
        <x:v>0</x:v>
      </x:c>
      <x:c r="U570" s="657">
        <x:v>0</x:v>
      </x:c>
      <x:c r="V570" s="657">
        <x:v>0</x:v>
      </x:c>
      <x:c r="W570" s="657">
        <x:v>0</x:v>
      </x:c>
      <x:c r="X570" s="657">
        <x:v>0</x:v>
      </x:c>
      <x:c r="Y570" s="657">
        <x:v>0</x:v>
      </x:c>
      <x:c r="Z570" s="657">
        <x:v>0</x:v>
      </x:c>
      <x:c r="AA570" s="657">
        <x:v>0</x:v>
      </x:c>
      <x:c r="AB570" s="657">
        <x:v>0</x:v>
      </x:c>
      <x:c r="AC570" s="657">
        <x:v>0</x:v>
      </x:c>
      <x:c r="AD570" s="657">
        <x:v>0</x:v>
      </x:c>
      <x:c r="AE570" s="657">
        <x:v>0</x:v>
      </x:c>
      <x:c r="AF570" s="657">
        <x:v>0</x:v>
      </x:c>
      <x:c r="AG570" s="657">
        <x:v>0</x:v>
      </x:c>
      <x:c r="AH570" s="657">
        <x:v>0</x:v>
      </x:c>
      <x:c r="AI570" s="657">
        <x:v>0</x:v>
      </x:c>
      <x:c r="AJ570" s="657">
        <x:v>0</x:v>
      </x:c>
      <x:c r="AK570" s="657">
        <x:v>0</x:v>
      </x:c>
      <x:c r="AL570" s="657">
        <x:v>0</x:v>
      </x:c>
      <x:c r="AM570" s="657">
        <x:v>0</x:v>
      </x:c>
      <x:c r="AN570" s="657">
        <x:v>0</x:v>
      </x:c>
      <x:c r="AO570" s="657">
        <x:v>0</x:v>
      </x:c>
      <x:c r="BN570" s="624"/>
    </x:row>
    <x:row r="571" spans="1:66" x14ac:dyDescent="0.2">
      <x:c r="C571" s="770"/>
      <x:c r="D571" s="768"/>
      <x:c r="E571" s="656" t="s">
        <x:v>73</x:v>
      </x:c>
      <x:c r="F571" s="657">
        <x:v>0</x:v>
      </x:c>
      <x:c r="G571" s="627"/>
      <x:c r="H571" s="627"/>
      <x:c r="I571" s="627"/>
      <x:c r="J571" s="627"/>
      <x:c r="K571" s="627"/>
      <x:c r="L571" s="627"/>
      <x:c r="M571" s="627"/>
      <x:c r="N571" s="627"/>
      <x:c r="O571" s="627"/>
      <x:c r="P571" s="627"/>
      <x:c r="Q571" s="627"/>
      <x:c r="R571" s="627"/>
      <x:c r="BN571" s="624"/>
    </x:row>
    <x:row r="572" spans="1:66" ht="15" x14ac:dyDescent="0.25">
      <x:c r="A572" s="625"/>
      <x:c r="C572" s="50"/>
      <x:c r="F572" s="627"/>
      <x:c r="G572" s="627"/>
      <x:c r="H572" s="627"/>
      <x:c r="I572" s="627"/>
      <x:c r="J572" s="627"/>
      <x:c r="K572" s="627"/>
      <x:c r="L572" s="627"/>
      <x:c r="M572" s="627"/>
      <x:c r="N572" s="627"/>
      <x:c r="O572" s="627"/>
      <x:c r="P572" s="627"/>
      <x:c r="Q572" s="627"/>
      <x:c r="R572" s="627"/>
      <x:c r="S572" s="627"/>
      <x:c r="BN572" s="624"/>
    </x:row>
    <x:row r="573" spans="1:66" x14ac:dyDescent="0.2">
      <x:c r="C573" s="771" t="s">
        <x:v>326</x:v>
      </x:c>
      <x:c r="D573" s="768" t="s">
        <x:v>132</x:v>
      </x:c>
      <x:c r="E573" s="654" t="s">
        <x:v>70</x:v>
      </x:c>
      <x:c r="F573" s="655">
        <x:f>F544+F520-L520</x:f>
        <x:v>0</x:v>
      </x:c>
      <x:c r="G573" s="655">
        <x:f>G520</x:f>
        <x:v>0</x:v>
      </x:c>
      <x:c r="H573" s="655">
        <x:f t="shared" ref="H573:AO573" si="32">H520</x:f>
        <x:v>0</x:v>
      </x:c>
      <x:c r="I573" s="655">
        <x:f t="shared" si="32"/>
        <x:v>0</x:v>
      </x:c>
      <x:c r="J573" s="655">
        <x:f t="shared" si="32"/>
        <x:v>0</x:v>
      </x:c>
      <x:c r="K573" s="655">
        <x:f t="shared" si="32"/>
        <x:v>0</x:v>
      </x:c>
      <x:c r="L573" s="655">
        <x:f>L520</x:f>
        <x:v>0</x:v>
      </x:c>
      <x:c r="M573" s="655">
        <x:f t="shared" si="32"/>
        <x:v>0</x:v>
      </x:c>
      <x:c r="N573" s="655">
        <x:f t="shared" si="32"/>
        <x:v>0</x:v>
      </x:c>
      <x:c r="O573" s="655">
        <x:f t="shared" si="32"/>
        <x:v>0</x:v>
      </x:c>
      <x:c r="P573" s="655">
        <x:f t="shared" si="32"/>
        <x:v>0</x:v>
      </x:c>
      <x:c r="Q573" s="655">
        <x:f t="shared" si="32"/>
        <x:v>0</x:v>
      </x:c>
      <x:c r="R573" s="655">
        <x:f t="shared" si="32"/>
        <x:v>0</x:v>
      </x:c>
      <x:c r="S573" s="655">
        <x:f t="shared" si="32"/>
        <x:v>0</x:v>
      </x:c>
      <x:c r="T573" s="655">
        <x:f t="shared" si="32"/>
        <x:v>0</x:v>
      </x:c>
      <x:c r="U573" s="655">
        <x:f t="shared" si="32"/>
        <x:v>0</x:v>
      </x:c>
      <x:c r="V573" s="655">
        <x:f t="shared" si="32"/>
        <x:v>0</x:v>
      </x:c>
      <x:c r="W573" s="655">
        <x:f t="shared" si="32"/>
        <x:v>0</x:v>
      </x:c>
      <x:c r="X573" s="655">
        <x:f t="shared" si="32"/>
        <x:v>0</x:v>
      </x:c>
      <x:c r="Y573" s="655">
        <x:f t="shared" si="32"/>
        <x:v>0</x:v>
      </x:c>
      <x:c r="Z573" s="655">
        <x:f t="shared" si="32"/>
        <x:v>0</x:v>
      </x:c>
      <x:c r="AA573" s="655">
        <x:f t="shared" si="32"/>
        <x:v>0</x:v>
      </x:c>
      <x:c r="AB573" s="655">
        <x:f t="shared" si="32"/>
        <x:v>0</x:v>
      </x:c>
      <x:c r="AC573" s="655">
        <x:f t="shared" si="32"/>
        <x:v>0</x:v>
      </x:c>
      <x:c r="AD573" s="655">
        <x:f t="shared" si="32"/>
        <x:v>0</x:v>
      </x:c>
      <x:c r="AE573" s="655">
        <x:f t="shared" si="32"/>
        <x:v>0</x:v>
      </x:c>
      <x:c r="AF573" s="655">
        <x:f t="shared" si="32"/>
        <x:v>0</x:v>
      </x:c>
      <x:c r="AG573" s="655">
        <x:f t="shared" si="32"/>
        <x:v>0</x:v>
      </x:c>
      <x:c r="AH573" s="655">
        <x:f t="shared" si="32"/>
        <x:v>0</x:v>
      </x:c>
      <x:c r="AI573" s="655">
        <x:f t="shared" si="32"/>
        <x:v>0</x:v>
      </x:c>
      <x:c r="AJ573" s="655">
        <x:f t="shared" si="32"/>
        <x:v>0</x:v>
      </x:c>
      <x:c r="AK573" s="655">
        <x:f t="shared" si="32"/>
        <x:v>0</x:v>
      </x:c>
      <x:c r="AL573" s="655">
        <x:f t="shared" si="32"/>
        <x:v>0</x:v>
      </x:c>
      <x:c r="AM573" s="655">
        <x:f t="shared" si="32"/>
        <x:v>0</x:v>
      </x:c>
      <x:c r="AN573" s="655">
        <x:f t="shared" si="32"/>
        <x:v>0</x:v>
      </x:c>
      <x:c r="AO573" s="655">
        <x:f t="shared" si="32"/>
        <x:v>0</x:v>
      </x:c>
      <x:c r="BN573" s="624"/>
    </x:row>
    <x:row r="574" spans="1:66" x14ac:dyDescent="0.2">
      <x:c r="C574" s="771"/>
      <x:c r="D574" s="768"/>
      <x:c r="E574" s="654" t="s">
        <x:v>73</x:v>
      </x:c>
      <x:c r="F574" s="655">
        <x:f>F544</x:f>
        <x:v>0</x:v>
      </x:c>
      <x:c r="G574" s="627"/>
      <x:c r="H574" s="627"/>
      <x:c r="I574" s="627"/>
      <x:c r="J574" s="627"/>
      <x:c r="K574" s="627"/>
      <x:c r="L574" s="627"/>
      <x:c r="M574" s="627"/>
      <x:c r="N574" s="627"/>
      <x:c r="O574" s="627"/>
      <x:c r="P574" s="627"/>
      <x:c r="Q574" s="627"/>
      <x:c r="R574" s="627"/>
      <x:c r="S574" s="627"/>
      <x:c r="BN574" s="624"/>
    </x:row>
    <x:row r="575" spans="1:66" x14ac:dyDescent="0.2">
      <x:c r="C575" s="771"/>
      <x:c r="D575" s="768" t="s">
        <x:v>133</x:v>
      </x:c>
      <x:c r="E575" s="656" t="s">
        <x:v>70</x:v>
      </x:c>
      <x:c r="F575" s="657">
        <x:v>0</x:v>
      </x:c>
      <x:c r="G575" s="657">
        <x:v>0</x:v>
      </x:c>
      <x:c r="H575" s="657">
        <x:v>0</x:v>
      </x:c>
      <x:c r="I575" s="657">
        <x:v>0</x:v>
      </x:c>
      <x:c r="J575" s="657">
        <x:v>0</x:v>
      </x:c>
      <x:c r="K575" s="657">
        <x:v>0</x:v>
      </x:c>
      <x:c r="L575" s="657">
        <x:v>0</x:v>
      </x:c>
      <x:c r="M575" s="657">
        <x:v>0</x:v>
      </x:c>
      <x:c r="N575" s="657">
        <x:v>0</x:v>
      </x:c>
      <x:c r="O575" s="657">
        <x:v>0</x:v>
      </x:c>
      <x:c r="P575" s="657">
        <x:v>0</x:v>
      </x:c>
      <x:c r="Q575" s="657">
        <x:v>0</x:v>
      </x:c>
      <x:c r="R575" s="657">
        <x:v>0</x:v>
      </x:c>
      <x:c r="S575" s="657">
        <x:v>0</x:v>
      </x:c>
      <x:c r="T575" s="657">
        <x:v>0</x:v>
      </x:c>
      <x:c r="U575" s="657">
        <x:v>0</x:v>
      </x:c>
      <x:c r="V575" s="657">
        <x:v>0</x:v>
      </x:c>
      <x:c r="W575" s="657">
        <x:v>0</x:v>
      </x:c>
      <x:c r="X575" s="657">
        <x:v>0</x:v>
      </x:c>
      <x:c r="Y575" s="657">
        <x:v>0</x:v>
      </x:c>
      <x:c r="Z575" s="657">
        <x:v>0</x:v>
      </x:c>
      <x:c r="AA575" s="657">
        <x:v>0</x:v>
      </x:c>
      <x:c r="AB575" s="657">
        <x:v>0</x:v>
      </x:c>
      <x:c r="AC575" s="657">
        <x:v>0</x:v>
      </x:c>
      <x:c r="AD575" s="657">
        <x:v>0</x:v>
      </x:c>
      <x:c r="AE575" s="657">
        <x:v>0</x:v>
      </x:c>
      <x:c r="AF575" s="657">
        <x:v>0</x:v>
      </x:c>
      <x:c r="AG575" s="657">
        <x:v>0</x:v>
      </x:c>
      <x:c r="AH575" s="657">
        <x:v>0</x:v>
      </x:c>
      <x:c r="AI575" s="657">
        <x:v>0</x:v>
      </x:c>
      <x:c r="AJ575" s="657">
        <x:v>0</x:v>
      </x:c>
      <x:c r="AK575" s="657">
        <x:v>0</x:v>
      </x:c>
      <x:c r="AL575" s="657">
        <x:v>0</x:v>
      </x:c>
      <x:c r="AM575" s="657">
        <x:v>0</x:v>
      </x:c>
      <x:c r="AN575" s="657">
        <x:v>0</x:v>
      </x:c>
      <x:c r="AO575" s="657">
        <x:v>0</x:v>
      </x:c>
      <x:c r="BN575" s="624"/>
    </x:row>
    <x:row r="576" spans="1:66" x14ac:dyDescent="0.2">
      <x:c r="C576" s="771"/>
      <x:c r="D576" s="768"/>
      <x:c r="E576" s="656" t="s">
        <x:v>73</x:v>
      </x:c>
      <x:c r="F576" s="657">
        <x:v>0</x:v>
      </x:c>
      <x:c r="G576" s="627"/>
      <x:c r="H576" s="627"/>
      <x:c r="I576" s="627"/>
      <x:c r="J576" s="627"/>
      <x:c r="K576" s="627"/>
      <x:c r="L576" s="627"/>
      <x:c r="M576" s="627"/>
      <x:c r="N576" s="627"/>
      <x:c r="O576" s="627"/>
      <x:c r="P576" s="627"/>
      <x:c r="Q576" s="627"/>
      <x:c r="R576" s="627"/>
      <x:c r="BN576" s="624"/>
    </x:row>
    <x:row r="577" spans="1:66" ht="15" x14ac:dyDescent="0.2">
      <x:c r="C577" s="643"/>
      <x:c r="D577" s="644"/>
      <x:c r="E577" s="625"/>
      <x:c r="F577" s="627"/>
      <x:c r="G577" s="627"/>
      <x:c r="H577" s="627"/>
      <x:c r="I577" s="627"/>
      <x:c r="J577" s="627"/>
      <x:c r="K577" s="627"/>
      <x:c r="L577" s="627"/>
      <x:c r="M577" s="627"/>
      <x:c r="N577" s="627"/>
      <x:c r="O577" s="627"/>
      <x:c r="P577" s="627"/>
      <x:c r="Q577" s="627"/>
      <x:c r="R577" s="627"/>
      <x:c r="BN577" s="624"/>
    </x:row>
    <x:row r="578" spans="1:66" x14ac:dyDescent="0.2">
      <x:c r="C578" s="770" t="s">
        <x:v>119</x:v>
      </x:c>
      <x:c r="D578" s="768" t="s">
        <x:v>132</x:v>
      </x:c>
      <x:c r="E578" s="632" t="s">
        <x:v>70</x:v>
      </x:c>
      <x:c r="F578" s="633">
        <x:f>F530+F551-L530</x:f>
        <x:v>0</x:v>
      </x:c>
      <x:c r="G578" s="633">
        <x:f>G530</x:f>
        <x:v>0</x:v>
      </x:c>
      <x:c r="H578" s="633">
        <x:f t="shared" ref="H578:AO578" si="33">H530</x:f>
        <x:v>0</x:v>
      </x:c>
      <x:c r="I578" s="633">
        <x:f t="shared" si="33"/>
        <x:v>0</x:v>
      </x:c>
      <x:c r="J578" s="633">
        <x:f t="shared" si="33"/>
        <x:v>0</x:v>
      </x:c>
      <x:c r="K578" s="633">
        <x:f t="shared" si="33"/>
        <x:v>0</x:v>
      </x:c>
      <x:c r="L578" s="633">
        <x:f t="shared" si="33"/>
        <x:v>0</x:v>
      </x:c>
      <x:c r="M578" s="633">
        <x:f t="shared" si="33"/>
        <x:v>0</x:v>
      </x:c>
      <x:c r="N578" s="633">
        <x:f t="shared" si="33"/>
        <x:v>0</x:v>
      </x:c>
      <x:c r="O578" s="633">
        <x:f t="shared" si="33"/>
        <x:v>0</x:v>
      </x:c>
      <x:c r="P578" s="633">
        <x:f t="shared" si="33"/>
        <x:v>0</x:v>
      </x:c>
      <x:c r="Q578" s="633">
        <x:f t="shared" si="33"/>
        <x:v>0</x:v>
      </x:c>
      <x:c r="R578" s="633">
        <x:f t="shared" si="33"/>
        <x:v>0</x:v>
      </x:c>
      <x:c r="S578" s="633">
        <x:f t="shared" si="33"/>
        <x:v>0</x:v>
      </x:c>
      <x:c r="T578" s="633">
        <x:f t="shared" si="33"/>
        <x:v>0</x:v>
      </x:c>
      <x:c r="U578" s="633">
        <x:f t="shared" si="33"/>
        <x:v>0</x:v>
      </x:c>
      <x:c r="V578" s="633">
        <x:f t="shared" si="33"/>
        <x:v>0</x:v>
      </x:c>
      <x:c r="W578" s="633">
        <x:f t="shared" si="33"/>
        <x:v>0</x:v>
      </x:c>
      <x:c r="X578" s="633">
        <x:f t="shared" si="33"/>
        <x:v>0</x:v>
      </x:c>
      <x:c r="Y578" s="633">
        <x:f t="shared" si="33"/>
        <x:v>0</x:v>
      </x:c>
      <x:c r="Z578" s="633">
        <x:f t="shared" si="33"/>
        <x:v>0</x:v>
      </x:c>
      <x:c r="AA578" s="633">
        <x:f t="shared" si="33"/>
        <x:v>0</x:v>
      </x:c>
      <x:c r="AB578" s="633">
        <x:f t="shared" si="33"/>
        <x:v>0</x:v>
      </x:c>
      <x:c r="AC578" s="633">
        <x:f t="shared" si="33"/>
        <x:v>0</x:v>
      </x:c>
      <x:c r="AD578" s="633">
        <x:f t="shared" si="33"/>
        <x:v>0</x:v>
      </x:c>
      <x:c r="AE578" s="633">
        <x:f t="shared" si="33"/>
        <x:v>0</x:v>
      </x:c>
      <x:c r="AF578" s="633">
        <x:f t="shared" si="33"/>
        <x:v>0</x:v>
      </x:c>
      <x:c r="AG578" s="633">
        <x:f t="shared" si="33"/>
        <x:v>0</x:v>
      </x:c>
      <x:c r="AH578" s="633">
        <x:f t="shared" si="33"/>
        <x:v>0</x:v>
      </x:c>
      <x:c r="AI578" s="633">
        <x:f t="shared" si="33"/>
        <x:v>0</x:v>
      </x:c>
      <x:c r="AJ578" s="633">
        <x:f t="shared" si="33"/>
        <x:v>0</x:v>
      </x:c>
      <x:c r="AK578" s="633">
        <x:f t="shared" si="33"/>
        <x:v>0</x:v>
      </x:c>
      <x:c r="AL578" s="633">
        <x:f t="shared" si="33"/>
        <x:v>0</x:v>
      </x:c>
      <x:c r="AM578" s="633">
        <x:f t="shared" si="33"/>
        <x:v>0</x:v>
      </x:c>
      <x:c r="AN578" s="633">
        <x:f t="shared" si="33"/>
        <x:v>0</x:v>
      </x:c>
      <x:c r="AO578" s="633">
        <x:f t="shared" si="33"/>
        <x:v>0</x:v>
      </x:c>
      <x:c r="BN578" s="624"/>
    </x:row>
    <x:row r="579" spans="1:66" x14ac:dyDescent="0.2">
      <x:c r="C579" s="770"/>
      <x:c r="D579" s="768"/>
      <x:c r="E579" s="632" t="s">
        <x:v>73</x:v>
      </x:c>
      <x:c r="F579" s="633">
        <x:f>F551</x:f>
        <x:v>0</x:v>
      </x:c>
      <x:c r="G579" s="627"/>
      <x:c r="H579" s="627"/>
      <x:c r="I579" s="627"/>
      <x:c r="J579" s="627"/>
      <x:c r="K579" s="627"/>
      <x:c r="L579" s="627"/>
      <x:c r="M579" s="627"/>
      <x:c r="N579" s="627"/>
      <x:c r="O579" s="627"/>
      <x:c r="P579" s="627"/>
      <x:c r="Q579" s="627"/>
      <x:c r="R579" s="627"/>
      <x:c r="S579" s="627"/>
      <x:c r="BN579" s="624"/>
    </x:row>
    <x:row r="580" spans="1:66" x14ac:dyDescent="0.2">
      <x:c r="C580" s="770"/>
      <x:c r="D580" s="768" t="s">
        <x:v>133</x:v>
      </x:c>
      <x:c r="E580" s="658" t="s">
        <x:v>70</x:v>
      </x:c>
      <x:c r="F580" s="659">
        <x:f>F537+F511-L511</x:f>
        <x:v>0</x:v>
      </x:c>
      <x:c r="G580" s="659">
        <x:f>G511</x:f>
        <x:v>0</x:v>
      </x:c>
      <x:c r="H580" s="659">
        <x:f t="shared" ref="H580:AO580" si="34">H511</x:f>
        <x:v>0</x:v>
      </x:c>
      <x:c r="I580" s="659">
        <x:f t="shared" si="34"/>
        <x:v>0</x:v>
      </x:c>
      <x:c r="J580" s="659">
        <x:f t="shared" si="34"/>
        <x:v>0</x:v>
      </x:c>
      <x:c r="K580" s="659">
        <x:f t="shared" si="34"/>
        <x:v>0</x:v>
      </x:c>
      <x:c r="L580" s="659">
        <x:f t="shared" si="34"/>
        <x:v>0</x:v>
      </x:c>
      <x:c r="M580" s="659">
        <x:f t="shared" si="34"/>
        <x:v>0</x:v>
      </x:c>
      <x:c r="N580" s="659">
        <x:f t="shared" si="34"/>
        <x:v>0</x:v>
      </x:c>
      <x:c r="O580" s="659">
        <x:f t="shared" si="34"/>
        <x:v>0</x:v>
      </x:c>
      <x:c r="P580" s="659">
        <x:f t="shared" si="34"/>
        <x:v>0</x:v>
      </x:c>
      <x:c r="Q580" s="659">
        <x:f t="shared" si="34"/>
        <x:v>0</x:v>
      </x:c>
      <x:c r="R580" s="659">
        <x:f t="shared" si="34"/>
        <x:v>0</x:v>
      </x:c>
      <x:c r="S580" s="659">
        <x:f t="shared" si="34"/>
        <x:v>0</x:v>
      </x:c>
      <x:c r="T580" s="659">
        <x:f t="shared" si="34"/>
        <x:v>0</x:v>
      </x:c>
      <x:c r="U580" s="659">
        <x:f t="shared" si="34"/>
        <x:v>0</x:v>
      </x:c>
      <x:c r="V580" s="659">
        <x:f t="shared" si="34"/>
        <x:v>0</x:v>
      </x:c>
      <x:c r="W580" s="659">
        <x:f t="shared" si="34"/>
        <x:v>0</x:v>
      </x:c>
      <x:c r="X580" s="659">
        <x:f t="shared" si="34"/>
        <x:v>0</x:v>
      </x:c>
      <x:c r="Y580" s="659">
        <x:f t="shared" si="34"/>
        <x:v>0</x:v>
      </x:c>
      <x:c r="Z580" s="659">
        <x:f t="shared" si="34"/>
        <x:v>0</x:v>
      </x:c>
      <x:c r="AA580" s="659">
        <x:f t="shared" si="34"/>
        <x:v>0</x:v>
      </x:c>
      <x:c r="AB580" s="659">
        <x:f t="shared" si="34"/>
        <x:v>0</x:v>
      </x:c>
      <x:c r="AC580" s="659">
        <x:f t="shared" si="34"/>
        <x:v>0</x:v>
      </x:c>
      <x:c r="AD580" s="659">
        <x:f t="shared" si="34"/>
        <x:v>0</x:v>
      </x:c>
      <x:c r="AE580" s="659">
        <x:f t="shared" si="34"/>
        <x:v>0</x:v>
      </x:c>
      <x:c r="AF580" s="659">
        <x:f t="shared" si="34"/>
        <x:v>0</x:v>
      </x:c>
      <x:c r="AG580" s="659">
        <x:f t="shared" si="34"/>
        <x:v>0</x:v>
      </x:c>
      <x:c r="AH580" s="659">
        <x:f t="shared" si="34"/>
        <x:v>0</x:v>
      </x:c>
      <x:c r="AI580" s="659">
        <x:f t="shared" si="34"/>
        <x:v>0</x:v>
      </x:c>
      <x:c r="AJ580" s="659">
        <x:f t="shared" si="34"/>
        <x:v>0</x:v>
      </x:c>
      <x:c r="AK580" s="659">
        <x:f t="shared" si="34"/>
        <x:v>0</x:v>
      </x:c>
      <x:c r="AL580" s="659">
        <x:f t="shared" si="34"/>
        <x:v>0</x:v>
      </x:c>
      <x:c r="AM580" s="659">
        <x:f t="shared" si="34"/>
        <x:v>0</x:v>
      </x:c>
      <x:c r="AN580" s="659">
        <x:f t="shared" si="34"/>
        <x:v>0</x:v>
      </x:c>
      <x:c r="AO580" s="659">
        <x:f t="shared" si="34"/>
        <x:v>0</x:v>
      </x:c>
      <x:c r="BN580" s="624"/>
    </x:row>
    <x:row r="581" spans="1:66" x14ac:dyDescent="0.2">
      <x:c r="C581" s="770"/>
      <x:c r="D581" s="768"/>
      <x:c r="E581" s="658" t="s">
        <x:v>73</x:v>
      </x:c>
      <x:c r="F581" s="659">
        <x:f>F537</x:f>
        <x:v>0</x:v>
      </x:c>
      <x:c r="G581" s="627"/>
      <x:c r="H581" s="627"/>
      <x:c r="I581" s="627"/>
      <x:c r="J581" s="627"/>
      <x:c r="K581" s="627"/>
      <x:c r="L581" s="627"/>
      <x:c r="M581" s="627"/>
      <x:c r="N581" s="627"/>
      <x:c r="O581" s="627"/>
      <x:c r="P581" s="627"/>
      <x:c r="Q581" s="627"/>
      <x:c r="R581" s="627"/>
      <x:c r="BN581" s="624"/>
    </x:row>
    <x:row r="582" spans="1:66" ht="15" x14ac:dyDescent="0.25">
      <x:c r="A582" s="625"/>
      <x:c r="C582" s="50"/>
      <x:c r="F582" s="627"/>
      <x:c r="G582" s="627"/>
      <x:c r="H582" s="627"/>
      <x:c r="I582" s="627"/>
      <x:c r="J582" s="627"/>
      <x:c r="K582" s="627"/>
      <x:c r="L582" s="627"/>
      <x:c r="M582" s="627"/>
      <x:c r="N582" s="627"/>
      <x:c r="O582" s="627"/>
      <x:c r="P582" s="627"/>
      <x:c r="Q582" s="627"/>
      <x:c r="R582" s="627"/>
      <x:c r="S582" s="627"/>
      <x:c r="BN582" s="624"/>
    </x:row>
    <x:row r="583" spans="1:66" x14ac:dyDescent="0.2">
      <x:c r="C583" s="769" t="s">
        <x:v>161</x:v>
      </x:c>
      <x:c r="D583" s="768" t="s">
        <x:v>132</x:v>
      </x:c>
      <x:c r="E583" s="661" t="s">
        <x:v>70</x:v>
      </x:c>
      <x:c r="F583" s="662">
        <x:v>0</x:v>
      </x:c>
      <x:c r="G583" s="662">
        <x:v>0</x:v>
      </x:c>
      <x:c r="H583" s="662">
        <x:v>0</x:v>
      </x:c>
      <x:c r="I583" s="662">
        <x:v>0</x:v>
      </x:c>
      <x:c r="J583" s="662">
        <x:v>0</x:v>
      </x:c>
      <x:c r="K583" s="662">
        <x:v>0</x:v>
      </x:c>
      <x:c r="L583" s="662">
        <x:v>0</x:v>
      </x:c>
      <x:c r="M583" s="662">
        <x:v>0</x:v>
      </x:c>
      <x:c r="N583" s="662">
        <x:v>0</x:v>
      </x:c>
      <x:c r="O583" s="662">
        <x:v>0</x:v>
      </x:c>
      <x:c r="P583" s="662">
        <x:v>0</x:v>
      </x:c>
      <x:c r="Q583" s="662">
        <x:v>0</x:v>
      </x:c>
      <x:c r="R583" s="662">
        <x:v>0</x:v>
      </x:c>
      <x:c r="S583" s="662">
        <x:v>0</x:v>
      </x:c>
      <x:c r="T583" s="662">
        <x:v>0</x:v>
      </x:c>
      <x:c r="U583" s="662"/>
      <x:c r="V583" s="662"/>
      <x:c r="W583" s="662"/>
      <x:c r="X583" s="662">
        <x:v>0</x:v>
      </x:c>
      <x:c r="Y583" s="662">
        <x:v>0</x:v>
      </x:c>
      <x:c r="Z583" s="662">
        <x:v>0</x:v>
      </x:c>
      <x:c r="AA583" s="662">
        <x:v>0</x:v>
      </x:c>
      <x:c r="AB583" s="662">
        <x:v>0</x:v>
      </x:c>
      <x:c r="AC583" s="662">
        <x:v>0</x:v>
      </x:c>
      <x:c r="AD583" s="662">
        <x:v>0</x:v>
      </x:c>
      <x:c r="AE583" s="662">
        <x:v>0</x:v>
      </x:c>
      <x:c r="AF583" s="662">
        <x:v>0</x:v>
      </x:c>
      <x:c r="AG583" s="662">
        <x:v>0</x:v>
      </x:c>
      <x:c r="AH583" s="662">
        <x:v>0</x:v>
      </x:c>
      <x:c r="AI583" s="662">
        <x:v>0</x:v>
      </x:c>
      <x:c r="AJ583" s="662">
        <x:v>0</x:v>
      </x:c>
      <x:c r="AK583" s="662">
        <x:v>0</x:v>
      </x:c>
      <x:c r="AL583" s="662">
        <x:v>0</x:v>
      </x:c>
      <x:c r="AM583" s="662">
        <x:v>0</x:v>
      </x:c>
      <x:c r="AN583" s="662">
        <x:v>0</x:v>
      </x:c>
      <x:c r="AO583" s="662">
        <x:v>0</x:v>
      </x:c>
      <x:c r="BN583" s="624"/>
    </x:row>
    <x:row r="584" spans="1:66" x14ac:dyDescent="0.2">
      <x:c r="C584" s="769"/>
      <x:c r="D584" s="768"/>
      <x:c r="E584" s="661" t="s">
        <x:v>73</x:v>
      </x:c>
      <x:c r="F584" s="662">
        <x:v>0</x:v>
      </x:c>
      <x:c r="G584" s="627"/>
      <x:c r="H584" s="627"/>
      <x:c r="I584" s="627"/>
      <x:c r="J584" s="627"/>
      <x:c r="K584" s="627"/>
      <x:c r="L584" s="627"/>
      <x:c r="M584" s="627"/>
      <x:c r="N584" s="627"/>
      <x:c r="O584" s="627"/>
      <x:c r="P584" s="627"/>
      <x:c r="Q584" s="627"/>
      <x:c r="R584" s="627"/>
      <x:c r="S584" s="627"/>
      <x:c r="BN584" s="624"/>
    </x:row>
    <x:row r="585" spans="1:66" x14ac:dyDescent="0.2">
      <x:c r="C585" s="769"/>
      <x:c r="E585" s="663" t="s">
        <x:v>70</x:v>
      </x:c>
      <x:c r="F585" s="664">
        <x:v>0</x:v>
      </x:c>
      <x:c r="G585" s="664">
        <x:v>0</x:v>
      </x:c>
      <x:c r="H585" s="664">
        <x:v>0</x:v>
      </x:c>
      <x:c r="I585" s="664">
        <x:v>0</x:v>
      </x:c>
      <x:c r="J585" s="664">
        <x:v>0</x:v>
      </x:c>
      <x:c r="K585" s="664">
        <x:v>0</x:v>
      </x:c>
      <x:c r="L585" s="664">
        <x:v>0</x:v>
      </x:c>
      <x:c r="M585" s="664">
        <x:v>0</x:v>
      </x:c>
      <x:c r="N585" s="664">
        <x:v>0</x:v>
      </x:c>
      <x:c r="O585" s="664">
        <x:v>0</x:v>
      </x:c>
      <x:c r="P585" s="664">
        <x:v>0</x:v>
      </x:c>
      <x:c r="Q585" s="664">
        <x:v>0</x:v>
      </x:c>
      <x:c r="R585" s="664">
        <x:v>0</x:v>
      </x:c>
      <x:c r="S585" s="664">
        <x:v>0</x:v>
      </x:c>
      <x:c r="T585" s="664">
        <x:v>0</x:v>
      </x:c>
      <x:c r="U585" s="664"/>
      <x:c r="V585" s="664"/>
      <x:c r="W585" s="664"/>
      <x:c r="X585" s="664">
        <x:v>0</x:v>
      </x:c>
      <x:c r="Y585" s="664">
        <x:v>0</x:v>
      </x:c>
      <x:c r="Z585" s="664">
        <x:v>0</x:v>
      </x:c>
      <x:c r="AA585" s="664">
        <x:v>0</x:v>
      </x:c>
      <x:c r="BN585" s="624"/>
    </x:row>
    <x:row r="586" spans="1:66" x14ac:dyDescent="0.2">
      <x:c r="C586" s="769"/>
      <x:c r="D586" s="644" t="s">
        <x:v>132</x:v>
      </x:c>
      <x:c r="E586" s="663" t="s">
        <x:v>73</x:v>
      </x:c>
      <x:c r="F586" s="664">
        <x:v>0</x:v>
      </x:c>
      <x:c r="G586" s="627"/>
      <x:c r="H586" s="627"/>
      <x:c r="I586" s="627"/>
      <x:c r="J586" s="627"/>
      <x:c r="K586" s="627"/>
      <x:c r="L586" s="627"/>
      <x:c r="M586" s="627"/>
      <x:c r="N586" s="627"/>
      <x:c r="O586" s="627"/>
      <x:c r="P586" s="627"/>
      <x:c r="Q586" s="627"/>
      <x:c r="R586" s="627"/>
      <x:c r="BN586" s="624"/>
    </x:row>
    <x:row r="587" spans="1:66" ht="15" x14ac:dyDescent="0.2">
      <x:c r="C587" s="660"/>
      <x:c r="D587" s="644"/>
      <x:c r="E587" s="625"/>
      <x:c r="F587" s="627"/>
      <x:c r="G587" s="627"/>
      <x:c r="H587" s="627"/>
      <x:c r="I587" s="627"/>
      <x:c r="J587" s="627"/>
      <x:c r="K587" s="627"/>
      <x:c r="L587" s="627"/>
      <x:c r="M587" s="627"/>
      <x:c r="N587" s="627"/>
      <x:c r="O587" s="627"/>
      <x:c r="P587" s="627"/>
      <x:c r="Q587" s="627"/>
      <x:c r="R587" s="627"/>
      <x:c r="BN587" s="624"/>
    </x:row>
    <x:row r="588" spans="1:66" x14ac:dyDescent="0.2">
      <x:c r="D588" s="634" t="s">
        <x:v>185</x:v>
      </x:c>
      <x:c r="E588" s="665" t="s">
        <x:v>70</x:v>
      </x:c>
      <x:c r="F588" s="666">
        <x:v>0</x:v>
      </x:c>
      <x:c r="G588" s="666">
        <x:v>0</x:v>
      </x:c>
      <x:c r="H588" s="666">
        <x:v>0</x:v>
      </x:c>
      <x:c r="I588" s="666">
        <x:v>0</x:v>
      </x:c>
      <x:c r="J588" s="666">
        <x:v>0</x:v>
      </x:c>
      <x:c r="K588" s="666">
        <x:v>0</x:v>
      </x:c>
      <x:c r="L588" s="666">
        <x:v>0</x:v>
      </x:c>
      <x:c r="M588" s="666">
        <x:v>0</x:v>
      </x:c>
      <x:c r="N588" s="666">
        <x:v>0</x:v>
      </x:c>
      <x:c r="O588" s="666">
        <x:v>0</x:v>
      </x:c>
      <x:c r="P588" s="666">
        <x:v>0</x:v>
      </x:c>
      <x:c r="Q588" s="666">
        <x:v>0</x:v>
      </x:c>
      <x:c r="R588" s="666">
        <x:v>0</x:v>
      </x:c>
      <x:c r="S588" s="666">
        <x:v>0</x:v>
      </x:c>
      <x:c r="T588" s="666">
        <x:v>0</x:v>
      </x:c>
      <x:c r="U588" s="666">
        <x:v>0</x:v>
      </x:c>
      <x:c r="V588" s="666">
        <x:v>0</x:v>
      </x:c>
      <x:c r="W588" s="666">
        <x:v>0</x:v>
      </x:c>
      <x:c r="X588" s="666">
        <x:v>0</x:v>
      </x:c>
      <x:c r="Y588" s="666">
        <x:v>0</x:v>
      </x:c>
      <x:c r="Z588" s="666">
        <x:v>0</x:v>
      </x:c>
      <x:c r="AA588" s="666">
        <x:v>0</x:v>
      </x:c>
      <x:c r="BN588" s="624"/>
    </x:row>
    <x:row r="589" spans="1:66" ht="15" x14ac:dyDescent="0.2">
      <x:c r="C589" s="660"/>
      <x:c r="D589" s="644"/>
      <x:c r="E589" s="625"/>
      <x:c r="F589" s="627"/>
      <x:c r="G589" s="627"/>
      <x:c r="H589" s="627"/>
      <x:c r="I589" s="627"/>
      <x:c r="J589" s="627"/>
      <x:c r="K589" s="627"/>
      <x:c r="L589" s="627"/>
      <x:c r="M589" s="627"/>
      <x:c r="N589" s="627"/>
      <x:c r="O589" s="627"/>
      <x:c r="P589" s="627"/>
      <x:c r="Q589" s="627"/>
      <x:c r="R589" s="627"/>
      <x:c r="BN589" s="624"/>
    </x:row>
    <x:row r="590" spans="1:66" x14ac:dyDescent="0.2">
      <x:c r="A590" s="624"/>
      <x:c r="B590" s="624"/>
      <x:c r="C590" s="624"/>
      <x:c r="D590" s="624"/>
      <x:c r="E590" s="624"/>
      <x:c r="F590" s="624"/>
      <x:c r="G590" s="624"/>
      <x:c r="H590" s="624"/>
      <x:c r="I590" s="624"/>
      <x:c r="J590" s="624"/>
      <x:c r="K590" s="624"/>
      <x:c r="L590" s="624"/>
      <x:c r="M590" s="624"/>
      <x:c r="N590" s="624"/>
      <x:c r="O590" s="624"/>
      <x:c r="P590" s="624"/>
      <x:c r="Q590" s="624"/>
      <x:c r="R590" s="624"/>
      <x:c r="S590" s="624"/>
      <x:c r="T590" s="624"/>
      <x:c r="U590" s="624"/>
      <x:c r="V590" s="624"/>
      <x:c r="W590" s="624"/>
      <x:c r="X590" s="624"/>
      <x:c r="Y590" s="624"/>
      <x:c r="Z590" s="624"/>
      <x:c r="AA590" s="624"/>
      <x:c r="AB590" s="624"/>
      <x:c r="AC590" s="624"/>
      <x:c r="AD590" s="624"/>
      <x:c r="AE590" s="624"/>
      <x:c r="AF590" s="624"/>
      <x:c r="AG590" s="624"/>
      <x:c r="AH590" s="624"/>
      <x:c r="AI590" s="624"/>
      <x:c r="AJ590" s="624"/>
      <x:c r="AK590" s="624"/>
      <x:c r="AL590" s="624"/>
      <x:c r="AM590" s="624"/>
      <x:c r="AN590" s="624"/>
      <x:c r="AO590" s="624"/>
      <x:c r="AP590" s="624"/>
      <x:c r="AQ590" s="624"/>
      <x:c r="AR590" s="624"/>
      <x:c r="AS590" s="624"/>
      <x:c r="AT590" s="624"/>
      <x:c r="AU590" s="624"/>
      <x:c r="AV590" s="624"/>
      <x:c r="AW590" s="624"/>
      <x:c r="AX590" s="624"/>
      <x:c r="AY590" s="624"/>
      <x:c r="AZ590" s="624"/>
      <x:c r="BA590" s="624"/>
      <x:c r="BB590" s="624"/>
      <x:c r="BC590" s="624"/>
      <x:c r="BD590" s="624"/>
      <x:c r="BE590" s="624"/>
      <x:c r="BF590" s="624"/>
      <x:c r="BG590" s="624"/>
      <x:c r="BH590" s="624"/>
      <x:c r="BI590" s="624"/>
      <x:c r="BJ590" s="624"/>
      <x:c r="BK590" s="624"/>
      <x:c r="BL590" s="624"/>
      <x:c r="BM590" s="624"/>
      <x:c r="BN590" s="624"/>
    </x:row>
  </x:sheetData>
  <x:mergeCells count="87">
    <x:mergeCell ref="D358:D359"/>
    <x:mergeCell ref="D360:D361"/>
    <x:mergeCell ref="C221:C224"/>
    <x:mergeCell ref="D221:D222"/>
    <x:mergeCell ref="D223:D224"/>
    <x:mergeCell ref="C231:C234"/>
    <x:mergeCell ref="D231:D232"/>
    <x:mergeCell ref="C343:C346"/>
    <x:mergeCell ref="D343:D344"/>
    <x:mergeCell ref="D345:D346"/>
    <x:mergeCell ref="C583:C586"/>
    <x:mergeCell ref="C558:C561"/>
    <x:mergeCell ref="D558:D559"/>
    <x:mergeCell ref="D560:D561"/>
    <x:mergeCell ref="C563:C566"/>
    <x:mergeCell ref="D563:D564"/>
    <x:mergeCell ref="D565:D566"/>
    <x:mergeCell ref="C568:C571"/>
    <x:mergeCell ref="D568:D569"/>
    <x:mergeCell ref="D570:D571"/>
    <x:mergeCell ref="C578:C581"/>
    <x:mergeCell ref="D578:D579"/>
    <x:mergeCell ref="D580:D581"/>
    <x:mergeCell ref="D583:D584"/>
    <x:mergeCell ref="C573:C576"/>
    <x:mergeCell ref="D573:D574"/>
    <x:mergeCell ref="D218:D219"/>
    <x:mergeCell ref="D228:D229"/>
    <x:mergeCell ref="C78:C81"/>
    <x:mergeCell ref="D78:D79"/>
    <x:mergeCell ref="D80:D81"/>
    <x:mergeCell ref="C206:C209"/>
    <x:mergeCell ref="D206:D207"/>
    <x:mergeCell ref="D208:D209"/>
    <x:mergeCell ref="C211:C214"/>
    <x:mergeCell ref="D211:D212"/>
    <x:mergeCell ref="D216:D217"/>
    <x:mergeCell ref="C216:C219"/>
    <x:mergeCell ref="C226:C229"/>
    <x:mergeCell ref="D226:D227"/>
    <x:mergeCell ref="D75:D76"/>
    <x:mergeCell ref="C58:C61"/>
    <x:mergeCell ref="C63:C66"/>
    <x:mergeCell ref="D213:D214"/>
    <x:mergeCell ref="C53:C56"/>
    <x:mergeCell ref="D53:D54"/>
    <x:mergeCell ref="D55:D56"/>
    <x:mergeCell ref="C73:C76"/>
    <x:mergeCell ref="D58:D59"/>
    <x:mergeCell ref="D60:D61"/>
    <x:mergeCell ref="D63:D64"/>
    <x:mergeCell ref="D65:D66"/>
    <x:mergeCell ref="D73:D74"/>
    <x:mergeCell ref="C68:C71"/>
    <x:mergeCell ref="D68:D69"/>
    <x:mergeCell ref="D70:D71"/>
    <x:mergeCell ref="C468:C471"/>
    <x:mergeCell ref="D468:D469"/>
    <x:mergeCell ref="D470:D471"/>
    <x:mergeCell ref="C348:C351"/>
    <x:mergeCell ref="D348:D349"/>
    <x:mergeCell ref="D350:D351"/>
    <x:mergeCell ref="C353:C356"/>
    <x:mergeCell ref="D353:D354"/>
    <x:mergeCell ref="D355:D356"/>
    <x:mergeCell ref="C363:C366"/>
    <x:mergeCell ref="D363:D364"/>
    <x:mergeCell ref="D365:D366"/>
    <x:mergeCell ref="C368:C371"/>
    <x:mergeCell ref="D368:D369"/>
    <x:mergeCell ref="D370:D371"/>
    <x:mergeCell ref="C358:C361"/>
    <x:mergeCell ref="D575:D576"/>
    <x:mergeCell ref="C493:C496"/>
    <x:mergeCell ref="C473:C476"/>
    <x:mergeCell ref="D473:D474"/>
    <x:mergeCell ref="D475:D476"/>
    <x:mergeCell ref="C478:C481"/>
    <x:mergeCell ref="D478:D479"/>
    <x:mergeCell ref="D480:D481"/>
    <x:mergeCell ref="C488:C491"/>
    <x:mergeCell ref="D488:D489"/>
    <x:mergeCell ref="D490:D491"/>
    <x:mergeCell ref="D493:D494"/>
    <x:mergeCell ref="C483:C486"/>
    <x:mergeCell ref="D483:D484"/>
    <x:mergeCell ref="D485:D486"/>
  </x:mergeCell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Z455"/>
  <x:sheetViews>
    <x:sheetView zoomScale="89" zoomScaleNormal="89" workbookViewId="0">
      <x:pane ySplit="2" topLeftCell="A3" activePane="bottomLeft" state="frozen"/>
      <x:selection activeCell="A6" sqref="A6"/>
      <x:selection pane="bottomLeft" activeCell="D1" sqref="D1"/>
    </x:sheetView>
  </x:sheetViews>
  <x:sheetFormatPr baseColWidth="10" defaultColWidth="11.5703125" defaultRowHeight="14.25" x14ac:dyDescent="0.2"/>
  <x:cols>
    <x:col min="1" max="1" width="12.28515625" style="25" bestFit="1" customWidth="1"/>
    <x:col min="2" max="2" width="29.85546875" style="25" bestFit="1" customWidth="1"/>
    <x:col min="3" max="3" width="12.7109375" style="25" bestFit="1" customWidth="1"/>
    <x:col min="4" max="4" width="25.7109375" style="25" bestFit="1" customWidth="1"/>
    <x:col min="5" max="5" width="14.85546875" style="25" bestFit="1" customWidth="1"/>
    <x:col min="6" max="6" width="18.140625" style="25" bestFit="1" customWidth="1"/>
    <x:col min="7" max="7" width="17.85546875" style="25" bestFit="1" customWidth="1"/>
    <x:col min="8" max="8" width="20.140625" style="25" bestFit="1" customWidth="1"/>
    <x:col min="9" max="9" width="18.42578125" style="25" bestFit="1" customWidth="1"/>
    <x:col min="10" max="10" width="19.42578125" style="25" bestFit="1" customWidth="1"/>
    <x:col min="11" max="11" width="11.5703125" style="25" bestFit="1" customWidth="1"/>
    <x:col min="12" max="12" width="18.28515625" style="25" bestFit="1" customWidth="1"/>
    <x:col min="13" max="15" width="18.140625" style="25" bestFit="1" customWidth="1"/>
    <x:col min="16" max="16" width="23.28515625" style="25" bestFit="1" customWidth="1"/>
    <x:col min="17" max="17" width="10.140625" style="25" bestFit="1" customWidth="1"/>
    <x:col min="18" max="18" width="15.85546875" style="25" bestFit="1" customWidth="1"/>
    <x:col min="19" max="19" width="4.85546875" style="25" bestFit="1" customWidth="1"/>
    <x:col min="20" max="25" width="11.5703125" style="25"/>
    <x:col min="26" max="26" width="2.28515625" style="25" customWidth="1"/>
    <x:col min="27" max="16384" width="11.5703125" style="25"/>
  </x:cols>
  <x:sheetData>
    <x:row r="1" spans="1:26" ht="15" x14ac:dyDescent="0.25">
      <x:c r="B1" s="676" t="s">
        <x:v>74</x:v>
      </x:c>
      <x:c r="Z1" s="624"/>
    </x:row>
    <x:row r="2" spans="1:26" s="50" customFormat="1" ht="15" x14ac:dyDescent="0.25">
      <x:c r="E2" s="669" t="s">
        <x:v>70</x:v>
      </x:c>
      <x:c r="F2" s="669" t="s">
        <x:v>64</x:v>
      </x:c>
      <x:c r="G2" s="669" t="s">
        <x:v>65</x:v>
      </x:c>
      <x:c r="H2" s="674" t="s">
        <x:v>164</x:v>
      </x:c>
      <x:c r="I2" s="669" t="s">
        <x:v>69</x:v>
      </x:c>
      <x:c r="J2" s="669" t="s">
        <x:v>68</x:v>
      </x:c>
      <x:c r="K2" s="669" t="s">
        <x:v>83</x:v>
      </x:c>
      <x:c r="L2" s="669" t="s">
        <x:v>66</x:v>
      </x:c>
      <x:c r="M2" s="669" t="s">
        <x:v>63</x:v>
      </x:c>
      <x:c r="N2" s="669" t="s">
        <x:v>61</x:v>
      </x:c>
      <x:c r="O2" s="669" t="s">
        <x:v>62</x:v>
      </x:c>
      <x:c r="P2" s="669" t="s">
        <x:v>67</x:v>
      </x:c>
      <x:c r="Q2" s="669" t="s">
        <x:v>84</x:v>
      </x:c>
      <x:c r="R2" s="669" t="s">
        <x:v>226</x:v>
      </x:c>
      <x:c r="Z2" s="618"/>
    </x:row>
    <x:row r="3" spans="1:26" x14ac:dyDescent="0.2">
      <x:c r="D3" s="25" t="s">
        <x:v>72</x:v>
      </x:c>
      <x:c r="E3" s="627" t="n">
        <x:v>104754634.94</x:v>
      </x:c>
      <x:c r="F3" s="627" t="n">
        <x:v>6975298.69</x:v>
      </x:c>
      <x:c r="G3" s="627" t="n">
        <x:v>3988878.11</x:v>
      </x:c>
      <x:c r="H3" s="627" t="n">
        <x:v>1891710.46</x:v>
      </x:c>
      <x:c r="I3" s="627" t="n">
        <x:v>21813833.06</x:v>
      </x:c>
      <x:c r="J3" s="627" t="n">
        <x:v>885097.78</x:v>
      </x:c>
      <x:c r="K3" s="627" t="n">
        <x:v>0</x:v>
      </x:c>
      <x:c r="L3" s="627" t="n">
        <x:v>8065770.61</x:v>
      </x:c>
      <x:c r="M3" s="627" t="n">
        <x:v>7536469.12</x:v>
      </x:c>
      <x:c r="N3" s="627" t="n">
        <x:v>33213003.72</x:v>
      </x:c>
      <x:c r="O3" s="627" t="n">
        <x:v>19115514.46</x:v>
      </x:c>
      <x:c r="P3" s="627" t="n">
        <x:v>1269059.56</x:v>
      </x:c>
      <x:c r="Q3" s="627" t="n">
        <x:v>-0.63</x:v>
      </x:c>
      <x:c r="R3" s="653" t="n">
        <x:v>0</x:v>
      </x:c>
      <x:c r="Z3" s="624"/>
    </x:row>
    <x:row r="4" spans="1:26" x14ac:dyDescent="0.2">
      <x:c r="D4" s="25" t="s">
        <x:v>81</x:v>
      </x:c>
      <x:c r="E4" s="653" t="n">
        <x:v>15816.77</x:v>
      </x:c>
      <x:c r="F4" s="653" t="n">
        <x:v>1163.38</x:v>
      </x:c>
      <x:c r="G4" s="653" t="n">
        <x:v>642.32</x:v>
      </x:c>
      <x:c r="H4" s="653" t="n">
        <x:v>341.55</x:v>
      </x:c>
      <x:c r="I4" s="653" t="n">
        <x:v>3027.69</x:v>
      </x:c>
      <x:c r="J4" s="653" t="n">
        <x:v>126.06</x:v>
      </x:c>
      <x:c r="K4" s="653" t="n">
        <x:v>0</x:v>
      </x:c>
      <x:c r="L4" s="653" t="n">
        <x:v>1110.61</x:v>
      </x:c>
      <x:c r="M4" s="653" t="n">
        <x:v>1054.19</x:v>
      </x:c>
      <x:c r="N4" s="653" t="n">
        <x:v>4963.73</x:v>
      </x:c>
      <x:c r="O4" s="653" t="n">
        <x:v>3181.55</x:v>
      </x:c>
      <x:c r="P4" s="653" t="n">
        <x:v>205.61</x:v>
      </x:c>
      <x:c r="Q4" s="653" t="n">
        <x:v>0.08</x:v>
      </x:c>
      <x:c r="R4" s="653" t="n">
        <x:v>0</x:v>
      </x:c>
      <x:c r="Z4" s="624"/>
    </x:row>
    <x:row r="5" spans="1:26" x14ac:dyDescent="0.2">
      <x:c r="C5" s="25" t="s">
        <x:v>156</x:v>
      </x:c>
      <x:c r="D5" s="25" t="s">
        <x:v>70</x:v>
      </x:c>
      <x:c r="E5" s="653" t="n">
        <x:v>104770451.71</x:v>
      </x:c>
      <x:c r="F5" s="653" t="n">
        <x:v>6976462.07</x:v>
      </x:c>
      <x:c r="G5" s="653" t="n">
        <x:v>3989520.43</x:v>
      </x:c>
      <x:c r="H5" s="653" t="n">
        <x:v>1892052.01</x:v>
      </x:c>
      <x:c r="I5" s="653" t="n">
        <x:v>21816860.75</x:v>
      </x:c>
      <x:c r="J5" s="653" t="n">
        <x:v>885223.84</x:v>
      </x:c>
      <x:c r="K5" s="653" t="n">
        <x:v>0</x:v>
      </x:c>
      <x:c r="L5" s="653" t="n">
        <x:v>8066881.22</x:v>
      </x:c>
      <x:c r="M5" s="653" t="n">
        <x:v>7537523.31</x:v>
      </x:c>
      <x:c r="N5" s="653" t="n">
        <x:v>33217967.45</x:v>
      </x:c>
      <x:c r="O5" s="653" t="n">
        <x:v>19118696.01</x:v>
      </x:c>
      <x:c r="P5" s="653" t="n">
        <x:v>1269265.17</x:v>
      </x:c>
      <x:c r="Q5" s="653" t="n">
        <x:v>-0.55</x:v>
      </x:c>
      <x:c r="R5" s="653" t="n">
        <x:v>0</x:v>
      </x:c>
      <x:c r="Z5" s="624"/>
    </x:row>
    <x:row r="6" spans="1:26" x14ac:dyDescent="0.2">
      <x:c r="A6" s="628"/>
      <x:c r="B6" s="628" t="s">
        <x:v>155</x:v>
      </x:c>
      <x:c r="C6" s="628" t="s">
        <x:v>70</x:v>
      </x:c>
      <x:c r="D6" s="628"/>
      <x:c r="E6" s="677" t="n">
        <x:v>104770451.71</x:v>
      </x:c>
      <x:c r="F6" s="677" t="n">
        <x:v>6976462.07</x:v>
      </x:c>
      <x:c r="G6" s="677" t="n">
        <x:v>3989520.43</x:v>
      </x:c>
      <x:c r="H6" s="677" t="n">
        <x:v>1892052.01</x:v>
      </x:c>
      <x:c r="I6" s="677" t="n">
        <x:v>21816860.75</x:v>
      </x:c>
      <x:c r="J6" s="677" t="n">
        <x:v>885223.84</x:v>
      </x:c>
      <x:c r="K6" s="677" t="n">
        <x:v>0</x:v>
      </x:c>
      <x:c r="L6" s="677" t="n">
        <x:v>8066881.22</x:v>
      </x:c>
      <x:c r="M6" s="677" t="n">
        <x:v>7537523.31</x:v>
      </x:c>
      <x:c r="N6" s="677" t="n">
        <x:v>33217967.45</x:v>
      </x:c>
      <x:c r="O6" s="677" t="n">
        <x:v>19118696.01</x:v>
      </x:c>
      <x:c r="P6" s="677" t="n">
        <x:v>1269265.17</x:v>
      </x:c>
      <x:c r="Q6" s="677" t="n">
        <x:v>-0.55</x:v>
      </x:c>
      <x:c r="R6" s="677" t="n">
        <x:v>0</x:v>
      </x:c>
      <x:c r="S6" s="628"/>
      <x:c r="T6" s="628"/>
      <x:c r="U6" s="628"/>
      <x:c r="V6" s="628"/>
      <x:c r="W6" s="628"/>
      <x:c r="X6" s="628"/>
      <x:c r="Y6" s="628"/>
      <x:c r="Z6" s="624"/>
    </x:row>
    <x:row r="7" spans="1:26" x14ac:dyDescent="0.2">
      <x:c r="D7" s="25" t="s">
        <x:v>72</x:v>
      </x:c>
      <x:c r="E7" s="653" t="n">
        <x:v>2066328.15</x:v>
      </x:c>
      <x:c r="F7" s="653" t="n">
        <x:v>95509.13</x:v>
      </x:c>
      <x:c r="G7" s="653" t="n">
        <x:v>53786.6</x:v>
      </x:c>
      <x:c r="H7" s="653" t="n">
        <x:v>25807.38</x:v>
      </x:c>
      <x:c r="I7" s="653" t="n">
        <x:v>498516.51</x:v>
      </x:c>
      <x:c r="J7" s="653" t="n">
        <x:v>14869.65</x:v>
      </x:c>
      <x:c r="K7" s="653" t="n">
        <x:v>0</x:v>
      </x:c>
      <x:c r="L7" s="653" t="n">
        <x:v>154839.34</x:v>
      </x:c>
      <x:c r="M7" s="653" t="n">
        <x:v>178346.64</x:v>
      </x:c>
      <x:c r="N7" s="653" t="n">
        <x:v>760377.7</x:v>
      </x:c>
      <x:c r="O7" s="653" t="n">
        <x:v>261105.9</x:v>
      </x:c>
      <x:c r="P7" s="653" t="n">
        <x:v>23181.14</x:v>
      </x:c>
      <x:c r="Q7" s="653" t="n">
        <x:v>-11.84</x:v>
      </x:c>
      <x:c r="R7" s="653" t="n">
        <x:v>0</x:v>
      </x:c>
      <x:c r="Z7" s="624"/>
    </x:row>
    <x:row r="8" spans="1:26" x14ac:dyDescent="0.2">
      <x:c r="D8" s="25" t="s">
        <x:v>81</x:v>
      </x:c>
      <x:c r="E8" s="653" t="n">
        <x:v>53.09</x:v>
      </x:c>
      <x:c r="F8" s="653" t="n">
        <x:v>2.2</x:v>
      </x:c>
      <x:c r="G8" s="653" t="n">
        <x:v>1.21</x:v>
      </x:c>
      <x:c r="H8" s="653" t="n">
        <x:v>0.66</x:v>
      </x:c>
      <x:c r="I8" s="653" t="n">
        <x:v>13.81</x:v>
      </x:c>
      <x:c r="J8" s="653" t="n">
        <x:v>0.47</x:v>
      </x:c>
      <x:c r="K8" s="653" t="n">
        <x:v>0</x:v>
      </x:c>
      <x:c r="L8" s="653" t="n">
        <x:v>4.11</x:v>
      </x:c>
      <x:c r="M8" s="653" t="n">
        <x:v>4.2</x:v>
      </x:c>
      <x:c r="N8" s="653" t="n">
        <x:v>19.61</x:v>
      </x:c>
      <x:c r="O8" s="653" t="n">
        <x:v>6.05</x:v>
      </x:c>
      <x:c r="P8" s="653" t="n">
        <x:v>0.77</x:v>
      </x:c>
      <x:c r="Q8" s="653" t="n">
        <x:v>0</x:v>
      </x:c>
      <x:c r="R8" s="653" t="n">
        <x:v>0</x:v>
      </x:c>
      <x:c r="Z8" s="624"/>
    </x:row>
    <x:row r="9" spans="1:26" x14ac:dyDescent="0.2">
      <x:c r="C9" s="25" t="s">
        <x:v>82</x:v>
      </x:c>
      <x:c r="D9" s="25" t="s">
        <x:v>70</x:v>
      </x:c>
      <x:c r="E9" s="653" t="n">
        <x:v>2066381.24</x:v>
      </x:c>
      <x:c r="F9" s="653" t="n">
        <x:v>95511.33</x:v>
      </x:c>
      <x:c r="G9" s="653" t="n">
        <x:v>53787.81</x:v>
      </x:c>
      <x:c r="H9" s="653" t="n">
        <x:v>25808.04</x:v>
      </x:c>
      <x:c r="I9" s="653" t="n">
        <x:v>498530.32</x:v>
      </x:c>
      <x:c r="J9" s="653" t="n">
        <x:v>14870.12</x:v>
      </x:c>
      <x:c r="K9" s="653" t="n">
        <x:v>0</x:v>
      </x:c>
      <x:c r="L9" s="653" t="n">
        <x:v>154843.45</x:v>
      </x:c>
      <x:c r="M9" s="653" t="n">
        <x:v>178350.84</x:v>
      </x:c>
      <x:c r="N9" s="653" t="n">
        <x:v>760397.31</x:v>
      </x:c>
      <x:c r="O9" s="653" t="n">
        <x:v>261111.95</x:v>
      </x:c>
      <x:c r="P9" s="653" t="n">
        <x:v>23181.91</x:v>
      </x:c>
      <x:c r="Q9" s="653" t="n">
        <x:v>-11.84</x:v>
      </x:c>
      <x:c r="R9" s="653" t="n">
        <x:v>0</x:v>
      </x:c>
      <x:c r="Z9" s="624"/>
    </x:row>
    <x:row r="10" spans="1:26" x14ac:dyDescent="0.2">
      <x:c r="D10" s="25" t="s">
        <x:v>72</x:v>
      </x:c>
      <x:c r="E10" s="653" t="n">
        <x:v>1667705.29</x:v>
      </x:c>
      <x:c r="F10" s="653" t="n">
        <x:v>94831.21</x:v>
      </x:c>
      <x:c r="G10" s="653" t="n">
        <x:v>53653.37</x:v>
      </x:c>
      <x:c r="H10" s="653" t="n">
        <x:v>23974.41</x:v>
      </x:c>
      <x:c r="I10" s="653" t="n">
        <x:v>360931.98</x:v>
      </x:c>
      <x:c r="J10" s="653" t="n">
        <x:v>13656.23</x:v>
      </x:c>
      <x:c r="K10" s="653" t="n">
        <x:v>0</x:v>
      </x:c>
      <x:c r="L10" s="653" t="n">
        <x:v>118901.31</x:v>
      </x:c>
      <x:c r="M10" s="653" t="n">
        <x:v>135021.65</x:v>
      </x:c>
      <x:c r="N10" s="653" t="n">
        <x:v>589240.87</x:v>
      </x:c>
      <x:c r="O10" s="653" t="n">
        <x:v>258802.75</x:v>
      </x:c>
      <x:c r="P10" s="653" t="n">
        <x:v>18683.4</x:v>
      </x:c>
      <x:c r="Q10" s="653" t="n">
        <x:v>8.11</x:v>
      </x:c>
      <x:c r="R10" s="653" t="n">
        <x:v>0</x:v>
      </x:c>
      <x:c r="Z10" s="624"/>
    </x:row>
    <x:row r="11" spans="1:26" x14ac:dyDescent="0.2">
      <x:c r="D11" s="25" t="s">
        <x:v>81</x:v>
      </x:c>
      <x:c r="E11" s="653" t="n">
        <x:v>534.46</x:v>
      </x:c>
      <x:c r="F11" s="653" t="n">
        <x:v>31.52</x:v>
      </x:c>
      <x:c r="G11" s="653" t="n">
        <x:v>17.83</x:v>
      </x:c>
      <x:c r="H11" s="653" t="n">
        <x:v>9.34</x:v>
      </x:c>
      <x:c r="I11" s="653" t="n">
        <x:v>118.64</x:v>
      </x:c>
      <x:c r="J11" s="653" t="n">
        <x:v>4.45</x:v>
      </x:c>
      <x:c r="K11" s="653" t="n">
        <x:v>0</x:v>
      </x:c>
      <x:c r="L11" s="653" t="n">
        <x:v>39.04</x:v>
      </x:c>
      <x:c r="M11" s="653" t="n">
        <x:v>38.33</x:v>
      </x:c>
      <x:c r="N11" s="653" t="n">
        <x:v>181.9</x:v>
      </x:c>
      <x:c r="O11" s="653" t="n">
        <x:v>86.11</x:v>
      </x:c>
      <x:c r="P11" s="653" t="n">
        <x:v>7.3</x:v>
      </x:c>
      <x:c r="Q11" s="653" t="n">
        <x:v>0</x:v>
      </x:c>
      <x:c r="R11" s="653" t="n">
        <x:v>0</x:v>
      </x:c>
      <x:c r="Z11" s="624"/>
    </x:row>
    <x:row r="12" spans="1:26" x14ac:dyDescent="0.2">
      <x:c r="C12" s="25" t="s">
        <x:v>86</x:v>
      </x:c>
      <x:c r="D12" s="25" t="s">
        <x:v>70</x:v>
      </x:c>
      <x:c r="E12" s="653" t="n">
        <x:v>1668239.75</x:v>
      </x:c>
      <x:c r="F12" s="653" t="n">
        <x:v>94862.73</x:v>
      </x:c>
      <x:c r="G12" s="653" t="n">
        <x:v>53671.2</x:v>
      </x:c>
      <x:c r="H12" s="653" t="n">
        <x:v>23983.75</x:v>
      </x:c>
      <x:c r="I12" s="653" t="n">
        <x:v>361050.62</x:v>
      </x:c>
      <x:c r="J12" s="653" t="n">
        <x:v>13660.68</x:v>
      </x:c>
      <x:c r="K12" s="653" t="n">
        <x:v>0</x:v>
      </x:c>
      <x:c r="L12" s="653" t="n">
        <x:v>118940.35</x:v>
      </x:c>
      <x:c r="M12" s="653" t="n">
        <x:v>135059.98</x:v>
      </x:c>
      <x:c r="N12" s="653" t="n">
        <x:v>589422.77</x:v>
      </x:c>
      <x:c r="O12" s="653" t="n">
        <x:v>258888.86</x:v>
      </x:c>
      <x:c r="P12" s="653" t="n">
        <x:v>18690.7</x:v>
      </x:c>
      <x:c r="Q12" s="653" t="n">
        <x:v>8.11</x:v>
      </x:c>
      <x:c r="R12" s="653" t="n">
        <x:v>0</x:v>
      </x:c>
      <x:c r="Z12" s="624"/>
    </x:row>
    <x:row r="13" spans="1:26" x14ac:dyDescent="0.2">
      <x:c r="D13" s="25" t="s">
        <x:v>72</x:v>
      </x:c>
      <x:c r="E13" s="653" t="n">
        <x:v>18251249.02</x:v>
      </x:c>
      <x:c r="F13" s="653" t="n">
        <x:v>2466979.3</x:v>
      </x:c>
      <x:c r="G13" s="653" t="n">
        <x:v>1389961.36</x:v>
      </x:c>
      <x:c r="H13" s="653" t="n">
        <x:v>841642.79</x:v>
      </x:c>
      <x:c r="I13" s="653" t="n">
        <x:v>1865966.03</x:v>
      </x:c>
      <x:c r="J13" s="653" t="n">
        <x:v>51082.32</x:v>
      </x:c>
      <x:c r="K13" s="653" t="n">
        <x:v>0</x:v>
      </x:c>
      <x:c r="L13" s="653" t="n">
        <x:v>482981.31</x:v>
      </x:c>
      <x:c r="M13" s="653" t="n">
        <x:v>671717.75</x:v>
      </x:c>
      <x:c r="N13" s="653" t="n">
        <x:v>3043351.32</x:v>
      </x:c>
      <x:c r="O13" s="653" t="n">
        <x:v>7354815.64</x:v>
      </x:c>
      <x:c r="P13" s="653" t="n">
        <x:v>82820.66</x:v>
      </x:c>
      <x:c r="Q13" s="653" t="n">
        <x:v>-69.46</x:v>
      </x:c>
      <x:c r="R13" s="653" t="n">
        <x:v>0</x:v>
      </x:c>
      <x:c r="Z13" s="624"/>
    </x:row>
    <x:row r="14" spans="1:26" x14ac:dyDescent="0.2">
      <x:c r="D14" s="25" t="s">
        <x:v>81</x:v>
      </x:c>
      <x:c r="E14" s="653" t="n">
        <x:v>35670.7</x:v>
      </x:c>
      <x:c r="F14" s="653" t="n">
        <x:v>6587.48</x:v>
      </x:c>
      <x:c r="G14" s="653" t="n">
        <x:v>3721.93</x:v>
      </x:c>
      <x:c r="H14" s="653" t="n">
        <x:v>1963.44</x:v>
      </x:c>
      <x:c r="I14" s="653" t="n">
        <x:v>1660.15</x:v>
      </x:c>
      <x:c r="J14" s="653" t="n">
        <x:v>49.7</x:v>
      </x:c>
      <x:c r="K14" s="653" t="n">
        <x:v>0</x:v>
      </x:c>
      <x:c r="L14" s="653" t="n">
        <x:v>436.97</x:v>
      </x:c>
      <x:c r="M14" s="653" t="n">
        <x:v>541.21</x:v>
      </x:c>
      <x:c r="N14" s="653" t="n">
        <x:v>2526.1</x:v>
      </x:c>
      <x:c r="O14" s="653" t="n">
        <x:v>18102.54</x:v>
      </x:c>
      <x:c r="P14" s="653" t="n">
        <x:v>81.19</x:v>
      </x:c>
      <x:c r="Q14" s="653" t="n">
        <x:v>-0.01</x:v>
      </x:c>
      <x:c r="R14" s="653" t="n">
        <x:v>0</x:v>
      </x:c>
      <x:c r="Z14" s="624"/>
    </x:row>
    <x:row r="15" spans="1:26" x14ac:dyDescent="0.2">
      <x:c r="C15" s="625" t="s">
        <x:v>87</x:v>
      </x:c>
      <x:c r="D15" s="625" t="s">
        <x:v>70</x:v>
      </x:c>
      <x:c r="E15" s="627" t="n">
        <x:v>18286919.72</x:v>
      </x:c>
      <x:c r="F15" s="627" t="n">
        <x:v>2473566.78</x:v>
      </x:c>
      <x:c r="G15" s="627" t="n">
        <x:v>1393683.29</x:v>
      </x:c>
      <x:c r="H15" s="627" t="n">
        <x:v>843606.23</x:v>
      </x:c>
      <x:c r="I15" s="627" t="n">
        <x:v>1867626.18</x:v>
      </x:c>
      <x:c r="J15" s="627" t="n">
        <x:v>51132.02</x:v>
      </x:c>
      <x:c r="K15" s="627" t="n">
        <x:v>0</x:v>
      </x:c>
      <x:c r="L15" s="627" t="n">
        <x:v>483418.28</x:v>
      </x:c>
      <x:c r="M15" s="627" t="n">
        <x:v>672258.96</x:v>
      </x:c>
      <x:c r="N15" s="627" t="n">
        <x:v>3045877.42</x:v>
      </x:c>
      <x:c r="O15" s="627" t="n">
        <x:v>7372918.18</x:v>
      </x:c>
      <x:c r="P15" s="627" t="n">
        <x:v>82901.85</x:v>
      </x:c>
      <x:c r="Q15" s="627" t="n">
        <x:v>-69.47</x:v>
      </x:c>
      <x:c r="R15" s="653" t="n">
        <x:v>0</x:v>
      </x:c>
      <x:c r="Z15" s="624"/>
    </x:row>
    <x:row r="16" spans="1:26" x14ac:dyDescent="0.2">
      <x:c r="A16" s="631"/>
      <x:c r="B16" s="632" t="s">
        <x:v>119</x:v>
      </x:c>
      <x:c r="C16" s="632" t="s">
        <x:v>70</x:v>
      </x:c>
      <x:c r="D16" s="631"/>
      <x:c r="E16" s="633" t="n">
        <x:v>22021540.71</x:v>
      </x:c>
      <x:c r="F16" s="633" t="n">
        <x:v>2663940.84</x:v>
      </x:c>
      <x:c r="G16" s="633" t="n">
        <x:v>1501142.3</x:v>
      </x:c>
      <x:c r="H16" s="633" t="n">
        <x:v>893398.02</x:v>
      </x:c>
      <x:c r="I16" s="633" t="n">
        <x:v>2727207.12</x:v>
      </x:c>
      <x:c r="J16" s="633" t="n">
        <x:v>79662.82</x:v>
      </x:c>
      <x:c r="K16" s="633" t="n">
        <x:v>0</x:v>
      </x:c>
      <x:c r="L16" s="633" t="n">
        <x:v>757202.08</x:v>
      </x:c>
      <x:c r="M16" s="633" t="n">
        <x:v>985669.78</x:v>
      </x:c>
      <x:c r="N16" s="633" t="n">
        <x:v>4395697.5</x:v>
      </x:c>
      <x:c r="O16" s="633" t="n">
        <x:v>7892918.99</x:v>
      </x:c>
      <x:c r="P16" s="633" t="n">
        <x:v>124774.46</x:v>
      </x:c>
      <x:c r="Q16" s="633" t="n">
        <x:v>-73.2</x:v>
      </x:c>
      <x:c r="R16" s="678" t="n">
        <x:v>0</x:v>
      </x:c>
      <x:c r="S16" s="631"/>
      <x:c r="T16" s="631"/>
      <x:c r="U16" s="631"/>
      <x:c r="V16" s="631"/>
      <x:c r="W16" s="631"/>
      <x:c r="X16" s="631"/>
      <x:c r="Y16" s="631"/>
      <x:c r="Z16" s="624"/>
    </x:row>
    <x:row r="17" spans="1:26" x14ac:dyDescent="0.2">
      <x:c r="A17" s="639" t="s">
        <x:v>78</x:v>
      </x:c>
      <x:c r="B17" s="639" t="s">
        <x:v>70</x:v>
      </x:c>
      <x:c r="C17" s="638"/>
      <x:c r="D17" s="638"/>
      <x:c r="E17" s="640" t="n">
        <x:v>126791992.42</x:v>
      </x:c>
      <x:c r="F17" s="640" t="n">
        <x:v>9640402.91</x:v>
      </x:c>
      <x:c r="G17" s="640" t="n">
        <x:v>5490662.73</x:v>
      </x:c>
      <x:c r="H17" s="640" t="n">
        <x:v>2785450.03</x:v>
      </x:c>
      <x:c r="I17" s="640" t="n">
        <x:v>24544067.87</x:v>
      </x:c>
      <x:c r="J17" s="640" t="n">
        <x:v>964886.66</x:v>
      </x:c>
      <x:c r="K17" s="640" t="n">
        <x:v>0</x:v>
      </x:c>
      <x:c r="L17" s="640" t="n">
        <x:v>8824083.3</x:v>
      </x:c>
      <x:c r="M17" s="640" t="n">
        <x:v>8523193.09</x:v>
      </x:c>
      <x:c r="N17" s="640" t="n">
        <x:v>37613664.95</x:v>
      </x:c>
      <x:c r="O17" s="640" t="n">
        <x:v>27011615</x:v>
      </x:c>
      <x:c r="P17" s="640" t="n">
        <x:v>1394039.63</x:v>
      </x:c>
      <x:c r="Q17" s="640" t="n">
        <x:v>-73.75</x:v>
      </x:c>
      <x:c r="R17" s="679" t="n">
        <x:v>0</x:v>
      </x:c>
      <x:c r="S17" s="638"/>
      <x:c r="T17" s="638"/>
      <x:c r="U17" s="638"/>
      <x:c r="V17" s="638"/>
      <x:c r="W17" s="638"/>
      <x:c r="X17" s="638"/>
      <x:c r="Y17" s="638"/>
      <x:c r="Z17" s="624"/>
    </x:row>
    <x:row r="18" spans="1:26" x14ac:dyDescent="0.2">
      <x:c r="D18" s="625" t="s">
        <x:v>73</x:v>
      </x:c>
      <x:c r="E18" s="627" t="n">
        <x:v>-7679309.19</x:v>
      </x:c>
      <x:c r="F18" s="627" t="n">
        <x:v>637875.65</x:v>
      </x:c>
      <x:c r="G18" s="627" t="n">
        <x:v>341985.27</x:v>
      </x:c>
      <x:c r="H18" s="627" t="n">
        <x:v>179997</x:v>
      </x:c>
      <x:c r="I18" s="627" t="n">
        <x:v>-2784147.34</x:v>
      </x:c>
      <x:c r="J18" s="627" t="n">
        <x:v>-136924.32</x:v>
      </x:c>
      <x:c r="K18" s="627" t="n">
        <x:v>0</x:v>
      </x:c>
      <x:c r="L18" s="627" t="n">
        <x:v>-1201987.13</x:v>
      </x:c>
      <x:c r="M18" s="627" t="n">
        <x:v>-1088414.75</x:v>
      </x:c>
      <x:c r="N18" s="627" t="n">
        <x:v>-5141699.01</x:v>
      </x:c>
      <x:c r="O18" s="627" t="n">
        <x:v>1734349.59</x:v>
      </x:c>
      <x:c r="P18" s="627" t="n">
        <x:v>-220344.15</x:v>
      </x:c>
      <x:c r="Q18" s="627" t="n">
        <x:v>0</x:v>
      </x:c>
      <x:c r="R18" s="653" t="n">
        <x:v>0</x:v>
      </x:c>
      <x:c r="Z18" s="624"/>
    </x:row>
    <x:row r="19" spans="1:26" x14ac:dyDescent="0.2">
      <x:c r="C19" s="625" t="s">
        <x:v>156</x:v>
      </x:c>
      <x:c r="D19" s="625" t="s">
        <x:v>70</x:v>
      </x:c>
      <x:c r="E19" s="627" t="n">
        <x:v>-7679309.19</x:v>
      </x:c>
      <x:c r="F19" s="627" t="n">
        <x:v>637875.65</x:v>
      </x:c>
      <x:c r="G19" s="627" t="n">
        <x:v>341985.27</x:v>
      </x:c>
      <x:c r="H19" s="627" t="n">
        <x:v>179997</x:v>
      </x:c>
      <x:c r="I19" s="627" t="n">
        <x:v>-2784147.34</x:v>
      </x:c>
      <x:c r="J19" s="627" t="n">
        <x:v>-136924.32</x:v>
      </x:c>
      <x:c r="K19" s="627" t="n">
        <x:v>0</x:v>
      </x:c>
      <x:c r="L19" s="627" t="n">
        <x:v>-1201987.13</x:v>
      </x:c>
      <x:c r="M19" s="627" t="n">
        <x:v>-1088414.75</x:v>
      </x:c>
      <x:c r="N19" s="627" t="n">
        <x:v>-5141699.01</x:v>
      </x:c>
      <x:c r="O19" s="627" t="n">
        <x:v>1734349.59</x:v>
      </x:c>
      <x:c r="P19" s="627" t="n">
        <x:v>-220344.15</x:v>
      </x:c>
      <x:c r="Q19" s="627" t="n">
        <x:v>0</x:v>
      </x:c>
      <x:c r="R19" s="653" t="n">
        <x:v>0</x:v>
      </x:c>
      <x:c r="Z19" s="624"/>
    </x:row>
    <x:row r="20" spans="1:26" x14ac:dyDescent="0.2">
      <x:c r="A20" s="628"/>
      <x:c r="B20" s="628" t="s">
        <x:v>155</x:v>
      </x:c>
      <x:c r="C20" s="628" t="s">
        <x:v>70</x:v>
      </x:c>
      <x:c r="D20" s="628"/>
      <x:c r="E20" s="677" t="n">
        <x:v>-7679309.19</x:v>
      </x:c>
      <x:c r="F20" s="677" t="n">
        <x:v>637875.65</x:v>
      </x:c>
      <x:c r="G20" s="677" t="n">
        <x:v>341985.27</x:v>
      </x:c>
      <x:c r="H20" s="677" t="n">
        <x:v>179997</x:v>
      </x:c>
      <x:c r="I20" s="677" t="n">
        <x:v>-2784147.34</x:v>
      </x:c>
      <x:c r="J20" s="677" t="n">
        <x:v>-136924.32</x:v>
      </x:c>
      <x:c r="K20" s="677" t="n">
        <x:v>0</x:v>
      </x:c>
      <x:c r="L20" s="677" t="n">
        <x:v>-1201987.13</x:v>
      </x:c>
      <x:c r="M20" s="677" t="n">
        <x:v>-1088414.75</x:v>
      </x:c>
      <x:c r="N20" s="677" t="n">
        <x:v>-5141699.01</x:v>
      </x:c>
      <x:c r="O20" s="677" t="n">
        <x:v>1734349.59</x:v>
      </x:c>
      <x:c r="P20" s="677" t="n">
        <x:v>-220344.15</x:v>
      </x:c>
      <x:c r="Q20" s="677" t="n">
        <x:v>0</x:v>
      </x:c>
      <x:c r="R20" s="677" t="n">
        <x:v>0</x:v>
      </x:c>
      <x:c r="S20" s="628"/>
      <x:c r="T20" s="628"/>
      <x:c r="U20" s="628"/>
      <x:c r="V20" s="628"/>
      <x:c r="W20" s="628"/>
      <x:c r="X20" s="628"/>
      <x:c r="Y20" s="628"/>
      <x:c r="Z20" s="624"/>
    </x:row>
    <x:row r="21" spans="1:26" x14ac:dyDescent="0.2">
      <x:c r="D21" s="625" t="s">
        <x:v>73</x:v>
      </x:c>
      <x:c r="E21" s="627" t="n">
        <x:v>-50554.72</x:v>
      </x:c>
      <x:c r="F21" s="627" t="n">
        <x:v>4736.11</x:v>
      </x:c>
      <x:c r="G21" s="627" t="n">
        <x:v>2674.07</x:v>
      </x:c>
      <x:c r="H21" s="627" t="n">
        <x:v>345.4</x:v>
      </x:c>
      <x:c r="I21" s="627" t="n">
        <x:v>-23429.04</x:v>
      </x:c>
      <x:c r="J21" s="627" t="n">
        <x:v>-1776.06</x:v>
      </x:c>
      <x:c r="K21" s="627" t="n">
        <x:v>0</x:v>
      </x:c>
      <x:c r="L21" s="627" t="n">
        <x:v>-14634.19</x:v>
      </x:c>
      <x:c r="M21" s="627" t="n">
        <x:v>-5072.07</x:v>
      </x:c>
      <x:c r="N21" s="627" t="n">
        <x:v>-23919.85</x:v>
      </x:c>
      <x:c r="O21" s="627" t="n">
        <x:v>13249.96</x:v>
      </x:c>
      <x:c r="P21" s="627" t="n">
        <x:v>-2729.05</x:v>
      </x:c>
      <x:c r="Q21" s="627" t="n">
        <x:v>0</x:v>
      </x:c>
      <x:c r="R21" s="653" t="n">
        <x:v>0</x:v>
      </x:c>
      <x:c r="Z21" s="624"/>
    </x:row>
    <x:row r="22" spans="1:26" x14ac:dyDescent="0.2">
      <x:c r="C22" s="625" t="s">
        <x:v>82</x:v>
      </x:c>
      <x:c r="D22" s="625" t="s">
        <x:v>70</x:v>
      </x:c>
      <x:c r="E22" s="627" t="n">
        <x:v>-50554.72</x:v>
      </x:c>
      <x:c r="F22" s="627" t="n">
        <x:v>4736.11</x:v>
      </x:c>
      <x:c r="G22" s="627" t="n">
        <x:v>2674.07</x:v>
      </x:c>
      <x:c r="H22" s="627" t="n">
        <x:v>345.4</x:v>
      </x:c>
      <x:c r="I22" s="627" t="n">
        <x:v>-23429.04</x:v>
      </x:c>
      <x:c r="J22" s="627" t="n">
        <x:v>-1776.06</x:v>
      </x:c>
      <x:c r="K22" s="627" t="n">
        <x:v>0</x:v>
      </x:c>
      <x:c r="L22" s="627" t="n">
        <x:v>-14634.19</x:v>
      </x:c>
      <x:c r="M22" s="627" t="n">
        <x:v>-5072.07</x:v>
      </x:c>
      <x:c r="N22" s="627" t="n">
        <x:v>-23919.85</x:v>
      </x:c>
      <x:c r="O22" s="627" t="n">
        <x:v>13249.96</x:v>
      </x:c>
      <x:c r="P22" s="627" t="n">
        <x:v>-2729.05</x:v>
      </x:c>
      <x:c r="Q22" s="627" t="n">
        <x:v>0</x:v>
      </x:c>
      <x:c r="R22" s="653" t="n">
        <x:v>0</x:v>
      </x:c>
      <x:c r="Z22" s="624"/>
    </x:row>
    <x:row r="23" spans="1:26" x14ac:dyDescent="0.2">
      <x:c r="D23" s="625" t="s">
        <x:v>73</x:v>
      </x:c>
      <x:c r="E23" s="627" t="n">
        <x:v>-41372.31</x:v>
      </x:c>
      <x:c r="F23" s="627" t="n">
        <x:v>12793.71</x:v>
      </x:c>
      <x:c r="G23" s="627" t="n">
        <x:v>7223.37</x:v>
      </x:c>
      <x:c r="H23" s="627" t="n">
        <x:v>821.96</x:v>
      </x:c>
      <x:c r="I23" s="627" t="n">
        <x:v>-13378.5</x:v>
      </x:c>
      <x:c r="J23" s="627" t="n">
        <x:v>-1510.5</x:v>
      </x:c>
      <x:c r="K23" s="627" t="n">
        <x:v>0</x:v>
      </x:c>
      <x:c r="L23" s="627" t="n">
        <x:v>-12344.21</x:v>
      </x:c>
      <x:c r="M23" s="627" t="n">
        <x:v>-12400.64</x:v>
      </x:c>
      <x:c r="N23" s="627" t="n">
        <x:v>-55249.52</x:v>
      </x:c>
      <x:c r="O23" s="627" t="n">
        <x:v>35136.41</x:v>
      </x:c>
      <x:c r="P23" s="627" t="n">
        <x:v>-2464.39</x:v>
      </x:c>
      <x:c r="Q23" s="627" t="n">
        <x:v>0</x:v>
      </x:c>
      <x:c r="R23" s="653" t="n">
        <x:v>0</x:v>
      </x:c>
      <x:c r="Z23" s="624"/>
    </x:row>
    <x:row r="24" spans="1:26" x14ac:dyDescent="0.2">
      <x:c r="C24" s="625" t="s">
        <x:v>86</x:v>
      </x:c>
      <x:c r="D24" s="625" t="s">
        <x:v>70</x:v>
      </x:c>
      <x:c r="E24" s="627" t="n">
        <x:v>-41372.31</x:v>
      </x:c>
      <x:c r="F24" s="627" t="n">
        <x:v>12793.71</x:v>
      </x:c>
      <x:c r="G24" s="627" t="n">
        <x:v>7223.37</x:v>
      </x:c>
      <x:c r="H24" s="627" t="n">
        <x:v>821.96</x:v>
      </x:c>
      <x:c r="I24" s="627" t="n">
        <x:v>-13378.5</x:v>
      </x:c>
      <x:c r="J24" s="627" t="n">
        <x:v>-1510.5</x:v>
      </x:c>
      <x:c r="K24" s="627" t="n">
        <x:v>0</x:v>
      </x:c>
      <x:c r="L24" s="627" t="n">
        <x:v>-12344.21</x:v>
      </x:c>
      <x:c r="M24" s="627" t="n">
        <x:v>-12400.64</x:v>
      </x:c>
      <x:c r="N24" s="627" t="n">
        <x:v>-55249.52</x:v>
      </x:c>
      <x:c r="O24" s="627" t="n">
        <x:v>35136.41</x:v>
      </x:c>
      <x:c r="P24" s="627" t="n">
        <x:v>-2464.39</x:v>
      </x:c>
      <x:c r="Q24" s="627" t="n">
        <x:v>0</x:v>
      </x:c>
      <x:c r="R24" s="653" t="n">
        <x:v>0</x:v>
      </x:c>
      <x:c r="Z24" s="624"/>
    </x:row>
    <x:row r="25" spans="1:26" x14ac:dyDescent="0.2">
      <x:c r="D25" s="625" t="s">
        <x:v>73</x:v>
      </x:c>
      <x:c r="E25" s="627" t="n">
        <x:v>6927796.92</x:v>
      </x:c>
      <x:c r="F25" s="627" t="n">
        <x:v>1130170.65</x:v>
      </x:c>
      <x:c r="G25" s="627" t="n">
        <x:v>623361.6</x:v>
      </x:c>
      <x:c r="H25" s="627" t="n">
        <x:v>304609.91</x:v>
      </x:c>
      <x:c r="I25" s="627" t="n">
        <x:v>533203.52</x:v>
      </x:c>
      <x:c r="J25" s="627" t="n">
        <x:v>13692.34</x:v>
      </x:c>
      <x:c r="K25" s="627" t="n">
        <x:v>0</x:v>
      </x:c>
      <x:c r="L25" s="627" t="n">
        <x:v>126469.3</x:v>
      </x:c>
      <x:c r="M25" s="627" t="n">
        <x:v>172463.37</x:v>
      </x:c>
      <x:c r="N25" s="627" t="n">
        <x:v>810419.93</x:v>
      </x:c>
      <x:c r="O25" s="627" t="n">
        <x:v>3191349.94</x:v>
      </x:c>
      <x:c r="P25" s="627" t="n">
        <x:v>22056.36</x:v>
      </x:c>
      <x:c r="Q25" s="627" t="n">
        <x:v>0</x:v>
      </x:c>
      <x:c r="R25" s="653" t="n">
        <x:v>0</x:v>
      </x:c>
      <x:c r="Z25" s="624"/>
    </x:row>
    <x:row r="26" spans="1:26" x14ac:dyDescent="0.2">
      <x:c r="C26" s="625" t="s">
        <x:v>87</x:v>
      </x:c>
      <x:c r="D26" s="625" t="s">
        <x:v>70</x:v>
      </x:c>
      <x:c r="E26" s="627" t="n">
        <x:v>6927796.92</x:v>
      </x:c>
      <x:c r="F26" s="627" t="n">
        <x:v>1130170.65</x:v>
      </x:c>
      <x:c r="G26" s="627" t="n">
        <x:v>623361.6</x:v>
      </x:c>
      <x:c r="H26" s="627" t="n">
        <x:v>304609.91</x:v>
      </x:c>
      <x:c r="I26" s="627" t="n">
        <x:v>533203.52</x:v>
      </x:c>
      <x:c r="J26" s="627" t="n">
        <x:v>13692.34</x:v>
      </x:c>
      <x:c r="K26" s="627" t="n">
        <x:v>0</x:v>
      </x:c>
      <x:c r="L26" s="627" t="n">
        <x:v>126469.3</x:v>
      </x:c>
      <x:c r="M26" s="627" t="n">
        <x:v>172463.37</x:v>
      </x:c>
      <x:c r="N26" s="627" t="n">
        <x:v>810419.93</x:v>
      </x:c>
      <x:c r="O26" s="627" t="n">
        <x:v>3191349.94</x:v>
      </x:c>
      <x:c r="P26" s="627" t="n">
        <x:v>22056.36</x:v>
      </x:c>
      <x:c r="Q26" s="627" t="n">
        <x:v>0</x:v>
      </x:c>
      <x:c r="R26" s="653" t="n">
        <x:v>0</x:v>
      </x:c>
      <x:c r="Z26" s="624"/>
    </x:row>
    <x:row r="27" spans="1:26" x14ac:dyDescent="0.2">
      <x:c r="A27" s="631"/>
      <x:c r="B27" s="632" t="s">
        <x:v>119</x:v>
      </x:c>
      <x:c r="C27" s="632" t="s">
        <x:v>70</x:v>
      </x:c>
      <x:c r="D27" s="631"/>
      <x:c r="E27" s="633" t="n">
        <x:v>6835869.89</x:v>
      </x:c>
      <x:c r="F27" s="633" t="n">
        <x:v>1147700.47</x:v>
      </x:c>
      <x:c r="G27" s="633" t="n">
        <x:v>633259.04</x:v>
      </x:c>
      <x:c r="H27" s="633" t="n">
        <x:v>305777.27</x:v>
      </x:c>
      <x:c r="I27" s="633" t="n">
        <x:v>496395.98</x:v>
      </x:c>
      <x:c r="J27" s="633" t="n">
        <x:v>10405.78</x:v>
      </x:c>
      <x:c r="K27" s="633" t="n">
        <x:v>0</x:v>
      </x:c>
      <x:c r="L27" s="633" t="n">
        <x:v>99490.9</x:v>
      </x:c>
      <x:c r="M27" s="633" t="n">
        <x:v>154990.66</x:v>
      </x:c>
      <x:c r="N27" s="633" t="n">
        <x:v>731250.56</x:v>
      </x:c>
      <x:c r="O27" s="633" t="n">
        <x:v>3239736.31</x:v>
      </x:c>
      <x:c r="P27" s="633" t="n">
        <x:v>16862.92</x:v>
      </x:c>
      <x:c r="Q27" s="633" t="n">
        <x:v>0</x:v>
      </x:c>
      <x:c r="R27" s="678" t="n">
        <x:v>0</x:v>
      </x:c>
      <x:c r="S27" s="631"/>
      <x:c r="T27" s="631"/>
      <x:c r="U27" s="631"/>
      <x:c r="V27" s="631"/>
      <x:c r="W27" s="631"/>
      <x:c r="X27" s="631"/>
      <x:c r="Y27" s="631"/>
      <x:c r="Z27" s="624"/>
    </x:row>
    <x:row r="28" spans="1:26" x14ac:dyDescent="0.2">
      <x:c r="A28" s="639" t="s">
        <x:v>79</x:v>
      </x:c>
      <x:c r="B28" s="639" t="s">
        <x:v>70</x:v>
      </x:c>
      <x:c r="C28" s="638"/>
      <x:c r="D28" s="638"/>
      <x:c r="E28" s="640" t="n">
        <x:v>-843439.3</x:v>
      </x:c>
      <x:c r="F28" s="640" t="n">
        <x:v>1785576.12</x:v>
      </x:c>
      <x:c r="G28" s="640" t="n">
        <x:v>975244.31</x:v>
      </x:c>
      <x:c r="H28" s="640" t="n">
        <x:v>485774.27</x:v>
      </x:c>
      <x:c r="I28" s="640" t="n">
        <x:v>-2287751.36</x:v>
      </x:c>
      <x:c r="J28" s="640" t="n">
        <x:v>-126518.54</x:v>
      </x:c>
      <x:c r="K28" s="640" t="n">
        <x:v>0</x:v>
      </x:c>
      <x:c r="L28" s="640" t="n">
        <x:v>-1102496.23</x:v>
      </x:c>
      <x:c r="M28" s="640" t="n">
        <x:v>-933424.09</x:v>
      </x:c>
      <x:c r="N28" s="640" t="n">
        <x:v>-4410448.45</x:v>
      </x:c>
      <x:c r="O28" s="640" t="n">
        <x:v>4974085.9</x:v>
      </x:c>
      <x:c r="P28" s="640" t="n">
        <x:v>-203481.23</x:v>
      </x:c>
      <x:c r="Q28" s="640" t="n">
        <x:v>0</x:v>
      </x:c>
      <x:c r="R28" s="679" t="n">
        <x:v>0</x:v>
      </x:c>
      <x:c r="S28" s="638"/>
      <x:c r="T28" s="638"/>
      <x:c r="U28" s="638"/>
      <x:c r="V28" s="638"/>
      <x:c r="W28" s="638"/>
      <x:c r="X28" s="638"/>
      <x:c r="Y28" s="638"/>
      <x:c r="Z28" s="624"/>
    </x:row>
    <x:row r="29" spans="1:26" x14ac:dyDescent="0.2">
      <x:c r="A29" s="625" t="s">
        <x:v>70</x:v>
      </x:c>
      <x:c r="E29" s="627" t="n">
        <x:v>125948553.12</x:v>
      </x:c>
      <x:c r="F29" s="627" t="n">
        <x:v>11425979.03</x:v>
      </x:c>
      <x:c r="G29" s="627" t="n">
        <x:v>6465907.04</x:v>
      </x:c>
      <x:c r="H29" s="627" t="n">
        <x:v>3271224.3</x:v>
      </x:c>
      <x:c r="I29" s="627" t="n">
        <x:v>22256316.51</x:v>
      </x:c>
      <x:c r="J29" s="627" t="n">
        <x:v>838368.12</x:v>
      </x:c>
      <x:c r="K29" s="627" t="n">
        <x:v>0</x:v>
      </x:c>
      <x:c r="L29" s="627" t="n">
        <x:v>7721587.07</x:v>
      </x:c>
      <x:c r="M29" s="627" t="n">
        <x:v>7589769</x:v>
      </x:c>
      <x:c r="N29" s="627" t="n">
        <x:v>33203216.5</x:v>
      </x:c>
      <x:c r="O29" s="627" t="n">
        <x:v>31985700.9</x:v>
      </x:c>
      <x:c r="P29" s="627" t="n">
        <x:v>1190558.4</x:v>
      </x:c>
      <x:c r="Q29" s="627" t="n">
        <x:v>-73.75</x:v>
      </x:c>
      <x:c r="R29" s="680" t="n">
        <x:v>0</x:v>
      </x:c>
      <x:c r="Z29" s="624"/>
    </x:row>
    <x:row r="30" spans="1:26" x14ac:dyDescent="0.2">
      <x:c r="A30" s="625"/>
      <x:c r="E30" s="627"/>
      <x:c r="F30" s="627"/>
      <x:c r="G30" s="627"/>
      <x:c r="H30" s="627"/>
      <x:c r="I30" s="627"/>
      <x:c r="J30" s="627"/>
      <x:c r="K30" s="627"/>
      <x:c r="L30" s="627"/>
      <x:c r="M30" s="627"/>
      <x:c r="N30" s="627"/>
      <x:c r="O30" s="627"/>
      <x:c r="P30" s="627"/>
      <x:c r="Q30" s="627"/>
      <x:c r="Z30" s="624"/>
    </x:row>
    <x:row r="31" spans="1:26" x14ac:dyDescent="0.2">
      <x:c r="A31" s="625"/>
      <x:c r="E31" s="627"/>
      <x:c r="F31" s="627"/>
      <x:c r="G31" s="627"/>
      <x:c r="H31" s="627"/>
      <x:c r="I31" s="627"/>
      <x:c r="J31" s="627"/>
      <x:c r="K31" s="627"/>
      <x:c r="L31" s="627"/>
      <x:c r="M31" s="627"/>
      <x:c r="N31" s="627"/>
      <x:c r="O31" s="627"/>
      <x:c r="P31" s="627"/>
      <x:c r="Q31" s="627"/>
      <x:c r="Z31" s="624"/>
    </x:row>
    <x:row r="32" spans="1:26" x14ac:dyDescent="0.2">
      <x:c r="A32" s="625"/>
      <x:c r="E32" s="627"/>
      <x:c r="F32" s="627"/>
      <x:c r="G32" s="627"/>
      <x:c r="H32" s="627"/>
      <x:c r="I32" s="627"/>
      <x:c r="J32" s="627"/>
      <x:c r="K32" s="627"/>
      <x:c r="L32" s="627"/>
      <x:c r="M32" s="627"/>
      <x:c r="N32" s="627"/>
      <x:c r="O32" s="627"/>
      <x:c r="P32" s="627"/>
      <x:c r="Q32" s="627"/>
      <x:c r="Z32" s="624"/>
    </x:row>
    <x:row r="33" spans="1:26" x14ac:dyDescent="0.2">
      <x:c r="A33" s="625"/>
      <x:c r="E33" s="627"/>
      <x:c r="F33" s="627"/>
      <x:c r="G33" s="627"/>
      <x:c r="H33" s="627"/>
      <x:c r="I33" s="627"/>
      <x:c r="J33" s="627"/>
      <x:c r="K33" s="627"/>
      <x:c r="L33" s="627"/>
      <x:c r="M33" s="627"/>
      <x:c r="N33" s="627"/>
      <x:c r="O33" s="627"/>
      <x:c r="P33" s="627"/>
      <x:c r="Q33" s="627"/>
      <x:c r="Z33" s="624"/>
    </x:row>
    <x:row r="34" spans="1:26" x14ac:dyDescent="0.2">
      <x:c r="A34" s="625"/>
      <x:c r="E34" s="627"/>
      <x:c r="F34" s="627"/>
      <x:c r="G34" s="627"/>
      <x:c r="H34" s="627"/>
      <x:c r="I34" s="627"/>
      <x:c r="J34" s="627"/>
      <x:c r="K34" s="627"/>
      <x:c r="L34" s="627"/>
      <x:c r="M34" s="627"/>
      <x:c r="N34" s="627"/>
      <x:c r="O34" s="627"/>
      <x:c r="P34" s="627"/>
      <x:c r="Q34" s="627"/>
      <x:c r="Z34" s="624"/>
    </x:row>
    <x:row r="35" spans="1:26" x14ac:dyDescent="0.2">
      <x:c r="A35" s="625"/>
      <x:c r="E35" s="627"/>
      <x:c r="F35" s="627"/>
      <x:c r="G35" s="627"/>
      <x:c r="H35" s="627"/>
      <x:c r="I35" s="627"/>
      <x:c r="J35" s="627"/>
      <x:c r="K35" s="627"/>
      <x:c r="L35" s="627"/>
      <x:c r="M35" s="627"/>
      <x:c r="N35" s="627"/>
      <x:c r="O35" s="627"/>
      <x:c r="P35" s="627"/>
      <x:c r="Q35" s="627"/>
      <x:c r="Z35" s="624"/>
    </x:row>
    <x:row r="36" spans="1:26" x14ac:dyDescent="0.2">
      <x:c r="A36" s="625"/>
      <x:c r="E36" s="627"/>
      <x:c r="F36" s="627"/>
      <x:c r="G36" s="627"/>
      <x:c r="H36" s="627"/>
      <x:c r="I36" s="627"/>
      <x:c r="J36" s="627"/>
      <x:c r="K36" s="627"/>
      <x:c r="L36" s="627"/>
      <x:c r="M36" s="627"/>
      <x:c r="N36" s="627"/>
      <x:c r="O36" s="627"/>
      <x:c r="P36" s="627"/>
      <x:c r="Q36" s="627"/>
      <x:c r="Z36" s="624"/>
    </x:row>
    <x:row r="37" spans="1:26" x14ac:dyDescent="0.2">
      <x:c r="A37" s="625"/>
      <x:c r="E37" s="627"/>
      <x:c r="F37" s="627"/>
      <x:c r="G37" s="627"/>
      <x:c r="H37" s="627"/>
      <x:c r="I37" s="627"/>
      <x:c r="J37" s="627"/>
      <x:c r="K37" s="627"/>
      <x:c r="L37" s="627"/>
      <x:c r="M37" s="627"/>
      <x:c r="N37" s="627"/>
      <x:c r="O37" s="627"/>
      <x:c r="P37" s="627"/>
      <x:c r="Q37" s="627"/>
      <x:c r="Z37" s="624"/>
    </x:row>
    <x:row r="38" spans="1:26" x14ac:dyDescent="0.2">
      <x:c r="A38" s="625"/>
      <x:c r="E38" s="627"/>
      <x:c r="F38" s="627"/>
      <x:c r="G38" s="627"/>
      <x:c r="H38" s="627"/>
      <x:c r="I38" s="627"/>
      <x:c r="J38" s="627"/>
      <x:c r="K38" s="627"/>
      <x:c r="L38" s="627"/>
      <x:c r="M38" s="627"/>
      <x:c r="N38" s="627"/>
      <x:c r="O38" s="627"/>
      <x:c r="P38" s="627"/>
      <x:c r="Q38" s="627"/>
      <x:c r="Z38" s="624"/>
    </x:row>
    <x:row r="39" spans="1:26" x14ac:dyDescent="0.2">
      <x:c r="A39" s="625"/>
      <x:c r="E39" s="627"/>
      <x:c r="F39" s="627"/>
      <x:c r="G39" s="627"/>
      <x:c r="H39" s="627"/>
      <x:c r="I39" s="627"/>
      <x:c r="J39" s="627"/>
      <x:c r="K39" s="627"/>
      <x:c r="L39" s="627"/>
      <x:c r="M39" s="627"/>
      <x:c r="N39" s="627"/>
      <x:c r="O39" s="627"/>
      <x:c r="P39" s="627"/>
      <x:c r="Q39" s="627"/>
      <x:c r="Z39" s="624"/>
    </x:row>
    <x:row r="40" spans="1:26" x14ac:dyDescent="0.2">
      <x:c r="A40" s="625"/>
      <x:c r="E40" s="627"/>
      <x:c r="F40" s="627"/>
      <x:c r="G40" s="627"/>
      <x:c r="H40" s="627"/>
      <x:c r="I40" s="627"/>
      <x:c r="J40" s="627"/>
      <x:c r="K40" s="627"/>
      <x:c r="L40" s="627"/>
      <x:c r="M40" s="627"/>
      <x:c r="N40" s="627"/>
      <x:c r="O40" s="627"/>
      <x:c r="P40" s="627"/>
      <x:c r="Q40" s="627"/>
      <x:c r="Z40" s="624"/>
    </x:row>
    <x:row r="41" spans="1:26" x14ac:dyDescent="0.2">
      <x:c r="A41" s="625"/>
      <x:c r="E41" s="627"/>
      <x:c r="F41" s="627"/>
      <x:c r="G41" s="627"/>
      <x:c r="H41" s="627"/>
      <x:c r="I41" s="627"/>
      <x:c r="J41" s="627"/>
      <x:c r="K41" s="627"/>
      <x:c r="L41" s="627"/>
      <x:c r="M41" s="627"/>
      <x:c r="N41" s="627"/>
      <x:c r="O41" s="627"/>
      <x:c r="P41" s="627"/>
      <x:c r="Q41" s="627"/>
      <x:c r="Z41" s="624"/>
    </x:row>
    <x:row r="42" spans="1:26" x14ac:dyDescent="0.2">
      <x:c r="A42" s="625"/>
      <x:c r="E42" s="627"/>
      <x:c r="F42" s="627"/>
      <x:c r="G42" s="627"/>
      <x:c r="H42" s="627"/>
      <x:c r="I42" s="627"/>
      <x:c r="J42" s="627"/>
      <x:c r="K42" s="627"/>
      <x:c r="L42" s="627"/>
      <x:c r="M42" s="627"/>
      <x:c r="N42" s="627"/>
      <x:c r="O42" s="627"/>
      <x:c r="P42" s="627"/>
      <x:c r="Q42" s="627"/>
      <x:c r="Z42" s="624"/>
    </x:row>
    <x:row r="43" spans="1:26" x14ac:dyDescent="0.2">
      <x:c r="B43" s="770" t="s">
        <x:v>2</x:v>
      </x:c>
      <x:c r="C43" s="768" t="s">
        <x:v>132</x:v>
      </x:c>
      <x:c r="D43" s="639" t="s">
        <x:v>70</x:v>
      </x:c>
      <x:c r="E43" s="640">
        <x:f>E17+E28-K17</x:f>
        <x:v>0</x:v>
      </x:c>
      <x:c r="F43" s="640">
        <x:f>F17</x:f>
        <x:v>0</x:v>
      </x:c>
      <x:c r="G43" s="640">
        <x:f t="shared" ref="G43:S43" si="0">G17</x:f>
        <x:v>0</x:v>
      </x:c>
      <x:c r="H43" s="640">
        <x:f t="shared" si="0"/>
        <x:v>0</x:v>
      </x:c>
      <x:c r="I43" s="640">
        <x:f t="shared" si="0"/>
        <x:v>0</x:v>
      </x:c>
      <x:c r="J43" s="640">
        <x:f t="shared" si="0"/>
        <x:v>0</x:v>
      </x:c>
      <x:c r="K43" s="640">
        <x:f t="shared" si="0"/>
        <x:v>0</x:v>
      </x:c>
      <x:c r="L43" s="640">
        <x:f t="shared" si="0"/>
        <x:v>0</x:v>
      </x:c>
      <x:c r="M43" s="640">
        <x:f t="shared" si="0"/>
        <x:v>0</x:v>
      </x:c>
      <x:c r="N43" s="640">
        <x:f t="shared" si="0"/>
        <x:v>0</x:v>
      </x:c>
      <x:c r="O43" s="640">
        <x:f t="shared" si="0"/>
        <x:v>0</x:v>
      </x:c>
      <x:c r="P43" s="640">
        <x:f t="shared" si="0"/>
        <x:v>0</x:v>
      </x:c>
      <x:c r="Q43" s="640">
        <x:f t="shared" si="0"/>
        <x:v>0</x:v>
      </x:c>
      <x:c r="R43" s="640">
        <x:f t="shared" si="0"/>
        <x:v>0</x:v>
      </x:c>
      <x:c r="S43" s="640">
        <x:f t="shared" si="0"/>
        <x:v>0</x:v>
      </x:c>
      <x:c r="Z43" s="624"/>
    </x:row>
    <x:row r="44" spans="1:26" x14ac:dyDescent="0.2">
      <x:c r="B44" s="770"/>
      <x:c r="C44" s="768"/>
      <x:c r="D44" s="639" t="s">
        <x:v>73</x:v>
      </x:c>
      <x:c r="E44" s="640">
        <x:f>E28</x:f>
        <x:v>0</x:v>
      </x:c>
      <x:c r="F44" s="627"/>
      <x:c r="G44" s="627"/>
      <x:c r="H44" s="627"/>
      <x:c r="I44" s="627"/>
      <x:c r="J44" s="627"/>
      <x:c r="K44" s="627"/>
      <x:c r="L44" s="627"/>
      <x:c r="M44" s="627"/>
      <x:c r="N44" s="627"/>
      <x:c r="O44" s="627"/>
      <x:c r="P44" s="627"/>
      <x:c r="Q44" s="627"/>
      <x:c r="R44" s="627"/>
      <x:c r="S44" s="627"/>
      <x:c r="Z44" s="624"/>
    </x:row>
    <x:row r="45" spans="1:26" ht="15" x14ac:dyDescent="0.25">
      <x:c r="A45" s="625"/>
      <x:c r="B45" s="50"/>
      <x:c r="E45" s="627"/>
      <x:c r="F45" s="627"/>
      <x:c r="G45" s="627"/>
      <x:c r="H45" s="627"/>
      <x:c r="I45" s="627"/>
      <x:c r="J45" s="627"/>
      <x:c r="K45" s="627"/>
      <x:c r="L45" s="627"/>
      <x:c r="M45" s="627"/>
      <x:c r="N45" s="627"/>
      <x:c r="O45" s="627"/>
      <x:c r="P45" s="627"/>
      <x:c r="Q45" s="627"/>
      <x:c r="R45" s="627"/>
      <x:c r="S45" s="627"/>
      <x:c r="Z45" s="624"/>
    </x:row>
    <x:row r="46" spans="1:26" x14ac:dyDescent="0.2">
      <x:c r="B46" s="770" t="s">
        <x:v>160</x:v>
      </x:c>
      <x:c r="C46" s="768" t="s">
        <x:v>132</x:v>
      </x:c>
      <x:c r="D46" s="647" t="s">
        <x:v>70</x:v>
      </x:c>
      <x:c r="E46" s="648">
        <x:v>0</x:v>
      </x:c>
      <x:c r="F46" s="648">
        <x:v>0</x:v>
      </x:c>
      <x:c r="G46" s="648">
        <x:v>0</x:v>
      </x:c>
      <x:c r="H46" s="648">
        <x:v>0</x:v>
      </x:c>
      <x:c r="I46" s="648">
        <x:v>0</x:v>
      </x:c>
      <x:c r="J46" s="648">
        <x:v>0</x:v>
      </x:c>
      <x:c r="K46" s="648">
        <x:v>0</x:v>
      </x:c>
      <x:c r="L46" s="648">
        <x:v>0</x:v>
      </x:c>
      <x:c r="M46" s="648">
        <x:v>0</x:v>
      </x:c>
      <x:c r="N46" s="648">
        <x:v>0</x:v>
      </x:c>
      <x:c r="O46" s="648">
        <x:v>0</x:v>
      </x:c>
      <x:c r="P46" s="648">
        <x:v>0</x:v>
      </x:c>
      <x:c r="Q46" s="648">
        <x:v>0</x:v>
      </x:c>
      <x:c r="R46" s="648">
        <x:v>0</x:v>
      </x:c>
      <x:c r="S46" s="648">
        <x:v>0</x:v>
      </x:c>
      <x:c r="Z46" s="624"/>
    </x:row>
    <x:row r="47" spans="1:26" x14ac:dyDescent="0.2">
      <x:c r="B47" s="770"/>
      <x:c r="C47" s="768"/>
      <x:c r="D47" s="647" t="s">
        <x:v>73</x:v>
      </x:c>
      <x:c r="E47" s="648">
        <x:v>0</x:v>
      </x:c>
      <x:c r="F47" s="627"/>
      <x:c r="G47" s="627"/>
      <x:c r="H47" s="627"/>
      <x:c r="I47" s="627"/>
      <x:c r="J47" s="627"/>
      <x:c r="K47" s="627"/>
      <x:c r="L47" s="627"/>
      <x:c r="M47" s="627"/>
      <x:c r="N47" s="627"/>
      <x:c r="O47" s="627"/>
      <x:c r="P47" s="627"/>
      <x:c r="Q47" s="627"/>
      <x:c r="R47" s="627"/>
      <x:c r="S47" s="627"/>
      <x:c r="Z47" s="624"/>
    </x:row>
    <x:row r="48" spans="1:26" ht="15" x14ac:dyDescent="0.25">
      <x:c r="A48" s="625"/>
      <x:c r="B48" s="50"/>
      <x:c r="E48" s="627"/>
      <x:c r="F48" s="627"/>
      <x:c r="G48" s="627"/>
      <x:c r="H48" s="627"/>
      <x:c r="I48" s="627"/>
      <x:c r="J48" s="627"/>
      <x:c r="K48" s="627"/>
      <x:c r="L48" s="627"/>
      <x:c r="M48" s="627"/>
      <x:c r="N48" s="627"/>
      <x:c r="O48" s="627"/>
      <x:c r="P48" s="627"/>
      <x:c r="Q48" s="627"/>
      <x:c r="R48" s="627"/>
      <x:c r="S48" s="627"/>
      <x:c r="Z48" s="624"/>
    </x:row>
    <x:row r="49" spans="1:26" x14ac:dyDescent="0.2">
      <x:c r="B49" s="770" t="s">
        <x:v>155</x:v>
      </x:c>
      <x:c r="C49" s="768" t="s">
        <x:v>132</x:v>
      </x:c>
      <x:c r="D49" s="651" t="s">
        <x:v>70</x:v>
      </x:c>
      <x:c r="E49" s="652">
        <x:f>E20+E6-K6</x:f>
        <x:v>0</x:v>
      </x:c>
      <x:c r="F49" s="652">
        <x:f>F6</x:f>
        <x:v>0</x:v>
      </x:c>
      <x:c r="G49" s="652">
        <x:f t="shared" ref="G49:S49" si="1">G6</x:f>
        <x:v>0</x:v>
      </x:c>
      <x:c r="H49" s="652">
        <x:f t="shared" si="1"/>
        <x:v>0</x:v>
      </x:c>
      <x:c r="I49" s="652">
        <x:f t="shared" si="1"/>
        <x:v>0</x:v>
      </x:c>
      <x:c r="J49" s="652">
        <x:f t="shared" si="1"/>
        <x:v>0</x:v>
      </x:c>
      <x:c r="K49" s="652">
        <x:f t="shared" si="1"/>
        <x:v>0</x:v>
      </x:c>
      <x:c r="L49" s="652">
        <x:f t="shared" si="1"/>
        <x:v>0</x:v>
      </x:c>
      <x:c r="M49" s="652">
        <x:f t="shared" si="1"/>
        <x:v>0</x:v>
      </x:c>
      <x:c r="N49" s="652">
        <x:f t="shared" si="1"/>
        <x:v>0</x:v>
      </x:c>
      <x:c r="O49" s="652">
        <x:f t="shared" si="1"/>
        <x:v>0</x:v>
      </x:c>
      <x:c r="P49" s="652">
        <x:f t="shared" si="1"/>
        <x:v>0</x:v>
      </x:c>
      <x:c r="Q49" s="652">
        <x:f t="shared" si="1"/>
        <x:v>0</x:v>
      </x:c>
      <x:c r="R49" s="652">
        <x:f t="shared" si="1"/>
        <x:v>0</x:v>
      </x:c>
      <x:c r="S49" s="652">
        <x:f t="shared" si="1"/>
        <x:v>0</x:v>
      </x:c>
      <x:c r="Z49" s="624"/>
    </x:row>
    <x:row r="50" spans="1:26" x14ac:dyDescent="0.2">
      <x:c r="B50" s="770"/>
      <x:c r="C50" s="768"/>
      <x:c r="D50" s="651" t="s">
        <x:v>73</x:v>
      </x:c>
      <x:c r="E50" s="652">
        <x:f>E20</x:f>
        <x:v>0</x:v>
      </x:c>
      <x:c r="F50" s="627"/>
      <x:c r="G50" s="627"/>
      <x:c r="H50" s="627"/>
      <x:c r="I50" s="627"/>
      <x:c r="J50" s="627"/>
      <x:c r="K50" s="627"/>
      <x:c r="L50" s="627"/>
      <x:c r="M50" s="627"/>
      <x:c r="N50" s="627"/>
      <x:c r="O50" s="627"/>
      <x:c r="P50" s="627"/>
      <x:c r="Q50" s="627"/>
      <x:c r="R50" s="627"/>
      <x:c r="S50" s="627"/>
      <x:c r="Z50" s="624"/>
    </x:row>
    <x:row r="51" spans="1:26" ht="15" x14ac:dyDescent="0.25">
      <x:c r="A51" s="625"/>
      <x:c r="B51" s="50"/>
      <x:c r="E51" s="627"/>
      <x:c r="F51" s="627"/>
      <x:c r="G51" s="627"/>
      <x:c r="H51" s="627"/>
      <x:c r="I51" s="627"/>
      <x:c r="J51" s="627"/>
      <x:c r="K51" s="627"/>
      <x:c r="L51" s="627"/>
      <x:c r="M51" s="627"/>
      <x:c r="N51" s="627"/>
      <x:c r="O51" s="627"/>
      <x:c r="P51" s="627"/>
      <x:c r="Q51" s="627"/>
      <x:c r="R51" s="627"/>
      <x:c r="S51" s="627"/>
      <x:c r="Z51" s="624"/>
    </x:row>
    <x:row r="52" spans="1:26" x14ac:dyDescent="0.2">
      <x:c r="B52" s="771" t="s">
        <x:v>326</x:v>
      </x:c>
      <x:c r="C52" s="768" t="s">
        <x:v>132</x:v>
      </x:c>
      <x:c r="D52" s="654" t="s">
        <x:v>70</x:v>
      </x:c>
      <x:c r="E52" s="655">
        <x:v>0</x:v>
      </x:c>
      <x:c r="F52" s="655">
        <x:v>0</x:v>
      </x:c>
      <x:c r="G52" s="655">
        <x:v>0</x:v>
      </x:c>
      <x:c r="H52" s="655">
        <x:v>0</x:v>
      </x:c>
      <x:c r="I52" s="655">
        <x:v>0</x:v>
      </x:c>
      <x:c r="J52" s="655">
        <x:v>0</x:v>
      </x:c>
      <x:c r="K52" s="655">
        <x:v>0</x:v>
      </x:c>
      <x:c r="L52" s="655">
        <x:v>0</x:v>
      </x:c>
      <x:c r="M52" s="655">
        <x:v>0</x:v>
      </x:c>
      <x:c r="N52" s="655">
        <x:v>0</x:v>
      </x:c>
      <x:c r="O52" s="655">
        <x:v>0</x:v>
      </x:c>
      <x:c r="P52" s="655">
        <x:v>0</x:v>
      </x:c>
      <x:c r="Q52" s="655">
        <x:v>0</x:v>
      </x:c>
      <x:c r="R52" s="655">
        <x:v>0</x:v>
      </x:c>
      <x:c r="Z52" s="624"/>
    </x:row>
    <x:row r="53" spans="1:26" x14ac:dyDescent="0.2">
      <x:c r="B53" s="771"/>
      <x:c r="C53" s="768"/>
      <x:c r="D53" s="654" t="s">
        <x:v>73</x:v>
      </x:c>
      <x:c r="E53" s="655">
        <x:v>0</x:v>
      </x:c>
      <x:c r="F53" s="627"/>
      <x:c r="G53" s="627"/>
      <x:c r="H53" s="627"/>
      <x:c r="I53" s="627"/>
      <x:c r="J53" s="627"/>
      <x:c r="K53" s="627"/>
      <x:c r="L53" s="627"/>
      <x:c r="M53" s="627"/>
      <x:c r="N53" s="627"/>
      <x:c r="O53" s="627"/>
      <x:c r="P53" s="627"/>
      <x:c r="Q53" s="627"/>
      <x:c r="R53" s="627"/>
      <x:c r="Z53" s="624"/>
    </x:row>
    <x:row r="54" spans="1:26" ht="15" x14ac:dyDescent="0.25">
      <x:c r="A54" s="625"/>
      <x:c r="B54" s="50"/>
      <x:c r="E54" s="627"/>
      <x:c r="F54" s="627"/>
      <x:c r="G54" s="627"/>
      <x:c r="H54" s="627"/>
      <x:c r="I54" s="627"/>
      <x:c r="J54" s="627"/>
      <x:c r="K54" s="627"/>
      <x:c r="L54" s="627"/>
      <x:c r="M54" s="627"/>
      <x:c r="N54" s="627"/>
      <x:c r="O54" s="627"/>
      <x:c r="P54" s="627"/>
      <x:c r="Q54" s="627"/>
      <x:c r="R54" s="627"/>
      <x:c r="S54" s="627"/>
      <x:c r="Z54" s="624"/>
    </x:row>
    <x:row r="55" spans="1:26" x14ac:dyDescent="0.2">
      <x:c r="B55" s="770" t="s">
        <x:v>119</x:v>
      </x:c>
      <x:c r="C55" s="768" t="s">
        <x:v>132</x:v>
      </x:c>
      <x:c r="D55" s="632" t="s">
        <x:v>70</x:v>
      </x:c>
      <x:c r="E55" s="633">
        <x:f>E16+E27-K16</x:f>
        <x:v>0</x:v>
      </x:c>
      <x:c r="F55" s="633">
        <x:f>F16</x:f>
        <x:v>0</x:v>
      </x:c>
      <x:c r="G55" s="633">
        <x:f t="shared" ref="G55:S55" si="2">G16</x:f>
        <x:v>0</x:v>
      </x:c>
      <x:c r="H55" s="633">
        <x:f t="shared" si="2"/>
        <x:v>0</x:v>
      </x:c>
      <x:c r="I55" s="633">
        <x:f t="shared" si="2"/>
        <x:v>0</x:v>
      </x:c>
      <x:c r="J55" s="633">
        <x:f t="shared" si="2"/>
        <x:v>0</x:v>
      </x:c>
      <x:c r="K55" s="633">
        <x:f t="shared" si="2"/>
        <x:v>0</x:v>
      </x:c>
      <x:c r="L55" s="633">
        <x:f t="shared" si="2"/>
        <x:v>0</x:v>
      </x:c>
      <x:c r="M55" s="633">
        <x:f t="shared" si="2"/>
        <x:v>0</x:v>
      </x:c>
      <x:c r="N55" s="633">
        <x:f t="shared" si="2"/>
        <x:v>0</x:v>
      </x:c>
      <x:c r="O55" s="633">
        <x:f t="shared" si="2"/>
        <x:v>0</x:v>
      </x:c>
      <x:c r="P55" s="633">
        <x:f t="shared" si="2"/>
        <x:v>0</x:v>
      </x:c>
      <x:c r="Q55" s="633">
        <x:f t="shared" si="2"/>
        <x:v>0</x:v>
      </x:c>
      <x:c r="R55" s="633">
        <x:f t="shared" si="2"/>
        <x:v>0</x:v>
      </x:c>
      <x:c r="S55" s="633">
        <x:f t="shared" si="2"/>
        <x:v>0</x:v>
      </x:c>
      <x:c r="Z55" s="624"/>
    </x:row>
    <x:row r="56" spans="1:26" x14ac:dyDescent="0.2">
      <x:c r="B56" s="770"/>
      <x:c r="C56" s="768"/>
      <x:c r="D56" s="632" t="s">
        <x:v>73</x:v>
      </x:c>
      <x:c r="E56" s="633">
        <x:f>E27</x:f>
        <x:v>0</x:v>
      </x:c>
      <x:c r="F56" s="627"/>
      <x:c r="G56" s="627"/>
      <x:c r="H56" s="627"/>
      <x:c r="I56" s="627"/>
      <x:c r="J56" s="627"/>
      <x:c r="K56" s="627"/>
      <x:c r="L56" s="627"/>
      <x:c r="M56" s="627"/>
      <x:c r="N56" s="627"/>
      <x:c r="O56" s="627"/>
      <x:c r="P56" s="627"/>
      <x:c r="Q56" s="627"/>
      <x:c r="R56" s="627"/>
      <x:c r="S56" s="627"/>
      <x:c r="Z56" s="624"/>
    </x:row>
    <x:row r="57" spans="1:26" ht="15" x14ac:dyDescent="0.25">
      <x:c r="A57" s="625"/>
      <x:c r="B57" s="50"/>
      <x:c r="E57" s="627"/>
      <x:c r="F57" s="627"/>
      <x:c r="G57" s="627"/>
      <x:c r="H57" s="627"/>
      <x:c r="I57" s="627"/>
      <x:c r="J57" s="627"/>
      <x:c r="K57" s="627"/>
      <x:c r="L57" s="627"/>
      <x:c r="M57" s="627"/>
      <x:c r="N57" s="627"/>
      <x:c r="O57" s="627"/>
      <x:c r="P57" s="627"/>
      <x:c r="Q57" s="627"/>
      <x:c r="R57" s="627"/>
      <x:c r="S57" s="627"/>
      <x:c r="Z57" s="624"/>
    </x:row>
    <x:row r="58" spans="1:26" x14ac:dyDescent="0.2">
      <x:c r="B58" s="769" t="s">
        <x:v>161</x:v>
      </x:c>
      <x:c r="C58" s="768" t="s">
        <x:v>132</x:v>
      </x:c>
      <x:c r="D58" s="661" t="s">
        <x:v>70</x:v>
      </x:c>
      <x:c r="E58" s="662">
        <x:v>0</x:v>
      </x:c>
      <x:c r="F58" s="662">
        <x:v>0</x:v>
      </x:c>
      <x:c r="G58" s="662">
        <x:v>0</x:v>
      </x:c>
      <x:c r="H58" s="662">
        <x:v>0</x:v>
      </x:c>
      <x:c r="I58" s="662">
        <x:v>0</x:v>
      </x:c>
      <x:c r="J58" s="662">
        <x:v>0</x:v>
      </x:c>
      <x:c r="K58" s="662">
        <x:v>0</x:v>
      </x:c>
      <x:c r="L58" s="662">
        <x:v>0</x:v>
      </x:c>
      <x:c r="M58" s="662">
        <x:v>0</x:v>
      </x:c>
      <x:c r="N58" s="662">
        <x:v>0</x:v>
      </x:c>
      <x:c r="O58" s="662">
        <x:v>0</x:v>
      </x:c>
      <x:c r="P58" s="662">
        <x:v>0</x:v>
      </x:c>
      <x:c r="Q58" s="662">
        <x:v>0</x:v>
      </x:c>
      <x:c r="R58" s="662">
        <x:v>0</x:v>
      </x:c>
      <x:c r="S58" s="662">
        <x:v>0</x:v>
      </x:c>
      <x:c r="Z58" s="624"/>
    </x:row>
    <x:row r="59" spans="1:26" x14ac:dyDescent="0.2">
      <x:c r="B59" s="769"/>
      <x:c r="C59" s="768"/>
      <x:c r="D59" s="661" t="s">
        <x:v>73</x:v>
      </x:c>
      <x:c r="E59" s="662">
        <x:v>0</x:v>
      </x:c>
      <x:c r="F59" s="627"/>
      <x:c r="G59" s="627"/>
      <x:c r="H59" s="627"/>
      <x:c r="I59" s="627"/>
      <x:c r="J59" s="627"/>
      <x:c r="K59" s="627"/>
      <x:c r="L59" s="627"/>
      <x:c r="M59" s="627"/>
      <x:c r="N59" s="627"/>
      <x:c r="O59" s="627"/>
      <x:c r="P59" s="627"/>
      <x:c r="Q59" s="627"/>
      <x:c r="R59" s="627"/>
      <x:c r="Z59" s="624"/>
    </x:row>
    <x:row r="60" spans="1:26" x14ac:dyDescent="0.2">
      <x:c r="A60" s="624"/>
      <x:c r="B60" s="624"/>
      <x:c r="C60" s="624"/>
      <x:c r="D60" s="624"/>
      <x:c r="E60" s="624"/>
      <x:c r="F60" s="624"/>
      <x:c r="G60" s="624"/>
      <x:c r="H60" s="624"/>
      <x:c r="I60" s="624"/>
      <x:c r="J60" s="624"/>
      <x:c r="K60" s="624"/>
      <x:c r="L60" s="624"/>
      <x:c r="M60" s="624"/>
      <x:c r="N60" s="624"/>
      <x:c r="O60" s="624"/>
      <x:c r="P60" s="624"/>
      <x:c r="Q60" s="624"/>
      <x:c r="R60" s="624"/>
      <x:c r="S60" s="624"/>
      <x:c r="T60" s="624"/>
      <x:c r="U60" s="624"/>
      <x:c r="V60" s="624"/>
      <x:c r="W60" s="624"/>
      <x:c r="X60" s="624"/>
      <x:c r="Y60" s="624"/>
      <x:c r="Z60" s="624"/>
    </x:row>
    <x:row r="61" spans="1:26" ht="15" x14ac:dyDescent="0.25">
      <x:c r="B61" s="676" t="s">
        <x:v>75</x:v>
      </x:c>
      <x:c r="Z61" s="624"/>
    </x:row>
    <x:row r="62" spans="1:26" s="50" customFormat="1" ht="15" x14ac:dyDescent="0.25">
      <x:c r="E62" s="669" t="s">
        <x:v>70</x:v>
      </x:c>
      <x:c r="F62" s="669" t="s">
        <x:v>64</x:v>
      </x:c>
      <x:c r="G62" s="669" t="s">
        <x:v>65</x:v>
      </x:c>
      <x:c r="H62" s="674" t="s">
        <x:v>164</x:v>
      </x:c>
      <x:c r="I62" s="669" t="s">
        <x:v>69</x:v>
      </x:c>
      <x:c r="J62" s="669" t="s">
        <x:v>68</x:v>
      </x:c>
      <x:c r="K62" s="669" t="s">
        <x:v>83</x:v>
      </x:c>
      <x:c r="L62" s="669" t="s">
        <x:v>66</x:v>
      </x:c>
      <x:c r="M62" s="669" t="s">
        <x:v>63</x:v>
      </x:c>
      <x:c r="N62" s="669" t="s">
        <x:v>61</x:v>
      </x:c>
      <x:c r="O62" s="669" t="s">
        <x:v>62</x:v>
      </x:c>
      <x:c r="P62" s="669" t="s">
        <x:v>67</x:v>
      </x:c>
      <x:c r="Q62" s="669" t="s">
        <x:v>84</x:v>
      </x:c>
      <x:c r="R62" s="669" t="s">
        <x:v>226</x:v>
      </x:c>
      <x:c r="Z62" s="618"/>
    </x:row>
    <x:row r="63" spans="1:26" x14ac:dyDescent="0.2">
      <x:c r="D63" s="625" t="s">
        <x:v>72</x:v>
      </x:c>
      <x:c r="E63" s="627" t="n">
        <x:v>71702408.71</x:v>
      </x:c>
      <x:c r="F63" s="627" t="n">
        <x:v>4119196.88</x:v>
      </x:c>
      <x:c r="G63" s="627" t="n">
        <x:v>2445784.34</x:v>
      </x:c>
      <x:c r="H63" s="627" t="n">
        <x:v>988499.28</x:v>
      </x:c>
      <x:c r="I63" s="627" t="n">
        <x:v>18958221.46</x:v>
      </x:c>
      <x:c r="J63" s="627" t="n">
        <x:v>632942.16</x:v>
      </x:c>
      <x:c r="K63" s="627" t="n">
        <x:v>0</x:v>
      </x:c>
      <x:c r="L63" s="627" t="n">
        <x:v>5923929.5</x:v>
      </x:c>
      <x:c r="M63" s="627" t="n">
        <x:v>5752498.05</x:v>
      </x:c>
      <x:c r="N63" s="627" t="n">
        <x:v>23264098.65</x:v>
      </x:c>
      <x:c r="O63" s="627" t="n">
        <x:v>8731555.56</x:v>
      </x:c>
      <x:c r="P63" s="627" t="n">
        <x:v>885560.39</x:v>
      </x:c>
      <x:c r="Q63" s="627" t="n">
        <x:v>122.44</x:v>
      </x:c>
      <x:c r="R63" s="653" t="n">
        <x:v>0</x:v>
      </x:c>
      <x:c r="Z63" s="624"/>
    </x:row>
    <x:row r="64" spans="1:26" x14ac:dyDescent="0.2">
      <x:c r="D64" s="625" t="s">
        <x:v>81</x:v>
      </x:c>
      <x:c r="E64" s="627" t="n">
        <x:v>95038.85</x:v>
      </x:c>
      <x:c r="F64" s="627" t="n">
        <x:v>9024.33</x:v>
      </x:c>
      <x:c r="G64" s="627" t="n">
        <x:v>4730.41</x:v>
      </x:c>
      <x:c r="H64" s="627" t="n">
        <x:v>2571.82</x:v>
      </x:c>
      <x:c r="I64" s="627" t="n">
        <x:v>19131.48</x:v>
      </x:c>
      <x:c r="J64" s="627" t="n">
        <x:v>648.99</x:v>
      </x:c>
      <x:c r="K64" s="627" t="n">
        <x:v>0</x:v>
      </x:c>
      <x:c r="L64" s="627" t="n">
        <x:v>5659.74</x:v>
      </x:c>
      <x:c r="M64" s="627" t="n">
        <x:v>6117.92</x:v>
      </x:c>
      <x:c r="N64" s="627" t="n">
        <x:v>28047</x:v>
      </x:c>
      <x:c r="O64" s="627" t="n">
        <x:v>18026.08</x:v>
      </x:c>
      <x:c r="P64" s="627" t="n">
        <x:v>1059.27</x:v>
      </x:c>
      <x:c r="Q64" s="627" t="n">
        <x:v>21.81</x:v>
      </x:c>
      <x:c r="R64" s="653" t="n">
        <x:v>0</x:v>
      </x:c>
      <x:c r="Z64" s="624"/>
    </x:row>
    <x:row r="65" spans="1:26" x14ac:dyDescent="0.2">
      <x:c r="C65" s="25" t="s">
        <x:v>156</x:v>
      </x:c>
      <x:c r="D65" s="625" t="s">
        <x:v>70</x:v>
      </x:c>
      <x:c r="E65" s="627" t="n">
        <x:v>71797447.56</x:v>
      </x:c>
      <x:c r="F65" s="627" t="n">
        <x:v>4128221.21</x:v>
      </x:c>
      <x:c r="G65" s="627" t="n">
        <x:v>2450514.75</x:v>
      </x:c>
      <x:c r="H65" s="627" t="n">
        <x:v>991071.1</x:v>
      </x:c>
      <x:c r="I65" s="627" t="n">
        <x:v>18977352.94</x:v>
      </x:c>
      <x:c r="J65" s="627" t="n">
        <x:v>633591.15</x:v>
      </x:c>
      <x:c r="K65" s="627" t="n">
        <x:v>0</x:v>
      </x:c>
      <x:c r="L65" s="627" t="n">
        <x:v>5929589.24</x:v>
      </x:c>
      <x:c r="M65" s="627" t="n">
        <x:v>5758615.97</x:v>
      </x:c>
      <x:c r="N65" s="627" t="n">
        <x:v>23292145.65</x:v>
      </x:c>
      <x:c r="O65" s="627" t="n">
        <x:v>8749581.64</x:v>
      </x:c>
      <x:c r="P65" s="627" t="n">
        <x:v>886619.66</x:v>
      </x:c>
      <x:c r="Q65" s="627" t="n">
        <x:v>144.25</x:v>
      </x:c>
      <x:c r="R65" s="653" t="n">
        <x:v>0</x:v>
      </x:c>
      <x:c r="Z65" s="624"/>
    </x:row>
    <x:row r="66" spans="1:26" x14ac:dyDescent="0.2">
      <x:c r="A66" s="628"/>
      <x:c r="B66" s="628" t="s">
        <x:v>155</x:v>
      </x:c>
      <x:c r="C66" s="628" t="s">
        <x:v>70</x:v>
      </x:c>
      <x:c r="D66" s="628"/>
      <x:c r="E66" s="677" t="n">
        <x:v>71797447.56</x:v>
      </x:c>
      <x:c r="F66" s="677" t="n">
        <x:v>4128221.21</x:v>
      </x:c>
      <x:c r="G66" s="677" t="n">
        <x:v>2450514.75</x:v>
      </x:c>
      <x:c r="H66" s="677" t="n">
        <x:v>991071.1</x:v>
      </x:c>
      <x:c r="I66" s="677" t="n">
        <x:v>18977352.94</x:v>
      </x:c>
      <x:c r="J66" s="677" t="n">
        <x:v>633591.15</x:v>
      </x:c>
      <x:c r="K66" s="677" t="n">
        <x:v>0</x:v>
      </x:c>
      <x:c r="L66" s="677" t="n">
        <x:v>5929589.24</x:v>
      </x:c>
      <x:c r="M66" s="677" t="n">
        <x:v>5758615.97</x:v>
      </x:c>
      <x:c r="N66" s="677" t="n">
        <x:v>23292145.65</x:v>
      </x:c>
      <x:c r="O66" s="677" t="n">
        <x:v>8749581.64</x:v>
      </x:c>
      <x:c r="P66" s="677" t="n">
        <x:v>886619.66</x:v>
      </x:c>
      <x:c r="Q66" s="677" t="n">
        <x:v>144.25</x:v>
      </x:c>
      <x:c r="R66" s="677" t="n">
        <x:v>0</x:v>
      </x:c>
      <x:c r="S66" s="628"/>
      <x:c r="T66" s="628"/>
      <x:c r="U66" s="628"/>
      <x:c r="V66" s="628"/>
      <x:c r="W66" s="628"/>
      <x:c r="X66" s="628"/>
      <x:c r="Y66" s="628"/>
      <x:c r="Z66" s="624"/>
    </x:row>
    <x:row r="67" spans="1:26" x14ac:dyDescent="0.2">
      <x:c r="D67" s="625" t="s">
        <x:v>72</x:v>
      </x:c>
      <x:c r="E67" s="627" t="n">
        <x:v>22093258.93</x:v>
      </x:c>
      <x:c r="F67" s="627" t="n">
        <x:v>1421141.73</x:v>
      </x:c>
      <x:c r="G67" s="627" t="n">
        <x:v>778144.37</x:v>
      </x:c>
      <x:c r="H67" s="627" t="n">
        <x:v>342749</x:v>
      </x:c>
      <x:c r="I67" s="627" t="n">
        <x:v>6034872.34</x:v>
      </x:c>
      <x:c r="J67" s="627" t="n">
        <x:v>158457.39</x:v>
      </x:c>
      <x:c r="K67" s="627" t="n">
        <x:v>0</x:v>
      </x:c>
      <x:c r="L67" s="627" t="n">
        <x:v>1458906.22</x:v>
      </x:c>
      <x:c r="M67" s="627" t="n">
        <x:v>1770857.01</x:v>
      </x:c>
      <x:c r="N67" s="627" t="n">
        <x:v>5515356.04</x:v>
      </x:c>
      <x:c r="O67" s="627" t="n">
        <x:v>4418000.63</x:v>
      </x:c>
      <x:c r="P67" s="627" t="n">
        <x:v>194910.48</x:v>
      </x:c>
      <x:c r="Q67" s="627" t="n">
        <x:v>-136.28</x:v>
      </x:c>
      <x:c r="R67" s="653" t="n">
        <x:v>0</x:v>
      </x:c>
      <x:c r="Z67" s="624"/>
    </x:row>
    <x:row r="68" spans="1:26" x14ac:dyDescent="0.2">
      <x:c r="D68" s="625" t="s">
        <x:v>81</x:v>
      </x:c>
      <x:c r="E68" s="627" t="n">
        <x:v>17021.45</x:v>
      </x:c>
      <x:c r="F68" s="627" t="n">
        <x:v>1413.33</x:v>
      </x:c>
      <x:c r="G68" s="627" t="n">
        <x:v>751.77</x:v>
      </x:c>
      <x:c r="H68" s="627" t="n">
        <x:v>431.98</x:v>
      </x:c>
      <x:c r="I68" s="627" t="n">
        <x:v>3886.9</x:v>
      </x:c>
      <x:c r="J68" s="627" t="n">
        <x:v>91.78</x:v>
      </x:c>
      <x:c r="K68" s="627" t="n">
        <x:v>0</x:v>
      </x:c>
      <x:c r="L68" s="627" t="n">
        <x:v>805.04</x:v>
      </x:c>
      <x:c r="M68" s="627" t="n">
        <x:v>1177.57</x:v>
      </x:c>
      <x:c r="N68" s="627" t="n">
        <x:v>5500.97</x:v>
      </x:c>
      <x:c r="O68" s="627" t="n">
        <x:v>2812.31</x:v>
      </x:c>
      <x:c r="P68" s="627" t="n">
        <x:v>149.78</x:v>
      </x:c>
      <x:c r="Q68" s="627" t="n">
        <x:v>0.02</x:v>
      </x:c>
      <x:c r="R68" s="653" t="n">
        <x:v>0</x:v>
      </x:c>
      <x:c r="Z68" s="624"/>
    </x:row>
    <x:row r="69" spans="1:26" x14ac:dyDescent="0.2">
      <x:c r="C69" s="25" t="s">
        <x:v>115</x:v>
      </x:c>
      <x:c r="D69" s="625" t="s">
        <x:v>70</x:v>
      </x:c>
      <x:c r="E69" s="627" t="n">
        <x:v>22110280.38</x:v>
      </x:c>
      <x:c r="F69" s="627" t="n">
        <x:v>1422555.06</x:v>
      </x:c>
      <x:c r="G69" s="627" t="n">
        <x:v>778896.14</x:v>
      </x:c>
      <x:c r="H69" s="627" t="n">
        <x:v>343180.98</x:v>
      </x:c>
      <x:c r="I69" s="627" t="n">
        <x:v>6038759.24</x:v>
      </x:c>
      <x:c r="J69" s="627" t="n">
        <x:v>158549.17</x:v>
      </x:c>
      <x:c r="K69" s="627" t="n">
        <x:v>0</x:v>
      </x:c>
      <x:c r="L69" s="627" t="n">
        <x:v>1459711.26</x:v>
      </x:c>
      <x:c r="M69" s="627" t="n">
        <x:v>1772034.58</x:v>
      </x:c>
      <x:c r="N69" s="627" t="n">
        <x:v>5520857.01</x:v>
      </x:c>
      <x:c r="O69" s="627" t="n">
        <x:v>4420812.94</x:v>
      </x:c>
      <x:c r="P69" s="627" t="n">
        <x:v>195060.26</x:v>
      </x:c>
      <x:c r="Q69" s="627" t="n">
        <x:v>-136.26</x:v>
      </x:c>
      <x:c r="R69" s="653" t="n">
        <x:v>0</x:v>
      </x:c>
      <x:c r="Z69" s="624"/>
    </x:row>
    <x:row r="70" spans="1:26" x14ac:dyDescent="0.2">
      <x:c r="D70" s="625" t="s">
        <x:v>72</x:v>
      </x:c>
      <x:c r="E70" s="627" t="n">
        <x:v>1616173.63</x:v>
      </x:c>
      <x:c r="F70" s="627" t="n">
        <x:v>90529.5</x:v>
      </x:c>
      <x:c r="G70" s="627" t="n">
        <x:v>47826.83</x:v>
      </x:c>
      <x:c r="H70" s="627" t="n">
        <x:v>24108.87</x:v>
      </x:c>
      <x:c r="I70" s="627" t="n">
        <x:v>433611.64</x:v>
      </x:c>
      <x:c r="J70" s="627" t="n">
        <x:v>13309</x:v>
      </x:c>
      <x:c r="K70" s="627" t="n">
        <x:v>0</x:v>
      </x:c>
      <x:c r="L70" s="627" t="n">
        <x:v>100420.03</x:v>
      </x:c>
      <x:c r="M70" s="627" t="n">
        <x:v>121133.57</x:v>
      </x:c>
      <x:c r="N70" s="627" t="n">
        <x:v>423371.69</x:v>
      </x:c>
      <x:c r="O70" s="627" t="n">
        <x:v>346736.28</x:v>
      </x:c>
      <x:c r="P70" s="627" t="n">
        <x:v>15115.46</x:v>
      </x:c>
      <x:c r="Q70" s="627" t="n">
        <x:v>10.76</x:v>
      </x:c>
      <x:c r="R70" s="653" t="n">
        <x:v>0</x:v>
      </x:c>
      <x:c r="Z70" s="624"/>
    </x:row>
    <x:row r="71" spans="1:26" x14ac:dyDescent="0.2">
      <x:c r="C71" s="625"/>
      <x:c r="D71" s="625" t="s">
        <x:v>81</x:v>
      </x:c>
      <x:c r="E71" s="627" t="n">
        <x:v>406.42</x:v>
      </x:c>
      <x:c r="F71" s="627" t="n">
        <x:v>41.47</x:v>
      </x:c>
      <x:c r="G71" s="627" t="n">
        <x:v>21.23</x:v>
      </x:c>
      <x:c r="H71" s="627" t="n">
        <x:v>12.67</x:v>
      </x:c>
      <x:c r="I71" s="627" t="n">
        <x:v>83.96</x:v>
      </x:c>
      <x:c r="J71" s="627" t="n">
        <x:v>1.95</x:v>
      </x:c>
      <x:c r="K71" s="627" t="n">
        <x:v>0</x:v>
      </x:c>
      <x:c r="L71" s="627" t="n">
        <x:v>17.12</x:v>
      </x:c>
      <x:c r="M71" s="627" t="n">
        <x:v>25.02</x:v>
      </x:c>
      <x:c r="N71" s="627" t="n">
        <x:v>117.24</x:v>
      </x:c>
      <x:c r="O71" s="627" t="n">
        <x:v>82.58</x:v>
      </x:c>
      <x:c r="P71" s="627" t="n">
        <x:v>3.19</x:v>
      </x:c>
      <x:c r="Q71" s="627" t="n">
        <x:v>-0.01</x:v>
      </x:c>
      <x:c r="R71" s="653" t="n">
        <x:v>0</x:v>
      </x:c>
      <x:c r="Z71" s="624"/>
    </x:row>
    <x:row r="72" spans="1:26" x14ac:dyDescent="0.2">
      <x:c r="C72" s="625" t="s">
        <x:v>116</x:v>
      </x:c>
      <x:c r="D72" s="625" t="s">
        <x:v>70</x:v>
      </x:c>
      <x:c r="E72" s="627" t="n">
        <x:v>1616580.05</x:v>
      </x:c>
      <x:c r="F72" s="627" t="n">
        <x:v>90570.97</x:v>
      </x:c>
      <x:c r="G72" s="627" t="n">
        <x:v>47848.06</x:v>
      </x:c>
      <x:c r="H72" s="627" t="n">
        <x:v>24121.54</x:v>
      </x:c>
      <x:c r="I72" s="627" t="n">
        <x:v>433695.6</x:v>
      </x:c>
      <x:c r="J72" s="627" t="n">
        <x:v>13310.95</x:v>
      </x:c>
      <x:c r="K72" s="627" t="n">
        <x:v>0</x:v>
      </x:c>
      <x:c r="L72" s="627" t="n">
        <x:v>100437.15</x:v>
      </x:c>
      <x:c r="M72" s="627" t="n">
        <x:v>121158.59</x:v>
      </x:c>
      <x:c r="N72" s="627" t="n">
        <x:v>423488.93</x:v>
      </x:c>
      <x:c r="O72" s="627" t="n">
        <x:v>346818.86</x:v>
      </x:c>
      <x:c r="P72" s="627" t="n">
        <x:v>15118.65</x:v>
      </x:c>
      <x:c r="Q72" s="627" t="n">
        <x:v>10.75</x:v>
      </x:c>
      <x:c r="R72" s="653" t="n">
        <x:v>0</x:v>
      </x:c>
      <x:c r="Z72" s="624"/>
    </x:row>
    <x:row r="73" spans="1:26" x14ac:dyDescent="0.2">
      <x:c r="C73" s="625"/>
      <x:c r="D73" s="625" t="s">
        <x:v>72</x:v>
      </x:c>
      <x:c r="E73" s="627" t="n">
        <x:v>27690465.37</x:v>
      </x:c>
      <x:c r="F73" s="627" t="n">
        <x:v>1701572.26</x:v>
      </x:c>
      <x:c r="G73" s="627" t="n">
        <x:v>971553.65</x:v>
      </x:c>
      <x:c r="H73" s="627" t="n">
        <x:v>405189.21</x:v>
      </x:c>
      <x:c r="I73" s="627" t="n">
        <x:v>7839404.57</x:v>
      </x:c>
      <x:c r="J73" s="627" t="n">
        <x:v>234550.49</x:v>
      </x:c>
      <x:c r="K73" s="627" t="n">
        <x:v>0</x:v>
      </x:c>
      <x:c r="L73" s="627" t="n">
        <x:v>2072653.22</x:v>
      </x:c>
      <x:c r="M73" s="627" t="n">
        <x:v>2236559.98</x:v>
      </x:c>
      <x:c r="N73" s="627" t="n">
        <x:v>8259845.44</x:v>
      </x:c>
      <x:c r="O73" s="627" t="n">
        <x:v>3677240.61</x:v>
      </x:c>
      <x:c r="P73" s="627" t="n">
        <x:v>291796.3</x:v>
      </x:c>
      <x:c r="Q73" s="627" t="n">
        <x:v>99.64</x:v>
      </x:c>
      <x:c r="R73" s="653" t="n">
        <x:v>0</x:v>
      </x:c>
      <x:c r="Z73" s="624"/>
    </x:row>
    <x:row r="74" spans="1:26" x14ac:dyDescent="0.2">
      <x:c r="C74" s="625"/>
      <x:c r="D74" s="625" t="s">
        <x:v>81</x:v>
      </x:c>
      <x:c r="E74" s="627" t="n">
        <x:v>220606.32</x:v>
      </x:c>
      <x:c r="F74" s="627" t="n">
        <x:v>2079.3</x:v>
      </x:c>
      <x:c r="G74" s="627" t="n">
        <x:v>1101.6</x:v>
      </x:c>
      <x:c r="H74" s="627" t="n">
        <x:v>634.08</x:v>
      </x:c>
      <x:c r="I74" s="627" t="n">
        <x:v>4056.19</x:v>
      </x:c>
      <x:c r="J74" s="627" t="n">
        <x:v>100.05</x:v>
      </x:c>
      <x:c r="K74" s="627" t="n">
        <x:v>0</x:v>
      </x:c>
      <x:c r="L74" s="627" t="n">
        <x:v>31497.06</x:v>
      </x:c>
      <x:c r="M74" s="627" t="n">
        <x:v>39422.95</x:v>
      </x:c>
      <x:c r="N74" s="627" t="n">
        <x:v>118658.47</x:v>
      </x:c>
      <x:c r="O74" s="627" t="n">
        <x:v>22893.4</x:v>
      </x:c>
      <x:c r="P74" s="627" t="n">
        <x:v>163.27</x:v>
      </x:c>
      <x:c r="Q74" s="627" t="n">
        <x:v>-0.05</x:v>
      </x:c>
      <x:c r="R74" s="653" t="n">
        <x:v>0</x:v>
      </x:c>
      <x:c r="Z74" s="624"/>
    </x:row>
    <x:row r="75" spans="1:26" x14ac:dyDescent="0.2">
      <x:c r="C75" s="625" t="s">
        <x:v>118</x:v>
      </x:c>
      <x:c r="D75" s="625" t="s">
        <x:v>70</x:v>
      </x:c>
      <x:c r="E75" s="627" t="n">
        <x:v>27911071.69</x:v>
      </x:c>
      <x:c r="F75" s="627" t="n">
        <x:v>1703651.56</x:v>
      </x:c>
      <x:c r="G75" s="627" t="n">
        <x:v>972655.25</x:v>
      </x:c>
      <x:c r="H75" s="627" t="n">
        <x:v>405823.29</x:v>
      </x:c>
      <x:c r="I75" s="627" t="n">
        <x:v>7843460.76</x:v>
      </x:c>
      <x:c r="J75" s="627" t="n">
        <x:v>234650.54</x:v>
      </x:c>
      <x:c r="K75" s="627" t="n">
        <x:v>0</x:v>
      </x:c>
      <x:c r="L75" s="627" t="n">
        <x:v>2104150.28</x:v>
      </x:c>
      <x:c r="M75" s="627" t="n">
        <x:v>2275982.93</x:v>
      </x:c>
      <x:c r="N75" s="627" t="n">
        <x:v>8378503.91</x:v>
      </x:c>
      <x:c r="O75" s="627" t="n">
        <x:v>3700134.01</x:v>
      </x:c>
      <x:c r="P75" s="627" t="n">
        <x:v>291959.57</x:v>
      </x:c>
      <x:c r="Q75" s="627" t="n">
        <x:v>99.59</x:v>
      </x:c>
      <x:c r="R75" s="653" t="n">
        <x:v>0</x:v>
      </x:c>
      <x:c r="Z75" s="624"/>
    </x:row>
    <x:row r="76" spans="1:26" x14ac:dyDescent="0.2">
      <x:c r="C76" s="625"/>
      <x:c r="D76" s="625" t="s">
        <x:v>72</x:v>
      </x:c>
      <x:c r="E76" s="627" t="n">
        <x:v>831919.29</x:v>
      </x:c>
      <x:c r="F76" s="627" t="n">
        <x:v>0</x:v>
      </x:c>
      <x:c r="G76" s="627" t="n">
        <x:v>0</x:v>
      </x:c>
      <x:c r="H76" s="627" t="n">
        <x:v>0</x:v>
      </x:c>
      <x:c r="I76" s="627" t="n">
        <x:v>0</x:v>
      </x:c>
      <x:c r="J76" s="627" t="n">
        <x:v>0</x:v>
      </x:c>
      <x:c r="K76" s="627" t="n">
        <x:v>0</x:v>
      </x:c>
      <x:c r="L76" s="627" t="n">
        <x:v>4321.14</x:v>
      </x:c>
      <x:c r="M76" s="627" t="n">
        <x:v>6126.52</x:v>
      </x:c>
      <x:c r="N76" s="627" t="n">
        <x:v>6629.52</x:v>
      </x:c>
      <x:c r="O76" s="627" t="n">
        <x:v>814845.14</x:v>
      </x:c>
      <x:c r="P76" s="627" t="n">
        <x:v>0</x:v>
      </x:c>
      <x:c r="Q76" s="627" t="n">
        <x:v>-3.03</x:v>
      </x:c>
      <x:c r="R76" s="653" t="n">
        <x:v>0</x:v>
      </x:c>
      <x:c r="Z76" s="624"/>
    </x:row>
    <x:row r="77" spans="1:26" x14ac:dyDescent="0.2">
      <x:c r="C77" s="625" t="s">
        <x:v>332</x:v>
      </x:c>
      <x:c r="D77" s="625" t="s">
        <x:v>70</x:v>
      </x:c>
      <x:c r="E77" s="627" t="n">
        <x:v>831919.29</x:v>
      </x:c>
      <x:c r="F77" s="627" t="n">
        <x:v>0</x:v>
      </x:c>
      <x:c r="G77" s="627" t="n">
        <x:v>0</x:v>
      </x:c>
      <x:c r="H77" s="627" t="n">
        <x:v>0</x:v>
      </x:c>
      <x:c r="I77" s="627" t="n">
        <x:v>0</x:v>
      </x:c>
      <x:c r="J77" s="627" t="n">
        <x:v>0</x:v>
      </x:c>
      <x:c r="K77" s="627" t="n">
        <x:v>0</x:v>
      </x:c>
      <x:c r="L77" s="627" t="n">
        <x:v>4321.14</x:v>
      </x:c>
      <x:c r="M77" s="627" t="n">
        <x:v>6126.52</x:v>
      </x:c>
      <x:c r="N77" s="627" t="n">
        <x:v>6629.52</x:v>
      </x:c>
      <x:c r="O77" s="627" t="n">
        <x:v>814845.14</x:v>
      </x:c>
      <x:c r="P77" s="627" t="n">
        <x:v>0</x:v>
      </x:c>
      <x:c r="Q77" s="627" t="n">
        <x:v>-3.03</x:v>
      </x:c>
      <x:c r="R77" s="653" t="n">
        <x:v>0</x:v>
      </x:c>
      <x:c r="Z77" s="624"/>
    </x:row>
    <x:row r="78" spans="1:26" x14ac:dyDescent="0.2">
      <x:c r="A78" s="667"/>
      <x:c r="B78" s="667" t="s">
        <x:v>120</x:v>
      </x:c>
      <x:c r="C78" s="667" t="s">
        <x:v>70</x:v>
      </x:c>
      <x:c r="D78" s="667"/>
      <x:c r="E78" s="672" t="n">
        <x:v>52469851.41</x:v>
      </x:c>
      <x:c r="F78" s="672" t="n">
        <x:v>3216777.59</x:v>
      </x:c>
      <x:c r="G78" s="672" t="n">
        <x:v>1799399.45</x:v>
      </x:c>
      <x:c r="H78" s="672" t="n">
        <x:v>773125.81</x:v>
      </x:c>
      <x:c r="I78" s="672" t="n">
        <x:v>14315915.6</x:v>
      </x:c>
      <x:c r="J78" s="672" t="n">
        <x:v>406510.66</x:v>
      </x:c>
      <x:c r="K78" s="672" t="n">
        <x:v>0</x:v>
      </x:c>
      <x:c r="L78" s="672" t="n">
        <x:v>3668619.83</x:v>
      </x:c>
      <x:c r="M78" s="672" t="n">
        <x:v>4175302.62</x:v>
      </x:c>
      <x:c r="N78" s="672" t="n">
        <x:v>14329479.37</x:v>
      </x:c>
      <x:c r="O78" s="672" t="n">
        <x:v>9282610.95</x:v>
      </x:c>
      <x:c r="P78" s="672" t="n">
        <x:v>502138.48</x:v>
      </x:c>
      <x:c r="Q78" s="672" t="n">
        <x:v>-28.95</x:v>
      </x:c>
      <x:c r="R78" s="672" t="n">
        <x:v>0</x:v>
      </x:c>
      <x:c r="S78" s="667"/>
      <x:c r="T78" s="667"/>
      <x:c r="U78" s="667"/>
      <x:c r="V78" s="667"/>
      <x:c r="W78" s="667"/>
      <x:c r="X78" s="667"/>
      <x:c r="Y78" s="667"/>
      <x:c r="Z78" s="624"/>
    </x:row>
    <x:row r="79" spans="1:26" x14ac:dyDescent="0.2">
      <x:c r="D79" s="25" t="s">
        <x:v>72</x:v>
      </x:c>
      <x:c r="E79" s="653" t="n">
        <x:v>11075334.51</x:v>
      </x:c>
      <x:c r="F79" s="653" t="n">
        <x:v>821378.55</x:v>
      </x:c>
      <x:c r="G79" s="653" t="n">
        <x:v>465927.35</x:v>
      </x:c>
      <x:c r="H79" s="653" t="n">
        <x:v>215214.87</x:v>
      </x:c>
      <x:c r="I79" s="653" t="n">
        <x:v>2963943.27</x:v>
      </x:c>
      <x:c r="J79" s="653" t="n">
        <x:v>82515.34</x:v>
      </x:c>
      <x:c r="K79" s="653" t="n">
        <x:v>0</x:v>
      </x:c>
      <x:c r="L79" s="653" t="n">
        <x:v>658290.51</x:v>
      </x:c>
      <x:c r="M79" s="653" t="n">
        <x:v>834824.5</x:v>
      </x:c>
      <x:c r="N79" s="653" t="n">
        <x:v>3348380.91</x:v>
      </x:c>
      <x:c r="O79" s="653" t="n">
        <x:v>1591238.38</x:v>
      </x:c>
      <x:c r="P79" s="653" t="n">
        <x:v>93600.37</x:v>
      </x:c>
      <x:c r="Q79" s="653" t="n">
        <x:v>20.46</x:v>
      </x:c>
      <x:c r="R79" s="653" t="n">
        <x:v>0</x:v>
      </x:c>
      <x:c r="Z79" s="624"/>
    </x:row>
    <x:row r="80" spans="1:26" x14ac:dyDescent="0.2">
      <x:c r="D80" s="25" t="s">
        <x:v>81</x:v>
      </x:c>
      <x:c r="E80" s="653" t="n">
        <x:v>20136.06</x:v>
      </x:c>
      <x:c r="F80" s="653" t="n">
        <x:v>2455.33</x:v>
      </x:c>
      <x:c r="G80" s="653" t="n">
        <x:v>1132.97</x:v>
      </x:c>
      <x:c r="H80" s="653" t="n">
        <x:v>675.49</x:v>
      </x:c>
      <x:c r="I80" s="653" t="n">
        <x:v>3924.78</x:v>
      </x:c>
      <x:c r="J80" s="653" t="n">
        <x:v>92.44</x:v>
      </x:c>
      <x:c r="K80" s="653" t="n">
        <x:v>0</x:v>
      </x:c>
      <x:c r="L80" s="653" t="n">
        <x:v>810.75</x:v>
      </x:c>
      <x:c r="M80" s="653" t="n">
        <x:v>1058.05</x:v>
      </x:c>
      <x:c r="N80" s="653" t="n">
        <x:v>4906.98</x:v>
      </x:c>
      <x:c r="O80" s="653" t="n">
        <x:v>4928.45</x:v>
      </x:c>
      <x:c r="P80" s="653" t="n">
        <x:v>150.8</x:v>
      </x:c>
      <x:c r="Q80" s="653" t="n">
        <x:v>0.02</x:v>
      </x:c>
      <x:c r="R80" s="653" t="n">
        <x:v>0</x:v>
      </x:c>
      <x:c r="Z80" s="624"/>
    </x:row>
    <x:row r="81" spans="1:26" x14ac:dyDescent="0.2">
      <x:c r="C81" s="25" t="s">
        <x:v>82</x:v>
      </x:c>
      <x:c r="D81" s="25" t="s">
        <x:v>70</x:v>
      </x:c>
      <x:c r="E81" s="653" t="n">
        <x:v>11095470.57</x:v>
      </x:c>
      <x:c r="F81" s="653" t="n">
        <x:v>823833.88</x:v>
      </x:c>
      <x:c r="G81" s="653" t="n">
        <x:v>467060.32</x:v>
      </x:c>
      <x:c r="H81" s="653" t="n">
        <x:v>215890.36</x:v>
      </x:c>
      <x:c r="I81" s="653" t="n">
        <x:v>2967868.05</x:v>
      </x:c>
      <x:c r="J81" s="653" t="n">
        <x:v>82607.78</x:v>
      </x:c>
      <x:c r="K81" s="653" t="n">
        <x:v>0</x:v>
      </x:c>
      <x:c r="L81" s="653" t="n">
        <x:v>659101.26</x:v>
      </x:c>
      <x:c r="M81" s="653" t="n">
        <x:v>835882.55</x:v>
      </x:c>
      <x:c r="N81" s="653" t="n">
        <x:v>3353287.89</x:v>
      </x:c>
      <x:c r="O81" s="653" t="n">
        <x:v>1596166.83</x:v>
      </x:c>
      <x:c r="P81" s="653" t="n">
        <x:v>93751.17</x:v>
      </x:c>
      <x:c r="Q81" s="653" t="n">
        <x:v>20.48</x:v>
      </x:c>
      <x:c r="R81" s="653" t="n">
        <x:v>0</x:v>
      </x:c>
      <x:c r="Z81" s="624"/>
    </x:row>
    <x:row r="82" spans="1:26" x14ac:dyDescent="0.2">
      <x:c r="D82" s="25" t="s">
        <x:v>72</x:v>
      </x:c>
      <x:c r="E82" s="653" t="n">
        <x:v>38346937.41</x:v>
      </x:c>
      <x:c r="F82" s="653" t="n">
        <x:v>3218428.18</x:v>
      </x:c>
      <x:c r="G82" s="653" t="n">
        <x:v>1802927.88</x:v>
      </x:c>
      <x:c r="H82" s="653" t="n">
        <x:v>864947.8</x:v>
      </x:c>
      <x:c r="I82" s="653" t="n">
        <x:v>8956303.58</x:v>
      </x:c>
      <x:c r="J82" s="653" t="n">
        <x:v>272835.85</x:v>
      </x:c>
      <x:c r="K82" s="653" t="n">
        <x:v>0</x:v>
      </x:c>
      <x:c r="L82" s="653" t="n">
        <x:v>2439524.55</x:v>
      </x:c>
      <x:c r="M82" s="653" t="n">
        <x:v>2783253.06</x:v>
      </x:c>
      <x:c r="N82" s="653" t="n">
        <x:v>10966064.28</x:v>
      </x:c>
      <x:c r="O82" s="653" t="n">
        <x:v>6668396.54</x:v>
      </x:c>
      <x:c r="P82" s="653" t="n">
        <x:v>374240.28</x:v>
      </x:c>
      <x:c r="Q82" s="653" t="n">
        <x:v>15.41</x:v>
      </x:c>
      <x:c r="R82" s="653" t="n">
        <x:v>0</x:v>
      </x:c>
      <x:c r="Z82" s="624"/>
    </x:row>
    <x:row r="83" spans="1:26" x14ac:dyDescent="0.2">
      <x:c r="D83" s="25" t="s">
        <x:v>81</x:v>
      </x:c>
      <x:c r="E83" s="653" t="n">
        <x:v>435116.55</x:v>
      </x:c>
      <x:c r="F83" s="653" t="n">
        <x:v>47759.13</x:v>
      </x:c>
      <x:c r="G83" s="653" t="n">
        <x:v>22622.8</x:v>
      </x:c>
      <x:c r="H83" s="653" t="n">
        <x:v>11464.99</x:v>
      </x:c>
      <x:c r="I83" s="653" t="n">
        <x:v>86745.59</x:v>
      </x:c>
      <x:c r="J83" s="653" t="n">
        <x:v>2665.2</x:v>
      </x:c>
      <x:c r="K83" s="653" t="n">
        <x:v>0</x:v>
      </x:c>
      <x:c r="L83" s="653" t="n">
        <x:v>22811.78</x:v>
      </x:c>
      <x:c r="M83" s="653" t="n">
        <x:v>28601.42</x:v>
      </x:c>
      <x:c r="N83" s="653" t="n">
        <x:v>113175.65</x:v>
      </x:c>
      <x:c r="O83" s="653" t="n">
        <x:v>94916.98</x:v>
      </x:c>
      <x:c r="P83" s="653" t="n">
        <x:v>4352.25</x:v>
      </x:c>
      <x:c r="Q83" s="653" t="n">
        <x:v>0.76</x:v>
      </x:c>
      <x:c r="R83" s="653" t="n">
        <x:v>0</x:v>
      </x:c>
      <x:c r="Z83" s="624"/>
    </x:row>
    <x:row r="84" spans="1:26" x14ac:dyDescent="0.2">
      <x:c r="C84" s="25" t="s">
        <x:v>86</x:v>
      </x:c>
      <x:c r="D84" s="25" t="s">
        <x:v>70</x:v>
      </x:c>
      <x:c r="E84" s="653" t="n">
        <x:v>38782053.96</x:v>
      </x:c>
      <x:c r="F84" s="653" t="n">
        <x:v>3266187.31</x:v>
      </x:c>
      <x:c r="G84" s="653" t="n">
        <x:v>1825550.68</x:v>
      </x:c>
      <x:c r="H84" s="653" t="n">
        <x:v>876412.79</x:v>
      </x:c>
      <x:c r="I84" s="653" t="n">
        <x:v>9043049.17</x:v>
      </x:c>
      <x:c r="J84" s="653" t="n">
        <x:v>275501.05</x:v>
      </x:c>
      <x:c r="K84" s="653" t="n">
        <x:v>0</x:v>
      </x:c>
      <x:c r="L84" s="653" t="n">
        <x:v>2462336.33</x:v>
      </x:c>
      <x:c r="M84" s="653" t="n">
        <x:v>2811854.48</x:v>
      </x:c>
      <x:c r="N84" s="653" t="n">
        <x:v>11079239.93</x:v>
      </x:c>
      <x:c r="O84" s="653" t="n">
        <x:v>6763313.52</x:v>
      </x:c>
      <x:c r="P84" s="653" t="n">
        <x:v>378592.53</x:v>
      </x:c>
      <x:c r="Q84" s="653" t="n">
        <x:v>16.17</x:v>
      </x:c>
      <x:c r="R84" s="653" t="n">
        <x:v>0</x:v>
      </x:c>
      <x:c r="Z84" s="624"/>
    </x:row>
    <x:row r="85" spans="1:26" x14ac:dyDescent="0.2">
      <x:c r="D85" s="25" t="s">
        <x:v>72</x:v>
      </x:c>
      <x:c r="E85" s="653" t="n">
        <x:v>42498048.93</x:v>
      </x:c>
      <x:c r="F85" s="653" t="n">
        <x:v>5756619.93</x:v>
      </x:c>
      <x:c r="G85" s="653" t="n">
        <x:v>3216233.52</x:v>
      </x:c>
      <x:c r="H85" s="653" t="n">
        <x:v>1817946.33</x:v>
      </x:c>
      <x:c r="I85" s="653" t="n">
        <x:v>1910670.24</x:v>
      </x:c>
      <x:c r="J85" s="653" t="n">
        <x:v>53108.69</x:v>
      </x:c>
      <x:c r="K85" s="653" t="n">
        <x:v>0</x:v>
      </x:c>
      <x:c r="L85" s="653" t="n">
        <x:v>473073.31</x:v>
      </x:c>
      <x:c r="M85" s="653" t="n">
        <x:v>611269.16</x:v>
      </x:c>
      <x:c r="N85" s="653" t="n">
        <x:v>2270384.89</x:v>
      </x:c>
      <x:c r="O85" s="653" t="n">
        <x:v>26329366.12</x:v>
      </x:c>
      <x:c r="P85" s="653" t="n">
        <x:v>59347.07</x:v>
      </x:c>
      <x:c r="Q85" s="653" t="n">
        <x:v>29.67</x:v>
      </x:c>
      <x:c r="R85" s="653" t="n">
        <x:v>0</x:v>
      </x:c>
      <x:c r="Z85" s="624"/>
    </x:row>
    <x:row r="86" spans="1:26" x14ac:dyDescent="0.2">
      <x:c r="D86" s="25" t="s">
        <x:v>81</x:v>
      </x:c>
      <x:c r="E86" s="653" t="n">
        <x:v>9526.39</x:v>
      </x:c>
      <x:c r="F86" s="653" t="n">
        <x:v>1485.4</x:v>
      </x:c>
      <x:c r="G86" s="653" t="n">
        <x:v>831.8</x:v>
      </x:c>
      <x:c r="H86" s="653" t="n">
        <x:v>440.06</x:v>
      </x:c>
      <x:c r="I86" s="653" t="n">
        <x:v>1225.21</x:v>
      </x:c>
      <x:c r="J86" s="653" t="n">
        <x:v>39.88</x:v>
      </x:c>
      <x:c r="K86" s="653" t="n">
        <x:v>0</x:v>
      </x:c>
      <x:c r="L86" s="653" t="n">
        <x:v>349.95</x:v>
      </x:c>
      <x:c r="M86" s="653" t="n">
        <x:v>378.78</x:v>
      </x:c>
      <x:c r="N86" s="653" t="n">
        <x:v>1754.01</x:v>
      </x:c>
      <x:c r="O86" s="653" t="n">
        <x:v>2956.22</x:v>
      </x:c>
      <x:c r="P86" s="653" t="n">
        <x:v>65.09</x:v>
      </x:c>
      <x:c r="Q86" s="653" t="n">
        <x:v>-0.01</x:v>
      </x:c>
      <x:c r="R86" s="653" t="n">
        <x:v>0</x:v>
      </x:c>
      <x:c r="Z86" s="624"/>
    </x:row>
    <x:row r="87" spans="1:26" x14ac:dyDescent="0.2">
      <x:c r="C87" s="625" t="s">
        <x:v>87</x:v>
      </x:c>
      <x:c r="D87" s="625" t="s">
        <x:v>70</x:v>
      </x:c>
      <x:c r="E87" s="627" t="n">
        <x:v>42507575.32</x:v>
      </x:c>
      <x:c r="F87" s="627" t="n">
        <x:v>5758105.33</x:v>
      </x:c>
      <x:c r="G87" s="627" t="n">
        <x:v>3217065.32</x:v>
      </x:c>
      <x:c r="H87" s="627" t="n">
        <x:v>1818386.39</x:v>
      </x:c>
      <x:c r="I87" s="627" t="n">
        <x:v>1911895.45</x:v>
      </x:c>
      <x:c r="J87" s="627" t="n">
        <x:v>53148.57</x:v>
      </x:c>
      <x:c r="K87" s="627" t="n">
        <x:v>0</x:v>
      </x:c>
      <x:c r="L87" s="627" t="n">
        <x:v>473423.26</x:v>
      </x:c>
      <x:c r="M87" s="627" t="n">
        <x:v>611647.94</x:v>
      </x:c>
      <x:c r="N87" s="627" t="n">
        <x:v>2272138.9</x:v>
      </x:c>
      <x:c r="O87" s="627" t="n">
        <x:v>26332322.34</x:v>
      </x:c>
      <x:c r="P87" s="627" t="n">
        <x:v>59412.16</x:v>
      </x:c>
      <x:c r="Q87" s="627" t="n">
        <x:v>29.66</x:v>
      </x:c>
      <x:c r="R87" s="653" t="n">
        <x:v>0</x:v>
      </x:c>
      <x:c r="Z87" s="624"/>
    </x:row>
    <x:row r="88" spans="1:26" x14ac:dyDescent="0.2">
      <x:c r="A88" s="631"/>
      <x:c r="B88" s="632" t="s">
        <x:v>119</x:v>
      </x:c>
      <x:c r="C88" s="632" t="s">
        <x:v>70</x:v>
      </x:c>
      <x:c r="D88" s="631"/>
      <x:c r="E88" s="633" t="n">
        <x:v>92385099.85</x:v>
      </x:c>
      <x:c r="F88" s="633" t="n">
        <x:v>9848126.52</x:v>
      </x:c>
      <x:c r="G88" s="633" t="n">
        <x:v>5509676.32</x:v>
      </x:c>
      <x:c r="H88" s="633" t="n">
        <x:v>2910689.54</x:v>
      </x:c>
      <x:c r="I88" s="633" t="n">
        <x:v>13922812.67</x:v>
      </x:c>
      <x:c r="J88" s="633" t="n">
        <x:v>411257.4</x:v>
      </x:c>
      <x:c r="K88" s="633" t="n">
        <x:v>0</x:v>
      </x:c>
      <x:c r="L88" s="633" t="n">
        <x:v>3594860.85</x:v>
      </x:c>
      <x:c r="M88" s="633" t="n">
        <x:v>4259384.97</x:v>
      </x:c>
      <x:c r="N88" s="633" t="n">
        <x:v>16704666.72</x:v>
      </x:c>
      <x:c r="O88" s="633" t="n">
        <x:v>34691802.69</x:v>
      </x:c>
      <x:c r="P88" s="633" t="n">
        <x:v>531755.86</x:v>
      </x:c>
      <x:c r="Q88" s="633" t="n">
        <x:v>66.31</x:v>
      </x:c>
      <x:c r="R88" s="678" t="n">
        <x:v>0</x:v>
      </x:c>
      <x:c r="S88" s="631"/>
      <x:c r="T88" s="631"/>
      <x:c r="U88" s="631"/>
      <x:c r="V88" s="631"/>
      <x:c r="W88" s="631"/>
      <x:c r="X88" s="631"/>
      <x:c r="Y88" s="631"/>
      <x:c r="Z88" s="624"/>
    </x:row>
    <x:row r="89" spans="1:26" x14ac:dyDescent="0.2">
      <x:c r="A89" s="639" t="s">
        <x:v>78</x:v>
      </x:c>
      <x:c r="B89" s="639" t="s">
        <x:v>70</x:v>
      </x:c>
      <x:c r="C89" s="638"/>
      <x:c r="D89" s="638"/>
      <x:c r="E89" s="640" t="n">
        <x:v>216652398.82</x:v>
      </x:c>
      <x:c r="F89" s="640" t="n">
        <x:v>17193125.32</x:v>
      </x:c>
      <x:c r="G89" s="640" t="n">
        <x:v>9759590.52</x:v>
      </x:c>
      <x:c r="H89" s="640" t="n">
        <x:v>4674886.45</x:v>
      </x:c>
      <x:c r="I89" s="640" t="n">
        <x:v>47216081.21</x:v>
      </x:c>
      <x:c r="J89" s="640" t="n">
        <x:v>1451359.21</x:v>
      </x:c>
      <x:c r="K89" s="640" t="n">
        <x:v>0</x:v>
      </x:c>
      <x:c r="L89" s="640" t="n">
        <x:v>13193069.92</x:v>
      </x:c>
      <x:c r="M89" s="640" t="n">
        <x:v>14193303.56</x:v>
      </x:c>
      <x:c r="N89" s="640" t="n">
        <x:v>54326291.74</x:v>
      </x:c>
      <x:c r="O89" s="640" t="n">
        <x:v>52723995.28</x:v>
      </x:c>
      <x:c r="P89" s="640" t="n">
        <x:v>1920514</x:v>
      </x:c>
      <x:c r="Q89" s="640" t="n">
        <x:v>181.61</x:v>
      </x:c>
      <x:c r="R89" s="679" t="n">
        <x:v>0</x:v>
      </x:c>
      <x:c r="S89" s="638"/>
      <x:c r="T89" s="638"/>
      <x:c r="U89" s="638"/>
      <x:c r="V89" s="638"/>
      <x:c r="W89" s="638"/>
      <x:c r="X89" s="638"/>
      <x:c r="Y89" s="638"/>
      <x:c r="Z89" s="624"/>
    </x:row>
    <x:row r="90" spans="1:26" x14ac:dyDescent="0.2">
      <x:c r="C90" s="625"/>
      <x:c r="D90" s="625" t="s">
        <x:v>73</x:v>
      </x:c>
      <x:c r="E90" s="627" t="n">
        <x:v>-16121294.86</x:v>
      </x:c>
      <x:c r="F90" s="627" t="n">
        <x:v>-535197.19</x:v>
      </x:c>
      <x:c r="G90" s="627" t="n">
        <x:v>-315094.83</x:v>
      </x:c>
      <x:c r="H90" s="627" t="n">
        <x:v>-189104.93</x:v>
      </x:c>
      <x:c r="I90" s="627" t="n">
        <x:v>-4617623.13</x:v>
      </x:c>
      <x:c r="J90" s="627" t="n">
        <x:v>-160785.5</x:v>
      </x:c>
      <x:c r="K90" s="627" t="n">
        <x:v>0</x:v>
      </x:c>
      <x:c r="L90" s="627" t="n">
        <x:v>-1360058.01</x:v>
      </x:c>
      <x:c r="M90" s="627" t="n">
        <x:v>-1315487.91</x:v>
      </x:c>
      <x:c r="N90" s="627" t="n">
        <x:v>-6434917.69</x:v>
      </x:c>
      <x:c r="O90" s="627" t="n">
        <x:v>-931826.69</x:v>
      </x:c>
      <x:c r="P90" s="627" t="n">
        <x:v>-261198.98</x:v>
      </x:c>
      <x:c r="Q90" s="627" t="n">
        <x:v>0</x:v>
      </x:c>
      <x:c r="R90" s="653" t="n">
        <x:v>0</x:v>
      </x:c>
      <x:c r="Z90" s="624"/>
    </x:row>
    <x:row r="91" spans="1:26" x14ac:dyDescent="0.2">
      <x:c r="C91" s="625" t="s">
        <x:v>156</x:v>
      </x:c>
      <x:c r="D91" s="625" t="s">
        <x:v>70</x:v>
      </x:c>
      <x:c r="E91" s="627" t="n">
        <x:v>-16121294.86</x:v>
      </x:c>
      <x:c r="F91" s="627" t="n">
        <x:v>-535197.19</x:v>
      </x:c>
      <x:c r="G91" s="627" t="n">
        <x:v>-315094.83</x:v>
      </x:c>
      <x:c r="H91" s="627" t="n">
        <x:v>-189104.93</x:v>
      </x:c>
      <x:c r="I91" s="627" t="n">
        <x:v>-4617623.13</x:v>
      </x:c>
      <x:c r="J91" s="627" t="n">
        <x:v>-160785.5</x:v>
      </x:c>
      <x:c r="K91" s="627" t="n">
        <x:v>0</x:v>
      </x:c>
      <x:c r="L91" s="627" t="n">
        <x:v>-1360058.01</x:v>
      </x:c>
      <x:c r="M91" s="627" t="n">
        <x:v>-1315487.91</x:v>
      </x:c>
      <x:c r="N91" s="627" t="n">
        <x:v>-6434917.69</x:v>
      </x:c>
      <x:c r="O91" s="627" t="n">
        <x:v>-931826.69</x:v>
      </x:c>
      <x:c r="P91" s="627" t="n">
        <x:v>-261198.98</x:v>
      </x:c>
      <x:c r="Q91" s="627" t="n">
        <x:v>0</x:v>
      </x:c>
      <x:c r="R91" s="653" t="n">
        <x:v>0</x:v>
      </x:c>
      <x:c r="Z91" s="624"/>
    </x:row>
    <x:row r="92" spans="1:26" x14ac:dyDescent="0.2">
      <x:c r="A92" s="628"/>
      <x:c r="B92" s="628" t="s">
        <x:v>155</x:v>
      </x:c>
      <x:c r="C92" s="628" t="s">
        <x:v>70</x:v>
      </x:c>
      <x:c r="D92" s="628"/>
      <x:c r="E92" s="677" t="n">
        <x:v>-16121294.86</x:v>
      </x:c>
      <x:c r="F92" s="677" t="n">
        <x:v>-535197.19</x:v>
      </x:c>
      <x:c r="G92" s="677" t="n">
        <x:v>-315094.83</x:v>
      </x:c>
      <x:c r="H92" s="677" t="n">
        <x:v>-189104.93</x:v>
      </x:c>
      <x:c r="I92" s="677" t="n">
        <x:v>-4617623.13</x:v>
      </x:c>
      <x:c r="J92" s="677" t="n">
        <x:v>-160785.5</x:v>
      </x:c>
      <x:c r="K92" s="677" t="n">
        <x:v>0</x:v>
      </x:c>
      <x:c r="L92" s="677" t="n">
        <x:v>-1360058.01</x:v>
      </x:c>
      <x:c r="M92" s="677" t="n">
        <x:v>-1315487.91</x:v>
      </x:c>
      <x:c r="N92" s="677" t="n">
        <x:v>-6434917.69</x:v>
      </x:c>
      <x:c r="O92" s="677" t="n">
        <x:v>-931826.69</x:v>
      </x:c>
      <x:c r="P92" s="677" t="n">
        <x:v>-261198.98</x:v>
      </x:c>
      <x:c r="Q92" s="677" t="n">
        <x:v>0</x:v>
      </x:c>
      <x:c r="R92" s="677" t="n">
        <x:v>0</x:v>
      </x:c>
      <x:c r="S92" s="628"/>
      <x:c r="T92" s="628"/>
      <x:c r="U92" s="628"/>
      <x:c r="V92" s="628"/>
      <x:c r="W92" s="628"/>
      <x:c r="X92" s="628"/>
      <x:c r="Y92" s="628"/>
      <x:c r="Z92" s="624"/>
    </x:row>
    <x:row r="93" spans="1:26" x14ac:dyDescent="0.2">
      <x:c r="C93" s="625"/>
      <x:c r="D93" s="625" t="s">
        <x:v>73</x:v>
      </x:c>
      <x:c r="E93" s="627" t="n">
        <x:v>-7006158.79</x:v>
      </x:c>
      <x:c r="F93" s="627" t="n">
        <x:v>-282130</x:v>
      </x:c>
      <x:c r="G93" s="627" t="n">
        <x:v>-165135.7</x:v>
      </x:c>
      <x:c r="H93" s="627" t="n">
        <x:v>-90452.73</x:v>
      </x:c>
      <x:c r="I93" s="627" t="n">
        <x:v>-1975334.97</x:v>
      </x:c>
      <x:c r="J93" s="627" t="n">
        <x:v>-54298.01</x:v>
      </x:c>
      <x:c r="K93" s="627" t="n">
        <x:v>0</x:v>
      </x:c>
      <x:c r="L93" s="627" t="n">
        <x:v>-461440.15</x:v>
      </x:c>
      <x:c r="M93" s="627" t="n">
        <x:v>-581546.05</x:v>
      </x:c>
      <x:c r="N93" s="627" t="n">
        <x:v>-2784117.01</x:v>
      </x:c>
      <x:c r="O93" s="627" t="n">
        <x:v>-524106.95</x:v>
      </x:c>
      <x:c r="P93" s="627" t="n">
        <x:v>-87597.22</x:v>
      </x:c>
      <x:c r="Q93" s="627" t="n">
        <x:v>0</x:v>
      </x:c>
      <x:c r="R93" s="653" t="n">
        <x:v>0</x:v>
      </x:c>
      <x:c r="Z93" s="624"/>
    </x:row>
    <x:row r="94" spans="1:26" x14ac:dyDescent="0.2">
      <x:c r="C94" s="625" t="s">
        <x:v>115</x:v>
      </x:c>
      <x:c r="D94" s="625" t="s">
        <x:v>70</x:v>
      </x:c>
      <x:c r="E94" s="627" t="n">
        <x:v>-7006158.79</x:v>
      </x:c>
      <x:c r="F94" s="627" t="n">
        <x:v>-282130</x:v>
      </x:c>
      <x:c r="G94" s="627" t="n">
        <x:v>-165135.7</x:v>
      </x:c>
      <x:c r="H94" s="627" t="n">
        <x:v>-90452.73</x:v>
      </x:c>
      <x:c r="I94" s="627" t="n">
        <x:v>-1975334.97</x:v>
      </x:c>
      <x:c r="J94" s="627" t="n">
        <x:v>-54298.01</x:v>
      </x:c>
      <x:c r="K94" s="627" t="n">
        <x:v>0</x:v>
      </x:c>
      <x:c r="L94" s="627" t="n">
        <x:v>-461440.15</x:v>
      </x:c>
      <x:c r="M94" s="627" t="n">
        <x:v>-581546.05</x:v>
      </x:c>
      <x:c r="N94" s="627" t="n">
        <x:v>-2784117.01</x:v>
      </x:c>
      <x:c r="O94" s="627" t="n">
        <x:v>-524106.95</x:v>
      </x:c>
      <x:c r="P94" s="627" t="n">
        <x:v>-87597.22</x:v>
      </x:c>
      <x:c r="Q94" s="627" t="n">
        <x:v>0</x:v>
      </x:c>
      <x:c r="R94" s="653" t="n">
        <x:v>0</x:v>
      </x:c>
      <x:c r="Z94" s="624"/>
    </x:row>
    <x:row r="95" spans="1:26" x14ac:dyDescent="0.2">
      <x:c r="C95" s="625"/>
      <x:c r="D95" s="625" t="s">
        <x:v>73</x:v>
      </x:c>
      <x:c r="E95" s="627" t="n">
        <x:v>-413701.38</x:v>
      </x:c>
      <x:c r="F95" s="627" t="n">
        <x:v>-13440.26</x:v>
      </x:c>
      <x:c r="G95" s="627" t="n">
        <x:v>-10533.25</x:v>
      </x:c>
      <x:c r="H95" s="627" t="n">
        <x:v>-5516.47</x:v>
      </x:c>
      <x:c r="I95" s="627" t="n">
        <x:v>-126463.9</x:v>
      </x:c>
      <x:c r="J95" s="627" t="n">
        <x:v>-3757.16</x:v>
      </x:c>
      <x:c r="K95" s="627" t="n">
        <x:v>0</x:v>
      </x:c>
      <x:c r="L95" s="627" t="n">
        <x:v>-30796.66</x:v>
      </x:c>
      <x:c r="M95" s="627" t="n">
        <x:v>-32644.48</x:v>
      </x:c>
      <x:c r="N95" s="627" t="n">
        <x:v>-158503.21</x:v>
      </x:c>
      <x:c r="O95" s="627" t="n">
        <x:v>-25915.95</x:v>
      </x:c>
      <x:c r="P95" s="627" t="n">
        <x:v>-6130.04</x:v>
      </x:c>
      <x:c r="Q95" s="627" t="n">
        <x:v>0</x:v>
      </x:c>
      <x:c r="R95" s="653" t="n">
        <x:v>0</x:v>
      </x:c>
      <x:c r="Z95" s="624"/>
    </x:row>
    <x:row r="96" spans="1:26" x14ac:dyDescent="0.2">
      <x:c r="C96" s="625" t="s">
        <x:v>116</x:v>
      </x:c>
      <x:c r="D96" s="625" t="s">
        <x:v>70</x:v>
      </x:c>
      <x:c r="E96" s="627" t="n">
        <x:v>-413701.38</x:v>
      </x:c>
      <x:c r="F96" s="627" t="n">
        <x:v>-13440.26</x:v>
      </x:c>
      <x:c r="G96" s="627" t="n">
        <x:v>-10533.25</x:v>
      </x:c>
      <x:c r="H96" s="627" t="n">
        <x:v>-5516.47</x:v>
      </x:c>
      <x:c r="I96" s="627" t="n">
        <x:v>-126463.9</x:v>
      </x:c>
      <x:c r="J96" s="627" t="n">
        <x:v>-3757.16</x:v>
      </x:c>
      <x:c r="K96" s="627" t="n">
        <x:v>0</x:v>
      </x:c>
      <x:c r="L96" s="627" t="n">
        <x:v>-30796.66</x:v>
      </x:c>
      <x:c r="M96" s="627" t="n">
        <x:v>-32644.48</x:v>
      </x:c>
      <x:c r="N96" s="627" t="n">
        <x:v>-158503.21</x:v>
      </x:c>
      <x:c r="O96" s="627" t="n">
        <x:v>-25915.95</x:v>
      </x:c>
      <x:c r="P96" s="627" t="n">
        <x:v>-6130.04</x:v>
      </x:c>
      <x:c r="Q96" s="627" t="n">
        <x:v>0</x:v>
      </x:c>
      <x:c r="R96" s="653" t="n">
        <x:v>0</x:v>
      </x:c>
      <x:c r="Z96" s="624"/>
    </x:row>
    <x:row r="97" spans="1:26" x14ac:dyDescent="0.2">
      <x:c r="C97" s="625"/>
      <x:c r="D97" s="625" t="s">
        <x:v>73</x:v>
      </x:c>
      <x:c r="E97" s="627" t="n">
        <x:v>-9635661.95</x:v>
      </x:c>
      <x:c r="F97" s="627" t="n">
        <x:v>-380166.3</x:v>
      </x:c>
      <x:c r="G97" s="627" t="n">
        <x:v>-217737.2</x:v>
      </x:c>
      <x:c r="H97" s="627" t="n">
        <x:v>-115469.42</x:v>
      </x:c>
      <x:c r="I97" s="627" t="n">
        <x:v>-2737350.45</x:v>
      </x:c>
      <x:c r="J97" s="627" t="n">
        <x:v>-82659.66</x:v>
      </x:c>
      <x:c r="K97" s="627" t="n">
        <x:v>0</x:v>
      </x:c>
      <x:c r="L97" s="627" t="n">
        <x:v>-722316.87</x:v>
      </x:c>
      <x:c r="M97" s="627" t="n">
        <x:v>-795775.12</x:v>
      </x:c>
      <x:c r="N97" s="627" t="n">
        <x:v>-3736800.42</x:v>
      </x:c>
      <x:c r="O97" s="627" t="n">
        <x:v>-713130.36</x:v>
      </x:c>
      <x:c r="P97" s="627" t="n">
        <x:v>-134256.15</x:v>
      </x:c>
      <x:c r="Q97" s="627" t="n">
        <x:v>0</x:v>
      </x:c>
      <x:c r="R97" s="653" t="n">
        <x:v>0</x:v>
      </x:c>
      <x:c r="Z97" s="624"/>
    </x:row>
    <x:row r="98" spans="1:26" x14ac:dyDescent="0.2">
      <x:c r="C98" s="625" t="s">
        <x:v>118</x:v>
      </x:c>
      <x:c r="D98" s="625" t="s">
        <x:v>70</x:v>
      </x:c>
      <x:c r="E98" s="627" t="n">
        <x:v>-9635661.95</x:v>
      </x:c>
      <x:c r="F98" s="627" t="n">
        <x:v>-380166.3</x:v>
      </x:c>
      <x:c r="G98" s="627" t="n">
        <x:v>-217737.2</x:v>
      </x:c>
      <x:c r="H98" s="627" t="n">
        <x:v>-115469.42</x:v>
      </x:c>
      <x:c r="I98" s="627" t="n">
        <x:v>-2737350.45</x:v>
      </x:c>
      <x:c r="J98" s="627" t="n">
        <x:v>-82659.66</x:v>
      </x:c>
      <x:c r="K98" s="627" t="n">
        <x:v>0</x:v>
      </x:c>
      <x:c r="L98" s="627" t="n">
        <x:v>-722316.87</x:v>
      </x:c>
      <x:c r="M98" s="627" t="n">
        <x:v>-795775.12</x:v>
      </x:c>
      <x:c r="N98" s="627" t="n">
        <x:v>-3736800.42</x:v>
      </x:c>
      <x:c r="O98" s="627" t="n">
        <x:v>-713130.36</x:v>
      </x:c>
      <x:c r="P98" s="627" t="n">
        <x:v>-134256.15</x:v>
      </x:c>
      <x:c r="Q98" s="627" t="n">
        <x:v>0</x:v>
      </x:c>
      <x:c r="R98" s="653" t="n">
        <x:v>0</x:v>
      </x:c>
      <x:c r="Z98" s="624"/>
    </x:row>
    <x:row r="99" spans="1:26" x14ac:dyDescent="0.2">
      <x:c r="A99" s="667"/>
      <x:c r="B99" s="667" t="s">
        <x:v>120</x:v>
      </x:c>
      <x:c r="C99" s="667" t="s">
        <x:v>70</x:v>
      </x:c>
      <x:c r="D99" s="667"/>
      <x:c r="E99" s="672" t="n">
        <x:v>-17055522.12</x:v>
      </x:c>
      <x:c r="F99" s="672" t="n">
        <x:v>-675736.56</x:v>
      </x:c>
      <x:c r="G99" s="672" t="n">
        <x:v>-393406.15</x:v>
      </x:c>
      <x:c r="H99" s="672" t="n">
        <x:v>-211438.62</x:v>
      </x:c>
      <x:c r="I99" s="672" t="n">
        <x:v>-4839149.32</x:v>
      </x:c>
      <x:c r="J99" s="672" t="n">
        <x:v>-140714.83</x:v>
      </x:c>
      <x:c r="K99" s="672" t="n">
        <x:v>0</x:v>
      </x:c>
      <x:c r="L99" s="672" t="n">
        <x:v>-1214553.68</x:v>
      </x:c>
      <x:c r="M99" s="672" t="n">
        <x:v>-1409965.65</x:v>
      </x:c>
      <x:c r="N99" s="672" t="n">
        <x:v>-6679420.64</x:v>
      </x:c>
      <x:c r="O99" s="672" t="n">
        <x:v>-1263153.26</x:v>
      </x:c>
      <x:c r="P99" s="672" t="n">
        <x:v>-227983.41</x:v>
      </x:c>
      <x:c r="Q99" s="672" t="n">
        <x:v>0</x:v>
      </x:c>
      <x:c r="R99" s="672" t="n">
        <x:v>0</x:v>
      </x:c>
      <x:c r="S99" s="667"/>
      <x:c r="T99" s="667"/>
      <x:c r="U99" s="667"/>
      <x:c r="V99" s="667"/>
      <x:c r="W99" s="667"/>
      <x:c r="X99" s="667"/>
      <x:c r="Y99" s="667"/>
      <x:c r="Z99" s="624"/>
    </x:row>
    <x:row r="100" spans="1:26" x14ac:dyDescent="0.2">
      <x:c r="D100" s="625" t="s">
        <x:v>73</x:v>
      </x:c>
      <x:c r="E100" s="627" t="n">
        <x:v>-2195603.12</x:v>
      </x:c>
      <x:c r="F100" s="627" t="n">
        <x:v>-15588.17</x:v>
      </x:c>
      <x:c r="G100" s="627" t="n">
        <x:v>-50720.73</x:v>
      </x:c>
      <x:c r="H100" s="627" t="n">
        <x:v>1774.73</x:v>
      </x:c>
      <x:c r="I100" s="627" t="n">
        <x:v>-677747.58</x:v>
      </x:c>
      <x:c r="J100" s="627" t="n">
        <x:v>-19775.44</x:v>
      </x:c>
      <x:c r="K100" s="627" t="n">
        <x:v>0</x:v>
      </x:c>
      <x:c r="L100" s="627" t="n">
        <x:v>-165236.81</x:v>
      </x:c>
      <x:c r="M100" s="627" t="n">
        <x:v>-211413.62</x:v>
      </x:c>
      <x:c r="N100" s="627" t="n">
        <x:v>-1031747.22</x:v>
      </x:c>
      <x:c r="O100" s="627" t="n">
        <x:v>5802.43</x:v>
      </x:c>
      <x:c r="P100" s="627" t="n">
        <x:v>-30950.71</x:v>
      </x:c>
      <x:c r="Q100" s="627" t="n">
        <x:v>0</x:v>
      </x:c>
      <x:c r="R100" s="653" t="n">
        <x:v>0</x:v>
      </x:c>
      <x:c r="Z100" s="624"/>
    </x:row>
    <x:row r="101" spans="1:26" x14ac:dyDescent="0.2">
      <x:c r="C101" s="25" t="s">
        <x:v>82</x:v>
      </x:c>
      <x:c r="D101" s="625" t="s">
        <x:v>70</x:v>
      </x:c>
      <x:c r="E101" s="627" t="n">
        <x:v>-2195603.12</x:v>
      </x:c>
      <x:c r="F101" s="627" t="n">
        <x:v>-15588.17</x:v>
      </x:c>
      <x:c r="G101" s="627" t="n">
        <x:v>-50720.73</x:v>
      </x:c>
      <x:c r="H101" s="627" t="n">
        <x:v>1774.73</x:v>
      </x:c>
      <x:c r="I101" s="627" t="n">
        <x:v>-677747.58</x:v>
      </x:c>
      <x:c r="J101" s="627" t="n">
        <x:v>-19775.44</x:v>
      </x:c>
      <x:c r="K101" s="627" t="n">
        <x:v>0</x:v>
      </x:c>
      <x:c r="L101" s="627" t="n">
        <x:v>-165236.81</x:v>
      </x:c>
      <x:c r="M101" s="627" t="n">
        <x:v>-211413.62</x:v>
      </x:c>
      <x:c r="N101" s="627" t="n">
        <x:v>-1031747.22</x:v>
      </x:c>
      <x:c r="O101" s="627" t="n">
        <x:v>5802.43</x:v>
      </x:c>
      <x:c r="P101" s="627" t="n">
        <x:v>-30950.71</x:v>
      </x:c>
      <x:c r="Q101" s="627" t="n">
        <x:v>0</x:v>
      </x:c>
      <x:c r="R101" s="653" t="n">
        <x:v>0</x:v>
      </x:c>
      <x:c r="Z101" s="624"/>
    </x:row>
    <x:row r="102" spans="1:26" x14ac:dyDescent="0.2">
      <x:c r="D102" s="625" t="s">
        <x:v>73</x:v>
      </x:c>
      <x:c r="E102" s="627" t="n">
        <x:v>-3983459.54</x:v>
      </x:c>
      <x:c r="F102" s="627" t="n">
        <x:v>385104.44</x:v>
      </x:c>
      <x:c r="G102" s="627" t="n">
        <x:v>177913.53</x:v>
      </x:c>
      <x:c r="H102" s="627" t="n">
        <x:v>79365.09</x:v>
      </x:c>
      <x:c r="I102" s="627" t="n">
        <x:v>-1770775.18</x:v>
      </x:c>
      <x:c r="J102" s="627" t="n">
        <x:v>-54327.37</x:v>
      </x:c>
      <x:c r="K102" s="627" t="n">
        <x:v>0</x:v>
      </x:c>
      <x:c r="L102" s="627" t="n">
        <x:v>-463238.89</x:v>
      </x:c>
      <x:c r="M102" s="627" t="n">
        <x:v>-534634.66</x:v>
      </x:c>
      <x:c r="N102" s="627" t="n">
        <x:v>-2522494.73</x:v>
      </x:c>
      <x:c r="O102" s="627" t="n">
        <x:v>806737.08</x:v>
      </x:c>
      <x:c r="P102" s="627" t="n">
        <x:v>-87108.85</x:v>
      </x:c>
      <x:c r="Q102" s="627" t="n">
        <x:v>0</x:v>
      </x:c>
      <x:c r="R102" s="653" t="n">
        <x:v>0</x:v>
      </x:c>
      <x:c r="Z102" s="624"/>
    </x:row>
    <x:row r="103" spans="1:26" x14ac:dyDescent="0.2">
      <x:c r="C103" s="25" t="s">
        <x:v>86</x:v>
      </x:c>
      <x:c r="D103" s="625" t="s">
        <x:v>70</x:v>
      </x:c>
      <x:c r="E103" s="627" t="n">
        <x:v>-3983459.54</x:v>
      </x:c>
      <x:c r="F103" s="627" t="n">
        <x:v>385104.44</x:v>
      </x:c>
      <x:c r="G103" s="627" t="n">
        <x:v>177913.53</x:v>
      </x:c>
      <x:c r="H103" s="627" t="n">
        <x:v>79365.09</x:v>
      </x:c>
      <x:c r="I103" s="627" t="n">
        <x:v>-1770775.18</x:v>
      </x:c>
      <x:c r="J103" s="627" t="n">
        <x:v>-54327.37</x:v>
      </x:c>
      <x:c r="K103" s="627" t="n">
        <x:v>0</x:v>
      </x:c>
      <x:c r="L103" s="627" t="n">
        <x:v>-463238.89</x:v>
      </x:c>
      <x:c r="M103" s="627" t="n">
        <x:v>-534634.66</x:v>
      </x:c>
      <x:c r="N103" s="627" t="n">
        <x:v>-2522494.73</x:v>
      </x:c>
      <x:c r="O103" s="627" t="n">
        <x:v>806737.08</x:v>
      </x:c>
      <x:c r="P103" s="627" t="n">
        <x:v>-87108.85</x:v>
      </x:c>
      <x:c r="Q103" s="627" t="n">
        <x:v>0</x:v>
      </x:c>
      <x:c r="R103" s="653" t="n">
        <x:v>0</x:v>
      </x:c>
      <x:c r="Z103" s="624"/>
    </x:row>
    <x:row r="104" spans="1:26" x14ac:dyDescent="0.2">
      <x:c r="D104" s="625" t="s">
        <x:v>73</x:v>
      </x:c>
      <x:c r="E104" s="627" t="n">
        <x:v>1242572.98</x:v>
      </x:c>
      <x:c r="F104" s="627" t="n">
        <x:v>343686.51</x:v>
      </x:c>
      <x:c r="G104" s="627" t="n">
        <x:v>192507.93</x:v>
      </x:c>
      <x:c r="H104" s="627" t="n">
        <x:v>97880.49</x:v>
      </x:c>
      <x:c r="I104" s="627" t="n">
        <x:v>-39549.62</x:v>
      </x:c>
      <x:c r="J104" s="627" t="n">
        <x:v>-1348.98</x:v>
      </x:c>
      <x:c r="K104" s="627" t="n">
        <x:v>0</x:v>
      </x:c>
      <x:c r="L104" s="627" t="n">
        <x:v>-4691</x:v>
      </x:c>
      <x:c r="M104" s="627" t="n">
        <x:v>-3711.96</x:v>
      </x:c>
      <x:c r="N104" s="627" t="n">
        <x:v>-23147.87</x:v>
      </x:c>
      <x:c r="O104" s="627" t="n">
        <x:v>682556.78</x:v>
      </x:c>
      <x:c r="P104" s="627" t="n">
        <x:v>-1609.3</x:v>
      </x:c>
      <x:c r="Q104" s="627" t="n">
        <x:v>0</x:v>
      </x:c>
      <x:c r="R104" s="653" t="n">
        <x:v>0</x:v>
      </x:c>
      <x:c r="Z104" s="624"/>
    </x:row>
    <x:row r="105" spans="1:26" x14ac:dyDescent="0.2">
      <x:c r="C105" s="25" t="s">
        <x:v>87</x:v>
      </x:c>
      <x:c r="D105" s="625" t="s">
        <x:v>70</x:v>
      </x:c>
      <x:c r="E105" s="627" t="n">
        <x:v>1242572.98</x:v>
      </x:c>
      <x:c r="F105" s="627" t="n">
        <x:v>343686.51</x:v>
      </x:c>
      <x:c r="G105" s="627" t="n">
        <x:v>192507.93</x:v>
      </x:c>
      <x:c r="H105" s="627" t="n">
        <x:v>97880.49</x:v>
      </x:c>
      <x:c r="I105" s="627" t="n">
        <x:v>-39549.62</x:v>
      </x:c>
      <x:c r="J105" s="627" t="n">
        <x:v>-1348.98</x:v>
      </x:c>
      <x:c r="K105" s="627" t="n">
        <x:v>0</x:v>
      </x:c>
      <x:c r="L105" s="627" t="n">
        <x:v>-4691</x:v>
      </x:c>
      <x:c r="M105" s="627" t="n">
        <x:v>-3711.96</x:v>
      </x:c>
      <x:c r="N105" s="627" t="n">
        <x:v>-23147.87</x:v>
      </x:c>
      <x:c r="O105" s="627" t="n">
        <x:v>682556.78</x:v>
      </x:c>
      <x:c r="P105" s="627" t="n">
        <x:v>-1609.3</x:v>
      </x:c>
      <x:c r="Q105" s="627" t="n">
        <x:v>0</x:v>
      </x:c>
      <x:c r="R105" s="653" t="n">
        <x:v>0</x:v>
      </x:c>
      <x:c r="Z105" s="624"/>
    </x:row>
    <x:row r="106" spans="1:26" x14ac:dyDescent="0.2">
      <x:c r="A106" s="631"/>
      <x:c r="B106" s="632" t="s">
        <x:v>119</x:v>
      </x:c>
      <x:c r="C106" s="632" t="s">
        <x:v>70</x:v>
      </x:c>
      <x:c r="D106" s="631"/>
      <x:c r="E106" s="633" t="n">
        <x:v>-4936489.68</x:v>
      </x:c>
      <x:c r="F106" s="633" t="n">
        <x:v>713202.78</x:v>
      </x:c>
      <x:c r="G106" s="633" t="n">
        <x:v>319700.73</x:v>
      </x:c>
      <x:c r="H106" s="633" t="n">
        <x:v>179020.31</x:v>
      </x:c>
      <x:c r="I106" s="633" t="n">
        <x:v>-2488072.38</x:v>
      </x:c>
      <x:c r="J106" s="633" t="n">
        <x:v>-75451.79</x:v>
      </x:c>
      <x:c r="K106" s="633" t="n">
        <x:v>0</x:v>
      </x:c>
      <x:c r="L106" s="633" t="n">
        <x:v>-633166.7</x:v>
      </x:c>
      <x:c r="M106" s="633" t="n">
        <x:v>-749760.24</x:v>
      </x:c>
      <x:c r="N106" s="633" t="n">
        <x:v>-3577389.82</x:v>
      </x:c>
      <x:c r="O106" s="633" t="n">
        <x:v>1495096.29</x:v>
      </x:c>
      <x:c r="P106" s="633" t="n">
        <x:v>-119668.86</x:v>
      </x:c>
      <x:c r="Q106" s="633" t="n">
        <x:v>0</x:v>
      </x:c>
      <x:c r="R106" s="678" t="n">
        <x:v>0</x:v>
      </x:c>
      <x:c r="S106" s="631"/>
      <x:c r="T106" s="631"/>
      <x:c r="U106" s="631"/>
      <x:c r="V106" s="631"/>
      <x:c r="W106" s="631"/>
      <x:c r="X106" s="631"/>
      <x:c r="Y106" s="631"/>
      <x:c r="Z106" s="624"/>
    </x:row>
    <x:row r="107" spans="1:26" x14ac:dyDescent="0.2">
      <x:c r="A107" s="639" t="s">
        <x:v>79</x:v>
      </x:c>
      <x:c r="B107" s="639" t="s">
        <x:v>70</x:v>
      </x:c>
      <x:c r="C107" s="638"/>
      <x:c r="D107" s="638"/>
      <x:c r="E107" s="640" t="n">
        <x:v>-38113306.66</x:v>
      </x:c>
      <x:c r="F107" s="640" t="n">
        <x:v>-497730.97</x:v>
      </x:c>
      <x:c r="G107" s="640" t="n">
        <x:v>-388800.25</x:v>
      </x:c>
      <x:c r="H107" s="640" t="n">
        <x:v>-221523.24</x:v>
      </x:c>
      <x:c r="I107" s="640" t="n">
        <x:v>-11944844.83</x:v>
      </x:c>
      <x:c r="J107" s="640" t="n">
        <x:v>-376952.12</x:v>
      </x:c>
      <x:c r="K107" s="640" t="n">
        <x:v>0</x:v>
      </x:c>
      <x:c r="L107" s="640" t="n">
        <x:v>-3207778.39</x:v>
      </x:c>
      <x:c r="M107" s="640" t="n">
        <x:v>-3475213.8</x:v>
      </x:c>
      <x:c r="N107" s="640" t="n">
        <x:v>-16691728.15</x:v>
      </x:c>
      <x:c r="O107" s="640" t="n">
        <x:v>-699883.66</x:v>
      </x:c>
      <x:c r="P107" s="640" t="n">
        <x:v>-608851.25</x:v>
      </x:c>
      <x:c r="Q107" s="640" t="n">
        <x:v>0</x:v>
      </x:c>
      <x:c r="R107" s="679" t="n">
        <x:v>0</x:v>
      </x:c>
      <x:c r="S107" s="638"/>
      <x:c r="T107" s="638"/>
      <x:c r="U107" s="638"/>
      <x:c r="V107" s="638"/>
      <x:c r="W107" s="638"/>
      <x:c r="X107" s="638"/>
      <x:c r="Y107" s="638"/>
      <x:c r="Z107" s="624"/>
    </x:row>
    <x:row r="108" spans="1:26" x14ac:dyDescent="0.2">
      <x:c r="A108" s="625" t="s">
        <x:v>70</x:v>
      </x:c>
      <x:c r="E108" s="627" t="n">
        <x:v>178539092.16</x:v>
      </x:c>
      <x:c r="F108" s="627" t="n">
        <x:v>16695394.35</x:v>
      </x:c>
      <x:c r="G108" s="627" t="n">
        <x:v>9370790.27</x:v>
      </x:c>
      <x:c r="H108" s="627" t="n">
        <x:v>4453363.21</x:v>
      </x:c>
      <x:c r="I108" s="627" t="n">
        <x:v>35271236.38</x:v>
      </x:c>
      <x:c r="J108" s="627" t="n">
        <x:v>1074407.09</x:v>
      </x:c>
      <x:c r="K108" s="627" t="n">
        <x:v>0</x:v>
      </x:c>
      <x:c r="L108" s="627" t="n">
        <x:v>9985291.53</x:v>
      </x:c>
      <x:c r="M108" s="627" t="n">
        <x:v>10718089.76</x:v>
      </x:c>
      <x:c r="N108" s="627" t="n">
        <x:v>37634563.59</x:v>
      </x:c>
      <x:c r="O108" s="627" t="n">
        <x:v>52024111.62</x:v>
      </x:c>
      <x:c r="P108" s="627" t="n">
        <x:v>1311662.75</x:v>
      </x:c>
      <x:c r="Q108" s="627" t="n">
        <x:v>181.61</x:v>
      </x:c>
      <x:c r="R108" s="653" t="n">
        <x:v>0</x:v>
      </x:c>
      <x:c r="Z108" s="624"/>
    </x:row>
    <x:row r="109" spans="1:26" x14ac:dyDescent="0.2">
      <x:c r="A109" s="625"/>
      <x:c r="E109" s="627"/>
      <x:c r="F109" s="627"/>
      <x:c r="G109" s="627"/>
      <x:c r="H109" s="627"/>
      <x:c r="I109" s="627"/>
      <x:c r="J109" s="627"/>
      <x:c r="K109" s="627"/>
      <x:c r="L109" s="627"/>
      <x:c r="M109" s="627"/>
      <x:c r="N109" s="627"/>
      <x:c r="O109" s="627"/>
      <x:c r="P109" s="627"/>
      <x:c r="Q109" s="627"/>
      <x:c r="R109" s="627"/>
      <x:c r="S109" s="627"/>
      <x:c r="Z109" s="624"/>
    </x:row>
    <x:row r="110" spans="1:26" x14ac:dyDescent="0.2">
      <x:c r="A110" s="625"/>
      <x:c r="E110" s="627"/>
      <x:c r="F110" s="627"/>
      <x:c r="G110" s="627"/>
      <x:c r="H110" s="627"/>
      <x:c r="I110" s="627"/>
      <x:c r="J110" s="627"/>
      <x:c r="K110" s="627"/>
      <x:c r="L110" s="627"/>
      <x:c r="M110" s="627"/>
      <x:c r="N110" s="627"/>
      <x:c r="O110" s="627"/>
      <x:c r="P110" s="627"/>
      <x:c r="Q110" s="627"/>
      <x:c r="R110" s="627"/>
      <x:c r="S110" s="627"/>
      <x:c r="Z110" s="624"/>
    </x:row>
    <x:row r="111" spans="1:26" x14ac:dyDescent="0.2">
      <x:c r="A111" s="625"/>
      <x:c r="E111" s="627"/>
      <x:c r="F111" s="627"/>
      <x:c r="G111" s="627"/>
      <x:c r="H111" s="627"/>
      <x:c r="I111" s="627"/>
      <x:c r="J111" s="627"/>
      <x:c r="K111" s="627"/>
      <x:c r="L111" s="627"/>
      <x:c r="M111" s="627"/>
      <x:c r="N111" s="627"/>
      <x:c r="O111" s="627"/>
      <x:c r="P111" s="627"/>
      <x:c r="Q111" s="627"/>
      <x:c r="R111" s="627"/>
      <x:c r="S111" s="627"/>
      <x:c r="Z111" s="624"/>
    </x:row>
    <x:row r="112" spans="1:26" x14ac:dyDescent="0.2">
      <x:c r="A112" s="625"/>
      <x:c r="E112" s="627"/>
      <x:c r="F112" s="627"/>
      <x:c r="G112" s="627"/>
      <x:c r="H112" s="627"/>
      <x:c r="I112" s="627"/>
      <x:c r="J112" s="627"/>
      <x:c r="K112" s="627"/>
      <x:c r="L112" s="627"/>
      <x:c r="M112" s="627"/>
      <x:c r="N112" s="627"/>
      <x:c r="O112" s="627"/>
      <x:c r="P112" s="627"/>
      <x:c r="Q112" s="627"/>
      <x:c r="R112" s="627"/>
      <x:c r="S112" s="627"/>
      <x:c r="Z112" s="624"/>
    </x:row>
    <x:row r="113" spans="1:26" x14ac:dyDescent="0.2">
      <x:c r="A113" s="625"/>
      <x:c r="E113" s="627"/>
      <x:c r="F113" s="627"/>
      <x:c r="G113" s="627"/>
      <x:c r="H113" s="627"/>
      <x:c r="I113" s="627"/>
      <x:c r="J113" s="627"/>
      <x:c r="K113" s="627"/>
      <x:c r="L113" s="627"/>
      <x:c r="M113" s="627"/>
      <x:c r="N113" s="627"/>
      <x:c r="O113" s="627"/>
      <x:c r="P113" s="627"/>
      <x:c r="Q113" s="627"/>
      <x:c r="R113" s="627"/>
      <x:c r="S113" s="627"/>
      <x:c r="Z113" s="624"/>
    </x:row>
    <x:row r="114" spans="1:26" x14ac:dyDescent="0.2">
      <x:c r="A114" s="625"/>
      <x:c r="E114" s="627"/>
      <x:c r="F114" s="627"/>
      <x:c r="G114" s="627"/>
      <x:c r="H114" s="627"/>
      <x:c r="I114" s="627"/>
      <x:c r="J114" s="627"/>
      <x:c r="K114" s="627"/>
      <x:c r="L114" s="627"/>
      <x:c r="M114" s="627"/>
      <x:c r="N114" s="627"/>
      <x:c r="O114" s="627"/>
      <x:c r="P114" s="627"/>
      <x:c r="Q114" s="627"/>
      <x:c r="R114" s="627"/>
      <x:c r="S114" s="627"/>
      <x:c r="Z114" s="624"/>
    </x:row>
    <x:row r="115" spans="1:26" x14ac:dyDescent="0.2">
      <x:c r="A115" s="625"/>
      <x:c r="E115" s="627"/>
      <x:c r="F115" s="627"/>
      <x:c r="G115" s="627"/>
      <x:c r="H115" s="627"/>
      <x:c r="I115" s="627"/>
      <x:c r="J115" s="627"/>
      <x:c r="K115" s="627"/>
      <x:c r="L115" s="627"/>
      <x:c r="M115" s="627"/>
      <x:c r="N115" s="627"/>
      <x:c r="O115" s="627"/>
      <x:c r="P115" s="627"/>
      <x:c r="Q115" s="627"/>
      <x:c r="R115" s="627"/>
      <x:c r="S115" s="627"/>
      <x:c r="Z115" s="624"/>
    </x:row>
    <x:row r="116" spans="1:26" x14ac:dyDescent="0.2">
      <x:c r="A116" s="625"/>
      <x:c r="E116" s="627"/>
      <x:c r="F116" s="627"/>
      <x:c r="G116" s="627"/>
      <x:c r="H116" s="627"/>
      <x:c r="I116" s="627"/>
      <x:c r="J116" s="627"/>
      <x:c r="K116" s="627"/>
      <x:c r="L116" s="627"/>
      <x:c r="M116" s="627"/>
      <x:c r="N116" s="627"/>
      <x:c r="O116" s="627"/>
      <x:c r="P116" s="627"/>
      <x:c r="Q116" s="627"/>
      <x:c r="R116" s="627"/>
      <x:c r="S116" s="627"/>
      <x:c r="Z116" s="624"/>
    </x:row>
    <x:row r="117" spans="1:26" x14ac:dyDescent="0.2">
      <x:c r="A117" s="625"/>
      <x:c r="E117" s="627"/>
      <x:c r="F117" s="627"/>
      <x:c r="G117" s="627"/>
      <x:c r="H117" s="627"/>
      <x:c r="I117" s="627"/>
      <x:c r="J117" s="627"/>
      <x:c r="K117" s="627"/>
      <x:c r="L117" s="627"/>
      <x:c r="M117" s="627"/>
      <x:c r="N117" s="627"/>
      <x:c r="O117" s="627"/>
      <x:c r="P117" s="627"/>
      <x:c r="Q117" s="627"/>
      <x:c r="R117" s="627"/>
      <x:c r="S117" s="627"/>
      <x:c r="Z117" s="624"/>
    </x:row>
    <x:row r="118" spans="1:26" x14ac:dyDescent="0.2">
      <x:c r="A118" s="625"/>
      <x:c r="E118" s="627"/>
      <x:c r="F118" s="627"/>
      <x:c r="G118" s="627"/>
      <x:c r="H118" s="627"/>
      <x:c r="I118" s="627"/>
      <x:c r="J118" s="627"/>
      <x:c r="K118" s="627"/>
      <x:c r="L118" s="627"/>
      <x:c r="M118" s="627"/>
      <x:c r="N118" s="627"/>
      <x:c r="O118" s="627"/>
      <x:c r="P118" s="627"/>
      <x:c r="Q118" s="627"/>
      <x:c r="R118" s="627"/>
      <x:c r="S118" s="627"/>
      <x:c r="Z118" s="624"/>
    </x:row>
    <x:row r="119" spans="1:26" x14ac:dyDescent="0.2">
      <x:c r="A119" s="625"/>
      <x:c r="E119" s="627"/>
      <x:c r="F119" s="627"/>
      <x:c r="G119" s="627"/>
      <x:c r="H119" s="627"/>
      <x:c r="I119" s="627"/>
      <x:c r="J119" s="627"/>
      <x:c r="K119" s="627"/>
      <x:c r="L119" s="627"/>
      <x:c r="M119" s="627"/>
      <x:c r="N119" s="627"/>
      <x:c r="O119" s="627"/>
      <x:c r="P119" s="627"/>
      <x:c r="Q119" s="627"/>
      <x:c r="R119" s="627"/>
      <x:c r="S119" s="627"/>
      <x:c r="Z119" s="624"/>
    </x:row>
    <x:row r="120" spans="1:26" x14ac:dyDescent="0.2">
      <x:c r="A120" s="625"/>
      <x:c r="E120" s="627"/>
      <x:c r="F120" s="627"/>
      <x:c r="G120" s="627"/>
      <x:c r="H120" s="627"/>
      <x:c r="I120" s="627"/>
      <x:c r="J120" s="627"/>
      <x:c r="K120" s="627"/>
      <x:c r="L120" s="627"/>
      <x:c r="M120" s="627"/>
      <x:c r="N120" s="627"/>
      <x:c r="O120" s="627"/>
      <x:c r="P120" s="627"/>
      <x:c r="Q120" s="627"/>
      <x:c r="R120" s="627"/>
      <x:c r="S120" s="627"/>
      <x:c r="Z120" s="624"/>
    </x:row>
    <x:row r="121" spans="1:26" x14ac:dyDescent="0.2">
      <x:c r="A121" s="625"/>
      <x:c r="E121" s="627"/>
      <x:c r="F121" s="627"/>
      <x:c r="G121" s="627"/>
      <x:c r="H121" s="627"/>
      <x:c r="I121" s="627"/>
      <x:c r="J121" s="627"/>
      <x:c r="K121" s="627"/>
      <x:c r="L121" s="627"/>
      <x:c r="M121" s="627"/>
      <x:c r="N121" s="627"/>
      <x:c r="O121" s="627"/>
      <x:c r="P121" s="627"/>
      <x:c r="Q121" s="627"/>
      <x:c r="R121" s="627"/>
      <x:c r="S121" s="627"/>
      <x:c r="Z121" s="624"/>
    </x:row>
    <x:row r="122" spans="1:26" x14ac:dyDescent="0.2">
      <x:c r="A122" s="625"/>
      <x:c r="E122" s="627"/>
      <x:c r="F122" s="627"/>
      <x:c r="G122" s="627"/>
      <x:c r="H122" s="627"/>
      <x:c r="I122" s="627"/>
      <x:c r="J122" s="627"/>
      <x:c r="K122" s="627"/>
      <x:c r="L122" s="627"/>
      <x:c r="M122" s="627"/>
      <x:c r="N122" s="627"/>
      <x:c r="O122" s="627"/>
      <x:c r="P122" s="627"/>
      <x:c r="Q122" s="627"/>
      <x:c r="R122" s="627"/>
      <x:c r="S122" s="627"/>
      <x:c r="Z122" s="624"/>
    </x:row>
    <x:row r="123" spans="1:26" x14ac:dyDescent="0.2">
      <x:c r="A123" s="625"/>
      <x:c r="E123" s="627"/>
      <x:c r="F123" s="627"/>
      <x:c r="G123" s="627"/>
      <x:c r="H123" s="627"/>
      <x:c r="I123" s="627"/>
      <x:c r="J123" s="627"/>
      <x:c r="K123" s="627"/>
      <x:c r="L123" s="627"/>
      <x:c r="M123" s="627"/>
      <x:c r="N123" s="627"/>
      <x:c r="O123" s="627"/>
      <x:c r="P123" s="627"/>
      <x:c r="Q123" s="627"/>
      <x:c r="R123" s="627"/>
      <x:c r="S123" s="627"/>
      <x:c r="Z123" s="624"/>
    </x:row>
    <x:row r="124" spans="1:26" x14ac:dyDescent="0.2">
      <x:c r="A124" s="625"/>
      <x:c r="E124" s="627"/>
      <x:c r="F124" s="627"/>
      <x:c r="G124" s="627"/>
      <x:c r="H124" s="627"/>
      <x:c r="I124" s="627"/>
      <x:c r="J124" s="627"/>
      <x:c r="K124" s="627"/>
      <x:c r="L124" s="627"/>
      <x:c r="M124" s="627"/>
      <x:c r="N124" s="627"/>
      <x:c r="O124" s="627"/>
      <x:c r="P124" s="627"/>
      <x:c r="Q124" s="627"/>
      <x:c r="R124" s="627"/>
      <x:c r="S124" s="627"/>
      <x:c r="Z124" s="624"/>
    </x:row>
    <x:row r="125" spans="1:26" x14ac:dyDescent="0.2">
      <x:c r="A125" s="625"/>
      <x:c r="E125" s="627"/>
      <x:c r="F125" s="627"/>
      <x:c r="G125" s="627"/>
      <x:c r="H125" s="627"/>
      <x:c r="I125" s="627"/>
      <x:c r="J125" s="627"/>
      <x:c r="K125" s="627"/>
      <x:c r="L125" s="627"/>
      <x:c r="M125" s="627"/>
      <x:c r="N125" s="627"/>
      <x:c r="O125" s="627"/>
      <x:c r="P125" s="627"/>
      <x:c r="Q125" s="627"/>
      <x:c r="R125" s="627"/>
      <x:c r="S125" s="627"/>
      <x:c r="Z125" s="624"/>
    </x:row>
    <x:row r="126" spans="1:26" x14ac:dyDescent="0.2">
      <x:c r="A126" s="625"/>
      <x:c r="E126" s="627"/>
      <x:c r="F126" s="627"/>
      <x:c r="G126" s="627"/>
      <x:c r="H126" s="627"/>
      <x:c r="I126" s="627"/>
      <x:c r="J126" s="627"/>
      <x:c r="K126" s="627"/>
      <x:c r="L126" s="627"/>
      <x:c r="M126" s="627"/>
      <x:c r="N126" s="627"/>
      <x:c r="O126" s="627"/>
      <x:c r="P126" s="627"/>
      <x:c r="Q126" s="627"/>
      <x:c r="R126" s="627"/>
      <x:c r="S126" s="627"/>
      <x:c r="Z126" s="624"/>
    </x:row>
    <x:row r="127" spans="1:26" x14ac:dyDescent="0.2">
      <x:c r="A127" s="625"/>
      <x:c r="E127" s="627"/>
      <x:c r="F127" s="627"/>
      <x:c r="G127" s="627"/>
      <x:c r="H127" s="627"/>
      <x:c r="I127" s="627"/>
      <x:c r="J127" s="627"/>
      <x:c r="K127" s="627"/>
      <x:c r="L127" s="627"/>
      <x:c r="M127" s="627"/>
      <x:c r="N127" s="627"/>
      <x:c r="O127" s="627"/>
      <x:c r="P127" s="627"/>
      <x:c r="Q127" s="627"/>
      <x:c r="R127" s="627"/>
      <x:c r="S127" s="627"/>
      <x:c r="Z127" s="624"/>
    </x:row>
    <x:row r="128" spans="1:26" x14ac:dyDescent="0.2">
      <x:c r="A128" s="625"/>
      <x:c r="E128" s="627"/>
      <x:c r="F128" s="627"/>
      <x:c r="G128" s="627"/>
      <x:c r="H128" s="627"/>
      <x:c r="I128" s="627"/>
      <x:c r="J128" s="627"/>
      <x:c r="K128" s="627"/>
      <x:c r="L128" s="627"/>
      <x:c r="M128" s="627"/>
      <x:c r="N128" s="627"/>
      <x:c r="O128" s="627"/>
      <x:c r="P128" s="627"/>
      <x:c r="Q128" s="627"/>
      <x:c r="R128" s="627"/>
      <x:c r="S128" s="627"/>
      <x:c r="Z128" s="624"/>
    </x:row>
    <x:row r="129" spans="1:26" x14ac:dyDescent="0.2">
      <x:c r="A129" s="625"/>
      <x:c r="E129" s="627"/>
      <x:c r="F129" s="627"/>
      <x:c r="G129" s="627"/>
      <x:c r="H129" s="627"/>
      <x:c r="I129" s="627"/>
      <x:c r="J129" s="627"/>
      <x:c r="K129" s="627"/>
      <x:c r="L129" s="627"/>
      <x:c r="M129" s="627"/>
      <x:c r="N129" s="627"/>
      <x:c r="O129" s="627"/>
      <x:c r="P129" s="627"/>
      <x:c r="Q129" s="627"/>
      <x:c r="R129" s="627"/>
      <x:c r="S129" s="627"/>
      <x:c r="Z129" s="624"/>
    </x:row>
    <x:row r="130" spans="1:26" x14ac:dyDescent="0.2">
      <x:c r="A130" s="625"/>
      <x:c r="E130" s="627"/>
      <x:c r="F130" s="627"/>
      <x:c r="G130" s="627"/>
      <x:c r="H130" s="627"/>
      <x:c r="I130" s="627"/>
      <x:c r="J130" s="627"/>
      <x:c r="K130" s="627"/>
      <x:c r="L130" s="627"/>
      <x:c r="M130" s="627"/>
      <x:c r="N130" s="627"/>
      <x:c r="O130" s="627"/>
      <x:c r="P130" s="627"/>
      <x:c r="Q130" s="627"/>
      <x:c r="R130" s="627"/>
      <x:c r="S130" s="627"/>
      <x:c r="Z130" s="624"/>
    </x:row>
    <x:row r="131" spans="1:26" x14ac:dyDescent="0.2">
      <x:c r="A131" s="625"/>
      <x:c r="E131" s="627"/>
      <x:c r="F131" s="627"/>
      <x:c r="G131" s="627"/>
      <x:c r="H131" s="627"/>
      <x:c r="I131" s="627"/>
      <x:c r="J131" s="627"/>
      <x:c r="K131" s="627"/>
      <x:c r="L131" s="627"/>
      <x:c r="M131" s="627"/>
      <x:c r="N131" s="627"/>
      <x:c r="O131" s="627"/>
      <x:c r="P131" s="627"/>
      <x:c r="Q131" s="627"/>
      <x:c r="R131" s="627"/>
      <x:c r="S131" s="627"/>
      <x:c r="Z131" s="624"/>
    </x:row>
    <x:row r="132" spans="1:26" x14ac:dyDescent="0.2">
      <x:c r="A132" s="625"/>
      <x:c r="E132" s="627"/>
      <x:c r="F132" s="627"/>
      <x:c r="G132" s="627"/>
      <x:c r="H132" s="627"/>
      <x:c r="I132" s="627"/>
      <x:c r="J132" s="627"/>
      <x:c r="K132" s="627"/>
      <x:c r="L132" s="627"/>
      <x:c r="M132" s="627"/>
      <x:c r="N132" s="627"/>
      <x:c r="O132" s="627"/>
      <x:c r="P132" s="627"/>
      <x:c r="Q132" s="627"/>
      <x:c r="R132" s="627"/>
      <x:c r="S132" s="627"/>
      <x:c r="Z132" s="624"/>
    </x:row>
    <x:row r="133" spans="1:26" x14ac:dyDescent="0.2">
      <x:c r="A133" s="625"/>
      <x:c r="E133" s="627"/>
      <x:c r="F133" s="627"/>
      <x:c r="G133" s="627"/>
      <x:c r="H133" s="627"/>
      <x:c r="I133" s="627"/>
      <x:c r="J133" s="627"/>
      <x:c r="K133" s="627"/>
      <x:c r="L133" s="627"/>
      <x:c r="M133" s="627"/>
      <x:c r="N133" s="627"/>
      <x:c r="O133" s="627"/>
      <x:c r="P133" s="627"/>
      <x:c r="Q133" s="627"/>
      <x:c r="R133" s="627"/>
      <x:c r="S133" s="627"/>
      <x:c r="Z133" s="624"/>
    </x:row>
    <x:row r="134" spans="1:26" x14ac:dyDescent="0.2">
      <x:c r="A134" s="625"/>
      <x:c r="E134" s="627"/>
      <x:c r="F134" s="627"/>
      <x:c r="G134" s="627"/>
      <x:c r="H134" s="627"/>
      <x:c r="I134" s="627"/>
      <x:c r="J134" s="627"/>
      <x:c r="K134" s="627"/>
      <x:c r="L134" s="627"/>
      <x:c r="M134" s="627"/>
      <x:c r="N134" s="627"/>
      <x:c r="O134" s="627"/>
      <x:c r="P134" s="627"/>
      <x:c r="Q134" s="627"/>
      <x:c r="R134" s="627"/>
      <x:c r="S134" s="627"/>
      <x:c r="Z134" s="624"/>
    </x:row>
    <x:row r="135" spans="1:26" x14ac:dyDescent="0.2">
      <x:c r="A135" s="625"/>
      <x:c r="E135" s="627"/>
      <x:c r="F135" s="627"/>
      <x:c r="G135" s="627"/>
      <x:c r="H135" s="627"/>
      <x:c r="I135" s="627"/>
      <x:c r="J135" s="627"/>
      <x:c r="K135" s="627"/>
      <x:c r="L135" s="627"/>
      <x:c r="M135" s="627"/>
      <x:c r="N135" s="627"/>
      <x:c r="O135" s="627"/>
      <x:c r="P135" s="627"/>
      <x:c r="Q135" s="627"/>
      <x:c r="R135" s="627"/>
      <x:c r="S135" s="627"/>
      <x:c r="Z135" s="624"/>
    </x:row>
    <x:row r="136" spans="1:26" x14ac:dyDescent="0.2">
      <x:c r="A136" s="625"/>
      <x:c r="E136" s="627"/>
      <x:c r="F136" s="627"/>
      <x:c r="G136" s="627"/>
      <x:c r="H136" s="627"/>
      <x:c r="I136" s="627"/>
      <x:c r="J136" s="627"/>
      <x:c r="K136" s="627"/>
      <x:c r="L136" s="627"/>
      <x:c r="M136" s="627"/>
      <x:c r="N136" s="627"/>
      <x:c r="O136" s="627"/>
      <x:c r="P136" s="627"/>
      <x:c r="Q136" s="627"/>
      <x:c r="R136" s="627"/>
      <x:c r="S136" s="627"/>
      <x:c r="Z136" s="624"/>
    </x:row>
    <x:row r="137" spans="1:26" x14ac:dyDescent="0.2">
      <x:c r="A137" s="625"/>
      <x:c r="E137" s="627"/>
      <x:c r="F137" s="627"/>
      <x:c r="G137" s="627"/>
      <x:c r="H137" s="627"/>
      <x:c r="I137" s="627"/>
      <x:c r="J137" s="627"/>
      <x:c r="K137" s="627"/>
      <x:c r="L137" s="627"/>
      <x:c r="M137" s="627"/>
      <x:c r="N137" s="627"/>
      <x:c r="O137" s="627"/>
      <x:c r="P137" s="627"/>
      <x:c r="Q137" s="627"/>
      <x:c r="R137" s="627"/>
      <x:c r="S137" s="627"/>
      <x:c r="Z137" s="624"/>
    </x:row>
    <x:row r="138" spans="1:26" x14ac:dyDescent="0.2">
      <x:c r="A138" s="625"/>
      <x:c r="E138" s="627"/>
      <x:c r="F138" s="627"/>
      <x:c r="G138" s="627"/>
      <x:c r="H138" s="627"/>
      <x:c r="I138" s="627"/>
      <x:c r="J138" s="627"/>
      <x:c r="K138" s="627"/>
      <x:c r="L138" s="627"/>
      <x:c r="M138" s="627"/>
      <x:c r="N138" s="627"/>
      <x:c r="O138" s="627"/>
      <x:c r="P138" s="627"/>
      <x:c r="Q138" s="627"/>
      <x:c r="R138" s="627"/>
      <x:c r="S138" s="627"/>
      <x:c r="Z138" s="624"/>
    </x:row>
    <x:row r="139" spans="1:26" x14ac:dyDescent="0.2">
      <x:c r="B139" s="770" t="s">
        <x:v>2</x:v>
      </x:c>
      <x:c r="C139" s="768" t="s">
        <x:v>132</x:v>
      </x:c>
      <x:c r="D139" s="639" t="s">
        <x:v>70</x:v>
      </x:c>
      <x:c r="E139" s="640">
        <x:f>E89+E107-K89</x:f>
        <x:v>0</x:v>
      </x:c>
      <x:c r="F139" s="640">
        <x:f t="shared" ref="F139:R139" si="3">F89</x:f>
        <x:v>0</x:v>
      </x:c>
      <x:c r="G139" s="640">
        <x:f t="shared" si="3"/>
        <x:v>0</x:v>
      </x:c>
      <x:c r="H139" s="640">
        <x:f t="shared" si="3"/>
        <x:v>0</x:v>
      </x:c>
      <x:c r="I139" s="640">
        <x:f t="shared" si="3"/>
        <x:v>0</x:v>
      </x:c>
      <x:c r="J139" s="640">
        <x:f t="shared" si="3"/>
        <x:v>0</x:v>
      </x:c>
      <x:c r="K139" s="640">
        <x:f t="shared" si="3"/>
        <x:v>0</x:v>
      </x:c>
      <x:c r="L139" s="640">
        <x:f t="shared" si="3"/>
        <x:v>0</x:v>
      </x:c>
      <x:c r="M139" s="640">
        <x:f t="shared" si="3"/>
        <x:v>0</x:v>
      </x:c>
      <x:c r="N139" s="640">
        <x:f t="shared" si="3"/>
        <x:v>0</x:v>
      </x:c>
      <x:c r="O139" s="640">
        <x:f t="shared" si="3"/>
        <x:v>0</x:v>
      </x:c>
      <x:c r="P139" s="640">
        <x:f t="shared" si="3"/>
        <x:v>0</x:v>
      </x:c>
      <x:c r="Q139" s="640">
        <x:f t="shared" si="3"/>
        <x:v>0</x:v>
      </x:c>
      <x:c r="R139" s="640">
        <x:f t="shared" si="3"/>
        <x:v>0</x:v>
      </x:c>
      <x:c r="Z139" s="624"/>
    </x:row>
    <x:row r="140" spans="1:26" x14ac:dyDescent="0.2">
      <x:c r="B140" s="770"/>
      <x:c r="C140" s="768"/>
      <x:c r="D140" s="639" t="s">
        <x:v>73</x:v>
      </x:c>
      <x:c r="E140" s="640">
        <x:f>E107</x:f>
        <x:v>0</x:v>
      </x:c>
      <x:c r="F140" s="627"/>
      <x:c r="G140" s="627"/>
      <x:c r="H140" s="627"/>
      <x:c r="I140" s="627"/>
      <x:c r="J140" s="627"/>
      <x:c r="K140" s="627"/>
      <x:c r="L140" s="627"/>
      <x:c r="M140" s="627"/>
      <x:c r="N140" s="627"/>
      <x:c r="O140" s="627"/>
      <x:c r="P140" s="627"/>
      <x:c r="Q140" s="627"/>
      <x:c r="R140" s="627"/>
      <x:c r="Z140" s="624"/>
    </x:row>
    <x:row r="141" spans="1:26" ht="15" x14ac:dyDescent="0.25">
      <x:c r="A141" s="625"/>
      <x:c r="B141" s="50"/>
      <x:c r="E141" s="627"/>
      <x:c r="F141" s="627"/>
      <x:c r="G141" s="627"/>
      <x:c r="H141" s="627"/>
      <x:c r="I141" s="627"/>
      <x:c r="J141" s="627"/>
      <x:c r="K141" s="627"/>
      <x:c r="L141" s="627"/>
      <x:c r="M141" s="627"/>
      <x:c r="N141" s="627"/>
      <x:c r="O141" s="627"/>
      <x:c r="P141" s="627"/>
      <x:c r="Q141" s="627"/>
      <x:c r="R141" s="627"/>
      <x:c r="Z141" s="624"/>
    </x:row>
    <x:row r="142" spans="1:26" x14ac:dyDescent="0.2">
      <x:c r="B142" s="770" t="s">
        <x:v>160</x:v>
      </x:c>
      <x:c r="C142" s="768" t="s">
        <x:v>132</x:v>
      </x:c>
      <x:c r="D142" s="647" t="s">
        <x:v>70</x:v>
      </x:c>
      <x:c r="E142" s="648">
        <x:f>E99+E78-K78</x:f>
        <x:v>0</x:v>
      </x:c>
      <x:c r="F142" s="648">
        <x:f t="shared" ref="F142:R142" si="4">F78</x:f>
        <x:v>0</x:v>
      </x:c>
      <x:c r="G142" s="648">
        <x:f t="shared" si="4"/>
        <x:v>0</x:v>
      </x:c>
      <x:c r="H142" s="648">
        <x:f t="shared" si="4"/>
        <x:v>0</x:v>
      </x:c>
      <x:c r="I142" s="648">
        <x:f t="shared" si="4"/>
        <x:v>0</x:v>
      </x:c>
      <x:c r="J142" s="648">
        <x:f t="shared" si="4"/>
        <x:v>0</x:v>
      </x:c>
      <x:c r="K142" s="648">
        <x:f t="shared" si="4"/>
        <x:v>0</x:v>
      </x:c>
      <x:c r="L142" s="648">
        <x:f t="shared" si="4"/>
        <x:v>0</x:v>
      </x:c>
      <x:c r="M142" s="648">
        <x:f t="shared" si="4"/>
        <x:v>0</x:v>
      </x:c>
      <x:c r="N142" s="648">
        <x:f t="shared" si="4"/>
        <x:v>0</x:v>
      </x:c>
      <x:c r="O142" s="648">
        <x:f t="shared" si="4"/>
        <x:v>0</x:v>
      </x:c>
      <x:c r="P142" s="648">
        <x:f t="shared" si="4"/>
        <x:v>0</x:v>
      </x:c>
      <x:c r="Q142" s="648">
        <x:f t="shared" si="4"/>
        <x:v>0</x:v>
      </x:c>
      <x:c r="R142" s="648">
        <x:f t="shared" si="4"/>
        <x:v>0</x:v>
      </x:c>
      <x:c r="Z142" s="624"/>
    </x:row>
    <x:row r="143" spans="1:26" x14ac:dyDescent="0.2">
      <x:c r="B143" s="770"/>
      <x:c r="C143" s="768"/>
      <x:c r="D143" s="647" t="s">
        <x:v>73</x:v>
      </x:c>
      <x:c r="E143" s="648">
        <x:f>E99</x:f>
        <x:v>0</x:v>
      </x:c>
      <x:c r="F143" s="627"/>
      <x:c r="G143" s="627"/>
      <x:c r="H143" s="627"/>
      <x:c r="I143" s="627"/>
      <x:c r="J143" s="627"/>
      <x:c r="K143" s="627"/>
      <x:c r="L143" s="627"/>
      <x:c r="M143" s="627"/>
      <x:c r="N143" s="627"/>
      <x:c r="O143" s="627"/>
      <x:c r="P143" s="627"/>
      <x:c r="Q143" s="627"/>
      <x:c r="R143" s="627"/>
      <x:c r="Z143" s="624"/>
    </x:row>
    <x:row r="144" spans="1:26" ht="15" x14ac:dyDescent="0.25">
      <x:c r="A144" s="625"/>
      <x:c r="B144" s="50"/>
      <x:c r="E144" s="627"/>
      <x:c r="F144" s="627"/>
      <x:c r="G144" s="627"/>
      <x:c r="H144" s="627"/>
      <x:c r="I144" s="627"/>
      <x:c r="J144" s="627"/>
      <x:c r="K144" s="627"/>
      <x:c r="L144" s="627"/>
      <x:c r="M144" s="627"/>
      <x:c r="N144" s="627"/>
      <x:c r="O144" s="627"/>
      <x:c r="P144" s="627"/>
      <x:c r="Q144" s="627"/>
      <x:c r="R144" s="627"/>
      <x:c r="Z144" s="624"/>
    </x:row>
    <x:row r="145" spans="1:26" x14ac:dyDescent="0.2">
      <x:c r="B145" s="770" t="s">
        <x:v>155</x:v>
      </x:c>
      <x:c r="C145" s="768" t="s">
        <x:v>132</x:v>
      </x:c>
      <x:c r="D145" s="651" t="s">
        <x:v>70</x:v>
      </x:c>
      <x:c r="E145" s="652">
        <x:f>E92+E66-K66</x:f>
        <x:v>0</x:v>
      </x:c>
      <x:c r="F145" s="652">
        <x:f t="shared" ref="F145:R145" si="5">F66</x:f>
        <x:v>0</x:v>
      </x:c>
      <x:c r="G145" s="652">
        <x:f t="shared" si="5"/>
        <x:v>0</x:v>
      </x:c>
      <x:c r="H145" s="652">
        <x:f t="shared" si="5"/>
        <x:v>0</x:v>
      </x:c>
      <x:c r="I145" s="652">
        <x:f t="shared" si="5"/>
        <x:v>0</x:v>
      </x:c>
      <x:c r="J145" s="652">
        <x:f t="shared" si="5"/>
        <x:v>0</x:v>
      </x:c>
      <x:c r="K145" s="652">
        <x:f t="shared" si="5"/>
        <x:v>0</x:v>
      </x:c>
      <x:c r="L145" s="652">
        <x:f t="shared" si="5"/>
        <x:v>0</x:v>
      </x:c>
      <x:c r="M145" s="652">
        <x:f t="shared" si="5"/>
        <x:v>0</x:v>
      </x:c>
      <x:c r="N145" s="652">
        <x:f t="shared" si="5"/>
        <x:v>0</x:v>
      </x:c>
      <x:c r="O145" s="652">
        <x:f t="shared" si="5"/>
        <x:v>0</x:v>
      </x:c>
      <x:c r="P145" s="652">
        <x:f t="shared" si="5"/>
        <x:v>0</x:v>
      </x:c>
      <x:c r="Q145" s="652">
        <x:f t="shared" si="5"/>
        <x:v>0</x:v>
      </x:c>
      <x:c r="R145" s="652">
        <x:f t="shared" si="5"/>
        <x:v>0</x:v>
      </x:c>
      <x:c r="Z145" s="624"/>
    </x:row>
    <x:row r="146" spans="1:26" x14ac:dyDescent="0.2">
      <x:c r="B146" s="770"/>
      <x:c r="C146" s="768"/>
      <x:c r="D146" s="651" t="s">
        <x:v>73</x:v>
      </x:c>
      <x:c r="E146" s="652">
        <x:f>E92</x:f>
        <x:v>0</x:v>
      </x:c>
      <x:c r="F146" s="627"/>
      <x:c r="G146" s="627"/>
      <x:c r="H146" s="627"/>
      <x:c r="I146" s="627"/>
      <x:c r="J146" s="627"/>
      <x:c r="K146" s="627"/>
      <x:c r="L146" s="627"/>
      <x:c r="M146" s="627"/>
      <x:c r="N146" s="627"/>
      <x:c r="O146" s="627"/>
      <x:c r="P146" s="627"/>
      <x:c r="Q146" s="627"/>
      <x:c r="R146" s="627"/>
      <x:c r="Z146" s="624"/>
    </x:row>
    <x:row r="147" spans="1:26" ht="15" x14ac:dyDescent="0.25">
      <x:c r="A147" s="625"/>
      <x:c r="B147" s="50"/>
      <x:c r="E147" s="627"/>
      <x:c r="F147" s="627"/>
      <x:c r="G147" s="627"/>
      <x:c r="H147" s="627"/>
      <x:c r="I147" s="627"/>
      <x:c r="J147" s="627"/>
      <x:c r="K147" s="627"/>
      <x:c r="L147" s="627"/>
      <x:c r="M147" s="627"/>
      <x:c r="N147" s="627"/>
      <x:c r="O147" s="627"/>
      <x:c r="P147" s="627"/>
      <x:c r="Q147" s="627"/>
      <x:c r="R147" s="627"/>
      <x:c r="Z147" s="624"/>
    </x:row>
    <x:row r="148" spans="1:26" x14ac:dyDescent="0.2">
      <x:c r="B148" s="771" t="s">
        <x:v>326</x:v>
      </x:c>
      <x:c r="C148" s="768" t="s">
        <x:v>132</x:v>
      </x:c>
      <x:c r="D148" s="654" t="s">
        <x:v>70</x:v>
      </x:c>
      <x:c r="E148" s="655">
        <x:v>0</x:v>
      </x:c>
      <x:c r="F148" s="655">
        <x:v>0</x:v>
      </x:c>
      <x:c r="G148" s="655">
        <x:v>0</x:v>
      </x:c>
      <x:c r="H148" s="655">
        <x:v>0</x:v>
      </x:c>
      <x:c r="I148" s="655">
        <x:v>0</x:v>
      </x:c>
      <x:c r="J148" s="655">
        <x:v>0</x:v>
      </x:c>
      <x:c r="K148" s="655">
        <x:v>0</x:v>
      </x:c>
      <x:c r="L148" s="655">
        <x:v>0</x:v>
      </x:c>
      <x:c r="M148" s="655">
        <x:v>0</x:v>
      </x:c>
      <x:c r="N148" s="655">
        <x:v>0</x:v>
      </x:c>
      <x:c r="O148" s="655">
        <x:v>0</x:v>
      </x:c>
      <x:c r="P148" s="655">
        <x:v>0</x:v>
      </x:c>
      <x:c r="Q148" s="655">
        <x:v>0</x:v>
      </x:c>
      <x:c r="R148" s="655">
        <x:v>0</x:v>
      </x:c>
      <x:c r="Z148" s="624"/>
    </x:row>
    <x:row r="149" spans="1:26" x14ac:dyDescent="0.2">
      <x:c r="B149" s="771"/>
      <x:c r="C149" s="768"/>
      <x:c r="D149" s="654" t="s">
        <x:v>73</x:v>
      </x:c>
      <x:c r="E149" s="655">
        <x:v>0</x:v>
      </x:c>
      <x:c r="F149" s="627"/>
      <x:c r="G149" s="627"/>
      <x:c r="H149" s="627"/>
      <x:c r="I149" s="627"/>
      <x:c r="J149" s="627"/>
      <x:c r="K149" s="627"/>
      <x:c r="L149" s="627"/>
      <x:c r="M149" s="627"/>
      <x:c r="N149" s="627"/>
      <x:c r="O149" s="627"/>
      <x:c r="P149" s="627"/>
      <x:c r="Q149" s="627"/>
      <x:c r="R149" s="627"/>
      <x:c r="Z149" s="624"/>
    </x:row>
    <x:row r="150" spans="1:26" ht="15" x14ac:dyDescent="0.25">
      <x:c r="A150" s="625"/>
      <x:c r="B150" s="50"/>
      <x:c r="E150" s="627"/>
      <x:c r="F150" s="627"/>
      <x:c r="G150" s="627"/>
      <x:c r="H150" s="627"/>
      <x:c r="I150" s="627"/>
      <x:c r="J150" s="627"/>
      <x:c r="K150" s="627"/>
      <x:c r="L150" s="627"/>
      <x:c r="M150" s="627"/>
      <x:c r="N150" s="627"/>
      <x:c r="O150" s="627"/>
      <x:c r="P150" s="627"/>
      <x:c r="Q150" s="627"/>
      <x:c r="R150" s="627"/>
      <x:c r="Z150" s="624"/>
    </x:row>
    <x:row r="151" spans="1:26" x14ac:dyDescent="0.2">
      <x:c r="B151" s="770" t="s">
        <x:v>119</x:v>
      </x:c>
      <x:c r="C151" s="768" t="s">
        <x:v>132</x:v>
      </x:c>
      <x:c r="D151" s="632" t="s">
        <x:v>70</x:v>
      </x:c>
      <x:c r="E151" s="633">
        <x:f>E88+E106-K88</x:f>
        <x:v>0</x:v>
      </x:c>
      <x:c r="F151" s="633">
        <x:f t="shared" ref="F151:R151" si="6">F88</x:f>
        <x:v>0</x:v>
      </x:c>
      <x:c r="G151" s="633">
        <x:f t="shared" si="6"/>
        <x:v>0</x:v>
      </x:c>
      <x:c r="H151" s="633">
        <x:f t="shared" si="6"/>
        <x:v>0</x:v>
      </x:c>
      <x:c r="I151" s="633">
        <x:f t="shared" si="6"/>
        <x:v>0</x:v>
      </x:c>
      <x:c r="J151" s="633">
        <x:f t="shared" si="6"/>
        <x:v>0</x:v>
      </x:c>
      <x:c r="K151" s="633">
        <x:f t="shared" si="6"/>
        <x:v>0</x:v>
      </x:c>
      <x:c r="L151" s="633">
        <x:f t="shared" si="6"/>
        <x:v>0</x:v>
      </x:c>
      <x:c r="M151" s="633">
        <x:f t="shared" si="6"/>
        <x:v>0</x:v>
      </x:c>
      <x:c r="N151" s="633">
        <x:f t="shared" si="6"/>
        <x:v>0</x:v>
      </x:c>
      <x:c r="O151" s="633">
        <x:f t="shared" si="6"/>
        <x:v>0</x:v>
      </x:c>
      <x:c r="P151" s="633">
        <x:f t="shared" si="6"/>
        <x:v>0</x:v>
      </x:c>
      <x:c r="Q151" s="633">
        <x:f t="shared" si="6"/>
        <x:v>0</x:v>
      </x:c>
      <x:c r="R151" s="633">
        <x:f t="shared" si="6"/>
        <x:v>0</x:v>
      </x:c>
      <x:c r="Z151" s="624"/>
    </x:row>
    <x:row r="152" spans="1:26" x14ac:dyDescent="0.2">
      <x:c r="B152" s="770"/>
      <x:c r="C152" s="768"/>
      <x:c r="D152" s="632" t="s">
        <x:v>73</x:v>
      </x:c>
      <x:c r="E152" s="633">
        <x:f>E106</x:f>
        <x:v>0</x:v>
      </x:c>
      <x:c r="F152" s="627"/>
      <x:c r="G152" s="627"/>
      <x:c r="H152" s="627"/>
      <x:c r="I152" s="627"/>
      <x:c r="J152" s="627"/>
      <x:c r="K152" s="627"/>
      <x:c r="L152" s="627"/>
      <x:c r="M152" s="627"/>
      <x:c r="N152" s="627"/>
      <x:c r="O152" s="627"/>
      <x:c r="P152" s="627"/>
      <x:c r="Q152" s="627"/>
      <x:c r="R152" s="627"/>
      <x:c r="Z152" s="624"/>
    </x:row>
    <x:row r="153" spans="1:26" ht="15" x14ac:dyDescent="0.25">
      <x:c r="A153" s="625"/>
      <x:c r="B153" s="50"/>
      <x:c r="E153" s="627"/>
      <x:c r="F153" s="627"/>
      <x:c r="G153" s="627"/>
      <x:c r="H153" s="627"/>
      <x:c r="I153" s="627"/>
      <x:c r="J153" s="627"/>
      <x:c r="K153" s="627"/>
      <x:c r="L153" s="627"/>
      <x:c r="M153" s="627"/>
      <x:c r="N153" s="627"/>
      <x:c r="O153" s="627"/>
      <x:c r="P153" s="627"/>
      <x:c r="Q153" s="627"/>
      <x:c r="R153" s="627"/>
      <x:c r="Z153" s="624"/>
    </x:row>
    <x:row r="154" spans="1:26" x14ac:dyDescent="0.2">
      <x:c r="B154" s="769" t="s">
        <x:v>161</x:v>
      </x:c>
      <x:c r="C154" s="768" t="s">
        <x:v>132</x:v>
      </x:c>
      <x:c r="D154" s="661" t="s">
        <x:v>70</x:v>
      </x:c>
      <x:c r="E154" s="662">
        <x:v>0</x:v>
      </x:c>
      <x:c r="F154" s="662">
        <x:v>0</x:v>
      </x:c>
      <x:c r="G154" s="662">
        <x:v>0</x:v>
      </x:c>
      <x:c r="H154" s="662">
        <x:v>0</x:v>
      </x:c>
      <x:c r="I154" s="662">
        <x:v>0</x:v>
      </x:c>
      <x:c r="J154" s="662">
        <x:v>0</x:v>
      </x:c>
      <x:c r="K154" s="662">
        <x:v>0</x:v>
      </x:c>
      <x:c r="L154" s="662">
        <x:v>0</x:v>
      </x:c>
      <x:c r="M154" s="662">
        <x:v>0</x:v>
      </x:c>
      <x:c r="N154" s="662">
        <x:v>0</x:v>
      </x:c>
      <x:c r="O154" s="662">
        <x:v>0</x:v>
      </x:c>
      <x:c r="P154" s="662">
        <x:v>0</x:v>
      </x:c>
      <x:c r="Q154" s="662">
        <x:v>0</x:v>
      </x:c>
      <x:c r="R154" s="662">
        <x:v>0</x:v>
      </x:c>
      <x:c r="Z154" s="624"/>
    </x:row>
    <x:row r="155" spans="1:26" x14ac:dyDescent="0.2">
      <x:c r="B155" s="769"/>
      <x:c r="C155" s="768"/>
      <x:c r="D155" s="661" t="s">
        <x:v>73</x:v>
      </x:c>
      <x:c r="E155" s="662">
        <x:v>0</x:v>
      </x:c>
      <x:c r="F155" s="627"/>
      <x:c r="G155" s="627"/>
      <x:c r="H155" s="627"/>
      <x:c r="I155" s="627"/>
      <x:c r="J155" s="627"/>
      <x:c r="K155" s="627"/>
      <x:c r="L155" s="627"/>
      <x:c r="M155" s="627"/>
      <x:c r="N155" s="627"/>
      <x:c r="O155" s="627"/>
      <x:c r="P155" s="627"/>
      <x:c r="Q155" s="627"/>
      <x:c r="R155" s="627"/>
      <x:c r="Z155" s="624"/>
    </x:row>
    <x:row r="156" spans="1:26" x14ac:dyDescent="0.2">
      <x:c r="A156" s="624"/>
      <x:c r="B156" s="624"/>
      <x:c r="C156" s="624"/>
      <x:c r="D156" s="624"/>
      <x:c r="E156" s="624"/>
      <x:c r="F156" s="624"/>
      <x:c r="G156" s="624"/>
      <x:c r="H156" s="624"/>
      <x:c r="I156" s="624"/>
      <x:c r="J156" s="624"/>
      <x:c r="K156" s="624"/>
      <x:c r="L156" s="624"/>
      <x:c r="M156" s="624"/>
      <x:c r="N156" s="624"/>
      <x:c r="O156" s="624"/>
      <x:c r="P156" s="624"/>
      <x:c r="Q156" s="624"/>
      <x:c r="R156" s="624"/>
      <x:c r="S156" s="624"/>
      <x:c r="T156" s="624"/>
      <x:c r="U156" s="624"/>
      <x:c r="V156" s="624"/>
      <x:c r="W156" s="624"/>
      <x:c r="X156" s="624"/>
      <x:c r="Y156" s="624"/>
      <x:c r="Z156" s="624"/>
    </x:row>
    <x:row r="157" spans="1:26" ht="15" x14ac:dyDescent="0.25">
      <x:c r="B157" s="676" t="s">
        <x:v>76</x:v>
      </x:c>
      <x:c r="Z157" s="624"/>
    </x:row>
    <x:row r="158" spans="1:26" s="50" customFormat="1" ht="15" x14ac:dyDescent="0.25">
      <x:c r="E158" s="669" t="s">
        <x:v>70</x:v>
      </x:c>
      <x:c r="F158" s="669" t="s">
        <x:v>64</x:v>
      </x:c>
      <x:c r="G158" s="669" t="s">
        <x:v>65</x:v>
      </x:c>
      <x:c r="H158" s="674" t="s">
        <x:v>164</x:v>
      </x:c>
      <x:c r="I158" s="669" t="s">
        <x:v>69</x:v>
      </x:c>
      <x:c r="J158" s="669" t="s">
        <x:v>68</x:v>
      </x:c>
      <x:c r="K158" s="669" t="s">
        <x:v>83</x:v>
      </x:c>
      <x:c r="L158" s="669" t="s">
        <x:v>66</x:v>
      </x:c>
      <x:c r="M158" s="669" t="s">
        <x:v>63</x:v>
      </x:c>
      <x:c r="N158" s="669" t="s">
        <x:v>61</x:v>
      </x:c>
      <x:c r="O158" s="669" t="s">
        <x:v>62</x:v>
      </x:c>
      <x:c r="P158" s="669" t="s">
        <x:v>67</x:v>
      </x:c>
      <x:c r="Q158" s="669" t="s">
        <x:v>84</x:v>
      </x:c>
      <x:c r="R158" s="669" t="s">
        <x:v>226</x:v>
      </x:c>
      <x:c r="Z158" s="618"/>
    </x:row>
    <x:row r="159" spans="1:26" x14ac:dyDescent="0.2">
      <x:c r="D159" s="625" t="s">
        <x:v>72</x:v>
      </x:c>
      <x:c r="E159" s="627" t="n">
        <x:v>73523.1</x:v>
      </x:c>
      <x:c r="F159" s="627" t="n">
        <x:v>9264.07</x:v>
      </x:c>
      <x:c r="G159" s="627" t="n">
        <x:v>5230.51</x:v>
      </x:c>
      <x:c r="H159" s="627" t="n">
        <x:v>2745.35</x:v>
      </x:c>
      <x:c r="I159" s="627" t="n">
        <x:v>13953.55</x:v>
      </x:c>
      <x:c r="J159" s="627" t="n">
        <x:v>241.72</x:v>
      </x:c>
      <x:c r="K159" s="627" t="n">
        <x:v>0</x:v>
      </x:c>
      <x:c r="L159" s="627" t="n">
        <x:v>2120.39</x:v>
      </x:c>
      <x:c r="M159" s="627" t="n">
        <x:v>3083.67</x:v>
      </x:c>
      <x:c r="N159" s="627" t="n">
        <x:v>14598.9</x:v>
      </x:c>
      <x:c r="O159" s="627" t="n">
        <x:v>21890.54</x:v>
      </x:c>
      <x:c r="P159" s="627" t="n">
        <x:v>394.4</x:v>
      </x:c>
      <x:c r="Q159" s="627" t="n">
        <x:v>0</x:v>
      </x:c>
      <x:c r="R159" s="653" t="n">
        <x:v>0</x:v>
      </x:c>
      <x:c r="Z159" s="624"/>
    </x:row>
    <x:row r="160" spans="1:26" x14ac:dyDescent="0.2">
      <x:c r="C160" s="25" t="s">
        <x:v>333</x:v>
      </x:c>
      <x:c r="D160" s="625" t="s">
        <x:v>70</x:v>
      </x:c>
      <x:c r="E160" s="627" t="n">
        <x:v>73523.1</x:v>
      </x:c>
      <x:c r="F160" s="627" t="n">
        <x:v>9264.07</x:v>
      </x:c>
      <x:c r="G160" s="627" t="n">
        <x:v>5230.51</x:v>
      </x:c>
      <x:c r="H160" s="627" t="n">
        <x:v>2745.35</x:v>
      </x:c>
      <x:c r="I160" s="627" t="n">
        <x:v>13953.55</x:v>
      </x:c>
      <x:c r="J160" s="627" t="n">
        <x:v>241.72</x:v>
      </x:c>
      <x:c r="K160" s="627" t="n">
        <x:v>0</x:v>
      </x:c>
      <x:c r="L160" s="627" t="n">
        <x:v>2120.39</x:v>
      </x:c>
      <x:c r="M160" s="627" t="n">
        <x:v>3083.67</x:v>
      </x:c>
      <x:c r="N160" s="627" t="n">
        <x:v>14598.9</x:v>
      </x:c>
      <x:c r="O160" s="627" t="n">
        <x:v>21890.54</x:v>
      </x:c>
      <x:c r="P160" s="627" t="n">
        <x:v>394.4</x:v>
      </x:c>
      <x:c r="Q160" s="627" t="n">
        <x:v>0</x:v>
      </x:c>
      <x:c r="R160" s="653" t="n">
        <x:v>0</x:v>
      </x:c>
      <x:c r="Z160" s="624"/>
    </x:row>
    <x:row r="161" spans="1:26" x14ac:dyDescent="0.2">
      <x:c r="A161" s="668"/>
      <x:c r="B161" s="668" t="s">
        <x:v>85</x:v>
      </x:c>
      <x:c r="C161" s="668" t="s">
        <x:v>70</x:v>
      </x:c>
      <x:c r="D161" s="661"/>
      <x:c r="E161" s="662" t="n">
        <x:v>73523.1</x:v>
      </x:c>
      <x:c r="F161" s="662" t="n">
        <x:v>9264.07</x:v>
      </x:c>
      <x:c r="G161" s="662" t="n">
        <x:v>5230.51</x:v>
      </x:c>
      <x:c r="H161" s="662" t="n">
        <x:v>2745.35</x:v>
      </x:c>
      <x:c r="I161" s="662" t="n">
        <x:v>13953.55</x:v>
      </x:c>
      <x:c r="J161" s="662" t="n">
        <x:v>241.72</x:v>
      </x:c>
      <x:c r="K161" s="662" t="n">
        <x:v>0</x:v>
      </x:c>
      <x:c r="L161" s="662" t="n">
        <x:v>2120.39</x:v>
      </x:c>
      <x:c r="M161" s="662" t="n">
        <x:v>3083.67</x:v>
      </x:c>
      <x:c r="N161" s="662" t="n">
        <x:v>14598.9</x:v>
      </x:c>
      <x:c r="O161" s="662" t="n">
        <x:v>21890.54</x:v>
      </x:c>
      <x:c r="P161" s="662" t="n">
        <x:v>394.4</x:v>
      </x:c>
      <x:c r="Q161" s="662" t="n">
        <x:v>0</x:v>
      </x:c>
      <x:c r="R161" s="673" t="n">
        <x:v>0</x:v>
      </x:c>
      <x:c r="S161" s="668"/>
      <x:c r="T161" s="668"/>
      <x:c r="U161" s="668"/>
      <x:c r="V161" s="668"/>
      <x:c r="W161" s="668"/>
      <x:c r="X161" s="668"/>
      <x:c r="Y161" s="668"/>
      <x:c r="Z161" s="624"/>
    </x:row>
    <x:row r="162" spans="1:26" x14ac:dyDescent="0.2">
      <x:c r="D162" s="25" t="s">
        <x:v>72</x:v>
      </x:c>
      <x:c r="E162" s="653" t="n">
        <x:v>10207291.73</x:v>
      </x:c>
      <x:c r="F162" s="653" t="n">
        <x:v>691727.66</x:v>
      </x:c>
      <x:c r="G162" s="653" t="n">
        <x:v>397192.92</x:v>
      </x:c>
      <x:c r="H162" s="653" t="n">
        <x:v>197980.04</x:v>
      </x:c>
      <x:c r="I162" s="653" t="n">
        <x:v>2063996.04</x:v>
      </x:c>
      <x:c r="J162" s="653" t="n">
        <x:v>75420.05</x:v>
      </x:c>
      <x:c r="K162" s="653" t="n">
        <x:v>22742.37</x:v>
      </x:c>
      <x:c r="L162" s="653" t="n">
        <x:v>669158.8</x:v>
      </x:c>
      <x:c r="M162" s="653" t="n">
        <x:v>682630.8</x:v>
      </x:c>
      <x:c r="N162" s="653" t="n">
        <x:v>3576274.42</x:v>
      </x:c>
      <x:c r="O162" s="653" t="n">
        <x:v>1725169.95</x:v>
      </x:c>
      <x:c r="P162" s="653" t="n">
        <x:v>104984.24</x:v>
      </x:c>
      <x:c r="Q162" s="653" t="n">
        <x:v>14.44</x:v>
      </x:c>
      <x:c r="R162" s="653" t="n">
        <x:v>0</x:v>
      </x:c>
      <x:c r="Z162" s="624"/>
    </x:row>
    <x:row r="163" spans="1:26" x14ac:dyDescent="0.2">
      <x:c r="D163" s="25" t="s">
        <x:v>81</x:v>
      </x:c>
      <x:c r="E163" s="653" t="n">
        <x:v>10777.75</x:v>
      </x:c>
      <x:c r="F163" s="653" t="n">
        <x:v>739.4</x:v>
      </x:c>
      <x:c r="G163" s="653" t="n">
        <x:v>426.95</x:v>
      </x:c>
      <x:c r="H163" s="653" t="n">
        <x:v>220.46</x:v>
      </x:c>
      <x:c r="I163" s="653" t="n">
        <x:v>2409.24</x:v>
      </x:c>
      <x:c r="J163" s="653" t="n">
        <x:v>88.57</x:v>
      </x:c>
      <x:c r="K163" s="653" t="n">
        <x:v>0</x:v>
      </x:c>
      <x:c r="L163" s="653" t="n">
        <x:v>743.28</x:v>
      </x:c>
      <x:c r="M163" s="653" t="n">
        <x:v>730.41</x:v>
      </x:c>
      <x:c r="N163" s="653" t="n">
        <x:v>3555.68</x:v>
      </x:c>
      <x:c r="O163" s="653" t="n">
        <x:v>1718.33</x:v>
      </x:c>
      <x:c r="P163" s="653" t="n">
        <x:v>145.3</x:v>
      </x:c>
      <x:c r="Q163" s="653" t="n">
        <x:v>0.13</x:v>
      </x:c>
      <x:c r="R163" s="653" t="n">
        <x:v>0</x:v>
      </x:c>
      <x:c r="Z163" s="624"/>
    </x:row>
    <x:row r="164" spans="1:26" x14ac:dyDescent="0.2">
      <x:c r="C164" s="25" t="s">
        <x:v>156</x:v>
      </x:c>
      <x:c r="D164" s="625" t="s">
        <x:v>70</x:v>
      </x:c>
      <x:c r="E164" s="627" t="n">
        <x:v>10218069.48</x:v>
      </x:c>
      <x:c r="F164" s="627" t="n">
        <x:v>692467.06</x:v>
      </x:c>
      <x:c r="G164" s="627" t="n">
        <x:v>397619.87</x:v>
      </x:c>
      <x:c r="H164" s="627" t="n">
        <x:v>198200.5</x:v>
      </x:c>
      <x:c r="I164" s="627" t="n">
        <x:v>2066405.28</x:v>
      </x:c>
      <x:c r="J164" s="627" t="n">
        <x:v>75508.62</x:v>
      </x:c>
      <x:c r="K164" s="627" t="n">
        <x:v>22742.37</x:v>
      </x:c>
      <x:c r="L164" s="627" t="n">
        <x:v>669902.08</x:v>
      </x:c>
      <x:c r="M164" s="627" t="n">
        <x:v>683361.21</x:v>
      </x:c>
      <x:c r="N164" s="627" t="n">
        <x:v>3579830.1</x:v>
      </x:c>
      <x:c r="O164" s="627" t="n">
        <x:v>1726888.28</x:v>
      </x:c>
      <x:c r="P164" s="627" t="n">
        <x:v>105129.54</x:v>
      </x:c>
      <x:c r="Q164" s="627" t="n">
        <x:v>14.57</x:v>
      </x:c>
      <x:c r="R164" s="653" t="n">
        <x:v>0</x:v>
      </x:c>
      <x:c r="Z164" s="624"/>
    </x:row>
    <x:row r="165" spans="1:26" x14ac:dyDescent="0.2">
      <x:c r="A165" s="628"/>
      <x:c r="B165" s="628" t="s">
        <x:v>155</x:v>
      </x:c>
      <x:c r="C165" s="628" t="s">
        <x:v>70</x:v>
      </x:c>
      <x:c r="D165" s="628"/>
      <x:c r="E165" s="677" t="n">
        <x:v>10218069.48</x:v>
      </x:c>
      <x:c r="F165" s="677" t="n">
        <x:v>692467.06</x:v>
      </x:c>
      <x:c r="G165" s="677" t="n">
        <x:v>397619.87</x:v>
      </x:c>
      <x:c r="H165" s="677" t="n">
        <x:v>198200.5</x:v>
      </x:c>
      <x:c r="I165" s="677" t="n">
        <x:v>2066405.28</x:v>
      </x:c>
      <x:c r="J165" s="677" t="n">
        <x:v>75508.62</x:v>
      </x:c>
      <x:c r="K165" s="677" t="n">
        <x:v>22742.37</x:v>
      </x:c>
      <x:c r="L165" s="677" t="n">
        <x:v>669902.08</x:v>
      </x:c>
      <x:c r="M165" s="677" t="n">
        <x:v>683361.21</x:v>
      </x:c>
      <x:c r="N165" s="677" t="n">
        <x:v>3579830.1</x:v>
      </x:c>
      <x:c r="O165" s="677" t="n">
        <x:v>1726888.28</x:v>
      </x:c>
      <x:c r="P165" s="677" t="n">
        <x:v>105129.54</x:v>
      </x:c>
      <x:c r="Q165" s="677" t="n">
        <x:v>14.57</x:v>
      </x:c>
      <x:c r="R165" s="677" t="n">
        <x:v>0</x:v>
      </x:c>
      <x:c r="S165" s="628"/>
      <x:c r="T165" s="628"/>
      <x:c r="U165" s="628"/>
      <x:c r="V165" s="628"/>
      <x:c r="W165" s="628"/>
      <x:c r="X165" s="628"/>
      <x:c r="Y165" s="628"/>
      <x:c r="Z165" s="624"/>
    </x:row>
    <x:row r="166" spans="1:26" x14ac:dyDescent="0.2">
      <x:c r="D166" s="25" t="s">
        <x:v>72</x:v>
      </x:c>
      <x:c r="E166" s="653" t="n">
        <x:v>1272712.91</x:v>
      </x:c>
      <x:c r="F166" s="653" t="n">
        <x:v>67036.89</x:v>
      </x:c>
      <x:c r="G166" s="653" t="n">
        <x:v>39501.06</x:v>
      </x:c>
      <x:c r="H166" s="653" t="n">
        <x:v>23477.74</x:v>
      </x:c>
      <x:c r="I166" s="653" t="n">
        <x:v>289895.21</x:v>
      </x:c>
      <x:c r="J166" s="653" t="n">
        <x:v>8195.05</x:v>
      </x:c>
      <x:c r="K166" s="653" t="n">
        <x:v>0</x:v>
      </x:c>
      <x:c r="L166" s="653" t="n">
        <x:v>74764.14</x:v>
      </x:c>
      <x:c r="M166" s="653" t="n">
        <x:v>110184.35</x:v>
      </x:c>
      <x:c r="N166" s="653" t="n">
        <x:v>481645.44</x:v>
      </x:c>
      <x:c r="O166" s="653" t="n">
        <x:v>163596.31</x:v>
      </x:c>
      <x:c r="P166" s="653" t="n">
        <x:v>14405.04</x:v>
      </x:c>
      <x:c r="Q166" s="653" t="n">
        <x:v>11.68</x:v>
      </x:c>
      <x:c r="R166" s="653" t="n">
        <x:v>0</x:v>
      </x:c>
      <x:c r="Z166" s="624"/>
    </x:row>
    <x:row r="167" spans="1:26" x14ac:dyDescent="0.2">
      <x:c r="D167" s="25" t="s">
        <x:v>81</x:v>
      </x:c>
      <x:c r="E167" s="653" t="n">
        <x:v>12.81</x:v>
      </x:c>
      <x:c r="F167" s="653" t="n">
        <x:v>0.52</x:v>
      </x:c>
      <x:c r="G167" s="653" t="n">
        <x:v>0.29</x:v>
      </x:c>
      <x:c r="H167" s="653" t="n">
        <x:v>0.15</x:v>
      </x:c>
      <x:c r="I167" s="653" t="n">
        <x:v>3.5</x:v>
      </x:c>
      <x:c r="J167" s="653" t="n">
        <x:v>0.08</x:v>
      </x:c>
      <x:c r="K167" s="653" t="n">
        <x:v>0</x:v>
      </x:c>
      <x:c r="L167" s="653" t="n">
        <x:v>0.73</x:v>
      </x:c>
      <x:c r="M167" s="653" t="n">
        <x:v>1.08</x:v>
      </x:c>
      <x:c r="N167" s="653" t="n">
        <x:v>5.11</x:v>
      </x:c>
      <x:c r="O167" s="653" t="n">
        <x:v>1.21</x:v>
      </x:c>
      <x:c r="P167" s="653" t="n">
        <x:v>0.14</x:v>
      </x:c>
      <x:c r="Q167" s="653" t="n">
        <x:v>0</x:v>
      </x:c>
      <x:c r="R167" s="653" t="n">
        <x:v>0</x:v>
      </x:c>
      <x:c r="Z167" s="624"/>
    </x:row>
    <x:row r="168" spans="1:26" x14ac:dyDescent="0.2">
      <x:c r="C168" s="25" t="s">
        <x:v>82</x:v>
      </x:c>
      <x:c r="D168" s="25" t="s">
        <x:v>70</x:v>
      </x:c>
      <x:c r="E168" s="653" t="n">
        <x:v>1272725.72</x:v>
      </x:c>
      <x:c r="F168" s="653" t="n">
        <x:v>67037.41</x:v>
      </x:c>
      <x:c r="G168" s="653" t="n">
        <x:v>39501.35</x:v>
      </x:c>
      <x:c r="H168" s="653" t="n">
        <x:v>23477.89</x:v>
      </x:c>
      <x:c r="I168" s="653" t="n">
        <x:v>289898.71</x:v>
      </x:c>
      <x:c r="J168" s="653" t="n">
        <x:v>8195.13</x:v>
      </x:c>
      <x:c r="K168" s="653" t="n">
        <x:v>0</x:v>
      </x:c>
      <x:c r="L168" s="653" t="n">
        <x:v>74764.87</x:v>
      </x:c>
      <x:c r="M168" s="653" t="n">
        <x:v>110185.43</x:v>
      </x:c>
      <x:c r="N168" s="653" t="n">
        <x:v>481650.55</x:v>
      </x:c>
      <x:c r="O168" s="653" t="n">
        <x:v>163597.52</x:v>
      </x:c>
      <x:c r="P168" s="653" t="n">
        <x:v>14405.18</x:v>
      </x:c>
      <x:c r="Q168" s="653" t="n">
        <x:v>11.68</x:v>
      </x:c>
      <x:c r="R168" s="653" t="n">
        <x:v>0</x:v>
      </x:c>
      <x:c r="Z168" s="624"/>
    </x:row>
    <x:row r="169" spans="1:26" x14ac:dyDescent="0.2">
      <x:c r="D169" s="25" t="s">
        <x:v>72</x:v>
      </x:c>
      <x:c r="E169" s="653" t="n">
        <x:v>983440.41</x:v>
      </x:c>
      <x:c r="F169" s="653" t="n">
        <x:v>68653.41</x:v>
      </x:c>
      <x:c r="G169" s="653" t="n">
        <x:v>38553.57</x:v>
      </x:c>
      <x:c r="H169" s="653" t="n">
        <x:v>20740.34</x:v>
      </x:c>
      <x:c r="I169" s="653" t="n">
        <x:v>220594.68</x:v>
      </x:c>
      <x:c r="J169" s="653" t="n">
        <x:v>4977.48</x:v>
      </x:c>
      <x:c r="K169" s="653" t="n">
        <x:v>0</x:v>
      </x:c>
      <x:c r="L169" s="653" t="n">
        <x:v>53236.89</x:v>
      </x:c>
      <x:c r="M169" s="653" t="n">
        <x:v>65079.83</x:v>
      </x:c>
      <x:c r="N169" s="653" t="n">
        <x:v>340285.14</x:v>
      </x:c>
      <x:c r="O169" s="653" t="n">
        <x:v>162040.31</x:v>
      </x:c>
      <x:c r="P169" s="653" t="n">
        <x:v>9295.93</x:v>
      </x:c>
      <x:c r="Q169" s="653" t="n">
        <x:v>-17.17</x:v>
      </x:c>
      <x:c r="R169" s="653" t="n">
        <x:v>0</x:v>
      </x:c>
      <x:c r="Z169" s="624"/>
    </x:row>
    <x:row r="170" spans="1:26" x14ac:dyDescent="0.2">
      <x:c r="D170" s="25" t="s">
        <x:v>81</x:v>
      </x:c>
      <x:c r="E170" s="653" t="n">
        <x:v>593.62</x:v>
      </x:c>
      <x:c r="F170" s="653" t="n">
        <x:v>4.2</x:v>
      </x:c>
      <x:c r="G170" s="653" t="n">
        <x:v>2.37</x:v>
      </x:c>
      <x:c r="H170" s="653" t="n">
        <x:v>1.25</x:v>
      </x:c>
      <x:c r="I170" s="653" t="n">
        <x:v>0</x:v>
      </x:c>
      <x:c r="J170" s="653" t="n">
        <x:v>9.54</x:v>
      </x:c>
      <x:c r="K170" s="653" t="n">
        <x:v>0</x:v>
      </x:c>
      <x:c r="L170" s="653" t="n">
        <x:v>83.75</x:v>
      </x:c>
      <x:c r="M170" s="653" t="n">
        <x:v>82.2</x:v>
      </x:c>
      <x:c r="N170" s="653" t="n">
        <x:v>385.01</x:v>
      </x:c>
      <x:c r="O170" s="653" t="n">
        <x:v>9.75</x:v>
      </x:c>
      <x:c r="P170" s="653" t="n">
        <x:v>15.58</x:v>
      </x:c>
      <x:c r="Q170" s="653" t="n">
        <x:v>-0.03</x:v>
      </x:c>
      <x:c r="R170" s="653" t="n">
        <x:v>0</x:v>
      </x:c>
      <x:c r="Z170" s="624"/>
    </x:row>
    <x:row r="171" spans="1:26" x14ac:dyDescent="0.2">
      <x:c r="C171" s="25" t="s">
        <x:v>86</x:v>
      </x:c>
      <x:c r="D171" s="25" t="s">
        <x:v>70</x:v>
      </x:c>
      <x:c r="E171" s="653" t="n">
        <x:v>984034.03</x:v>
      </x:c>
      <x:c r="F171" s="653" t="n">
        <x:v>68657.61</x:v>
      </x:c>
      <x:c r="G171" s="653" t="n">
        <x:v>38555.94</x:v>
      </x:c>
      <x:c r="H171" s="653" t="n">
        <x:v>20741.59</x:v>
      </x:c>
      <x:c r="I171" s="653" t="n">
        <x:v>220594.68</x:v>
      </x:c>
      <x:c r="J171" s="653" t="n">
        <x:v>4987.02</x:v>
      </x:c>
      <x:c r="K171" s="653" t="n">
        <x:v>0</x:v>
      </x:c>
      <x:c r="L171" s="653" t="n">
        <x:v>53320.64</x:v>
      </x:c>
      <x:c r="M171" s="653" t="n">
        <x:v>65162.03</x:v>
      </x:c>
      <x:c r="N171" s="653" t="n">
        <x:v>340670.15</x:v>
      </x:c>
      <x:c r="O171" s="653" t="n">
        <x:v>162050.06</x:v>
      </x:c>
      <x:c r="P171" s="653" t="n">
        <x:v>9311.51</x:v>
      </x:c>
      <x:c r="Q171" s="653" t="n">
        <x:v>-17.2</x:v>
      </x:c>
      <x:c r="R171" s="653" t="n">
        <x:v>0</x:v>
      </x:c>
      <x:c r="Z171" s="624"/>
    </x:row>
    <x:row r="172" spans="1:26" x14ac:dyDescent="0.2">
      <x:c r="D172" s="25" t="s">
        <x:v>72</x:v>
      </x:c>
      <x:c r="E172" s="653" t="n">
        <x:v>10889834.8</x:v>
      </x:c>
      <x:c r="F172" s="653" t="n">
        <x:v>1776974.67</x:v>
      </x:c>
      <x:c r="G172" s="653" t="n">
        <x:v>603192.45</x:v>
      </x:c>
      <x:c r="H172" s="653" t="n">
        <x:v>505061.73</x:v>
      </x:c>
      <x:c r="I172" s="653" t="n">
        <x:v>1046769.67</x:v>
      </x:c>
      <x:c r="J172" s="653" t="n">
        <x:v>28744.59</x:v>
      </x:c>
      <x:c r="K172" s="653" t="n">
        <x:v>0</x:v>
      </x:c>
      <x:c r="L172" s="653" t="n">
        <x:v>266799.07</x:v>
      </x:c>
      <x:c r="M172" s="653" t="n">
        <x:v>384022.27</x:v>
      </x:c>
      <x:c r="N172" s="653" t="n">
        <x:v>1863093.08</x:v>
      </x:c>
      <x:c r="O172" s="653" t="n">
        <x:v>4364983.13</x:v>
      </x:c>
      <x:c r="P172" s="653" t="n">
        <x:v>50156.58</x:v>
      </x:c>
      <x:c r="Q172" s="653" t="n">
        <x:v>37.56</x:v>
      </x:c>
      <x:c r="R172" s="653" t="n">
        <x:v>0</x:v>
      </x:c>
      <x:c r="Z172" s="624"/>
    </x:row>
    <x:row r="173" spans="1:26" x14ac:dyDescent="0.2">
      <x:c r="D173" s="25" t="s">
        <x:v>81</x:v>
      </x:c>
      <x:c r="E173" s="653" t="n">
        <x:v>269071.07</x:v>
      </x:c>
      <x:c r="F173" s="653" t="n">
        <x:v>55015.17</x:v>
      </x:c>
      <x:c r="G173" s="653" t="n">
        <x:v>31018.76</x:v>
      </x:c>
      <x:c r="H173" s="653" t="n">
        <x:v>16363.81</x:v>
      </x:c>
      <x:c r="I173" s="653" t="n">
        <x:v>12244.44</x:v>
      </x:c>
      <x:c r="J173" s="653" t="n">
        <x:v>300.42</x:v>
      </x:c>
      <x:c r="K173" s="653" t="n">
        <x:v>0</x:v>
      </x:c>
      <x:c r="L173" s="653" t="n">
        <x:v>2679.67</x:v>
      </x:c>
      <x:c r="M173" s="653" t="n">
        <x:v>3831.33</x:v>
      </x:c>
      <x:c r="N173" s="653" t="n">
        <x:v>17411.71</x:v>
      </x:c>
      <x:c r="O173" s="653" t="n">
        <x:v>129718.24</x:v>
      </x:c>
      <x:c r="P173" s="653" t="n">
        <x:v>487.91</x:v>
      </x:c>
      <x:c r="Q173" s="653" t="n">
        <x:v>-0.39</x:v>
      </x:c>
      <x:c r="R173" s="653" t="n">
        <x:v>0</x:v>
      </x:c>
      <x:c r="Z173" s="624"/>
    </x:row>
    <x:row r="174" spans="1:26" x14ac:dyDescent="0.2">
      <x:c r="A174" s="625"/>
      <x:c r="B174" s="625"/>
      <x:c r="C174" s="25" t="s">
        <x:v>87</x:v>
      </x:c>
      <x:c r="D174" s="25" t="s">
        <x:v>70</x:v>
      </x:c>
      <x:c r="E174" s="627" t="n">
        <x:v>11158905.87</x:v>
      </x:c>
      <x:c r="F174" s="627" t="n">
        <x:v>1831989.84</x:v>
      </x:c>
      <x:c r="G174" s="627" t="n">
        <x:v>634211.21</x:v>
      </x:c>
      <x:c r="H174" s="627" t="n">
        <x:v>521425.54</x:v>
      </x:c>
      <x:c r="I174" s="627" t="n">
        <x:v>1059014.11</x:v>
      </x:c>
      <x:c r="J174" s="627" t="n">
        <x:v>29045.01</x:v>
      </x:c>
      <x:c r="K174" s="627" t="n">
        <x:v>0</x:v>
      </x:c>
      <x:c r="L174" s="627" t="n">
        <x:v>269478.74</x:v>
      </x:c>
      <x:c r="M174" s="627" t="n">
        <x:v>387853.6</x:v>
      </x:c>
      <x:c r="N174" s="627" t="n">
        <x:v>1880504.79</x:v>
      </x:c>
      <x:c r="O174" s="627" t="n">
        <x:v>4494701.37</x:v>
      </x:c>
      <x:c r="P174" s="627" t="n">
        <x:v>50644.49</x:v>
      </x:c>
      <x:c r="Q174" s="627" t="n">
        <x:v>37.17</x:v>
      </x:c>
      <x:c r="R174" s="653" t="n">
        <x:v>0</x:v>
      </x:c>
      <x:c r="Z174" s="624"/>
    </x:row>
    <x:row r="175" spans="1:26" x14ac:dyDescent="0.2">
      <x:c r="A175" s="631"/>
      <x:c r="B175" s="632" t="s">
        <x:v>119</x:v>
      </x:c>
      <x:c r="C175" s="632" t="s">
        <x:v>70</x:v>
      </x:c>
      <x:c r="D175" s="631"/>
      <x:c r="E175" s="633" t="n">
        <x:v>13415665.62</x:v>
      </x:c>
      <x:c r="F175" s="633" t="n">
        <x:v>1967684.86</x:v>
      </x:c>
      <x:c r="G175" s="633" t="n">
        <x:v>712268.5</x:v>
      </x:c>
      <x:c r="H175" s="633" t="n">
        <x:v>565645.02</x:v>
      </x:c>
      <x:c r="I175" s="633" t="n">
        <x:v>1569507.5</x:v>
      </x:c>
      <x:c r="J175" s="633" t="n">
        <x:v>42227.16</x:v>
      </x:c>
      <x:c r="K175" s="633" t="n">
        <x:v>0</x:v>
      </x:c>
      <x:c r="L175" s="633" t="n">
        <x:v>397564.25</x:v>
      </x:c>
      <x:c r="M175" s="633" t="n">
        <x:v>563201.06</x:v>
      </x:c>
      <x:c r="N175" s="633" t="n">
        <x:v>2702825.49</x:v>
      </x:c>
      <x:c r="O175" s="633" t="n">
        <x:v>4820348.95</x:v>
      </x:c>
      <x:c r="P175" s="633" t="n">
        <x:v>74361.18</x:v>
      </x:c>
      <x:c r="Q175" s="633" t="n">
        <x:v>31.65</x:v>
      </x:c>
      <x:c r="R175" s="678" t="n">
        <x:v>0</x:v>
      </x:c>
      <x:c r="S175" s="631"/>
      <x:c r="T175" s="631"/>
      <x:c r="U175" s="631"/>
      <x:c r="V175" s="631"/>
      <x:c r="W175" s="631"/>
      <x:c r="X175" s="631"/>
      <x:c r="Y175" s="631"/>
      <x:c r="Z175" s="624"/>
    </x:row>
    <x:row r="176" spans="1:26" x14ac:dyDescent="0.2">
      <x:c r="A176" s="639" t="s">
        <x:v>78</x:v>
      </x:c>
      <x:c r="B176" s="639" t="s">
        <x:v>70</x:v>
      </x:c>
      <x:c r="C176" s="638"/>
      <x:c r="D176" s="638"/>
      <x:c r="E176" s="640" t="n">
        <x:v>23707258.2</x:v>
      </x:c>
      <x:c r="F176" s="640" t="n">
        <x:v>2669415.99</x:v>
      </x:c>
      <x:c r="G176" s="640" t="n">
        <x:v>1115118.88</x:v>
      </x:c>
      <x:c r="H176" s="640" t="n">
        <x:v>766590.87</x:v>
      </x:c>
      <x:c r="I176" s="640" t="n">
        <x:v>3649866.33</x:v>
      </x:c>
      <x:c r="J176" s="640" t="n">
        <x:v>117977.5</x:v>
      </x:c>
      <x:c r="K176" s="640" t="n">
        <x:v>22742.37</x:v>
      </x:c>
      <x:c r="L176" s="640" t="n">
        <x:v>1069586.72</x:v>
      </x:c>
      <x:c r="M176" s="640" t="n">
        <x:v>1249645.94</x:v>
      </x:c>
      <x:c r="N176" s="640" t="n">
        <x:v>6297254.49</x:v>
      </x:c>
      <x:c r="O176" s="640" t="n">
        <x:v>6569127.77</x:v>
      </x:c>
      <x:c r="P176" s="640" t="n">
        <x:v>179885.12</x:v>
      </x:c>
      <x:c r="Q176" s="640" t="n">
        <x:v>46.22</x:v>
      </x:c>
      <x:c r="R176" s="679" t="n">
        <x:v>0</x:v>
      </x:c>
      <x:c r="S176" s="638"/>
      <x:c r="T176" s="638"/>
      <x:c r="U176" s="638"/>
      <x:c r="V176" s="638"/>
      <x:c r="W176" s="638"/>
      <x:c r="X176" s="638"/>
      <x:c r="Y176" s="638"/>
      <x:c r="Z176" s="624"/>
    </x:row>
    <x:row r="177" spans="1:26" x14ac:dyDescent="0.2">
      <x:c r="C177" s="625"/>
      <x:c r="D177" s="625" t="s">
        <x:v>73</x:v>
      </x:c>
      <x:c r="E177" s="627" t="n">
        <x:v>-235930.54</x:v>
      </x:c>
      <x:c r="F177" s="627" t="n">
        <x:v>179509.93</x:v>
      </x:c>
      <x:c r="G177" s="627" t="n">
        <x:v>97518.46</x:v>
      </x:c>
      <x:c r="H177" s="627" t="n">
        <x:v>31515.45</x:v>
      </x:c>
      <x:c r="I177" s="627" t="n">
        <x:v>-494732.77</x:v>
      </x:c>
      <x:c r="J177" s="627" t="n">
        <x:v>-10768.31</x:v>
      </x:c>
      <x:c r="K177" s="627" t="n">
        <x:v>0</x:v>
      </x:c>
      <x:c r="L177" s="627" t="n">
        <x:v>-79292.72</x:v>
      </x:c>
      <x:c r="M177" s="627" t="n">
        <x:v>-76908.97</x:v>
      </x:c>
      <x:c r="N177" s="627" t="n">
        <x:v>-361796.09</x:v>
      </x:c>
      <x:c r="O177" s="627" t="n">
        <x:v>496533.67</x:v>
      </x:c>
      <x:c r="P177" s="627" t="n">
        <x:v>-17509.19</x:v>
      </x:c>
      <x:c r="Q177" s="627" t="n">
        <x:v>0</x:v>
      </x:c>
      <x:c r="R177" s="653" t="n">
        <x:v>0</x:v>
      </x:c>
      <x:c r="Z177" s="624"/>
    </x:row>
    <x:row r="178" spans="1:26" x14ac:dyDescent="0.2">
      <x:c r="C178" s="625" t="s">
        <x:v>156</x:v>
      </x:c>
      <x:c r="D178" s="625" t="s">
        <x:v>70</x:v>
      </x:c>
      <x:c r="E178" s="627" t="n">
        <x:v>-235930.54</x:v>
      </x:c>
      <x:c r="F178" s="627" t="n">
        <x:v>179509.93</x:v>
      </x:c>
      <x:c r="G178" s="627" t="n">
        <x:v>97518.46</x:v>
      </x:c>
      <x:c r="H178" s="627" t="n">
        <x:v>31515.45</x:v>
      </x:c>
      <x:c r="I178" s="627" t="n">
        <x:v>-494732.77</x:v>
      </x:c>
      <x:c r="J178" s="627" t="n">
        <x:v>-10768.31</x:v>
      </x:c>
      <x:c r="K178" s="627" t="n">
        <x:v>0</x:v>
      </x:c>
      <x:c r="L178" s="627" t="n">
        <x:v>-79292.72</x:v>
      </x:c>
      <x:c r="M178" s="627" t="n">
        <x:v>-76908.97</x:v>
      </x:c>
      <x:c r="N178" s="627" t="n">
        <x:v>-361796.09</x:v>
      </x:c>
      <x:c r="O178" s="627" t="n">
        <x:v>496533.67</x:v>
      </x:c>
      <x:c r="P178" s="627" t="n">
        <x:v>-17509.19</x:v>
      </x:c>
      <x:c r="Q178" s="627" t="n">
        <x:v>0</x:v>
      </x:c>
      <x:c r="R178" s="653" t="n">
        <x:v>0</x:v>
      </x:c>
      <x:c r="Z178" s="624"/>
    </x:row>
    <x:row r="179" spans="1:26" x14ac:dyDescent="0.2">
      <x:c r="A179" s="628"/>
      <x:c r="B179" s="628" t="s">
        <x:v>155</x:v>
      </x:c>
      <x:c r="C179" s="628" t="s">
        <x:v>70</x:v>
      </x:c>
      <x:c r="D179" s="628"/>
      <x:c r="E179" s="677" t="n">
        <x:v>-235930.54</x:v>
      </x:c>
      <x:c r="F179" s="677" t="n">
        <x:v>179509.93</x:v>
      </x:c>
      <x:c r="G179" s="677" t="n">
        <x:v>97518.46</x:v>
      </x:c>
      <x:c r="H179" s="677" t="n">
        <x:v>31515.45</x:v>
      </x:c>
      <x:c r="I179" s="677" t="n">
        <x:v>-494732.77</x:v>
      </x:c>
      <x:c r="J179" s="677" t="n">
        <x:v>-10768.31</x:v>
      </x:c>
      <x:c r="K179" s="677" t="n">
        <x:v>0</x:v>
      </x:c>
      <x:c r="L179" s="677" t="n">
        <x:v>-79292.72</x:v>
      </x:c>
      <x:c r="M179" s="677" t="n">
        <x:v>-76908.97</x:v>
      </x:c>
      <x:c r="N179" s="677" t="n">
        <x:v>-361796.09</x:v>
      </x:c>
      <x:c r="O179" s="677" t="n">
        <x:v>496533.67</x:v>
      </x:c>
      <x:c r="P179" s="677" t="n">
        <x:v>-17509.19</x:v>
      </x:c>
      <x:c r="Q179" s="677" t="n">
        <x:v>0</x:v>
      </x:c>
      <x:c r="R179" s="677" t="n">
        <x:v>0</x:v>
      </x:c>
      <x:c r="S179" s="628"/>
      <x:c r="T179" s="628"/>
      <x:c r="U179" s="628"/>
      <x:c r="V179" s="628"/>
      <x:c r="W179" s="628"/>
      <x:c r="X179" s="628"/>
      <x:c r="Y179" s="628"/>
      <x:c r="Z179" s="624"/>
    </x:row>
    <x:row r="180" spans="1:26" x14ac:dyDescent="0.2">
      <x:c r="C180" s="625"/>
      <x:c r="D180" s="625" t="s">
        <x:v>73</x:v>
      </x:c>
      <x:c r="E180" s="627" t="n">
        <x:v>64033.1</x:v>
      </x:c>
      <x:c r="F180" s="627" t="n">
        <x:v>7214.71</x:v>
      </x:c>
      <x:c r="G180" s="627" t="n">
        <x:v>4104.6</x:v>
      </x:c>
      <x:c r="H180" s="627" t="n">
        <x:v>2011.77</x:v>
      </x:c>
      <x:c r="I180" s="627" t="n">
        <x:v>10666.45</x:v>
      </x:c>
      <x:c r="J180" s="627" t="n">
        <x:v>222.72</x:v>
      </x:c>
      <x:c r="K180" s="627" t="n">
        <x:v>0</x:v>
      </x:c>
      <x:c r="L180" s="627" t="n">
        <x:v>1953.71</x:v>
      </x:c>
      <x:c r="M180" s="627" t="n">
        <x:v>3521.83</x:v>
      </x:c>
      <x:c r="N180" s="627" t="n">
        <x:v>16901.91</x:v>
      </x:c>
      <x:c r="O180" s="627" t="n">
        <x:v>17071.92</x:v>
      </x:c>
      <x:c r="P180" s="627" t="n">
        <x:v>363.48</x:v>
      </x:c>
      <x:c r="Q180" s="627" t="n">
        <x:v>0</x:v>
      </x:c>
      <x:c r="R180" s="653" t="n">
        <x:v>0</x:v>
      </x:c>
      <x:c r="Z180" s="624"/>
    </x:row>
    <x:row r="181" spans="1:26" x14ac:dyDescent="0.2">
      <x:c r="C181" s="25" t="s">
        <x:v>82</x:v>
      </x:c>
      <x:c r="D181" s="25" t="s">
        <x:v>70</x:v>
      </x:c>
      <x:c r="E181" s="653" t="n">
        <x:v>64033.1</x:v>
      </x:c>
      <x:c r="F181" s="653" t="n">
        <x:v>7214.71</x:v>
      </x:c>
      <x:c r="G181" s="653" t="n">
        <x:v>4104.6</x:v>
      </x:c>
      <x:c r="H181" s="653" t="n">
        <x:v>2011.77</x:v>
      </x:c>
      <x:c r="I181" s="653" t="n">
        <x:v>10666.45</x:v>
      </x:c>
      <x:c r="J181" s="653" t="n">
        <x:v>222.72</x:v>
      </x:c>
      <x:c r="K181" s="653" t="n">
        <x:v>0</x:v>
      </x:c>
      <x:c r="L181" s="653" t="n">
        <x:v>1953.71</x:v>
      </x:c>
      <x:c r="M181" s="653" t="n">
        <x:v>3521.83</x:v>
      </x:c>
      <x:c r="N181" s="653" t="n">
        <x:v>16901.91</x:v>
      </x:c>
      <x:c r="O181" s="653" t="n">
        <x:v>17071.92</x:v>
      </x:c>
      <x:c r="P181" s="653" t="n">
        <x:v>363.48</x:v>
      </x:c>
      <x:c r="Q181" s="653" t="n">
        <x:v>0</x:v>
      </x:c>
      <x:c r="R181" s="653" t="n">
        <x:v>0</x:v>
      </x:c>
      <x:c r="Z181" s="624"/>
    </x:row>
    <x:row r="182" spans="1:26" x14ac:dyDescent="0.2">
      <x:c r="D182" s="25" t="s">
        <x:v>73</x:v>
      </x:c>
      <x:c r="E182" s="653" t="n">
        <x:v>143391.71</x:v>
      </x:c>
      <x:c r="F182" s="653" t="n">
        <x:v>17683.3</x:v>
      </x:c>
      <x:c r="G182" s="653" t="n">
        <x:v>9483.69</x:v>
      </x:c>
      <x:c r="H182" s="653" t="n">
        <x:v>4051.59</x:v>
      </x:c>
      <x:c r="I182" s="653" t="n">
        <x:v>19388.95</x:v>
      </x:c>
      <x:c r="J182" s="653" t="n">
        <x:v>458.99</x:v>
      </x:c>
      <x:c r="K182" s="653" t="n">
        <x:v>0</x:v>
      </x:c>
      <x:c r="L182" s="653" t="n">
        <x:v>4524.54</x:v>
      </x:c>
      <x:c r="M182" s="653" t="n">
        <x:v>8575.41</x:v>
      </x:c>
      <x:c r="N182" s="653" t="n">
        <x:v>33527.4</x:v>
      </x:c>
      <x:c r="O182" s="653" t="n">
        <x:v>44872.41</x:v>
      </x:c>
      <x:c r="P182" s="653" t="n">
        <x:v>825.43</x:v>
      </x:c>
      <x:c r="Q182" s="653" t="n">
        <x:v>0</x:v>
      </x:c>
      <x:c r="R182" s="653" t="n">
        <x:v>0</x:v>
      </x:c>
      <x:c r="Z182" s="624"/>
    </x:row>
    <x:row r="183" spans="1:26" x14ac:dyDescent="0.2">
      <x:c r="C183" s="25" t="s">
        <x:v>86</x:v>
      </x:c>
      <x:c r="D183" s="25" t="s">
        <x:v>70</x:v>
      </x:c>
      <x:c r="E183" s="653" t="n">
        <x:v>143391.71</x:v>
      </x:c>
      <x:c r="F183" s="653" t="n">
        <x:v>17683.3</x:v>
      </x:c>
      <x:c r="G183" s="653" t="n">
        <x:v>9483.69</x:v>
      </x:c>
      <x:c r="H183" s="653" t="n">
        <x:v>4051.59</x:v>
      </x:c>
      <x:c r="I183" s="653" t="n">
        <x:v>19388.95</x:v>
      </x:c>
      <x:c r="J183" s="653" t="n">
        <x:v>458.99</x:v>
      </x:c>
      <x:c r="K183" s="653" t="n">
        <x:v>0</x:v>
      </x:c>
      <x:c r="L183" s="653" t="n">
        <x:v>4524.54</x:v>
      </x:c>
      <x:c r="M183" s="653" t="n">
        <x:v>8575.41</x:v>
      </x:c>
      <x:c r="N183" s="653" t="n">
        <x:v>33527.4</x:v>
      </x:c>
      <x:c r="O183" s="653" t="n">
        <x:v>44872.41</x:v>
      </x:c>
      <x:c r="P183" s="653" t="n">
        <x:v>825.43</x:v>
      </x:c>
      <x:c r="Q183" s="653" t="n">
        <x:v>0</x:v>
      </x:c>
      <x:c r="R183" s="653" t="n">
        <x:v>0</x:v>
      </x:c>
      <x:c r="Z183" s="624"/>
    </x:row>
    <x:row r="184" spans="1:26" x14ac:dyDescent="0.2">
      <x:c r="D184" s="625" t="s">
        <x:v>73</x:v>
      </x:c>
      <x:c r="E184" s="627" t="n">
        <x:v>2930318.19</x:v>
      </x:c>
      <x:c r="F184" s="627" t="n">
        <x:v>567936.48</x:v>
      </x:c>
      <x:c r="G184" s="627" t="n">
        <x:v>316279.55</x:v>
      </x:c>
      <x:c r="H184" s="627" t="n">
        <x:v>167772.67</x:v>
      </x:c>
      <x:c r="I184" s="627" t="n">
        <x:v>74829.75</x:v>
      </x:c>
      <x:c r="J184" s="627" t="n">
        <x:v>1886.12</x:v>
      </x:c>
      <x:c r="K184" s="627" t="n">
        <x:v>0</x:v>
      </x:c>
      <x:c r="L184" s="627" t="n">
        <x:v>25238.91</x:v>
      </x:c>
      <x:c r="M184" s="627" t="n">
        <x:v>37822.78</x:v>
      </x:c>
      <x:c r="N184" s="627" t="n">
        <x:v>177754.7</x:v>
      </x:c>
      <x:c r="O184" s="627" t="n">
        <x:v>1557167.31</x:v>
      </x:c>
      <x:c r="P184" s="627" t="n">
        <x:v>3629.92</x:v>
      </x:c>
      <x:c r="Q184" s="627" t="n">
        <x:v>0</x:v>
      </x:c>
      <x:c r="R184" s="653" t="n">
        <x:v>0</x:v>
      </x:c>
      <x:c r="Z184" s="624"/>
    </x:row>
    <x:row r="185" spans="1:26" x14ac:dyDescent="0.2">
      <x:c r="C185" s="25" t="s">
        <x:v>87</x:v>
      </x:c>
      <x:c r="D185" s="625" t="s">
        <x:v>70</x:v>
      </x:c>
      <x:c r="E185" s="627" t="n">
        <x:v>2930318.19</x:v>
      </x:c>
      <x:c r="F185" s="627" t="n">
        <x:v>567936.48</x:v>
      </x:c>
      <x:c r="G185" s="627" t="n">
        <x:v>316279.55</x:v>
      </x:c>
      <x:c r="H185" s="627" t="n">
        <x:v>167772.67</x:v>
      </x:c>
      <x:c r="I185" s="627" t="n">
        <x:v>74829.75</x:v>
      </x:c>
      <x:c r="J185" s="627" t="n">
        <x:v>1886.12</x:v>
      </x:c>
      <x:c r="K185" s="627" t="n">
        <x:v>0</x:v>
      </x:c>
      <x:c r="L185" s="627" t="n">
        <x:v>25238.91</x:v>
      </x:c>
      <x:c r="M185" s="627" t="n">
        <x:v>37822.78</x:v>
      </x:c>
      <x:c r="N185" s="627" t="n">
        <x:v>177754.7</x:v>
      </x:c>
      <x:c r="O185" s="627" t="n">
        <x:v>1557167.31</x:v>
      </x:c>
      <x:c r="P185" s="627" t="n">
        <x:v>3629.92</x:v>
      </x:c>
      <x:c r="Q185" s="627" t="n">
        <x:v>0</x:v>
      </x:c>
      <x:c r="R185" s="653" t="n">
        <x:v>0</x:v>
      </x:c>
      <x:c r="Z185" s="624"/>
    </x:row>
    <x:row r="186" spans="1:26" x14ac:dyDescent="0.2">
      <x:c r="A186" s="631"/>
      <x:c r="B186" s="632" t="s">
        <x:v>119</x:v>
      </x:c>
      <x:c r="C186" s="632" t="s">
        <x:v>70</x:v>
      </x:c>
      <x:c r="D186" s="631"/>
      <x:c r="E186" s="633" t="n">
        <x:v>3137743</x:v>
      </x:c>
      <x:c r="F186" s="633" t="n">
        <x:v>592834.49</x:v>
      </x:c>
      <x:c r="G186" s="633" t="n">
        <x:v>329867.84</x:v>
      </x:c>
      <x:c r="H186" s="633" t="n">
        <x:v>173836.03</x:v>
      </x:c>
      <x:c r="I186" s="633" t="n">
        <x:v>104885.15</x:v>
      </x:c>
      <x:c r="J186" s="633" t="n">
        <x:v>2567.83</x:v>
      </x:c>
      <x:c r="K186" s="633" t="n">
        <x:v>0</x:v>
      </x:c>
      <x:c r="L186" s="633" t="n">
        <x:v>31717.16</x:v>
      </x:c>
      <x:c r="M186" s="633" t="n">
        <x:v>49920.02</x:v>
      </x:c>
      <x:c r="N186" s="633" t="n">
        <x:v>228184.01</x:v>
      </x:c>
      <x:c r="O186" s="633" t="n">
        <x:v>1619111.64</x:v>
      </x:c>
      <x:c r="P186" s="633" t="n">
        <x:v>4818.83</x:v>
      </x:c>
      <x:c r="Q186" s="633" t="n">
        <x:v>0</x:v>
      </x:c>
      <x:c r="R186" s="678" t="n">
        <x:v>0</x:v>
      </x:c>
      <x:c r="S186" s="631"/>
      <x:c r="T186" s="631"/>
      <x:c r="U186" s="631"/>
      <x:c r="V186" s="631"/>
      <x:c r="W186" s="631"/>
      <x:c r="X186" s="631"/>
      <x:c r="Y186" s="631"/>
      <x:c r="Z186" s="624"/>
    </x:row>
    <x:row r="187" spans="1:26" x14ac:dyDescent="0.2">
      <x:c r="A187" s="639" t="s">
        <x:v>79</x:v>
      </x:c>
      <x:c r="B187" s="639" t="s">
        <x:v>70</x:v>
      </x:c>
      <x:c r="C187" s="638"/>
      <x:c r="D187" s="638"/>
      <x:c r="E187" s="640" t="n">
        <x:v>2901812.46</x:v>
      </x:c>
      <x:c r="F187" s="640" t="n">
        <x:v>772344.42</x:v>
      </x:c>
      <x:c r="G187" s="640" t="n">
        <x:v>427386.3</x:v>
      </x:c>
      <x:c r="H187" s="640" t="n">
        <x:v>205351.48</x:v>
      </x:c>
      <x:c r="I187" s="640" t="n">
        <x:v>-389847.62</x:v>
      </x:c>
      <x:c r="J187" s="640" t="n">
        <x:v>-8200.48</x:v>
      </x:c>
      <x:c r="K187" s="640" t="n">
        <x:v>0</x:v>
      </x:c>
      <x:c r="L187" s="640" t="n">
        <x:v>-47575.56</x:v>
      </x:c>
      <x:c r="M187" s="640" t="n">
        <x:v>-26988.95</x:v>
      </x:c>
      <x:c r="N187" s="640" t="n">
        <x:v>-133612.08</x:v>
      </x:c>
      <x:c r="O187" s="640" t="n">
        <x:v>2115645.31</x:v>
      </x:c>
      <x:c r="P187" s="640" t="n">
        <x:v>-12690.36</x:v>
      </x:c>
      <x:c r="Q187" s="640" t="n">
        <x:v>0</x:v>
      </x:c>
      <x:c r="R187" s="679" t="n">
        <x:v>0</x:v>
      </x:c>
      <x:c r="S187" s="638"/>
      <x:c r="T187" s="638"/>
      <x:c r="U187" s="638"/>
      <x:c r="V187" s="638"/>
      <x:c r="W187" s="638"/>
      <x:c r="X187" s="638"/>
      <x:c r="Y187" s="638"/>
      <x:c r="Z187" s="624"/>
    </x:row>
    <x:row r="188" spans="1:26" x14ac:dyDescent="0.2">
      <x:c r="A188" s="625" t="s">
        <x:v>70</x:v>
      </x:c>
      <x:c r="E188" s="627" t="n">
        <x:v>26609070.66</x:v>
      </x:c>
      <x:c r="F188" s="627" t="n">
        <x:v>3441760.41</x:v>
      </x:c>
      <x:c r="G188" s="627" t="n">
        <x:v>1542505.18</x:v>
      </x:c>
      <x:c r="H188" s="627" t="n">
        <x:v>971942.35</x:v>
      </x:c>
      <x:c r="I188" s="627" t="n">
        <x:v>3260018.71</x:v>
      </x:c>
      <x:c r="J188" s="627" t="n">
        <x:v>109777.02</x:v>
      </x:c>
      <x:c r="K188" s="627" t="n">
        <x:v>22742.37</x:v>
      </x:c>
      <x:c r="L188" s="627" t="n">
        <x:v>1022011.16</x:v>
      </x:c>
      <x:c r="M188" s="627" t="n">
        <x:v>1222656.99</x:v>
      </x:c>
      <x:c r="N188" s="627" t="n">
        <x:v>6163642.41</x:v>
      </x:c>
      <x:c r="O188" s="627" t="n">
        <x:v>8684773.08</x:v>
      </x:c>
      <x:c r="P188" s="627" t="n">
        <x:v>167194.76</x:v>
      </x:c>
      <x:c r="Q188" s="627" t="n">
        <x:v>46.22</x:v>
      </x:c>
      <x:c r="R188" s="653" t="n">
        <x:v>0</x:v>
      </x:c>
      <x:c r="Z188" s="624"/>
    </x:row>
    <x:row r="189" spans="1:26" x14ac:dyDescent="0.2">
      <x:c r="A189" s="625"/>
      <x:c r="E189" s="627"/>
      <x:c r="F189" s="627"/>
      <x:c r="G189" s="627"/>
      <x:c r="H189" s="627"/>
      <x:c r="I189" s="627"/>
      <x:c r="J189" s="627"/>
      <x:c r="K189" s="627"/>
      <x:c r="L189" s="627"/>
      <x:c r="M189" s="627"/>
      <x:c r="N189" s="627"/>
      <x:c r="O189" s="627"/>
      <x:c r="P189" s="627"/>
      <x:c r="Q189" s="627"/>
      <x:c r="Z189" s="624"/>
    </x:row>
    <x:row r="190" spans="1:26" x14ac:dyDescent="0.2">
      <x:c r="A190" s="625"/>
      <x:c r="E190" s="627"/>
      <x:c r="F190" s="627"/>
      <x:c r="G190" s="627"/>
      <x:c r="H190" s="627"/>
      <x:c r="I190" s="627"/>
      <x:c r="J190" s="627"/>
      <x:c r="K190" s="627"/>
      <x:c r="L190" s="627"/>
      <x:c r="M190" s="627"/>
      <x:c r="N190" s="627"/>
      <x:c r="O190" s="627"/>
      <x:c r="P190" s="627"/>
      <x:c r="Q190" s="627"/>
      <x:c r="Z190" s="624"/>
    </x:row>
    <x:row r="191" spans="1:26" x14ac:dyDescent="0.2">
      <x:c r="A191" s="625"/>
      <x:c r="E191" s="627"/>
      <x:c r="F191" s="627"/>
      <x:c r="G191" s="627"/>
      <x:c r="H191" s="627"/>
      <x:c r="I191" s="627"/>
      <x:c r="J191" s="627"/>
      <x:c r="K191" s="627"/>
      <x:c r="L191" s="627"/>
      <x:c r="M191" s="627"/>
      <x:c r="N191" s="627"/>
      <x:c r="O191" s="627"/>
      <x:c r="P191" s="627"/>
      <x:c r="Q191" s="627"/>
      <x:c r="Z191" s="624"/>
    </x:row>
    <x:row r="192" spans="1:26" x14ac:dyDescent="0.2">
      <x:c r="A192" s="625"/>
      <x:c r="E192" s="627"/>
      <x:c r="F192" s="627"/>
      <x:c r="G192" s="627"/>
      <x:c r="H192" s="627"/>
      <x:c r="I192" s="627"/>
      <x:c r="J192" s="627"/>
      <x:c r="K192" s="627"/>
      <x:c r="L192" s="627"/>
      <x:c r="M192" s="627"/>
      <x:c r="N192" s="627"/>
      <x:c r="O192" s="627"/>
      <x:c r="P192" s="627"/>
      <x:c r="Q192" s="627"/>
      <x:c r="Z192" s="624"/>
    </x:row>
    <x:row r="193" spans="1:26" x14ac:dyDescent="0.2">
      <x:c r="A193" s="625"/>
      <x:c r="E193" s="627"/>
      <x:c r="F193" s="627"/>
      <x:c r="G193" s="627"/>
      <x:c r="H193" s="627"/>
      <x:c r="I193" s="627"/>
      <x:c r="J193" s="627"/>
      <x:c r="K193" s="627"/>
      <x:c r="L193" s="627"/>
      <x:c r="M193" s="627"/>
      <x:c r="N193" s="627"/>
      <x:c r="O193" s="627"/>
      <x:c r="P193" s="627"/>
      <x:c r="Q193" s="627"/>
      <x:c r="Z193" s="624"/>
    </x:row>
    <x:row r="194" spans="1:26" x14ac:dyDescent="0.2">
      <x:c r="A194" s="625"/>
      <x:c r="E194" s="627"/>
      <x:c r="F194" s="627"/>
      <x:c r="G194" s="627"/>
      <x:c r="H194" s="627"/>
      <x:c r="I194" s="627"/>
      <x:c r="J194" s="627"/>
      <x:c r="K194" s="627"/>
      <x:c r="L194" s="627"/>
      <x:c r="M194" s="627"/>
      <x:c r="N194" s="627"/>
      <x:c r="O194" s="627"/>
      <x:c r="P194" s="627"/>
      <x:c r="Q194" s="627"/>
      <x:c r="Z194" s="624"/>
    </x:row>
    <x:row r="195" spans="1:26" x14ac:dyDescent="0.2">
      <x:c r="A195" s="625"/>
      <x:c r="E195" s="627"/>
      <x:c r="F195" s="627"/>
      <x:c r="G195" s="627"/>
      <x:c r="H195" s="627"/>
      <x:c r="I195" s="627"/>
      <x:c r="J195" s="627"/>
      <x:c r="K195" s="627"/>
      <x:c r="L195" s="627"/>
      <x:c r="M195" s="627"/>
      <x:c r="N195" s="627"/>
      <x:c r="O195" s="627"/>
      <x:c r="P195" s="627"/>
      <x:c r="Q195" s="627"/>
      <x:c r="Z195" s="624"/>
    </x:row>
    <x:row r="196" spans="1:26" x14ac:dyDescent="0.2">
      <x:c r="A196" s="625"/>
      <x:c r="E196" s="627"/>
      <x:c r="F196" s="627"/>
      <x:c r="G196" s="627"/>
      <x:c r="H196" s="627"/>
      <x:c r="I196" s="627"/>
      <x:c r="J196" s="627"/>
      <x:c r="K196" s="627"/>
      <x:c r="L196" s="627"/>
      <x:c r="M196" s="627"/>
      <x:c r="N196" s="627"/>
      <x:c r="O196" s="627"/>
      <x:c r="P196" s="627"/>
      <x:c r="Q196" s="627"/>
      <x:c r="Z196" s="624"/>
    </x:row>
    <x:row r="197" spans="1:26" x14ac:dyDescent="0.2">
      <x:c r="A197" s="625"/>
      <x:c r="E197" s="627"/>
      <x:c r="F197" s="627"/>
      <x:c r="G197" s="627"/>
      <x:c r="H197" s="627"/>
      <x:c r="I197" s="627"/>
      <x:c r="J197" s="627"/>
      <x:c r="K197" s="627"/>
      <x:c r="L197" s="627"/>
      <x:c r="M197" s="627"/>
      <x:c r="N197" s="627"/>
      <x:c r="O197" s="627"/>
      <x:c r="P197" s="627"/>
      <x:c r="Q197" s="627"/>
      <x:c r="Z197" s="624"/>
    </x:row>
    <x:row r="198" spans="1:26" x14ac:dyDescent="0.2">
      <x:c r="A198" s="625"/>
      <x:c r="E198" s="627"/>
      <x:c r="F198" s="627"/>
      <x:c r="G198" s="627"/>
      <x:c r="H198" s="627"/>
      <x:c r="I198" s="627"/>
      <x:c r="J198" s="627"/>
      <x:c r="K198" s="627"/>
      <x:c r="L198" s="627"/>
      <x:c r="M198" s="627"/>
      <x:c r="N198" s="627"/>
      <x:c r="O198" s="627"/>
      <x:c r="P198" s="627"/>
      <x:c r="Q198" s="627"/>
      <x:c r="Z198" s="624"/>
    </x:row>
    <x:row r="199" spans="1:26" x14ac:dyDescent="0.2">
      <x:c r="A199" s="625"/>
      <x:c r="E199" s="627"/>
      <x:c r="F199" s="627"/>
      <x:c r="G199" s="627"/>
      <x:c r="H199" s="627"/>
      <x:c r="I199" s="627"/>
      <x:c r="J199" s="627"/>
      <x:c r="K199" s="627"/>
      <x:c r="L199" s="627"/>
      <x:c r="M199" s="627"/>
      <x:c r="N199" s="627"/>
      <x:c r="O199" s="627"/>
      <x:c r="P199" s="627"/>
      <x:c r="Q199" s="627"/>
      <x:c r="Z199" s="624"/>
    </x:row>
    <x:row r="200" spans="1:26" x14ac:dyDescent="0.2">
      <x:c r="A200" s="625"/>
      <x:c r="E200" s="627"/>
      <x:c r="F200" s="627"/>
      <x:c r="G200" s="627"/>
      <x:c r="H200" s="627"/>
      <x:c r="I200" s="627"/>
      <x:c r="J200" s="627"/>
      <x:c r="K200" s="627"/>
      <x:c r="L200" s="627"/>
      <x:c r="M200" s="627"/>
      <x:c r="N200" s="627"/>
      <x:c r="O200" s="627"/>
      <x:c r="P200" s="627"/>
      <x:c r="Q200" s="627"/>
      <x:c r="Z200" s="624"/>
    </x:row>
    <x:row r="201" spans="1:26" x14ac:dyDescent="0.2">
      <x:c r="A201" s="625"/>
      <x:c r="E201" s="627"/>
      <x:c r="F201" s="627"/>
      <x:c r="G201" s="627"/>
      <x:c r="H201" s="627"/>
      <x:c r="I201" s="627"/>
      <x:c r="J201" s="627"/>
      <x:c r="K201" s="627"/>
      <x:c r="L201" s="627"/>
      <x:c r="M201" s="627"/>
      <x:c r="N201" s="627"/>
      <x:c r="O201" s="627"/>
      <x:c r="P201" s="627"/>
      <x:c r="Q201" s="627"/>
      <x:c r="Z201" s="624"/>
    </x:row>
    <x:row r="202" spans="1:26" x14ac:dyDescent="0.2">
      <x:c r="A202" s="625"/>
      <x:c r="E202" s="627"/>
      <x:c r="F202" s="627"/>
      <x:c r="G202" s="627"/>
      <x:c r="H202" s="627"/>
      <x:c r="I202" s="627"/>
      <x:c r="J202" s="627"/>
      <x:c r="K202" s="627"/>
      <x:c r="L202" s="627"/>
      <x:c r="M202" s="627"/>
      <x:c r="N202" s="627"/>
      <x:c r="O202" s="627"/>
      <x:c r="P202" s="627"/>
      <x:c r="Q202" s="627"/>
      <x:c r="Z202" s="624"/>
    </x:row>
    <x:row r="203" spans="1:26" x14ac:dyDescent="0.2">
      <x:c r="A203" s="625"/>
      <x:c r="E203" s="627"/>
      <x:c r="F203" s="627"/>
      <x:c r="G203" s="627"/>
      <x:c r="H203" s="627"/>
      <x:c r="I203" s="627"/>
      <x:c r="J203" s="627"/>
      <x:c r="K203" s="627"/>
      <x:c r="L203" s="627"/>
      <x:c r="M203" s="627"/>
      <x:c r="N203" s="627"/>
      <x:c r="O203" s="627"/>
      <x:c r="P203" s="627"/>
      <x:c r="Q203" s="627"/>
      <x:c r="Z203" s="624"/>
    </x:row>
    <x:row r="204" spans="1:26" x14ac:dyDescent="0.2">
      <x:c r="A204" s="625"/>
      <x:c r="E204" s="627"/>
      <x:c r="F204" s="627"/>
      <x:c r="G204" s="627"/>
      <x:c r="H204" s="627"/>
      <x:c r="I204" s="627"/>
      <x:c r="J204" s="627"/>
      <x:c r="K204" s="627"/>
      <x:c r="L204" s="627"/>
      <x:c r="M204" s="627"/>
      <x:c r="N204" s="627"/>
      <x:c r="O204" s="627"/>
      <x:c r="P204" s="627"/>
      <x:c r="Q204" s="627"/>
      <x:c r="Z204" s="624"/>
    </x:row>
    <x:row r="205" spans="1:26" x14ac:dyDescent="0.2">
      <x:c r="A205" s="625"/>
      <x:c r="E205" s="627"/>
      <x:c r="F205" s="627"/>
      <x:c r="G205" s="627"/>
      <x:c r="H205" s="627"/>
      <x:c r="I205" s="627"/>
      <x:c r="J205" s="627"/>
      <x:c r="K205" s="627"/>
      <x:c r="L205" s="627"/>
      <x:c r="M205" s="627"/>
      <x:c r="N205" s="627"/>
      <x:c r="O205" s="627"/>
      <x:c r="P205" s="627"/>
      <x:c r="Q205" s="627"/>
      <x:c r="Z205" s="624"/>
    </x:row>
    <x:row r="206" spans="1:26" x14ac:dyDescent="0.2">
      <x:c r="A206" s="625"/>
      <x:c r="E206" s="627"/>
      <x:c r="F206" s="627"/>
      <x:c r="G206" s="627"/>
      <x:c r="H206" s="627"/>
      <x:c r="I206" s="627"/>
      <x:c r="J206" s="627"/>
      <x:c r="K206" s="627"/>
      <x:c r="L206" s="627"/>
      <x:c r="M206" s="627"/>
      <x:c r="N206" s="627"/>
      <x:c r="O206" s="627"/>
      <x:c r="P206" s="627"/>
      <x:c r="Q206" s="627"/>
      <x:c r="Z206" s="624"/>
    </x:row>
    <x:row r="207" spans="1:26" x14ac:dyDescent="0.2">
      <x:c r="A207" s="625"/>
      <x:c r="E207" s="627"/>
      <x:c r="F207" s="627"/>
      <x:c r="G207" s="627"/>
      <x:c r="H207" s="627"/>
      <x:c r="I207" s="627"/>
      <x:c r="J207" s="627"/>
      <x:c r="K207" s="627"/>
      <x:c r="L207" s="627"/>
      <x:c r="M207" s="627"/>
      <x:c r="N207" s="627"/>
      <x:c r="O207" s="627"/>
      <x:c r="P207" s="627"/>
      <x:c r="Q207" s="627"/>
      <x:c r="Z207" s="624"/>
    </x:row>
    <x:row r="208" spans="1:26" x14ac:dyDescent="0.2">
      <x:c r="A208" s="625"/>
      <x:c r="E208" s="627"/>
      <x:c r="F208" s="627"/>
      <x:c r="G208" s="627"/>
      <x:c r="H208" s="627"/>
      <x:c r="I208" s="627"/>
      <x:c r="J208" s="627"/>
      <x:c r="K208" s="627"/>
      <x:c r="L208" s="627"/>
      <x:c r="M208" s="627"/>
      <x:c r="N208" s="627"/>
      <x:c r="O208" s="627"/>
      <x:c r="P208" s="627"/>
      <x:c r="Q208" s="627"/>
      <x:c r="Z208" s="624"/>
    </x:row>
    <x:row r="209" spans="1:26" x14ac:dyDescent="0.2">
      <x:c r="A209" s="625"/>
      <x:c r="E209" s="627"/>
      <x:c r="F209" s="627"/>
      <x:c r="G209" s="627"/>
      <x:c r="H209" s="627"/>
      <x:c r="I209" s="627"/>
      <x:c r="J209" s="627"/>
      <x:c r="K209" s="627"/>
      <x:c r="L209" s="627"/>
      <x:c r="M209" s="627"/>
      <x:c r="N209" s="627"/>
      <x:c r="O209" s="627"/>
      <x:c r="P209" s="627"/>
      <x:c r="Q209" s="627"/>
      <x:c r="Z209" s="624"/>
    </x:row>
    <x:row r="210" spans="1:26" x14ac:dyDescent="0.2">
      <x:c r="A210" s="625"/>
      <x:c r="E210" s="627"/>
      <x:c r="F210" s="627"/>
      <x:c r="G210" s="627"/>
      <x:c r="H210" s="627"/>
      <x:c r="I210" s="627"/>
      <x:c r="J210" s="627"/>
      <x:c r="K210" s="627"/>
      <x:c r="L210" s="627"/>
      <x:c r="M210" s="627"/>
      <x:c r="N210" s="627"/>
      <x:c r="O210" s="627"/>
      <x:c r="P210" s="627"/>
      <x:c r="Q210" s="627"/>
      <x:c r="Z210" s="624"/>
    </x:row>
    <x:row r="211" spans="1:26" x14ac:dyDescent="0.2">
      <x:c r="A211" s="625"/>
      <x:c r="E211" s="627"/>
      <x:c r="F211" s="627"/>
      <x:c r="G211" s="627"/>
      <x:c r="H211" s="627"/>
      <x:c r="I211" s="627"/>
      <x:c r="J211" s="627"/>
      <x:c r="K211" s="627"/>
      <x:c r="L211" s="627"/>
      <x:c r="M211" s="627"/>
      <x:c r="N211" s="627"/>
      <x:c r="O211" s="627"/>
      <x:c r="P211" s="627"/>
      <x:c r="Q211" s="627"/>
      <x:c r="Z211" s="624"/>
    </x:row>
    <x:row r="212" spans="1:26" x14ac:dyDescent="0.2">
      <x:c r="A212" s="625"/>
      <x:c r="E212" s="627"/>
      <x:c r="F212" s="627"/>
      <x:c r="G212" s="627"/>
      <x:c r="H212" s="627"/>
      <x:c r="I212" s="627"/>
      <x:c r="J212" s="627"/>
      <x:c r="K212" s="627"/>
      <x:c r="L212" s="627"/>
      <x:c r="M212" s="627"/>
      <x:c r="N212" s="627"/>
      <x:c r="O212" s="627"/>
      <x:c r="P212" s="627"/>
      <x:c r="Q212" s="627"/>
      <x:c r="Z212" s="624"/>
    </x:row>
    <x:row r="213" spans="1:26" x14ac:dyDescent="0.2">
      <x:c r="A213" s="625"/>
      <x:c r="E213" s="627"/>
      <x:c r="F213" s="627"/>
      <x:c r="G213" s="627"/>
      <x:c r="H213" s="627"/>
      <x:c r="I213" s="627"/>
      <x:c r="J213" s="627"/>
      <x:c r="K213" s="627"/>
      <x:c r="L213" s="627"/>
      <x:c r="M213" s="627"/>
      <x:c r="N213" s="627"/>
      <x:c r="O213" s="627"/>
      <x:c r="P213" s="627"/>
      <x:c r="Q213" s="627"/>
      <x:c r="Z213" s="624"/>
    </x:row>
    <x:row r="214" spans="1:26" x14ac:dyDescent="0.2">
      <x:c r="A214" s="625"/>
      <x:c r="E214" s="627"/>
      <x:c r="F214" s="627"/>
      <x:c r="G214" s="627"/>
      <x:c r="H214" s="627"/>
      <x:c r="I214" s="627"/>
      <x:c r="J214" s="627"/>
      <x:c r="K214" s="627"/>
      <x:c r="L214" s="627"/>
      <x:c r="M214" s="627"/>
      <x:c r="N214" s="627"/>
      <x:c r="O214" s="627"/>
      <x:c r="P214" s="627"/>
      <x:c r="Q214" s="627"/>
      <x:c r="Z214" s="624"/>
    </x:row>
    <x:row r="215" spans="1:26" x14ac:dyDescent="0.2">
      <x:c r="A215" s="625"/>
      <x:c r="E215" s="627"/>
      <x:c r="F215" s="627"/>
      <x:c r="G215" s="627"/>
      <x:c r="H215" s="627"/>
      <x:c r="I215" s="627"/>
      <x:c r="J215" s="627"/>
      <x:c r="K215" s="627"/>
      <x:c r="L215" s="627"/>
      <x:c r="M215" s="627"/>
      <x:c r="N215" s="627"/>
      <x:c r="O215" s="627"/>
      <x:c r="P215" s="627"/>
      <x:c r="Q215" s="627"/>
      <x:c r="Z215" s="624"/>
    </x:row>
    <x:row r="216" spans="1:26" x14ac:dyDescent="0.2">
      <x:c r="A216" s="625"/>
      <x:c r="E216" s="627"/>
      <x:c r="F216" s="627"/>
      <x:c r="G216" s="627"/>
      <x:c r="H216" s="627"/>
      <x:c r="I216" s="627"/>
      <x:c r="J216" s="627"/>
      <x:c r="K216" s="627"/>
      <x:c r="L216" s="627"/>
      <x:c r="M216" s="627"/>
      <x:c r="N216" s="627"/>
      <x:c r="O216" s="627"/>
      <x:c r="P216" s="627"/>
      <x:c r="Q216" s="627"/>
      <x:c r="Z216" s="624"/>
    </x:row>
    <x:row r="217" spans="1:26" x14ac:dyDescent="0.2">
      <x:c r="A217" s="625"/>
      <x:c r="E217" s="627"/>
      <x:c r="F217" s="627"/>
      <x:c r="G217" s="627"/>
      <x:c r="H217" s="627"/>
      <x:c r="I217" s="627"/>
      <x:c r="J217" s="627"/>
      <x:c r="K217" s="627"/>
      <x:c r="L217" s="627"/>
      <x:c r="M217" s="627"/>
      <x:c r="N217" s="627"/>
      <x:c r="O217" s="627"/>
      <x:c r="P217" s="627"/>
      <x:c r="Q217" s="627"/>
      <x:c r="Z217" s="624"/>
    </x:row>
    <x:row r="218" spans="1:26" x14ac:dyDescent="0.2">
      <x:c r="A218" s="625"/>
      <x:c r="E218" s="627"/>
      <x:c r="F218" s="627"/>
      <x:c r="G218" s="627"/>
      <x:c r="H218" s="627"/>
      <x:c r="I218" s="627"/>
      <x:c r="J218" s="627"/>
      <x:c r="K218" s="627"/>
      <x:c r="L218" s="627"/>
      <x:c r="M218" s="627"/>
      <x:c r="N218" s="627"/>
      <x:c r="O218" s="627"/>
      <x:c r="P218" s="627"/>
      <x:c r="Q218" s="627"/>
      <x:c r="Z218" s="624"/>
    </x:row>
    <x:row r="219" spans="1:26" x14ac:dyDescent="0.2">
      <x:c r="A219" s="625"/>
      <x:c r="E219" s="627"/>
      <x:c r="F219" s="627"/>
      <x:c r="G219" s="627"/>
      <x:c r="H219" s="627"/>
      <x:c r="I219" s="627"/>
      <x:c r="J219" s="627"/>
      <x:c r="K219" s="627"/>
      <x:c r="L219" s="627"/>
      <x:c r="M219" s="627"/>
      <x:c r="N219" s="627"/>
      <x:c r="O219" s="627"/>
      <x:c r="P219" s="627"/>
      <x:c r="Q219" s="627"/>
      <x:c r="Z219" s="624"/>
    </x:row>
    <x:row r="220" spans="1:26" x14ac:dyDescent="0.2">
      <x:c r="C220" s="625"/>
      <x:c r="D220" s="625"/>
      <x:c r="E220" s="627"/>
      <x:c r="F220" s="627"/>
      <x:c r="G220" s="627"/>
      <x:c r="H220" s="627"/>
      <x:c r="I220" s="627"/>
      <x:c r="J220" s="627"/>
      <x:c r="K220" s="627"/>
      <x:c r="L220" s="627"/>
      <x:c r="M220" s="627"/>
      <x:c r="N220" s="627"/>
      <x:c r="O220" s="627"/>
      <x:c r="P220" s="627"/>
      <x:c r="Q220" s="627"/>
      <x:c r="R220" s="627"/>
      <x:c r="Z220" s="624"/>
    </x:row>
    <x:row r="221" spans="1:26" x14ac:dyDescent="0.2">
      <x:c r="D221" s="625"/>
      <x:c r="E221" s="627"/>
      <x:c r="F221" s="627"/>
      <x:c r="G221" s="627"/>
      <x:c r="H221" s="627"/>
      <x:c r="I221" s="627"/>
      <x:c r="J221" s="627"/>
      <x:c r="K221" s="627"/>
      <x:c r="L221" s="627"/>
      <x:c r="M221" s="627"/>
      <x:c r="N221" s="627"/>
      <x:c r="O221" s="627"/>
      <x:c r="P221" s="627"/>
      <x:c r="Q221" s="627"/>
      <x:c r="R221" s="627"/>
      <x:c r="Z221" s="624"/>
    </x:row>
    <x:row r="222" spans="1:26" x14ac:dyDescent="0.2">
      <x:c r="C222" s="625"/>
      <x:c r="D222" s="625"/>
      <x:c r="E222" s="627"/>
      <x:c r="F222" s="627"/>
      <x:c r="G222" s="627"/>
      <x:c r="H222" s="627"/>
      <x:c r="I222" s="627"/>
      <x:c r="J222" s="627"/>
      <x:c r="K222" s="627"/>
      <x:c r="L222" s="627"/>
      <x:c r="M222" s="627"/>
      <x:c r="N222" s="627"/>
      <x:c r="O222" s="627"/>
      <x:c r="P222" s="627"/>
      <x:c r="Q222" s="627"/>
      <x:c r="R222" s="627"/>
      <x:c r="Z222" s="624"/>
    </x:row>
    <x:row r="223" spans="1:26" x14ac:dyDescent="0.2">
      <x:c r="D223" s="625"/>
      <x:c r="E223" s="627"/>
      <x:c r="F223" s="627"/>
      <x:c r="G223" s="627"/>
      <x:c r="H223" s="627"/>
      <x:c r="I223" s="627"/>
      <x:c r="J223" s="627"/>
      <x:c r="K223" s="627"/>
      <x:c r="L223" s="627"/>
      <x:c r="M223" s="627"/>
      <x:c r="N223" s="627"/>
      <x:c r="O223" s="627"/>
      <x:c r="P223" s="627"/>
      <x:c r="Q223" s="627"/>
      <x:c r="R223" s="627"/>
      <x:c r="Z223" s="624"/>
    </x:row>
    <x:row r="224" spans="1:26" x14ac:dyDescent="0.2">
      <x:c r="C224" s="625"/>
      <x:c r="D224" s="625"/>
      <x:c r="E224" s="627"/>
      <x:c r="F224" s="627"/>
      <x:c r="G224" s="627"/>
      <x:c r="H224" s="627"/>
      <x:c r="I224" s="627"/>
      <x:c r="J224" s="627"/>
      <x:c r="K224" s="627"/>
      <x:c r="L224" s="627"/>
      <x:c r="M224" s="627"/>
      <x:c r="N224" s="627"/>
      <x:c r="O224" s="627"/>
      <x:c r="P224" s="627"/>
      <x:c r="Q224" s="627"/>
      <x:c r="R224" s="627"/>
      <x:c r="Z224" s="624"/>
    </x:row>
    <x:row r="225" spans="1:26" x14ac:dyDescent="0.2">
      <x:c r="B225" s="625"/>
      <x:c r="C225" s="625"/>
      <x:c r="E225" s="627"/>
      <x:c r="F225" s="627"/>
      <x:c r="G225" s="627"/>
      <x:c r="H225" s="627"/>
      <x:c r="I225" s="627"/>
      <x:c r="J225" s="627"/>
      <x:c r="K225" s="627"/>
      <x:c r="L225" s="627"/>
      <x:c r="M225" s="627"/>
      <x:c r="N225" s="627"/>
      <x:c r="O225" s="627"/>
      <x:c r="P225" s="627"/>
      <x:c r="Q225" s="627"/>
      <x:c r="R225" s="627"/>
      <x:c r="Z225" s="624"/>
    </x:row>
    <x:row r="226" spans="1:26" x14ac:dyDescent="0.2">
      <x:c r="A226" s="625"/>
      <x:c r="B226" s="625"/>
      <x:c r="E226" s="627"/>
      <x:c r="F226" s="627"/>
      <x:c r="G226" s="627"/>
      <x:c r="H226" s="627"/>
      <x:c r="I226" s="627"/>
      <x:c r="J226" s="627"/>
      <x:c r="K226" s="627"/>
      <x:c r="L226" s="627"/>
      <x:c r="M226" s="627"/>
      <x:c r="N226" s="627"/>
      <x:c r="O226" s="627"/>
      <x:c r="P226" s="627"/>
      <x:c r="Q226" s="627"/>
      <x:c r="R226" s="627"/>
      <x:c r="Z226" s="624"/>
    </x:row>
    <x:row r="227" spans="1:26" x14ac:dyDescent="0.2">
      <x:c r="A227" s="625"/>
      <x:c r="E227" s="627"/>
      <x:c r="F227" s="627"/>
      <x:c r="G227" s="627"/>
      <x:c r="H227" s="627"/>
      <x:c r="I227" s="627"/>
      <x:c r="J227" s="627"/>
      <x:c r="K227" s="627"/>
      <x:c r="L227" s="627"/>
      <x:c r="M227" s="627"/>
      <x:c r="N227" s="627"/>
      <x:c r="O227" s="627"/>
      <x:c r="P227" s="627"/>
      <x:c r="Q227" s="627"/>
      <x:c r="R227" s="627"/>
      <x:c r="Z227" s="624"/>
    </x:row>
    <x:row r="228" spans="1:26" x14ac:dyDescent="0.2">
      <x:c r="A228" s="625"/>
      <x:c r="E228" s="627"/>
      <x:c r="F228" s="627"/>
      <x:c r="G228" s="627"/>
      <x:c r="H228" s="627"/>
      <x:c r="I228" s="627"/>
      <x:c r="J228" s="627"/>
      <x:c r="K228" s="627"/>
      <x:c r="L228" s="627"/>
      <x:c r="M228" s="627"/>
      <x:c r="N228" s="627"/>
      <x:c r="O228" s="627"/>
      <x:c r="P228" s="627"/>
      <x:c r="Q228" s="627"/>
      <x:c r="Z228" s="624"/>
    </x:row>
    <x:row r="229" spans="1:26" x14ac:dyDescent="0.2">
      <x:c r="A229" s="625"/>
      <x:c r="E229" s="627"/>
      <x:c r="F229" s="627"/>
      <x:c r="G229" s="627"/>
      <x:c r="H229" s="627"/>
      <x:c r="I229" s="627"/>
      <x:c r="J229" s="627"/>
      <x:c r="K229" s="627"/>
      <x:c r="L229" s="627"/>
      <x:c r="M229" s="627"/>
      <x:c r="N229" s="627"/>
      <x:c r="O229" s="627"/>
      <x:c r="P229" s="627"/>
      <x:c r="Q229" s="627"/>
      <x:c r="Z229" s="624"/>
    </x:row>
    <x:row r="230" spans="1:26" x14ac:dyDescent="0.2">
      <x:c r="A230" s="625"/>
      <x:c r="E230" s="627"/>
      <x:c r="F230" s="627"/>
      <x:c r="G230" s="627"/>
      <x:c r="H230" s="627"/>
      <x:c r="I230" s="627"/>
      <x:c r="J230" s="627"/>
      <x:c r="K230" s="627"/>
      <x:c r="L230" s="627"/>
      <x:c r="M230" s="627"/>
      <x:c r="N230" s="627"/>
      <x:c r="O230" s="627"/>
      <x:c r="P230" s="627"/>
      <x:c r="Q230" s="627"/>
      <x:c r="Z230" s="624"/>
    </x:row>
    <x:row r="231" spans="1:26" x14ac:dyDescent="0.2">
      <x:c r="A231" s="625"/>
      <x:c r="E231" s="627"/>
      <x:c r="F231" s="627"/>
      <x:c r="G231" s="627"/>
      <x:c r="H231" s="627"/>
      <x:c r="I231" s="627"/>
      <x:c r="J231" s="627"/>
      <x:c r="K231" s="627"/>
      <x:c r="L231" s="627"/>
      <x:c r="M231" s="627"/>
      <x:c r="N231" s="627"/>
      <x:c r="O231" s="627"/>
      <x:c r="P231" s="627"/>
      <x:c r="Q231" s="627"/>
      <x:c r="Z231" s="624"/>
    </x:row>
    <x:row r="232" spans="1:26" x14ac:dyDescent="0.2">
      <x:c r="A232" s="625"/>
      <x:c r="E232" s="627"/>
      <x:c r="F232" s="627"/>
      <x:c r="G232" s="627"/>
      <x:c r="H232" s="627"/>
      <x:c r="I232" s="627"/>
      <x:c r="J232" s="627"/>
      <x:c r="K232" s="627"/>
      <x:c r="L232" s="627"/>
      <x:c r="M232" s="627"/>
      <x:c r="N232" s="627"/>
      <x:c r="O232" s="627"/>
      <x:c r="P232" s="627"/>
      <x:c r="Q232" s="627"/>
      <x:c r="Z232" s="624"/>
    </x:row>
    <x:row r="233" spans="1:26" x14ac:dyDescent="0.2">
      <x:c r="A233" s="625"/>
      <x:c r="E233" s="627"/>
      <x:c r="F233" s="627"/>
      <x:c r="G233" s="627"/>
      <x:c r="H233" s="627"/>
      <x:c r="I233" s="627"/>
      <x:c r="J233" s="627"/>
      <x:c r="K233" s="627"/>
      <x:c r="L233" s="627"/>
      <x:c r="M233" s="627"/>
      <x:c r="N233" s="627"/>
      <x:c r="O233" s="627"/>
      <x:c r="P233" s="627"/>
      <x:c r="Q233" s="627"/>
      <x:c r="Z233" s="624"/>
    </x:row>
    <x:row r="234" spans="1:26" x14ac:dyDescent="0.2">
      <x:c r="A234" s="625"/>
      <x:c r="E234" s="627"/>
      <x:c r="F234" s="627"/>
      <x:c r="G234" s="627"/>
      <x:c r="H234" s="627"/>
      <x:c r="I234" s="627"/>
      <x:c r="J234" s="627"/>
      <x:c r="K234" s="627"/>
      <x:c r="L234" s="627"/>
      <x:c r="M234" s="627"/>
      <x:c r="N234" s="627"/>
      <x:c r="O234" s="627"/>
      <x:c r="P234" s="627"/>
      <x:c r="Q234" s="627"/>
      <x:c r="Z234" s="624"/>
    </x:row>
    <x:row r="235" spans="1:26" x14ac:dyDescent="0.2">
      <x:c r="A235" s="625"/>
      <x:c r="E235" s="627"/>
      <x:c r="F235" s="627"/>
      <x:c r="G235" s="627"/>
      <x:c r="H235" s="627"/>
      <x:c r="I235" s="627"/>
      <x:c r="J235" s="627"/>
      <x:c r="K235" s="627"/>
      <x:c r="L235" s="627"/>
      <x:c r="M235" s="627"/>
      <x:c r="N235" s="627"/>
      <x:c r="O235" s="627"/>
      <x:c r="P235" s="627"/>
      <x:c r="Q235" s="627"/>
      <x:c r="Z235" s="624"/>
    </x:row>
    <x:row r="236" spans="1:26" x14ac:dyDescent="0.2">
      <x:c r="A236" s="625"/>
      <x:c r="E236" s="627"/>
      <x:c r="F236" s="627"/>
      <x:c r="G236" s="627"/>
      <x:c r="H236" s="627"/>
      <x:c r="I236" s="627"/>
      <x:c r="J236" s="627"/>
      <x:c r="K236" s="627"/>
      <x:c r="L236" s="627"/>
      <x:c r="M236" s="627"/>
      <x:c r="N236" s="627"/>
      <x:c r="O236" s="627"/>
      <x:c r="P236" s="627"/>
      <x:c r="Q236" s="627"/>
      <x:c r="Z236" s="624"/>
    </x:row>
    <x:row r="237" spans="1:26" x14ac:dyDescent="0.2">
      <x:c r="A237" s="625"/>
      <x:c r="E237" s="627"/>
      <x:c r="F237" s="627"/>
      <x:c r="G237" s="627"/>
      <x:c r="H237" s="627"/>
      <x:c r="I237" s="627"/>
      <x:c r="J237" s="627"/>
      <x:c r="K237" s="627"/>
      <x:c r="L237" s="627"/>
      <x:c r="M237" s="627"/>
      <x:c r="N237" s="627"/>
      <x:c r="O237" s="627"/>
      <x:c r="P237" s="627"/>
      <x:c r="Q237" s="627"/>
      <x:c r="Z237" s="624"/>
    </x:row>
    <x:row r="238" spans="1:26" x14ac:dyDescent="0.2">
      <x:c r="A238" s="625"/>
      <x:c r="E238" s="627"/>
      <x:c r="F238" s="627"/>
      <x:c r="G238" s="627"/>
      <x:c r="H238" s="627"/>
      <x:c r="I238" s="627"/>
      <x:c r="J238" s="627"/>
      <x:c r="K238" s="627"/>
      <x:c r="L238" s="627"/>
      <x:c r="M238" s="627"/>
      <x:c r="N238" s="627"/>
      <x:c r="O238" s="627"/>
      <x:c r="P238" s="627"/>
      <x:c r="Q238" s="627"/>
      <x:c r="Z238" s="624"/>
    </x:row>
    <x:row r="239" spans="1:26" x14ac:dyDescent="0.2">
      <x:c r="A239" s="625"/>
      <x:c r="E239" s="627"/>
      <x:c r="F239" s="627"/>
      <x:c r="G239" s="627"/>
      <x:c r="H239" s="627"/>
      <x:c r="I239" s="627"/>
      <x:c r="J239" s="627"/>
      <x:c r="K239" s="627"/>
      <x:c r="L239" s="627"/>
      <x:c r="M239" s="627"/>
      <x:c r="N239" s="627"/>
      <x:c r="O239" s="627"/>
      <x:c r="P239" s="627"/>
      <x:c r="Q239" s="627"/>
      <x:c r="Z239" s="624"/>
    </x:row>
    <x:row r="240" spans="1:26" x14ac:dyDescent="0.2">
      <x:c r="A240" s="625"/>
      <x:c r="E240" s="627"/>
      <x:c r="F240" s="627"/>
      <x:c r="G240" s="627"/>
      <x:c r="H240" s="627"/>
      <x:c r="I240" s="627"/>
      <x:c r="J240" s="627"/>
      <x:c r="K240" s="627"/>
      <x:c r="L240" s="627"/>
      <x:c r="M240" s="627"/>
      <x:c r="N240" s="627"/>
      <x:c r="O240" s="627"/>
      <x:c r="P240" s="627"/>
      <x:c r="Q240" s="627"/>
      <x:c r="Z240" s="624"/>
    </x:row>
    <x:row r="241" spans="1:26" x14ac:dyDescent="0.2">
      <x:c r="A241" s="625"/>
      <x:c r="E241" s="627"/>
      <x:c r="F241" s="627"/>
      <x:c r="G241" s="627"/>
      <x:c r="H241" s="627"/>
      <x:c r="I241" s="627"/>
      <x:c r="J241" s="627"/>
      <x:c r="K241" s="627"/>
      <x:c r="L241" s="627"/>
      <x:c r="M241" s="627"/>
      <x:c r="N241" s="627"/>
      <x:c r="O241" s="627"/>
      <x:c r="P241" s="627"/>
      <x:c r="Q241" s="627"/>
      <x:c r="Z241" s="624"/>
    </x:row>
    <x:row r="242" spans="1:26" x14ac:dyDescent="0.2">
      <x:c r="A242" s="625"/>
      <x:c r="E242" s="627"/>
      <x:c r="F242" s="627"/>
      <x:c r="G242" s="627"/>
      <x:c r="H242" s="627"/>
      <x:c r="I242" s="627"/>
      <x:c r="J242" s="627"/>
      <x:c r="K242" s="627"/>
      <x:c r="L242" s="627"/>
      <x:c r="M242" s="627"/>
      <x:c r="N242" s="627"/>
      <x:c r="O242" s="627"/>
      <x:c r="P242" s="627"/>
      <x:c r="Q242" s="627"/>
      <x:c r="Z242" s="624"/>
    </x:row>
    <x:row r="243" spans="1:26" x14ac:dyDescent="0.2">
      <x:c r="A243" s="625"/>
      <x:c r="E243" s="627"/>
      <x:c r="F243" s="627"/>
      <x:c r="G243" s="627"/>
      <x:c r="H243" s="627"/>
      <x:c r="I243" s="627"/>
      <x:c r="J243" s="627"/>
      <x:c r="K243" s="627"/>
      <x:c r="L243" s="627"/>
      <x:c r="M243" s="627"/>
      <x:c r="N243" s="627"/>
      <x:c r="O243" s="627"/>
      <x:c r="P243" s="627"/>
      <x:c r="Q243" s="627"/>
      <x:c r="Z243" s="624"/>
    </x:row>
    <x:row r="244" spans="1:26" x14ac:dyDescent="0.2">
      <x:c r="A244" s="625"/>
      <x:c r="E244" s="627"/>
      <x:c r="F244" s="627"/>
      <x:c r="G244" s="627"/>
      <x:c r="H244" s="627"/>
      <x:c r="I244" s="627"/>
      <x:c r="J244" s="627"/>
      <x:c r="K244" s="627"/>
      <x:c r="L244" s="627"/>
      <x:c r="M244" s="627"/>
      <x:c r="N244" s="627"/>
      <x:c r="O244" s="627"/>
      <x:c r="P244" s="627"/>
      <x:c r="Q244" s="627"/>
      <x:c r="Z244" s="624"/>
    </x:row>
    <x:row r="245" spans="1:26" x14ac:dyDescent="0.2">
      <x:c r="A245" s="625"/>
      <x:c r="E245" s="627"/>
      <x:c r="F245" s="627"/>
      <x:c r="G245" s="627"/>
      <x:c r="H245" s="627"/>
      <x:c r="I245" s="627"/>
      <x:c r="J245" s="627"/>
      <x:c r="K245" s="627"/>
      <x:c r="L245" s="627"/>
      <x:c r="M245" s="627"/>
      <x:c r="N245" s="627"/>
      <x:c r="O245" s="627"/>
      <x:c r="P245" s="627"/>
      <x:c r="Q245" s="627"/>
      <x:c r="Z245" s="624"/>
    </x:row>
    <x:row r="246" spans="1:26" x14ac:dyDescent="0.2">
      <x:c r="A246" s="625"/>
      <x:c r="E246" s="627"/>
      <x:c r="F246" s="627"/>
      <x:c r="G246" s="627"/>
      <x:c r="H246" s="627"/>
      <x:c r="I246" s="627"/>
      <x:c r="J246" s="627"/>
      <x:c r="K246" s="627"/>
      <x:c r="L246" s="627"/>
      <x:c r="M246" s="627"/>
      <x:c r="N246" s="627"/>
      <x:c r="O246" s="627"/>
      <x:c r="P246" s="627"/>
      <x:c r="Q246" s="627"/>
      <x:c r="Z246" s="624"/>
    </x:row>
    <x:row r="247" spans="1:26" x14ac:dyDescent="0.2">
      <x:c r="A247" s="625"/>
      <x:c r="E247" s="627"/>
      <x:c r="F247" s="627"/>
      <x:c r="G247" s="627"/>
      <x:c r="H247" s="627"/>
      <x:c r="I247" s="627"/>
      <x:c r="J247" s="627"/>
      <x:c r="K247" s="627"/>
      <x:c r="L247" s="627"/>
      <x:c r="M247" s="627"/>
      <x:c r="N247" s="627"/>
      <x:c r="O247" s="627"/>
      <x:c r="P247" s="627"/>
      <x:c r="Q247" s="627"/>
      <x:c r="Z247" s="624"/>
    </x:row>
    <x:row r="248" spans="1:26" x14ac:dyDescent="0.2">
      <x:c r="A248" s="625"/>
      <x:c r="E248" s="627"/>
      <x:c r="F248" s="627"/>
      <x:c r="G248" s="627"/>
      <x:c r="H248" s="627"/>
      <x:c r="I248" s="627"/>
      <x:c r="J248" s="627"/>
      <x:c r="K248" s="627"/>
      <x:c r="L248" s="627"/>
      <x:c r="M248" s="627"/>
      <x:c r="N248" s="627"/>
      <x:c r="O248" s="627"/>
      <x:c r="P248" s="627"/>
      <x:c r="Q248" s="627"/>
      <x:c r="Z248" s="624"/>
    </x:row>
    <x:row r="249" spans="1:26" x14ac:dyDescent="0.2">
      <x:c r="A249" s="625"/>
      <x:c r="E249" s="627"/>
      <x:c r="F249" s="627"/>
      <x:c r="G249" s="627"/>
      <x:c r="H249" s="627"/>
      <x:c r="I249" s="627"/>
      <x:c r="J249" s="627"/>
      <x:c r="K249" s="627"/>
      <x:c r="L249" s="627"/>
      <x:c r="M249" s="627"/>
      <x:c r="N249" s="627"/>
      <x:c r="O249" s="627"/>
      <x:c r="P249" s="627"/>
      <x:c r="Q249" s="627"/>
      <x:c r="Z249" s="624"/>
    </x:row>
    <x:row r="250" spans="1:26" x14ac:dyDescent="0.2">
      <x:c r="A250" s="625"/>
      <x:c r="E250" s="627"/>
      <x:c r="F250" s="627"/>
      <x:c r="G250" s="627"/>
      <x:c r="H250" s="627"/>
      <x:c r="I250" s="627"/>
      <x:c r="J250" s="627"/>
      <x:c r="K250" s="627"/>
      <x:c r="L250" s="627"/>
      <x:c r="M250" s="627"/>
      <x:c r="N250" s="627"/>
      <x:c r="O250" s="627"/>
      <x:c r="P250" s="627"/>
      <x:c r="Q250" s="627"/>
      <x:c r="Z250" s="624"/>
    </x:row>
    <x:row r="251" spans="1:26" x14ac:dyDescent="0.2">
      <x:c r="A251" s="625"/>
      <x:c r="E251" s="627"/>
      <x:c r="F251" s="627"/>
      <x:c r="G251" s="627"/>
      <x:c r="H251" s="627"/>
      <x:c r="I251" s="627"/>
      <x:c r="J251" s="627"/>
      <x:c r="K251" s="627"/>
      <x:c r="L251" s="627"/>
      <x:c r="M251" s="627"/>
      <x:c r="N251" s="627"/>
      <x:c r="O251" s="627"/>
      <x:c r="P251" s="627"/>
      <x:c r="Q251" s="627"/>
      <x:c r="Z251" s="624"/>
    </x:row>
    <x:row r="252" spans="1:26" x14ac:dyDescent="0.2">
      <x:c r="A252" s="625"/>
      <x:c r="E252" s="627"/>
      <x:c r="F252" s="627"/>
      <x:c r="G252" s="627"/>
      <x:c r="H252" s="627"/>
      <x:c r="I252" s="627"/>
      <x:c r="J252" s="627"/>
      <x:c r="K252" s="627"/>
      <x:c r="L252" s="627"/>
      <x:c r="M252" s="627"/>
      <x:c r="N252" s="627"/>
      <x:c r="O252" s="627"/>
      <x:c r="P252" s="627"/>
      <x:c r="Q252" s="627"/>
      <x:c r="Z252" s="624"/>
    </x:row>
    <x:row r="253" spans="1:26" x14ac:dyDescent="0.2">
      <x:c r="A253" s="625"/>
      <x:c r="E253" s="627"/>
      <x:c r="F253" s="627"/>
      <x:c r="G253" s="627"/>
      <x:c r="H253" s="627"/>
      <x:c r="I253" s="627"/>
      <x:c r="J253" s="627"/>
      <x:c r="K253" s="627"/>
      <x:c r="L253" s="627"/>
      <x:c r="M253" s="627"/>
      <x:c r="N253" s="627"/>
      <x:c r="O253" s="627"/>
      <x:c r="P253" s="627"/>
      <x:c r="Q253" s="627"/>
      <x:c r="Z253" s="624"/>
    </x:row>
    <x:row r="254" spans="1:26" x14ac:dyDescent="0.2">
      <x:c r="A254" s="625"/>
      <x:c r="E254" s="627"/>
      <x:c r="F254" s="627"/>
      <x:c r="G254" s="627"/>
      <x:c r="H254" s="627"/>
      <x:c r="I254" s="627"/>
      <x:c r="J254" s="627"/>
      <x:c r="K254" s="627"/>
      <x:c r="L254" s="627"/>
      <x:c r="M254" s="627"/>
      <x:c r="N254" s="627"/>
      <x:c r="O254" s="627"/>
      <x:c r="P254" s="627"/>
      <x:c r="Q254" s="627"/>
      <x:c r="Z254" s="624"/>
    </x:row>
    <x:row r="255" spans="1:26" x14ac:dyDescent="0.2">
      <x:c r="A255" s="625"/>
      <x:c r="E255" s="627"/>
      <x:c r="F255" s="627"/>
      <x:c r="G255" s="627"/>
      <x:c r="H255" s="627"/>
      <x:c r="I255" s="627"/>
      <x:c r="J255" s="627"/>
      <x:c r="K255" s="627"/>
      <x:c r="L255" s="627"/>
      <x:c r="M255" s="627"/>
      <x:c r="N255" s="627"/>
      <x:c r="O255" s="627"/>
      <x:c r="P255" s="627"/>
      <x:c r="Q255" s="627"/>
      <x:c r="Z255" s="624"/>
    </x:row>
    <x:row r="256" spans="1:26" x14ac:dyDescent="0.2">
      <x:c r="B256" s="770" t="s">
        <x:v>2</x:v>
      </x:c>
      <x:c r="C256" s="768" t="s">
        <x:v>132</x:v>
      </x:c>
      <x:c r="D256" s="639" t="s">
        <x:v>70</x:v>
      </x:c>
      <x:c r="E256" s="640">
        <x:f>E176+E187-K176</x:f>
        <x:v>0</x:v>
      </x:c>
      <x:c r="F256" s="640">
        <x:f>F176</x:f>
        <x:v>0</x:v>
      </x:c>
      <x:c r="G256" s="640">
        <x:f t="shared" ref="G256:R256" si="7">G176</x:f>
        <x:v>0</x:v>
      </x:c>
      <x:c r="H256" s="640">
        <x:f t="shared" si="7"/>
        <x:v>0</x:v>
      </x:c>
      <x:c r="I256" s="640">
        <x:f t="shared" si="7"/>
        <x:v>0</x:v>
      </x:c>
      <x:c r="J256" s="640">
        <x:f t="shared" si="7"/>
        <x:v>0</x:v>
      </x:c>
      <x:c r="K256" s="640">
        <x:f t="shared" si="7"/>
        <x:v>0</x:v>
      </x:c>
      <x:c r="L256" s="640">
        <x:f t="shared" si="7"/>
        <x:v>0</x:v>
      </x:c>
      <x:c r="M256" s="640">
        <x:f t="shared" si="7"/>
        <x:v>0</x:v>
      </x:c>
      <x:c r="N256" s="640">
        <x:f t="shared" si="7"/>
        <x:v>0</x:v>
      </x:c>
      <x:c r="O256" s="640">
        <x:f t="shared" si="7"/>
        <x:v>0</x:v>
      </x:c>
      <x:c r="P256" s="640">
        <x:f t="shared" si="7"/>
        <x:v>0</x:v>
      </x:c>
      <x:c r="Q256" s="640">
        <x:f t="shared" si="7"/>
        <x:v>0</x:v>
      </x:c>
      <x:c r="R256" s="640">
        <x:f t="shared" si="7"/>
        <x:v>0</x:v>
      </x:c>
      <x:c r="Z256" s="624"/>
    </x:row>
    <x:row r="257" spans="1:26" x14ac:dyDescent="0.2">
      <x:c r="B257" s="770"/>
      <x:c r="C257" s="768"/>
      <x:c r="D257" s="639" t="s">
        <x:v>73</x:v>
      </x:c>
      <x:c r="E257" s="640">
        <x:f>E187</x:f>
        <x:v>0</x:v>
      </x:c>
      <x:c r="F257" s="627"/>
      <x:c r="G257" s="627"/>
      <x:c r="H257" s="627"/>
      <x:c r="I257" s="627"/>
      <x:c r="J257" s="627"/>
      <x:c r="K257" s="627"/>
      <x:c r="L257" s="627"/>
      <x:c r="M257" s="627"/>
      <x:c r="N257" s="627"/>
      <x:c r="O257" s="627"/>
      <x:c r="P257" s="627"/>
      <x:c r="Q257" s="627"/>
      <x:c r="R257" s="627"/>
      <x:c r="Z257" s="624"/>
    </x:row>
    <x:row r="258" spans="1:26" ht="15" x14ac:dyDescent="0.25">
      <x:c r="A258" s="625"/>
      <x:c r="B258" s="50"/>
      <x:c r="E258" s="627"/>
      <x:c r="F258" s="627"/>
      <x:c r="G258" s="627"/>
      <x:c r="H258" s="627"/>
      <x:c r="I258" s="627"/>
      <x:c r="J258" s="627"/>
      <x:c r="K258" s="627"/>
      <x:c r="L258" s="627"/>
      <x:c r="M258" s="627"/>
      <x:c r="N258" s="627"/>
      <x:c r="O258" s="627"/>
      <x:c r="P258" s="627"/>
      <x:c r="Q258" s="627"/>
      <x:c r="R258" s="627"/>
      <x:c r="Z258" s="624"/>
    </x:row>
    <x:row r="259" spans="1:26" x14ac:dyDescent="0.2">
      <x:c r="B259" s="770" t="s">
        <x:v>160</x:v>
      </x:c>
      <x:c r="C259" s="768" t="s">
        <x:v>132</x:v>
      </x:c>
      <x:c r="D259" s="647" t="s">
        <x:v>70</x:v>
      </x:c>
      <x:c r="E259" s="648">
        <x:v>0</x:v>
      </x:c>
      <x:c r="F259" s="648">
        <x:v>0</x:v>
      </x:c>
      <x:c r="G259" s="648">
        <x:v>0</x:v>
      </x:c>
      <x:c r="H259" s="648">
        <x:v>0</x:v>
      </x:c>
      <x:c r="I259" s="648">
        <x:v>0</x:v>
      </x:c>
      <x:c r="J259" s="648">
        <x:v>0</x:v>
      </x:c>
      <x:c r="K259" s="648">
        <x:v>0</x:v>
      </x:c>
      <x:c r="L259" s="648">
        <x:v>0</x:v>
      </x:c>
      <x:c r="M259" s="648">
        <x:v>0</x:v>
      </x:c>
      <x:c r="N259" s="648">
        <x:v>0</x:v>
      </x:c>
      <x:c r="O259" s="648">
        <x:v>0</x:v>
      </x:c>
      <x:c r="P259" s="648">
        <x:v>0</x:v>
      </x:c>
      <x:c r="Q259" s="648">
        <x:v>0</x:v>
      </x:c>
      <x:c r="R259" s="648">
        <x:v>0</x:v>
      </x:c>
      <x:c r="Z259" s="624"/>
    </x:row>
    <x:row r="260" spans="1:26" x14ac:dyDescent="0.2">
      <x:c r="B260" s="770"/>
      <x:c r="C260" s="768"/>
      <x:c r="D260" s="647" t="s">
        <x:v>73</x:v>
      </x:c>
      <x:c r="E260" s="648">
        <x:v>0</x:v>
      </x:c>
      <x:c r="F260" s="627"/>
      <x:c r="G260" s="627"/>
      <x:c r="H260" s="627"/>
      <x:c r="I260" s="627"/>
      <x:c r="J260" s="627"/>
      <x:c r="K260" s="627"/>
      <x:c r="L260" s="627"/>
      <x:c r="M260" s="627"/>
      <x:c r="N260" s="627"/>
      <x:c r="O260" s="627"/>
      <x:c r="P260" s="627"/>
      <x:c r="Q260" s="627"/>
      <x:c r="R260" s="627"/>
      <x:c r="Z260" s="624"/>
    </x:row>
    <x:row r="261" spans="1:26" ht="15" x14ac:dyDescent="0.25">
      <x:c r="A261" s="625"/>
      <x:c r="B261" s="50"/>
      <x:c r="E261" s="627"/>
      <x:c r="F261" s="627"/>
      <x:c r="G261" s="627"/>
      <x:c r="H261" s="627"/>
      <x:c r="I261" s="627"/>
      <x:c r="J261" s="627"/>
      <x:c r="K261" s="627"/>
      <x:c r="L261" s="627"/>
      <x:c r="M261" s="627"/>
      <x:c r="N261" s="627"/>
      <x:c r="O261" s="627"/>
      <x:c r="P261" s="627"/>
      <x:c r="Q261" s="627"/>
      <x:c r="R261" s="627"/>
      <x:c r="Z261" s="624"/>
    </x:row>
    <x:row r="262" spans="1:26" x14ac:dyDescent="0.2">
      <x:c r="B262" s="770" t="s">
        <x:v>155</x:v>
      </x:c>
      <x:c r="C262" s="768" t="s">
        <x:v>132</x:v>
      </x:c>
      <x:c r="D262" s="651" t="s">
        <x:v>70</x:v>
      </x:c>
      <x:c r="E262" s="652">
        <x:f>E179+E165+E161-K165-K161</x:f>
        <x:v>0</x:v>
      </x:c>
      <x:c r="F262" s="652">
        <x:f>F161+F165</x:f>
        <x:v>0</x:v>
      </x:c>
      <x:c r="G262" s="652">
        <x:f t="shared" ref="G262:R262" si="8">G161+G165</x:f>
        <x:v>0</x:v>
      </x:c>
      <x:c r="H262" s="652">
        <x:f t="shared" si="8"/>
        <x:v>0</x:v>
      </x:c>
      <x:c r="I262" s="652">
        <x:f t="shared" si="8"/>
        <x:v>0</x:v>
      </x:c>
      <x:c r="J262" s="652">
        <x:f t="shared" si="8"/>
        <x:v>0</x:v>
      </x:c>
      <x:c r="K262" s="652">
        <x:f t="shared" si="8"/>
        <x:v>0</x:v>
      </x:c>
      <x:c r="L262" s="652">
        <x:f t="shared" si="8"/>
        <x:v>0</x:v>
      </x:c>
      <x:c r="M262" s="652">
        <x:f t="shared" si="8"/>
        <x:v>0</x:v>
      </x:c>
      <x:c r="N262" s="652">
        <x:f t="shared" si="8"/>
        <x:v>0</x:v>
      </x:c>
      <x:c r="O262" s="652">
        <x:f t="shared" si="8"/>
        <x:v>0</x:v>
      </x:c>
      <x:c r="P262" s="652">
        <x:f t="shared" si="8"/>
        <x:v>0</x:v>
      </x:c>
      <x:c r="Q262" s="652">
        <x:f t="shared" si="8"/>
        <x:v>0</x:v>
      </x:c>
      <x:c r="R262" s="652">
        <x:f t="shared" si="8"/>
        <x:v>0</x:v>
      </x:c>
      <x:c r="Z262" s="624"/>
    </x:row>
    <x:row r="263" spans="1:26" x14ac:dyDescent="0.2">
      <x:c r="B263" s="770"/>
      <x:c r="C263" s="768"/>
      <x:c r="D263" s="651" t="s">
        <x:v>73</x:v>
      </x:c>
      <x:c r="E263" s="652">
        <x:f>E179</x:f>
        <x:v>0</x:v>
      </x:c>
      <x:c r="F263" s="627"/>
      <x:c r="G263" s="627"/>
      <x:c r="H263" s="627"/>
      <x:c r="I263" s="627"/>
      <x:c r="J263" s="627"/>
      <x:c r="K263" s="627"/>
      <x:c r="L263" s="627"/>
      <x:c r="M263" s="627"/>
      <x:c r="N263" s="627"/>
      <x:c r="O263" s="627"/>
      <x:c r="P263" s="627"/>
      <x:c r="Q263" s="627"/>
      <x:c r="R263" s="627"/>
      <x:c r="Z263" s="624"/>
    </x:row>
    <x:row r="264" spans="1:26" ht="15" x14ac:dyDescent="0.2">
      <x:c r="B264" s="643"/>
      <x:c r="C264" s="644"/>
      <x:c r="D264" s="625"/>
      <x:c r="E264" s="627"/>
      <x:c r="F264" s="627"/>
      <x:c r="G264" s="627"/>
      <x:c r="H264" s="627"/>
      <x:c r="I264" s="627"/>
      <x:c r="J264" s="627"/>
      <x:c r="K264" s="627"/>
      <x:c r="L264" s="627"/>
      <x:c r="M264" s="627"/>
      <x:c r="N264" s="627"/>
      <x:c r="O264" s="627"/>
      <x:c r="P264" s="627"/>
      <x:c r="Q264" s="627"/>
      <x:c r="R264" s="627"/>
      <x:c r="Z264" s="624"/>
    </x:row>
    <x:row r="265" spans="1:26" x14ac:dyDescent="0.2">
      <x:c r="B265" s="771" t="s">
        <x:v>326</x:v>
      </x:c>
      <x:c r="C265" s="768" t="s">
        <x:v>132</x:v>
      </x:c>
      <x:c r="D265" s="654" t="s">
        <x:v>70</x:v>
      </x:c>
      <x:c r="E265" s="655">
        <x:v>0</x:v>
      </x:c>
      <x:c r="F265" s="655">
        <x:v>0</x:v>
      </x:c>
      <x:c r="G265" s="655">
        <x:v>0</x:v>
      </x:c>
      <x:c r="H265" s="655">
        <x:v>0</x:v>
      </x:c>
      <x:c r="I265" s="655">
        <x:v>0</x:v>
      </x:c>
      <x:c r="J265" s="655">
        <x:v>0</x:v>
      </x:c>
      <x:c r="K265" s="655">
        <x:v>0</x:v>
      </x:c>
      <x:c r="L265" s="655">
        <x:v>0</x:v>
      </x:c>
      <x:c r="M265" s="655">
        <x:v>0</x:v>
      </x:c>
      <x:c r="N265" s="655">
        <x:v>0</x:v>
      </x:c>
      <x:c r="O265" s="655">
        <x:v>0</x:v>
      </x:c>
      <x:c r="P265" s="655">
        <x:v>0</x:v>
      </x:c>
      <x:c r="Q265" s="655">
        <x:v>0</x:v>
      </x:c>
      <x:c r="R265" s="655">
        <x:v>0</x:v>
      </x:c>
      <x:c r="Z265" s="624"/>
    </x:row>
    <x:row r="266" spans="1:26" x14ac:dyDescent="0.2">
      <x:c r="B266" s="771"/>
      <x:c r="C266" s="768"/>
      <x:c r="D266" s="654" t="s">
        <x:v>73</x:v>
      </x:c>
      <x:c r="E266" s="655">
        <x:v>0</x:v>
      </x:c>
      <x:c r="F266" s="627"/>
      <x:c r="G266" s="627"/>
      <x:c r="H266" s="627"/>
      <x:c r="I266" s="627"/>
      <x:c r="J266" s="627"/>
      <x:c r="K266" s="627"/>
      <x:c r="L266" s="627"/>
      <x:c r="M266" s="627"/>
      <x:c r="N266" s="627"/>
      <x:c r="O266" s="627"/>
      <x:c r="P266" s="627"/>
      <x:c r="Q266" s="627"/>
      <x:c r="R266" s="627"/>
      <x:c r="Z266" s="624"/>
    </x:row>
    <x:row r="267" spans="1:26" ht="15" x14ac:dyDescent="0.2">
      <x:c r="B267" s="643"/>
      <x:c r="C267" s="644"/>
      <x:c r="D267" s="625"/>
      <x:c r="E267" s="627"/>
      <x:c r="F267" s="627"/>
      <x:c r="G267" s="627"/>
      <x:c r="H267" s="627"/>
      <x:c r="I267" s="627"/>
      <x:c r="J267" s="627"/>
      <x:c r="K267" s="627"/>
      <x:c r="L267" s="627"/>
      <x:c r="M267" s="627"/>
      <x:c r="N267" s="627"/>
      <x:c r="O267" s="627"/>
      <x:c r="P267" s="627"/>
      <x:c r="Q267" s="627"/>
      <x:c r="R267" s="627"/>
      <x:c r="Z267" s="624"/>
    </x:row>
    <x:row r="268" spans="1:26" x14ac:dyDescent="0.2">
      <x:c r="B268" s="770" t="s">
        <x:v>119</x:v>
      </x:c>
      <x:c r="C268" s="768" t="s">
        <x:v>132</x:v>
      </x:c>
      <x:c r="D268" s="632" t="s">
        <x:v>70</x:v>
      </x:c>
      <x:c r="E268" s="633">
        <x:f>E175+E186-K175</x:f>
        <x:v>0</x:v>
      </x:c>
      <x:c r="F268" s="633">
        <x:f>F175</x:f>
        <x:v>0</x:v>
      </x:c>
      <x:c r="G268" s="633">
        <x:f t="shared" ref="G268:R268" si="9">G175</x:f>
        <x:v>0</x:v>
      </x:c>
      <x:c r="H268" s="633">
        <x:f t="shared" si="9"/>
        <x:v>0</x:v>
      </x:c>
      <x:c r="I268" s="633">
        <x:f t="shared" si="9"/>
        <x:v>0</x:v>
      </x:c>
      <x:c r="J268" s="633">
        <x:f t="shared" si="9"/>
        <x:v>0</x:v>
      </x:c>
      <x:c r="K268" s="633">
        <x:f t="shared" si="9"/>
        <x:v>0</x:v>
      </x:c>
      <x:c r="L268" s="633">
        <x:f t="shared" si="9"/>
        <x:v>0</x:v>
      </x:c>
      <x:c r="M268" s="633">
        <x:f t="shared" si="9"/>
        <x:v>0</x:v>
      </x:c>
      <x:c r="N268" s="633">
        <x:f t="shared" si="9"/>
        <x:v>0</x:v>
      </x:c>
      <x:c r="O268" s="633">
        <x:f t="shared" si="9"/>
        <x:v>0</x:v>
      </x:c>
      <x:c r="P268" s="633">
        <x:f t="shared" si="9"/>
        <x:v>0</x:v>
      </x:c>
      <x:c r="Q268" s="633">
        <x:f t="shared" si="9"/>
        <x:v>0</x:v>
      </x:c>
      <x:c r="R268" s="633">
        <x:f t="shared" si="9"/>
        <x:v>0</x:v>
      </x:c>
      <x:c r="Z268" s="624"/>
    </x:row>
    <x:row r="269" spans="1:26" x14ac:dyDescent="0.2">
      <x:c r="B269" s="770"/>
      <x:c r="C269" s="768"/>
      <x:c r="D269" s="632" t="s">
        <x:v>73</x:v>
      </x:c>
      <x:c r="E269" s="633">
        <x:f>E186</x:f>
        <x:v>0</x:v>
      </x:c>
      <x:c r="F269" s="627"/>
      <x:c r="G269" s="627"/>
      <x:c r="H269" s="627"/>
      <x:c r="I269" s="627"/>
      <x:c r="J269" s="627"/>
      <x:c r="K269" s="627"/>
      <x:c r="L269" s="627"/>
      <x:c r="M269" s="627"/>
      <x:c r="N269" s="627"/>
      <x:c r="O269" s="627"/>
      <x:c r="P269" s="627"/>
      <x:c r="Q269" s="627"/>
      <x:c r="R269" s="627"/>
      <x:c r="Z269" s="624"/>
    </x:row>
    <x:row r="270" spans="1:26" ht="15" x14ac:dyDescent="0.25">
      <x:c r="A270" s="625"/>
      <x:c r="B270" s="50"/>
      <x:c r="E270" s="627"/>
      <x:c r="F270" s="627"/>
      <x:c r="G270" s="627"/>
      <x:c r="H270" s="627"/>
      <x:c r="I270" s="627"/>
      <x:c r="J270" s="627"/>
      <x:c r="K270" s="627"/>
      <x:c r="L270" s="627"/>
      <x:c r="M270" s="627"/>
      <x:c r="N270" s="627"/>
      <x:c r="O270" s="627"/>
      <x:c r="P270" s="627"/>
      <x:c r="Q270" s="627"/>
      <x:c r="R270" s="627"/>
      <x:c r="Z270" s="624"/>
    </x:row>
    <x:row r="271" spans="1:26" x14ac:dyDescent="0.2">
      <x:c r="B271" s="769" t="s">
        <x:v>161</x:v>
      </x:c>
      <x:c r="C271" s="768" t="s">
        <x:v>132</x:v>
      </x:c>
      <x:c r="D271" s="661" t="s">
        <x:v>70</x:v>
      </x:c>
      <x:c r="E271" s="662">
        <x:v>0</x:v>
      </x:c>
      <x:c r="F271" s="662">
        <x:v>0</x:v>
      </x:c>
      <x:c r="G271" s="662">
        <x:v>0</x:v>
      </x:c>
      <x:c r="H271" s="662">
        <x:v>0</x:v>
      </x:c>
      <x:c r="I271" s="662">
        <x:v>0</x:v>
      </x:c>
      <x:c r="J271" s="662">
        <x:v>0</x:v>
      </x:c>
      <x:c r="K271" s="662">
        <x:v>0</x:v>
      </x:c>
      <x:c r="L271" s="662">
        <x:v>0</x:v>
      </x:c>
      <x:c r="M271" s="662">
        <x:v>0</x:v>
      </x:c>
      <x:c r="N271" s="662">
        <x:v>0</x:v>
      </x:c>
      <x:c r="O271" s="662">
        <x:v>0</x:v>
      </x:c>
      <x:c r="P271" s="662">
        <x:v>0</x:v>
      </x:c>
      <x:c r="Q271" s="662">
        <x:v>0</x:v>
      </x:c>
      <x:c r="R271" s="662">
        <x:v>0</x:v>
      </x:c>
      <x:c r="Z271" s="624"/>
    </x:row>
    <x:row r="272" spans="1:26" x14ac:dyDescent="0.2">
      <x:c r="B272" s="769"/>
      <x:c r="C272" s="768"/>
      <x:c r="D272" s="661" t="s">
        <x:v>73</x:v>
      </x:c>
      <x:c r="E272" s="662">
        <x:v>0</x:v>
      </x:c>
      <x:c r="F272" s="627"/>
      <x:c r="G272" s="627"/>
      <x:c r="H272" s="627"/>
      <x:c r="I272" s="627"/>
      <x:c r="J272" s="627"/>
      <x:c r="K272" s="627"/>
      <x:c r="L272" s="627"/>
      <x:c r="M272" s="627"/>
      <x:c r="N272" s="627"/>
      <x:c r="O272" s="627"/>
      <x:c r="P272" s="627"/>
      <x:c r="Q272" s="627"/>
      <x:c r="R272" s="627"/>
      <x:c r="Z272" s="624"/>
    </x:row>
    <x:row r="273" spans="1:26" x14ac:dyDescent="0.2">
      <x:c r="A273" s="624"/>
      <x:c r="B273" s="624"/>
      <x:c r="C273" s="624"/>
      <x:c r="D273" s="624"/>
      <x:c r="E273" s="624"/>
      <x:c r="F273" s="624"/>
      <x:c r="G273" s="624"/>
      <x:c r="H273" s="624"/>
      <x:c r="I273" s="624"/>
      <x:c r="J273" s="624"/>
      <x:c r="K273" s="624"/>
      <x:c r="L273" s="624"/>
      <x:c r="M273" s="624"/>
      <x:c r="N273" s="624"/>
      <x:c r="O273" s="624"/>
      <x:c r="P273" s="624"/>
      <x:c r="Q273" s="624"/>
      <x:c r="R273" s="624"/>
      <x:c r="S273" s="624"/>
      <x:c r="T273" s="624"/>
      <x:c r="U273" s="624"/>
      <x:c r="V273" s="624"/>
      <x:c r="W273" s="624"/>
      <x:c r="X273" s="624"/>
      <x:c r="Y273" s="624"/>
      <x:c r="Z273" s="624"/>
    </x:row>
    <x:row r="274" spans="1:26" ht="15" x14ac:dyDescent="0.25">
      <x:c r="B274" s="676" t="s">
        <x:v>88</x:v>
      </x:c>
      <x:c r="Z274" s="624"/>
    </x:row>
    <x:row r="275" spans="1:26" s="50" customFormat="1" ht="15" x14ac:dyDescent="0.25">
      <x:c r="E275" s="669" t="s">
        <x:v>70</x:v>
      </x:c>
      <x:c r="F275" s="669" t="s">
        <x:v>64</x:v>
      </x:c>
      <x:c r="G275" s="669" t="s">
        <x:v>65</x:v>
      </x:c>
      <x:c r="H275" s="674" t="s">
        <x:v>164</x:v>
      </x:c>
      <x:c r="I275" s="669" t="s">
        <x:v>69</x:v>
      </x:c>
      <x:c r="J275" s="669" t="s">
        <x:v>68</x:v>
      </x:c>
      <x:c r="K275" s="669" t="s">
        <x:v>83</x:v>
      </x:c>
      <x:c r="L275" s="669" t="s">
        <x:v>66</x:v>
      </x:c>
      <x:c r="M275" s="669" t="s">
        <x:v>63</x:v>
      </x:c>
      <x:c r="N275" s="669" t="s">
        <x:v>61</x:v>
      </x:c>
      <x:c r="O275" s="669" t="s">
        <x:v>62</x:v>
      </x:c>
      <x:c r="P275" s="669" t="s">
        <x:v>67</x:v>
      </x:c>
      <x:c r="Q275" s="669" t="s">
        <x:v>84</x:v>
      </x:c>
      <x:c r="R275" s="669" t="s">
        <x:v>226</x:v>
      </x:c>
      <x:c r="Z275" s="618"/>
    </x:row>
    <x:row r="276" spans="1:26" x14ac:dyDescent="0.2">
      <x:c r="D276" s="25" t="s">
        <x:v>72</x:v>
      </x:c>
      <x:c r="E276" s="627" t="n">
        <x:v>76457865.81</x:v>
      </x:c>
      <x:c r="F276" s="627" t="n">
        <x:v>3641666.89</x:v>
      </x:c>
      <x:c r="G276" s="627" t="n">
        <x:v>2133608.73</x:v>
      </x:c>
      <x:c r="H276" s="627" t="n">
        <x:v>921850.4</x:v>
      </x:c>
      <x:c r="I276" s="627" t="n">
        <x:v>19097451.01</x:v>
      </x:c>
      <x:c r="J276" s="627" t="n">
        <x:v>695259.51</x:v>
      </x:c>
      <x:c r="K276" s="627" t="n">
        <x:v>0</x:v>
      </x:c>
      <x:c r="L276" s="627" t="n">
        <x:v>6005916.76</x:v>
      </x:c>
      <x:c r="M276" s="627" t="n">
        <x:v>5940381.52</x:v>
      </x:c>
      <x:c r="N276" s="627" t="n">
        <x:v>26946237.78</x:v>
      </x:c>
      <x:c r="O276" s="627" t="n">
        <x:v>9968241.84</x:v>
      </x:c>
      <x:c r="P276" s="627" t="n">
        <x:v>1107336.69</x:v>
      </x:c>
      <x:c r="Q276" s="627" t="n">
        <x:v>-85.32</x:v>
      </x:c>
      <x:c r="R276" s="627" t="n">
        <x:v>0</x:v>
      </x:c>
      <x:c r="Z276" s="624"/>
    </x:row>
    <x:row r="277" spans="1:26" x14ac:dyDescent="0.2">
      <x:c r="D277" s="25" t="s">
        <x:v>81</x:v>
      </x:c>
      <x:c r="E277" s="627" t="n">
        <x:v>-546491.49</x:v>
      </x:c>
      <x:c r="F277" s="627" t="n">
        <x:v>1918.82</x:v>
      </x:c>
      <x:c r="G277" s="627" t="n">
        <x:v>919.78</x:v>
      </x:c>
      <x:c r="H277" s="627" t="n">
        <x:v>476.91</x:v>
      </x:c>
      <x:c r="I277" s="627" t="n">
        <x:v>3849.93</x:v>
      </x:c>
      <x:c r="J277" s="627" t="n">
        <x:v>129.94</x:v>
      </x:c>
      <x:c r="K277" s="627" t="n">
        <x:v>0</x:v>
      </x:c>
      <x:c r="L277" s="627" t="n">
        <x:v>1057.79</x:v>
      </x:c>
      <x:c r="M277" s="627" t="n">
        <x:v>1241.12</x:v>
      </x:c>
      <x:c r="N277" s="627" t="n">
        <x:v>-561414.15</x:v>
      </x:c>
      <x:c r="O277" s="627" t="n">
        <x:v>5114.92</x:v>
      </x:c>
      <x:c r="P277" s="627" t="n">
        <x:v>213.4</x:v>
      </x:c>
      <x:c r="Q277" s="627" t="n">
        <x:v>0.05</x:v>
      </x:c>
      <x:c r="R277" s="627" t="n">
        <x:v>0</x:v>
      </x:c>
      <x:c r="Z277" s="624"/>
    </x:row>
    <x:row r="278" spans="1:26" x14ac:dyDescent="0.2">
      <x:c r="C278" s="25" t="s">
        <x:v>156</x:v>
      </x:c>
      <x:c r="D278" s="25" t="s">
        <x:v>70</x:v>
      </x:c>
      <x:c r="E278" s="627" t="n">
        <x:v>75911374.32</x:v>
      </x:c>
      <x:c r="F278" s="627" t="n">
        <x:v>3643585.71</x:v>
      </x:c>
      <x:c r="G278" s="627" t="n">
        <x:v>2134528.51</x:v>
      </x:c>
      <x:c r="H278" s="627" t="n">
        <x:v>922327.31</x:v>
      </x:c>
      <x:c r="I278" s="627" t="n">
        <x:v>19101300.94</x:v>
      </x:c>
      <x:c r="J278" s="627" t="n">
        <x:v>695389.45</x:v>
      </x:c>
      <x:c r="K278" s="627" t="n">
        <x:v>0</x:v>
      </x:c>
      <x:c r="L278" s="627" t="n">
        <x:v>6006974.55</x:v>
      </x:c>
      <x:c r="M278" s="627" t="n">
        <x:v>5941622.64</x:v>
      </x:c>
      <x:c r="N278" s="627" t="n">
        <x:v>26384823.63</x:v>
      </x:c>
      <x:c r="O278" s="627" t="n">
        <x:v>9973356.76</x:v>
      </x:c>
      <x:c r="P278" s="627" t="n">
        <x:v>1107550.09</x:v>
      </x:c>
      <x:c r="Q278" s="627" t="n">
        <x:v>-85.27</x:v>
      </x:c>
      <x:c r="R278" s="653" t="n">
        <x:v>0</x:v>
      </x:c>
      <x:c r="Z278" s="624"/>
    </x:row>
    <x:row r="279" spans="1:26" x14ac:dyDescent="0.2">
      <x:c r="A279" s="628"/>
      <x:c r="B279" s="628" t="s">
        <x:v>155</x:v>
      </x:c>
      <x:c r="C279" s="628" t="s">
        <x:v>70</x:v>
      </x:c>
      <x:c r="D279" s="628"/>
      <x:c r="E279" s="677" t="n">
        <x:v>75911374.32</x:v>
      </x:c>
      <x:c r="F279" s="677" t="n">
        <x:v>3643585.71</x:v>
      </x:c>
      <x:c r="G279" s="677" t="n">
        <x:v>2134528.51</x:v>
      </x:c>
      <x:c r="H279" s="677" t="n">
        <x:v>922327.31</x:v>
      </x:c>
      <x:c r="I279" s="677" t="n">
        <x:v>19101300.94</x:v>
      </x:c>
      <x:c r="J279" s="677" t="n">
        <x:v>695389.45</x:v>
      </x:c>
      <x:c r="K279" s="677" t="n">
        <x:v>0</x:v>
      </x:c>
      <x:c r="L279" s="677" t="n">
        <x:v>6006974.55</x:v>
      </x:c>
      <x:c r="M279" s="677" t="n">
        <x:v>5941622.64</x:v>
      </x:c>
      <x:c r="N279" s="677" t="n">
        <x:v>26384823.63</x:v>
      </x:c>
      <x:c r="O279" s="677" t="n">
        <x:v>9973356.76</x:v>
      </x:c>
      <x:c r="P279" s="677" t="n">
        <x:v>1107550.09</x:v>
      </x:c>
      <x:c r="Q279" s="677" t="n">
        <x:v>-85.27</x:v>
      </x:c>
      <x:c r="R279" s="677" t="n">
        <x:v>0</x:v>
      </x:c>
      <x:c r="S279" s="628"/>
      <x:c r="T279" s="628"/>
      <x:c r="U279" s="628"/>
      <x:c r="V279" s="628"/>
      <x:c r="W279" s="628"/>
      <x:c r="X279" s="628"/>
      <x:c r="Y279" s="628"/>
      <x:c r="Z279" s="624"/>
    </x:row>
    <x:row r="280" spans="1:26" x14ac:dyDescent="0.2">
      <x:c r="D280" s="25" t="s">
        <x:v>72</x:v>
      </x:c>
      <x:c r="E280" s="627" t="n">
        <x:v>18002757.07</x:v>
      </x:c>
      <x:c r="F280" s="627" t="n">
        <x:v>1980153.06</x:v>
      </x:c>
      <x:c r="G280" s="627" t="n">
        <x:v>1079854.53</x:v>
      </x:c>
      <x:c r="H280" s="627" t="n">
        <x:v>147100.27</x:v>
      </x:c>
      <x:c r="I280" s="627" t="n">
        <x:v>3091993.19</x:v>
      </x:c>
      <x:c r="J280" s="627" t="n">
        <x:v>84501.79</x:v>
      </x:c>
      <x:c r="K280" s="627" t="n">
        <x:v>0</x:v>
      </x:c>
      <x:c r="L280" s="627" t="n">
        <x:v>825464.85</x:v>
      </x:c>
      <x:c r="M280" s="627" t="n">
        <x:v>929998.07</x:v>
      </x:c>
      <x:c r="N280" s="627" t="n">
        <x:v>4347249.14</x:v>
      </x:c>
      <x:c r="O280" s="627" t="n">
        <x:v>5394420.52</x:v>
      </x:c>
      <x:c r="P280" s="627" t="n">
        <x:v>121980.8</x:v>
      </x:c>
      <x:c r="Q280" s="627" t="n">
        <x:v>40.85</x:v>
      </x:c>
      <x:c r="R280" s="653" t="n">
        <x:v>0</x:v>
      </x:c>
      <x:c r="Z280" s="624"/>
    </x:row>
    <x:row r="281" spans="1:26" x14ac:dyDescent="0.2">
      <x:c r="D281" s="25" t="s">
        <x:v>81</x:v>
      </x:c>
      <x:c r="E281" s="627" t="n">
        <x:v>-51796.34</x:v>
      </x:c>
      <x:c r="F281" s="627" t="n">
        <x:v>3.25</x:v>
      </x:c>
      <x:c r="G281" s="627" t="n">
        <x:v>1.82</x:v>
      </x:c>
      <x:c r="H281" s="627" t="n">
        <x:v>1.49</x:v>
      </x:c>
      <x:c r="I281" s="627" t="n">
        <x:v>15.8</x:v>
      </x:c>
      <x:c r="J281" s="627" t="n">
        <x:v>0.87</x:v>
      </x:c>
      <x:c r="K281" s="627" t="n">
        <x:v>0</x:v>
      </x:c>
      <x:c r="L281" s="627" t="n">
        <x:v>4.9</x:v>
      </x:c>
      <x:c r="M281" s="627" t="n">
        <x:v>4.89</x:v>
      </x:c>
      <x:c r="N281" s="627" t="n">
        <x:v>-51839.46</x:v>
      </x:c>
      <x:c r="O281" s="627" t="n">
        <x:v>8.66</x:v>
      </x:c>
      <x:c r="P281" s="627" t="n">
        <x:v>1.44</x:v>
      </x:c>
      <x:c r="Q281" s="627" t="n">
        <x:v>0</x:v>
      </x:c>
      <x:c r="R281" s="653" t="n">
        <x:v>0</x:v>
      </x:c>
      <x:c r="Z281" s="624"/>
    </x:row>
    <x:row r="282" spans="1:26" x14ac:dyDescent="0.2">
      <x:c r="C282" s="25" t="s">
        <x:v>115</x:v>
      </x:c>
      <x:c r="D282" s="25" t="s">
        <x:v>70</x:v>
      </x:c>
      <x:c r="E282" s="627" t="n">
        <x:v>17950960.73</x:v>
      </x:c>
      <x:c r="F282" s="627" t="n">
        <x:v>1980156.31</x:v>
      </x:c>
      <x:c r="G282" s="627" t="n">
        <x:v>1079856.35</x:v>
      </x:c>
      <x:c r="H282" s="627" t="n">
        <x:v>147101.76</x:v>
      </x:c>
      <x:c r="I282" s="627" t="n">
        <x:v>3092008.99</x:v>
      </x:c>
      <x:c r="J282" s="627" t="n">
        <x:v>84502.66</x:v>
      </x:c>
      <x:c r="K282" s="627" t="n">
        <x:v>0</x:v>
      </x:c>
      <x:c r="L282" s="627" t="n">
        <x:v>825469.75</x:v>
      </x:c>
      <x:c r="M282" s="627" t="n">
        <x:v>930002.96</x:v>
      </x:c>
      <x:c r="N282" s="627" t="n">
        <x:v>4295409.68</x:v>
      </x:c>
      <x:c r="O282" s="627" t="n">
        <x:v>5394429.18</x:v>
      </x:c>
      <x:c r="P282" s="627" t="n">
        <x:v>121982.24</x:v>
      </x:c>
      <x:c r="Q282" s="627" t="n">
        <x:v>40.85</x:v>
      </x:c>
      <x:c r="R282" s="653" t="n">
        <x:v>0</x:v>
      </x:c>
      <x:c r="Z282" s="624"/>
    </x:row>
    <x:row r="283" spans="1:26" x14ac:dyDescent="0.2">
      <x:c r="D283" s="25" t="s">
        <x:v>72</x:v>
      </x:c>
      <x:c r="E283" s="627" t="n">
        <x:v>6669914.11</x:v>
      </x:c>
      <x:c r="F283" s="627" t="n">
        <x:v>1324974.27</x:v>
      </x:c>
      <x:c r="G283" s="627" t="n">
        <x:v>751701.9</x:v>
      </x:c>
      <x:c r="H283" s="627" t="n">
        <x:v>74006.93</x:v>
      </x:c>
      <x:c r="I283" s="627" t="n">
        <x:v>332831.09</x:v>
      </x:c>
      <x:c r="J283" s="627" t="n">
        <x:v>10219.22</x:v>
      </x:c>
      <x:c r="K283" s="627" t="n">
        <x:v>0</x:v>
      </x:c>
      <x:c r="L283" s="627" t="n">
        <x:v>73839.36</x:v>
      </x:c>
      <x:c r="M283" s="627" t="n">
        <x:v>81220.13</x:v>
      </x:c>
      <x:c r="N283" s="627" t="n">
        <x:v>435049.09</x:v>
      </x:c>
      <x:c r="O283" s="627" t="n">
        <x:v>3571186.75</x:v>
      </x:c>
      <x:c r="P283" s="627" t="n">
        <x:v>14889.6</x:v>
      </x:c>
      <x:c r="Q283" s="627" t="n">
        <x:v>-4.23</x:v>
      </x:c>
      <x:c r="R283" s="653" t="n">
        <x:v>0</x:v>
      </x:c>
      <x:c r="Z283" s="624"/>
    </x:row>
    <x:row r="284" spans="1:26" x14ac:dyDescent="0.2">
      <x:c r="D284" s="25" t="s">
        <x:v>81</x:v>
      </x:c>
      <x:c r="E284" s="627" t="n">
        <x:v>-8785.59</x:v>
      </x:c>
      <x:c r="F284" s="627" t="n">
        <x:v>0</x:v>
      </x:c>
      <x:c r="G284" s="627" t="n">
        <x:v>0</x:v>
      </x:c>
      <x:c r="H284" s="627" t="n">
        <x:v>0</x:v>
      </x:c>
      <x:c r="I284" s="627" t="n">
        <x:v>0</x:v>
      </x:c>
      <x:c r="J284" s="627" t="n">
        <x:v>0</x:v>
      </x:c>
      <x:c r="K284" s="627" t="n">
        <x:v>0</x:v>
      </x:c>
      <x:c r="L284" s="627" t="n">
        <x:v>0</x:v>
      </x:c>
      <x:c r="M284" s="627" t="n">
        <x:v>0</x:v>
      </x:c>
      <x:c r="N284" s="627" t="n">
        <x:v>-8785.59</x:v>
      </x:c>
      <x:c r="O284" s="627" t="n">
        <x:v>0</x:v>
      </x:c>
      <x:c r="P284" s="627" t="n">
        <x:v>0</x:v>
      </x:c>
      <x:c r="Q284" s="627" t="n">
        <x:v>0</x:v>
      </x:c>
      <x:c r="R284" s="653" t="n">
        <x:v>0</x:v>
      </x:c>
      <x:c r="Z284" s="624"/>
    </x:row>
    <x:row r="285" spans="1:26" x14ac:dyDescent="0.2">
      <x:c r="C285" s="25" t="s">
        <x:v>116</x:v>
      </x:c>
      <x:c r="D285" s="25" t="s">
        <x:v>70</x:v>
      </x:c>
      <x:c r="E285" s="627" t="n">
        <x:v>6661128.52</x:v>
      </x:c>
      <x:c r="F285" s="627" t="n">
        <x:v>1324974.27</x:v>
      </x:c>
      <x:c r="G285" s="627" t="n">
        <x:v>751701.9</x:v>
      </x:c>
      <x:c r="H285" s="627" t="n">
        <x:v>74006.93</x:v>
      </x:c>
      <x:c r="I285" s="627" t="n">
        <x:v>332831.09</x:v>
      </x:c>
      <x:c r="J285" s="627" t="n">
        <x:v>10219.22</x:v>
      </x:c>
      <x:c r="K285" s="627" t="n">
        <x:v>0</x:v>
      </x:c>
      <x:c r="L285" s="627" t="n">
        <x:v>73839.36</x:v>
      </x:c>
      <x:c r="M285" s="627" t="n">
        <x:v>81220.13</x:v>
      </x:c>
      <x:c r="N285" s="627" t="n">
        <x:v>426263.5</x:v>
      </x:c>
      <x:c r="O285" s="627" t="n">
        <x:v>3571186.75</x:v>
      </x:c>
      <x:c r="P285" s="627" t="n">
        <x:v>14889.6</x:v>
      </x:c>
      <x:c r="Q285" s="627" t="n">
        <x:v>-4.23</x:v>
      </x:c>
      <x:c r="R285" s="653" t="n">
        <x:v>0</x:v>
      </x:c>
      <x:c r="Z285" s="624"/>
    </x:row>
    <x:row r="286" spans="1:26" x14ac:dyDescent="0.2">
      <x:c r="D286" s="25" t="s">
        <x:v>72</x:v>
      </x:c>
      <x:c r="E286" s="627" t="n">
        <x:v>18793865.45</x:v>
      </x:c>
      <x:c r="F286" s="627" t="n">
        <x:v>1178975.76</x:v>
      </x:c>
      <x:c r="G286" s="627" t="n">
        <x:v>662155.76</x:v>
      </x:c>
      <x:c r="H286" s="627" t="n">
        <x:v>252823.43</x:v>
      </x:c>
      <x:c r="I286" s="627" t="n">
        <x:v>4498808.16</x:v>
      </x:c>
      <x:c r="J286" s="627" t="n">
        <x:v>134388.49</x:v>
      </x:c>
      <x:c r="K286" s="627" t="n">
        <x:v>0</x:v>
      </x:c>
      <x:c r="L286" s="627" t="n">
        <x:v>1287740.81</x:v>
      </x:c>
      <x:c r="M286" s="627" t="n">
        <x:v>1382529.63</x:v>
      </x:c>
      <x:c r="N286" s="627" t="n">
        <x:v>5942810.05</x:v>
      </x:c>
      <x:c r="O286" s="627" t="n">
        <x:v>3255861.06</x:v>
      </x:c>
      <x:c r="P286" s="627" t="n">
        <x:v>197723.5</x:v>
      </x:c>
      <x:c r="Q286" s="627" t="n">
        <x:v>48.8</x:v>
      </x:c>
      <x:c r="R286" s="653" t="n">
        <x:v>0</x:v>
      </x:c>
      <x:c r="Z286" s="624"/>
    </x:row>
    <x:row r="287" spans="1:26" x14ac:dyDescent="0.2">
      <x:c r="D287" s="25" t="s">
        <x:v>81</x:v>
      </x:c>
      <x:c r="E287" s="627" t="n">
        <x:v>-95398.53</x:v>
      </x:c>
      <x:c r="F287" s="627" t="n">
        <x:v>34.9</x:v>
      </x:c>
      <x:c r="G287" s="627" t="n">
        <x:v>18.75</x:v>
      </x:c>
      <x:c r="H287" s="627" t="n">
        <x:v>10.18</x:v>
      </x:c>
      <x:c r="I287" s="627" t="n">
        <x:v>106.03</x:v>
      </x:c>
      <x:c r="J287" s="627" t="n">
        <x:v>3.53</x:v>
      </x:c>
      <x:c r="K287" s="627" t="n">
        <x:v>0</x:v>
      </x:c>
      <x:c r="L287" s="627" t="n">
        <x:v>31</x:v>
      </x:c>
      <x:c r="M287" s="627" t="n">
        <x:v>32.71</x:v>
      </x:c>
      <x:c r="N287" s="627" t="n">
        <x:v>-95734.22</x:v>
      </x:c>
      <x:c r="O287" s="627" t="n">
        <x:v>92.81</x:v>
      </x:c>
      <x:c r="P287" s="627" t="n">
        <x:v>5.78</x:v>
      </x:c>
      <x:c r="Q287" s="627" t="n">
        <x:v>0</x:v>
      </x:c>
      <x:c r="R287" s="653" t="n">
        <x:v>0</x:v>
      </x:c>
      <x:c r="Z287" s="624"/>
    </x:row>
    <x:row r="288" spans="1:26" x14ac:dyDescent="0.2">
      <x:c r="B288" s="625"/>
      <x:c r="C288" s="625" t="s">
        <x:v>118</x:v>
      </x:c>
      <x:c r="D288" s="25" t="s">
        <x:v>70</x:v>
      </x:c>
      <x:c r="E288" s="627" t="n">
        <x:v>18698466.92</x:v>
      </x:c>
      <x:c r="F288" s="627" t="n">
        <x:v>1179010.66</x:v>
      </x:c>
      <x:c r="G288" s="627" t="n">
        <x:v>662174.51</x:v>
      </x:c>
      <x:c r="H288" s="627" t="n">
        <x:v>252833.61</x:v>
      </x:c>
      <x:c r="I288" s="627" t="n">
        <x:v>4498914.19</x:v>
      </x:c>
      <x:c r="J288" s="627" t="n">
        <x:v>134392.02</x:v>
      </x:c>
      <x:c r="K288" s="627" t="n">
        <x:v>0</x:v>
      </x:c>
      <x:c r="L288" s="627" t="n">
        <x:v>1287771.81</x:v>
      </x:c>
      <x:c r="M288" s="627" t="n">
        <x:v>1382562.34</x:v>
      </x:c>
      <x:c r="N288" s="627" t="n">
        <x:v>5847075.83</x:v>
      </x:c>
      <x:c r="O288" s="627" t="n">
        <x:v>3255953.87</x:v>
      </x:c>
      <x:c r="P288" s="627" t="n">
        <x:v>197729.28</x:v>
      </x:c>
      <x:c r="Q288" s="627" t="n">
        <x:v>48.8</x:v>
      </x:c>
      <x:c r="R288" s="653" t="n">
        <x:v>0</x:v>
      </x:c>
      <x:c r="Z288" s="624"/>
    </x:row>
    <x:row r="289" spans="1:26" x14ac:dyDescent="0.2">
      <x:c r="B289" s="625"/>
      <x:c r="C289" s="625"/>
      <x:c r="D289" s="25" t="s">
        <x:v>72</x:v>
      </x:c>
      <x:c r="E289" s="627" t="n">
        <x:v>20152773.11</x:v>
      </x:c>
      <x:c r="F289" s="627" t="n">
        <x:v>4557090.02</x:v>
      </x:c>
      <x:c r="G289" s="627" t="n">
        <x:v>2578655.79</x:v>
      </x:c>
      <x:c r="H289" s="627" t="n">
        <x:v>537655.12</x:v>
      </x:c>
      <x:c r="I289" s="627" t="n">
        <x:v>59605.89</x:v>
      </x:c>
      <x:c r="J289" s="627" t="n">
        <x:v>1466.04</x:v>
      </x:c>
      <x:c r="K289" s="627" t="n">
        <x:v>0</x:v>
      </x:c>
      <x:c r="L289" s="627" t="n">
        <x:v>12859.98</x:v>
      </x:c>
      <x:c r="M289" s="627" t="n">
        <x:v>18847.08</x:v>
      </x:c>
      <x:c r="N289" s="627" t="n">
        <x:v>93515.82</x:v>
      </x:c>
      <x:c r="O289" s="627" t="n">
        <x:v>12290686.24</x:v>
      </x:c>
      <x:c r="P289" s="627" t="n">
        <x:v>2391.99</x:v>
      </x:c>
      <x:c r="Q289" s="627" t="n">
        <x:v>-0.86</x:v>
      </x:c>
      <x:c r="R289" s="653" t="n">
        <x:v>0</x:v>
      </x:c>
      <x:c r="Z289" s="624"/>
    </x:row>
    <x:row r="290" spans="1:26" x14ac:dyDescent="0.2">
      <x:c r="B290" s="625"/>
      <x:c r="C290" s="625"/>
      <x:c r="D290" s="25" t="s">
        <x:v>81</x:v>
      </x:c>
      <x:c r="E290" s="627" t="n">
        <x:v>-2377.86</x:v>
      </x:c>
      <x:c r="F290" s="627" t="n">
        <x:v>0</x:v>
      </x:c>
      <x:c r="G290" s="627" t="n">
        <x:v>0</x:v>
      </x:c>
      <x:c r="H290" s="627" t="n">
        <x:v>0</x:v>
      </x:c>
      <x:c r="I290" s="627" t="n">
        <x:v>0</x:v>
      </x:c>
      <x:c r="J290" s="627" t="n">
        <x:v>0</x:v>
      </x:c>
      <x:c r="K290" s="627" t="n">
        <x:v>0</x:v>
      </x:c>
      <x:c r="L290" s="627" t="n">
        <x:v>0</x:v>
      </x:c>
      <x:c r="M290" s="627" t="n">
        <x:v>0</x:v>
      </x:c>
      <x:c r="N290" s="627" t="n">
        <x:v>-2377.86</x:v>
      </x:c>
      <x:c r="O290" s="627" t="n">
        <x:v>0</x:v>
      </x:c>
      <x:c r="P290" s="627" t="n">
        <x:v>0</x:v>
      </x:c>
      <x:c r="Q290" s="627" t="n">
        <x:v>0</x:v>
      </x:c>
      <x:c r="R290" s="653" t="n">
        <x:v>0</x:v>
      </x:c>
      <x:c r="Z290" s="624"/>
    </x:row>
    <x:row r="291" spans="1:26" x14ac:dyDescent="0.2">
      <x:c r="B291" s="625"/>
      <x:c r="C291" s="625" t="s">
        <x:v>332</x:v>
      </x:c>
      <x:c r="D291" s="25" t="s">
        <x:v>70</x:v>
      </x:c>
      <x:c r="E291" s="627" t="n">
        <x:v>20150395.25</x:v>
      </x:c>
      <x:c r="F291" s="627" t="n">
        <x:v>4557090.02</x:v>
      </x:c>
      <x:c r="G291" s="627" t="n">
        <x:v>2578655.79</x:v>
      </x:c>
      <x:c r="H291" s="627" t="n">
        <x:v>537655.12</x:v>
      </x:c>
      <x:c r="I291" s="627" t="n">
        <x:v>59605.89</x:v>
      </x:c>
      <x:c r="J291" s="627" t="n">
        <x:v>1466.04</x:v>
      </x:c>
      <x:c r="K291" s="627" t="n">
        <x:v>0</x:v>
      </x:c>
      <x:c r="L291" s="627" t="n">
        <x:v>12859.98</x:v>
      </x:c>
      <x:c r="M291" s="627" t="n">
        <x:v>18847.08</x:v>
      </x:c>
      <x:c r="N291" s="627" t="n">
        <x:v>91137.96</x:v>
      </x:c>
      <x:c r="O291" s="627" t="n">
        <x:v>12290686.24</x:v>
      </x:c>
      <x:c r="P291" s="627" t="n">
        <x:v>2391.99</x:v>
      </x:c>
      <x:c r="Q291" s="627" t="n">
        <x:v>-0.86</x:v>
      </x:c>
      <x:c r="R291" s="653" t="n">
        <x:v>0</x:v>
      </x:c>
      <x:c r="Z291" s="624"/>
    </x:row>
    <x:row r="292" spans="1:26" x14ac:dyDescent="0.2">
      <x:c r="A292" s="667"/>
      <x:c r="B292" s="667" t="s">
        <x:v>120</x:v>
      </x:c>
      <x:c r="C292" s="667" t="s">
        <x:v>70</x:v>
      </x:c>
      <x:c r="D292" s="667"/>
      <x:c r="E292" s="672" t="n">
        <x:v>63460951.42</x:v>
      </x:c>
      <x:c r="F292" s="672" t="n">
        <x:v>9041231.26</x:v>
      </x:c>
      <x:c r="G292" s="672" t="n">
        <x:v>5072388.55</x:v>
      </x:c>
      <x:c r="H292" s="672" t="n">
        <x:v>1011597.42</x:v>
      </x:c>
      <x:c r="I292" s="672" t="n">
        <x:v>7983360.16</x:v>
      </x:c>
      <x:c r="J292" s="672" t="n">
        <x:v>230579.94</x:v>
      </x:c>
      <x:c r="K292" s="672" t="n">
        <x:v>0</x:v>
      </x:c>
      <x:c r="L292" s="672" t="n">
        <x:v>2199940.9</x:v>
      </x:c>
      <x:c r="M292" s="672" t="n">
        <x:v>2412632.51</x:v>
      </x:c>
      <x:c r="N292" s="672" t="n">
        <x:v>10659886.97</x:v>
      </x:c>
      <x:c r="O292" s="672" t="n">
        <x:v>24512256.04</x:v>
      </x:c>
      <x:c r="P292" s="672" t="n">
        <x:v>336993.11</x:v>
      </x:c>
      <x:c r="Q292" s="672" t="n">
        <x:v>84.56</x:v>
      </x:c>
      <x:c r="R292" s="672" t="n">
        <x:v>0</x:v>
      </x:c>
      <x:c r="S292" s="667"/>
      <x:c r="T292" s="667"/>
      <x:c r="U292" s="667"/>
      <x:c r="V292" s="667"/>
      <x:c r="W292" s="667"/>
      <x:c r="X292" s="667"/>
      <x:c r="Y292" s="667"/>
      <x:c r="Z292" s="624"/>
    </x:row>
    <x:row r="293" spans="1:26" x14ac:dyDescent="0.2">
      <x:c r="C293" s="625"/>
      <x:c r="D293" s="625" t="s">
        <x:v>72</x:v>
      </x:c>
      <x:c r="E293" s="627" t="n">
        <x:v>2277123.28</x:v>
      </x:c>
      <x:c r="F293" s="627" t="n">
        <x:v>152739.62</x:v>
      </x:c>
      <x:c r="G293" s="627" t="n">
        <x:v>87677.85</x:v>
      </x:c>
      <x:c r="H293" s="627" t="n">
        <x:v>38295.05</x:v>
      </x:c>
      <x:c r="I293" s="627" t="n">
        <x:v>554007.76</x:v>
      </x:c>
      <x:c r="J293" s="627" t="n">
        <x:v>14388.41</x:v>
      </x:c>
      <x:c r="K293" s="627" t="n">
        <x:v>0</x:v>
      </x:c>
      <x:c r="L293" s="627" t="n">
        <x:v>147147.27</x:v>
      </x:c>
      <x:c r="M293" s="627" t="n">
        <x:v>179783.34</x:v>
      </x:c>
      <x:c r="N293" s="627" t="n">
        <x:v>665128.14</x:v>
      </x:c>
      <x:c r="O293" s="627" t="n">
        <x:v>417327.57</x:v>
      </x:c>
      <x:c r="P293" s="627" t="n">
        <x:v>20628.34</x:v>
      </x:c>
      <x:c r="Q293" s="627" t="n">
        <x:v>-0.07</x:v>
      </x:c>
      <x:c r="R293" s="653" t="n">
        <x:v>0</x:v>
      </x:c>
      <x:c r="Z293" s="624"/>
    </x:row>
    <x:row r="294" spans="1:26" x14ac:dyDescent="0.2">
      <x:c r="C294" s="625"/>
      <x:c r="D294" s="625" t="s">
        <x:v>81</x:v>
      </x:c>
      <x:c r="E294" s="627" t="n">
        <x:v>-10387.44</x:v>
      </x:c>
      <x:c r="F294" s="627" t="n">
        <x:v>1.9</x:v>
      </x:c>
      <x:c r="G294" s="627" t="n">
        <x:v>1.07</x:v>
      </x:c>
      <x:c r="H294" s="627" t="n">
        <x:v>0.57</x:v>
      </x:c>
      <x:c r="I294" s="627" t="n">
        <x:v>4.54</x:v>
      </x:c>
      <x:c r="J294" s="627" t="n">
        <x:v>0.19</x:v>
      </x:c>
      <x:c r="K294" s="627" t="n">
        <x:v>0</x:v>
      </x:c>
      <x:c r="L294" s="627" t="n">
        <x:v>1.71</x:v>
      </x:c>
      <x:c r="M294" s="627" t="n">
        <x:v>1.68</x:v>
      </x:c>
      <x:c r="N294" s="627" t="n">
        <x:v>-10404.47</x:v>
      </x:c>
      <x:c r="O294" s="627" t="n">
        <x:v>5.05</x:v>
      </x:c>
      <x:c r="P294" s="627" t="n">
        <x:v>0.32</x:v>
      </x:c>
      <x:c r="Q294" s="627" t="n">
        <x:v>0</x:v>
      </x:c>
      <x:c r="R294" s="653" t="n">
        <x:v>0</x:v>
      </x:c>
      <x:c r="Z294" s="624"/>
    </x:row>
    <x:row r="295" spans="1:26" x14ac:dyDescent="0.2">
      <x:c r="C295" s="625" t="s">
        <x:v>82</x:v>
      </x:c>
      <x:c r="D295" s="625" t="s">
        <x:v>70</x:v>
      </x:c>
      <x:c r="E295" s="627" t="n">
        <x:v>2266735.84</x:v>
      </x:c>
      <x:c r="F295" s="627" t="n">
        <x:v>152741.52</x:v>
      </x:c>
      <x:c r="G295" s="627" t="n">
        <x:v>87678.92</x:v>
      </x:c>
      <x:c r="H295" s="627" t="n">
        <x:v>38295.62</x:v>
      </x:c>
      <x:c r="I295" s="627" t="n">
        <x:v>554012.3</x:v>
      </x:c>
      <x:c r="J295" s="627" t="n">
        <x:v>14388.6</x:v>
      </x:c>
      <x:c r="K295" s="627" t="n">
        <x:v>0</x:v>
      </x:c>
      <x:c r="L295" s="627" t="n">
        <x:v>147148.98</x:v>
      </x:c>
      <x:c r="M295" s="627" t="n">
        <x:v>179785.02</x:v>
      </x:c>
      <x:c r="N295" s="627" t="n">
        <x:v>654723.67</x:v>
      </x:c>
      <x:c r="O295" s="627" t="n">
        <x:v>417332.62</x:v>
      </x:c>
      <x:c r="P295" s="627" t="n">
        <x:v>20628.66</x:v>
      </x:c>
      <x:c r="Q295" s="627" t="n">
        <x:v>-0.07</x:v>
      </x:c>
      <x:c r="R295" s="653" t="n">
        <x:v>0</x:v>
      </x:c>
      <x:c r="Z295" s="624"/>
    </x:row>
    <x:row r="296" spans="1:26" x14ac:dyDescent="0.2">
      <x:c r="C296" s="625"/>
      <x:c r="D296" s="625" t="s">
        <x:v>72</x:v>
      </x:c>
      <x:c r="E296" s="627" t="n">
        <x:v>17823216.4</x:v>
      </x:c>
      <x:c r="F296" s="627" t="n">
        <x:v>1523087.01</x:v>
      </x:c>
      <x:c r="G296" s="627" t="n">
        <x:v>848548.71</x:v>
      </x:c>
      <x:c r="H296" s="627" t="n">
        <x:v>462824.84</x:v>
      </x:c>
      <x:c r="I296" s="627" t="n">
        <x:v>2992961.48</x:v>
      </x:c>
      <x:c r="J296" s="627" t="n">
        <x:v>133872.67</x:v>
      </x:c>
      <x:c r="K296" s="627" t="n">
        <x:v>0</x:v>
      </x:c>
      <x:c r="L296" s="627" t="n">
        <x:v>965569.75</x:v>
      </x:c>
      <x:c r="M296" s="627" t="n">
        <x:v>960588.18</x:v>
      </x:c>
      <x:c r="N296" s="627" t="n">
        <x:v>5618487.4</x:v>
      </x:c>
      <x:c r="O296" s="627" t="n">
        <x:v>4104888.6</x:v>
      </x:c>
      <x:c r="P296" s="627" t="n">
        <x:v>212352.11</x:v>
      </x:c>
      <x:c r="Q296" s="627" t="n">
        <x:v>35.65</x:v>
      </x:c>
      <x:c r="R296" s="653" t="n">
        <x:v>0</x:v>
      </x:c>
      <x:c r="Z296" s="624"/>
    </x:row>
    <x:row r="297" spans="1:26" x14ac:dyDescent="0.2">
      <x:c r="C297" s="625"/>
      <x:c r="D297" s="625" t="s">
        <x:v>81</x:v>
      </x:c>
      <x:c r="E297" s="627" t="n">
        <x:v>-46587.5</x:v>
      </x:c>
      <x:c r="F297" s="627" t="n">
        <x:v>1483</x:v>
      </x:c>
      <x:c r="G297" s="627" t="n">
        <x:v>717.39</x:v>
      </x:c>
      <x:c r="H297" s="627" t="n">
        <x:v>339.69</x:v>
      </x:c>
      <x:c r="I297" s="627" t="n">
        <x:v>5293.47</x:v>
      </x:c>
      <x:c r="J297" s="627" t="n">
        <x:v>169.6</x:v>
      </x:c>
      <x:c r="K297" s="627" t="n">
        <x:v>0</x:v>
      </x:c>
      <x:c r="L297" s="627" t="n">
        <x:v>1488.2</x:v>
      </x:c>
      <x:c r="M297" s="627" t="n">
        <x:v>1776.19</x:v>
      </x:c>
      <x:c r="N297" s="627" t="n">
        <x:v>-62026.43</x:v>
      </x:c>
      <x:c r="O297" s="627" t="n">
        <x:v>3894.77</x:v>
      </x:c>
      <x:c r="P297" s="627" t="n">
        <x:v>276.56</x:v>
      </x:c>
      <x:c r="Q297" s="627" t="n">
        <x:v>0.06</x:v>
      </x:c>
      <x:c r="R297" s="653" t="n">
        <x:v>0</x:v>
      </x:c>
      <x:c r="Z297" s="624"/>
    </x:row>
    <x:row r="298" spans="1:26" x14ac:dyDescent="0.2">
      <x:c r="C298" s="625" t="s">
        <x:v>86</x:v>
      </x:c>
      <x:c r="D298" s="625" t="s">
        <x:v>70</x:v>
      </x:c>
      <x:c r="E298" s="627" t="n">
        <x:v>17776628.9</x:v>
      </x:c>
      <x:c r="F298" s="627" t="n">
        <x:v>1524570.01</x:v>
      </x:c>
      <x:c r="G298" s="627" t="n">
        <x:v>849266.1</x:v>
      </x:c>
      <x:c r="H298" s="627" t="n">
        <x:v>463164.53</x:v>
      </x:c>
      <x:c r="I298" s="627" t="n">
        <x:v>2998254.95</x:v>
      </x:c>
      <x:c r="J298" s="627" t="n">
        <x:v>134042.27</x:v>
      </x:c>
      <x:c r="K298" s="627" t="n">
        <x:v>0</x:v>
      </x:c>
      <x:c r="L298" s="627" t="n">
        <x:v>967057.95</x:v>
      </x:c>
      <x:c r="M298" s="627" t="n">
        <x:v>962364.37</x:v>
      </x:c>
      <x:c r="N298" s="627" t="n">
        <x:v>5556460.97</x:v>
      </x:c>
      <x:c r="O298" s="627" t="n">
        <x:v>4108783.37</x:v>
      </x:c>
      <x:c r="P298" s="627" t="n">
        <x:v>212628.67</x:v>
      </x:c>
      <x:c r="Q298" s="627" t="n">
        <x:v>35.71</x:v>
      </x:c>
      <x:c r="R298" s="653" t="n">
        <x:v>0</x:v>
      </x:c>
      <x:c r="Z298" s="624"/>
    </x:row>
    <x:row r="299" spans="1:26" x14ac:dyDescent="0.2">
      <x:c r="C299" s="625"/>
      <x:c r="D299" s="625" t="s">
        <x:v>72</x:v>
      </x:c>
      <x:c r="E299" s="627" t="n">
        <x:v>13787623.17</x:v>
      </x:c>
      <x:c r="F299" s="627" t="n">
        <x:v>1736916.2</x:v>
      </x:c>
      <x:c r="G299" s="627" t="n">
        <x:v>917147.14</x:v>
      </x:c>
      <x:c r="H299" s="627" t="n">
        <x:v>417543.06</x:v>
      </x:c>
      <x:c r="I299" s="627" t="n">
        <x:v>1703135.96</x:v>
      </x:c>
      <x:c r="J299" s="627" t="n">
        <x:v>49848.3</x:v>
      </x:c>
      <x:c r="K299" s="627" t="n">
        <x:v>0</x:v>
      </x:c>
      <x:c r="L299" s="627" t="n">
        <x:v>466832.57</x:v>
      </x:c>
      <x:c r="M299" s="627" t="n">
        <x:v>613137.32</x:v>
      </x:c>
      <x:c r="N299" s="627" t="n">
        <x:v>3103461.76</x:v>
      </x:c>
      <x:c r="O299" s="627" t="n">
        <x:v>4698151.27</x:v>
      </x:c>
      <x:c r="P299" s="627" t="n">
        <x:v>81479.96</x:v>
      </x:c>
      <x:c r="Q299" s="627" t="n">
        <x:v>-30.37</x:v>
      </x:c>
      <x:c r="R299" s="653" t="n">
        <x:v>0</x:v>
      </x:c>
      <x:c r="Z299" s="624"/>
    </x:row>
    <x:row r="300" spans="1:26" x14ac:dyDescent="0.2">
      <x:c r="C300" s="625"/>
      <x:c r="D300" s="625" t="s">
        <x:v>81</x:v>
      </x:c>
      <x:c r="E300" s="627" t="n">
        <x:v>-32280.94</x:v>
      </x:c>
      <x:c r="F300" s="627" t="n">
        <x:v>60.61</x:v>
      </x:c>
      <x:c r="G300" s="627" t="n">
        <x:v>33.97</x:v>
      </x:c>
      <x:c r="H300" s="627" t="n">
        <x:v>18.12</x:v>
      </x:c>
      <x:c r="I300" s="627" t="n">
        <x:v>181.51</x:v>
      </x:c>
      <x:c r="J300" s="627" t="n">
        <x:v>4.47</x:v>
      </x:c>
      <x:c r="K300" s="627" t="n">
        <x:v>0</x:v>
      </x:c>
      <x:c r="L300" s="627" t="n">
        <x:v>38.98</x:v>
      </x:c>
      <x:c r="M300" s="627" t="n">
        <x:v>56.44</x:v>
      </x:c>
      <x:c r="N300" s="627" t="n">
        <x:v>-32843.92</x:v>
      </x:c>
      <x:c r="O300" s="627" t="n">
        <x:v>161.6</x:v>
      </x:c>
      <x:c r="P300" s="627" t="n">
        <x:v>7.28</x:v>
      </x:c>
      <x:c r="Q300" s="627" t="n">
        <x:v>0</x:v>
      </x:c>
      <x:c r="R300" s="653" t="n">
        <x:v>0</x:v>
      </x:c>
      <x:c r="Z300" s="624"/>
    </x:row>
    <x:row r="301" spans="1:26" x14ac:dyDescent="0.2">
      <x:c r="A301" s="625"/>
      <x:c r="B301" s="625"/>
      <x:c r="C301" s="25" t="s">
        <x:v>87</x:v>
      </x:c>
      <x:c r="D301" s="25" t="s">
        <x:v>70</x:v>
      </x:c>
      <x:c r="E301" s="627" t="n">
        <x:v>13755342.23</x:v>
      </x:c>
      <x:c r="F301" s="627" t="n">
        <x:v>1736976.81</x:v>
      </x:c>
      <x:c r="G301" s="627" t="n">
        <x:v>917181.11</x:v>
      </x:c>
      <x:c r="H301" s="627" t="n">
        <x:v>417561.18</x:v>
      </x:c>
      <x:c r="I301" s="627" t="n">
        <x:v>1703317.47</x:v>
      </x:c>
      <x:c r="J301" s="627" t="n">
        <x:v>49852.77</x:v>
      </x:c>
      <x:c r="K301" s="627" t="n">
        <x:v>0</x:v>
      </x:c>
      <x:c r="L301" s="627" t="n">
        <x:v>466871.55</x:v>
      </x:c>
      <x:c r="M301" s="627" t="n">
        <x:v>613193.76</x:v>
      </x:c>
      <x:c r="N301" s="627" t="n">
        <x:v>3070617.84</x:v>
      </x:c>
      <x:c r="O301" s="627" t="n">
        <x:v>4698312.87</x:v>
      </x:c>
      <x:c r="P301" s="627" t="n">
        <x:v>81487.24</x:v>
      </x:c>
      <x:c r="Q301" s="627" t="n">
        <x:v>-30.37</x:v>
      </x:c>
      <x:c r="R301" s="653" t="n">
        <x:v>0</x:v>
      </x:c>
      <x:c r="Z301" s="624"/>
    </x:row>
    <x:row r="302" spans="1:26" x14ac:dyDescent="0.2">
      <x:c r="A302" s="631"/>
      <x:c r="B302" s="632" t="s">
        <x:v>119</x:v>
      </x:c>
      <x:c r="C302" s="632" t="s">
        <x:v>70</x:v>
      </x:c>
      <x:c r="D302" s="631"/>
      <x:c r="E302" s="633" t="n">
        <x:v>33798706.97</x:v>
      </x:c>
      <x:c r="F302" s="633" t="n">
        <x:v>3414288.34</x:v>
      </x:c>
      <x:c r="G302" s="633" t="n">
        <x:v>1854126.13</x:v>
      </x:c>
      <x:c r="H302" s="633" t="n">
        <x:v>919021.33</x:v>
      </x:c>
      <x:c r="I302" s="633" t="n">
        <x:v>5255584.72</x:v>
      </x:c>
      <x:c r="J302" s="633" t="n">
        <x:v>198283.64</x:v>
      </x:c>
      <x:c r="K302" s="633" t="n">
        <x:v>0</x:v>
      </x:c>
      <x:c r="L302" s="633" t="n">
        <x:v>1581078.48</x:v>
      </x:c>
      <x:c r="M302" s="633" t="n">
        <x:v>1755343.15</x:v>
      </x:c>
      <x:c r="N302" s="633" t="n">
        <x:v>9281802.48</x:v>
      </x:c>
      <x:c r="O302" s="633" t="n">
        <x:v>9224428.86</x:v>
      </x:c>
      <x:c r="P302" s="633" t="n">
        <x:v>314744.57</x:v>
      </x:c>
      <x:c r="Q302" s="633" t="n">
        <x:v>5.27</x:v>
      </x:c>
      <x:c r="R302" s="678" t="n">
        <x:v>0</x:v>
      </x:c>
      <x:c r="S302" s="631"/>
      <x:c r="T302" s="631"/>
      <x:c r="U302" s="631"/>
      <x:c r="V302" s="631"/>
      <x:c r="W302" s="631"/>
      <x:c r="X302" s="631"/>
      <x:c r="Y302" s="631"/>
      <x:c r="Z302" s="624"/>
    </x:row>
    <x:row r="303" spans="1:26" x14ac:dyDescent="0.2">
      <x:c r="A303" s="639" t="s">
        <x:v>78</x:v>
      </x:c>
      <x:c r="B303" s="639" t="s">
        <x:v>70</x:v>
      </x:c>
      <x:c r="C303" s="638"/>
      <x:c r="D303" s="638"/>
      <x:c r="E303" s="640" t="n">
        <x:v>173171032.71</x:v>
      </x:c>
      <x:c r="F303" s="640" t="n">
        <x:v>16099105.31</x:v>
      </x:c>
      <x:c r="G303" s="640" t="n">
        <x:v>9061043.19</x:v>
      </x:c>
      <x:c r="H303" s="640" t="n">
        <x:v>2852946.06</x:v>
      </x:c>
      <x:c r="I303" s="640" t="n">
        <x:v>32340245.82</x:v>
      </x:c>
      <x:c r="J303" s="640" t="n">
        <x:v>1124253.03</x:v>
      </x:c>
      <x:c r="K303" s="640" t="n">
        <x:v>0</x:v>
      </x:c>
      <x:c r="L303" s="640" t="n">
        <x:v>9787993.93</x:v>
      </x:c>
      <x:c r="M303" s="640" t="n">
        <x:v>10109598.3</x:v>
      </x:c>
      <x:c r="N303" s="640" t="n">
        <x:v>46326513.08</x:v>
      </x:c>
      <x:c r="O303" s="640" t="n">
        <x:v>43710041.66</x:v>
      </x:c>
      <x:c r="P303" s="640" t="n">
        <x:v>1759287.77</x:v>
      </x:c>
      <x:c r="Q303" s="640" t="n">
        <x:v>4.56</x:v>
      </x:c>
      <x:c r="R303" s="679" t="n">
        <x:v>0</x:v>
      </x:c>
      <x:c r="S303" s="638"/>
      <x:c r="T303" s="638"/>
      <x:c r="U303" s="638"/>
      <x:c r="V303" s="638"/>
      <x:c r="W303" s="638"/>
      <x:c r="X303" s="638"/>
      <x:c r="Y303" s="638"/>
      <x:c r="Z303" s="624"/>
    </x:row>
    <x:row r="304" spans="1:26" x14ac:dyDescent="0.2">
      <x:c r="B304" s="625"/>
      <x:c r="C304" s="625"/>
      <x:c r="D304" s="25" t="s">
        <x:v>73</x:v>
      </x:c>
      <x:c r="E304" s="627" t="n">
        <x:v>-15136443.21</x:v>
      </x:c>
      <x:c r="F304" s="627" t="n">
        <x:v>-369511.1</x:v>
      </x:c>
      <x:c r="G304" s="627" t="n">
        <x:v>-227710.81</x:v>
      </x:c>
      <x:c r="H304" s="627" t="n">
        <x:v>-126803.1</x:v>
      </x:c>
      <x:c r="I304" s="627" t="n">
        <x:v>-4033648.5</x:v>
      </x:c>
      <x:c r="J304" s="627" t="n">
        <x:v>-147379.69</x:v>
      </x:c>
      <x:c r="K304" s="627" t="n">
        <x:v>0</x:v>
      </x:c>
      <x:c r="L304" s="627" t="n">
        <x:v>-1289953.2</x:v>
      </x:c>
      <x:c r="M304" s="627" t="n">
        <x:v>-1256717.02</x:v>
      </x:c>
      <x:c r="N304" s="627" t="n">
        <x:v>-6507002.75</x:v>
      </x:c>
      <x:c r="O304" s="627" t="n">
        <x:v>-933290.3</x:v>
      </x:c>
      <x:c r="P304" s="627" t="n">
        <x:v>-244426.74</x:v>
      </x:c>
      <x:c r="Q304" s="627" t="n">
        <x:v>0</x:v>
      </x:c>
      <x:c r="R304" s="653" t="n">
        <x:v>0</x:v>
      </x:c>
      <x:c r="Z304" s="624"/>
    </x:row>
    <x:row r="305" spans="1:26" x14ac:dyDescent="0.2">
      <x:c r="B305" s="625"/>
      <x:c r="C305" s="625" t="s">
        <x:v>156</x:v>
      </x:c>
      <x:c r="D305" s="25" t="s">
        <x:v>70</x:v>
      </x:c>
      <x:c r="E305" s="627" t="n">
        <x:v>-15136443.21</x:v>
      </x:c>
      <x:c r="F305" s="627" t="n">
        <x:v>-369511.1</x:v>
      </x:c>
      <x:c r="G305" s="627" t="n">
        <x:v>-227710.81</x:v>
      </x:c>
      <x:c r="H305" s="627" t="n">
        <x:v>-126803.1</x:v>
      </x:c>
      <x:c r="I305" s="627" t="n">
        <x:v>-4033648.5</x:v>
      </x:c>
      <x:c r="J305" s="627" t="n">
        <x:v>-147379.69</x:v>
      </x:c>
      <x:c r="K305" s="627" t="n">
        <x:v>0</x:v>
      </x:c>
      <x:c r="L305" s="627" t="n">
        <x:v>-1289953.2</x:v>
      </x:c>
      <x:c r="M305" s="627" t="n">
        <x:v>-1256717.02</x:v>
      </x:c>
      <x:c r="N305" s="627" t="n">
        <x:v>-6507002.75</x:v>
      </x:c>
      <x:c r="O305" s="627" t="n">
        <x:v>-933290.3</x:v>
      </x:c>
      <x:c r="P305" s="627" t="n">
        <x:v>-244426.74</x:v>
      </x:c>
      <x:c r="Q305" s="627" t="n">
        <x:v>0</x:v>
      </x:c>
      <x:c r="R305" s="653" t="n">
        <x:v>0</x:v>
      </x:c>
      <x:c r="Z305" s="624"/>
    </x:row>
    <x:row r="306" spans="1:26" x14ac:dyDescent="0.2">
      <x:c r="A306" s="628"/>
      <x:c r="B306" s="628" t="s">
        <x:v>155</x:v>
      </x:c>
      <x:c r="C306" s="628" t="s">
        <x:v>70</x:v>
      </x:c>
      <x:c r="D306" s="628"/>
      <x:c r="E306" s="677" t="n">
        <x:v>-15136443.21</x:v>
      </x:c>
      <x:c r="F306" s="677" t="n">
        <x:v>-369511.1</x:v>
      </x:c>
      <x:c r="G306" s="677" t="n">
        <x:v>-227710.81</x:v>
      </x:c>
      <x:c r="H306" s="677" t="n">
        <x:v>-126803.1</x:v>
      </x:c>
      <x:c r="I306" s="677" t="n">
        <x:v>-4033648.5</x:v>
      </x:c>
      <x:c r="J306" s="677" t="n">
        <x:v>-147379.69</x:v>
      </x:c>
      <x:c r="K306" s="677" t="n">
        <x:v>0</x:v>
      </x:c>
      <x:c r="L306" s="677" t="n">
        <x:v>-1289953.2</x:v>
      </x:c>
      <x:c r="M306" s="677" t="n">
        <x:v>-1256717.02</x:v>
      </x:c>
      <x:c r="N306" s="677" t="n">
        <x:v>-6507002.75</x:v>
      </x:c>
      <x:c r="O306" s="677" t="n">
        <x:v>-933290.3</x:v>
      </x:c>
      <x:c r="P306" s="677" t="n">
        <x:v>-244426.74</x:v>
      </x:c>
      <x:c r="Q306" s="677" t="n">
        <x:v>0</x:v>
      </x:c>
      <x:c r="R306" s="677" t="n">
        <x:v>0</x:v>
      </x:c>
      <x:c r="S306" s="628"/>
      <x:c r="T306" s="628"/>
      <x:c r="U306" s="628"/>
      <x:c r="V306" s="628"/>
      <x:c r="W306" s="628"/>
      <x:c r="X306" s="628"/>
      <x:c r="Y306" s="628"/>
      <x:c r="Z306" s="624"/>
    </x:row>
    <x:row r="307" spans="1:26" x14ac:dyDescent="0.2">
      <x:c r="B307" s="625"/>
      <x:c r="C307" s="625"/>
      <x:c r="D307" s="25" t="s">
        <x:v>73</x:v>
      </x:c>
      <x:c r="E307" s="627" t="n">
        <x:v>-1043741.98</x:v>
      </x:c>
      <x:c r="F307" s="627" t="n">
        <x:v>-14192.02</x:v>
      </x:c>
      <x:c r="G307" s="627" t="n">
        <x:v>-10774.43</x:v>
      </x:c>
      <x:c r="H307" s="627" t="n">
        <x:v>-10859.18</x:v>
      </x:c>
      <x:c r="I307" s="627" t="n">
        <x:v>-330949.89</x:v>
      </x:c>
      <x:c r="J307" s="627" t="n">
        <x:v>-7903.04</x:v>
      </x:c>
      <x:c r="K307" s="627" t="n">
        <x:v>0</x:v>
      </x:c>
      <x:c r="L307" s="627" t="n">
        <x:v>-70303.88</x:v>
      </x:c>
      <x:c r="M307" s="627" t="n">
        <x:v>-94909.58</x:v>
      </x:c>
      <x:c r="N307" s="627" t="n">
        <x:v>-462724.97</x:v>
      </x:c>
      <x:c r="O307" s="627" t="n">
        <x:v>-28052.96</x:v>
      </x:c>
      <x:c r="P307" s="627" t="n">
        <x:v>-13072.03</x:v>
      </x:c>
      <x:c r="Q307" s="627" t="n">
        <x:v>0</x:v>
      </x:c>
      <x:c r="R307" s="653" t="n">
        <x:v>0</x:v>
      </x:c>
      <x:c r="Z307" s="624"/>
    </x:row>
    <x:row r="308" spans="1:26" x14ac:dyDescent="0.2">
      <x:c r="B308" s="625"/>
      <x:c r="C308" s="625" t="s">
        <x:v>115</x:v>
      </x:c>
      <x:c r="D308" s="25" t="s">
        <x:v>70</x:v>
      </x:c>
      <x:c r="E308" s="627" t="n">
        <x:v>-1043741.98</x:v>
      </x:c>
      <x:c r="F308" s="627" t="n">
        <x:v>-14192.02</x:v>
      </x:c>
      <x:c r="G308" s="627" t="n">
        <x:v>-10774.43</x:v>
      </x:c>
      <x:c r="H308" s="627" t="n">
        <x:v>-10859.18</x:v>
      </x:c>
      <x:c r="I308" s="627" t="n">
        <x:v>-330949.89</x:v>
      </x:c>
      <x:c r="J308" s="627" t="n">
        <x:v>-7903.04</x:v>
      </x:c>
      <x:c r="K308" s="627" t="n">
        <x:v>0</x:v>
      </x:c>
      <x:c r="L308" s="627" t="n">
        <x:v>-70303.88</x:v>
      </x:c>
      <x:c r="M308" s="627" t="n">
        <x:v>-94909.58</x:v>
      </x:c>
      <x:c r="N308" s="627" t="n">
        <x:v>-462724.97</x:v>
      </x:c>
      <x:c r="O308" s="627" t="n">
        <x:v>-28052.96</x:v>
      </x:c>
      <x:c r="P308" s="627" t="n">
        <x:v>-13072.03</x:v>
      </x:c>
      <x:c r="Q308" s="627" t="n">
        <x:v>0</x:v>
      </x:c>
      <x:c r="R308" s="653" t="n">
        <x:v>0</x:v>
      </x:c>
      <x:c r="Z308" s="624"/>
    </x:row>
    <x:row r="309" spans="1:26" x14ac:dyDescent="0.2">
      <x:c r="B309" s="625"/>
      <x:c r="C309" s="625"/>
      <x:c r="D309" s="25" t="s">
        <x:v>73</x:v>
      </x:c>
      <x:c r="E309" s="627" t="n">
        <x:v>409790.29</x:v>
      </x:c>
      <x:c r="F309" s="627" t="n">
        <x:v>71510.58</x:v>
      </x:c>
      <x:c r="G309" s="627" t="n">
        <x:v>40399.27</x:v>
      </x:c>
      <x:c r="H309" s="627" t="n">
        <x:v>20582.1</x:v>
      </x:c>
      <x:c r="I309" s="627" t="n">
        <x:v>26016.28</x:v>
      </x:c>
      <x:c r="J309" s="627" t="n">
        <x:v>512.45</x:v>
      </x:c>
      <x:c r="K309" s="627" t="n">
        <x:v>0</x:v>
      </x:c>
      <x:c r="L309" s="627" t="n">
        <x:v>4821.18</x:v>
      </x:c>
      <x:c r="M309" s="627" t="n">
        <x:v>7956.37</x:v>
      </x:c>
      <x:c r="N309" s="627" t="n">
        <x:v>47274.38</x:v>
      </x:c>
      <x:c r="O309" s="627" t="n">
        <x:v>190253.72</x:v>
      </x:c>
      <x:c r="P309" s="627" t="n">
        <x:v>463.96</x:v>
      </x:c>
      <x:c r="Q309" s="627" t="n">
        <x:v>0</x:v>
      </x:c>
      <x:c r="R309" s="653" t="n">
        <x:v>0</x:v>
      </x:c>
      <x:c r="Z309" s="624"/>
    </x:row>
    <x:row r="310" spans="1:26" x14ac:dyDescent="0.2">
      <x:c r="B310" s="625"/>
      <x:c r="C310" s="625" t="s">
        <x:v>116</x:v>
      </x:c>
      <x:c r="D310" s="25" t="s">
        <x:v>70</x:v>
      </x:c>
      <x:c r="E310" s="627" t="n">
        <x:v>409790.29</x:v>
      </x:c>
      <x:c r="F310" s="627" t="n">
        <x:v>71510.58</x:v>
      </x:c>
      <x:c r="G310" s="627" t="n">
        <x:v>40399.27</x:v>
      </x:c>
      <x:c r="H310" s="627" t="n">
        <x:v>20582.1</x:v>
      </x:c>
      <x:c r="I310" s="627" t="n">
        <x:v>26016.28</x:v>
      </x:c>
      <x:c r="J310" s="627" t="n">
        <x:v>512.45</x:v>
      </x:c>
      <x:c r="K310" s="627" t="n">
        <x:v>0</x:v>
      </x:c>
      <x:c r="L310" s="627" t="n">
        <x:v>4821.18</x:v>
      </x:c>
      <x:c r="M310" s="627" t="n">
        <x:v>7956.37</x:v>
      </x:c>
      <x:c r="N310" s="627" t="n">
        <x:v>47274.38</x:v>
      </x:c>
      <x:c r="O310" s="627" t="n">
        <x:v>190253.72</x:v>
      </x:c>
      <x:c r="P310" s="627" t="n">
        <x:v>463.96</x:v>
      </x:c>
      <x:c r="Q310" s="627" t="n">
        <x:v>0</x:v>
      </x:c>
      <x:c r="R310" s="653" t="n">
        <x:v>0</x:v>
      </x:c>
      <x:c r="Z310" s="624"/>
    </x:row>
    <x:row r="311" spans="1:26" x14ac:dyDescent="0.2">
      <x:c r="B311" s="625"/>
      <x:c r="C311" s="625"/>
      <x:c r="D311" s="25" t="s">
        <x:v>73</x:v>
      </x:c>
      <x:c r="E311" s="627" t="n">
        <x:v>-1982195.66</x:v>
      </x:c>
      <x:c r="F311" s="627" t="n">
        <x:v>-22977.42</x:v>
      </x:c>
      <x:c r="G311" s="627" t="n">
        <x:v>-17204.09</x:v>
      </x:c>
      <x:c r="H311" s="627" t="n">
        <x:v>-9704.72</x:v>
      </x:c>
      <x:c r="I311" s="627" t="n">
        <x:v>-625614.14</x:v>
      </x:c>
      <x:c r="J311" s="627" t="n">
        <x:v>-19604.24</x:v>
      </x:c>
      <x:c r="K311" s="627" t="n">
        <x:v>0</x:v>
      </x:c>
      <x:c r="L311" s="627" t="n">
        <x:v>-164286.15</x:v>
      </x:c>
      <x:c r="M311" s="627" t="n">
        <x:v>-182986.96</x:v>
      </x:c>
      <x:c r="N311" s="627" t="n">
        <x:v>-899171.51</x:v>
      </x:c>
      <x:c r="O311" s="627" t="n">
        <x:v>-7932.64</x:v>
      </x:c>
      <x:c r="P311" s="627" t="n">
        <x:v>-32713.79</x:v>
      </x:c>
      <x:c r="Q311" s="627" t="n">
        <x:v>0</x:v>
      </x:c>
      <x:c r="R311" s="653" t="n">
        <x:v>0</x:v>
      </x:c>
      <x:c r="Z311" s="624"/>
    </x:row>
    <x:row r="312" spans="1:26" x14ac:dyDescent="0.2">
      <x:c r="B312" s="625"/>
      <x:c r="C312" s="625" t="s">
        <x:v>118</x:v>
      </x:c>
      <x:c r="D312" s="25" t="s">
        <x:v>70</x:v>
      </x:c>
      <x:c r="E312" s="627" t="n">
        <x:v>-1982195.66</x:v>
      </x:c>
      <x:c r="F312" s="627" t="n">
        <x:v>-22977.42</x:v>
      </x:c>
      <x:c r="G312" s="627" t="n">
        <x:v>-17204.09</x:v>
      </x:c>
      <x:c r="H312" s="627" t="n">
        <x:v>-9704.72</x:v>
      </x:c>
      <x:c r="I312" s="627" t="n">
        <x:v>-625614.14</x:v>
      </x:c>
      <x:c r="J312" s="627" t="n">
        <x:v>-19604.24</x:v>
      </x:c>
      <x:c r="K312" s="627" t="n">
        <x:v>0</x:v>
      </x:c>
      <x:c r="L312" s="627" t="n">
        <x:v>-164286.15</x:v>
      </x:c>
      <x:c r="M312" s="627" t="n">
        <x:v>-182986.96</x:v>
      </x:c>
      <x:c r="N312" s="627" t="n">
        <x:v>-899171.51</x:v>
      </x:c>
      <x:c r="O312" s="627" t="n">
        <x:v>-7932.64</x:v>
      </x:c>
      <x:c r="P312" s="627" t="n">
        <x:v>-32713.79</x:v>
      </x:c>
      <x:c r="Q312" s="627" t="n">
        <x:v>0</x:v>
      </x:c>
      <x:c r="R312" s="653" t="n">
        <x:v>0</x:v>
      </x:c>
      <x:c r="Z312" s="624"/>
    </x:row>
    <x:row r="313" spans="1:26" x14ac:dyDescent="0.2">
      <x:c r="B313" s="625"/>
      <x:c r="C313" s="625"/>
      <x:c r="D313" s="25" t="s">
        <x:v>73</x:v>
      </x:c>
      <x:c r="E313" s="627" t="n">
        <x:v>5663564.75</x:v>
      </x:c>
      <x:c r="F313" s="627" t="n">
        <x:v>1321214.35</x:v>
      </x:c>
      <x:c r="G313" s="627" t="n">
        <x:v>747616.79</x:v>
      </x:c>
      <x:c r="H313" s="627" t="n">
        <x:v>398940.3</x:v>
      </x:c>
      <x:c r="I313" s="627" t="n">
        <x:v>17881.76</x:v>
      </x:c>
      <x:c r="J313" s="627" t="n">
        <x:v>439.81</x:v>
      </x:c>
      <x:c r="K313" s="627" t="n">
        <x:v>0</x:v>
      </x:c>
      <x:c r="L313" s="627" t="n">
        <x:v>3857.99</x:v>
      </x:c>
      <x:c r="M313" s="627" t="n">
        <x:v>5654.13</x:v>
      </x:c>
      <x:c r="N313" s="627" t="n">
        <x:v>28054.76</x:v>
      </x:c>
      <x:c r="O313" s="627" t="n">
        <x:v>3139187.26</x:v>
      </x:c>
      <x:c r="P313" s="627" t="n">
        <x:v>717.6</x:v>
      </x:c>
      <x:c r="Q313" s="627" t="n">
        <x:v>0</x:v>
      </x:c>
      <x:c r="R313" s="653" t="n">
        <x:v>0</x:v>
      </x:c>
      <x:c r="Z313" s="624"/>
    </x:row>
    <x:row r="314" spans="1:26" x14ac:dyDescent="0.2">
      <x:c r="B314" s="625"/>
      <x:c r="C314" s="625" t="s">
        <x:v>332</x:v>
      </x:c>
      <x:c r="D314" s="25" t="s">
        <x:v>70</x:v>
      </x:c>
      <x:c r="E314" s="627" t="n">
        <x:v>5663564.75</x:v>
      </x:c>
      <x:c r="F314" s="627" t="n">
        <x:v>1321214.35</x:v>
      </x:c>
      <x:c r="G314" s="627" t="n">
        <x:v>747616.79</x:v>
      </x:c>
      <x:c r="H314" s="627" t="n">
        <x:v>398940.3</x:v>
      </x:c>
      <x:c r="I314" s="627" t="n">
        <x:v>17881.76</x:v>
      </x:c>
      <x:c r="J314" s="627" t="n">
        <x:v>439.81</x:v>
      </x:c>
      <x:c r="K314" s="627" t="n">
        <x:v>0</x:v>
      </x:c>
      <x:c r="L314" s="627" t="n">
        <x:v>3857.99</x:v>
      </x:c>
      <x:c r="M314" s="627" t="n">
        <x:v>5654.13</x:v>
      </x:c>
      <x:c r="N314" s="627" t="n">
        <x:v>28054.76</x:v>
      </x:c>
      <x:c r="O314" s="627" t="n">
        <x:v>3139187.26</x:v>
      </x:c>
      <x:c r="P314" s="627" t="n">
        <x:v>717.6</x:v>
      </x:c>
      <x:c r="Q314" s="627" t="n">
        <x:v>0</x:v>
      </x:c>
      <x:c r="R314" s="653" t="n">
        <x:v>0</x:v>
      </x:c>
      <x:c r="Z314" s="624"/>
    </x:row>
    <x:row r="315" spans="1:26" x14ac:dyDescent="0.2">
      <x:c r="A315" s="667"/>
      <x:c r="B315" s="667" t="s">
        <x:v>120</x:v>
      </x:c>
      <x:c r="C315" s="667" t="s">
        <x:v>70</x:v>
      </x:c>
      <x:c r="D315" s="667"/>
      <x:c r="E315" s="672" t="n">
        <x:v>3047417.4</x:v>
      </x:c>
      <x:c r="F315" s="672" t="n">
        <x:v>1355555.49</x:v>
      </x:c>
      <x:c r="G315" s="672" t="n">
        <x:v>760037.54</x:v>
      </x:c>
      <x:c r="H315" s="672" t="n">
        <x:v>398958.5</x:v>
      </x:c>
      <x:c r="I315" s="672" t="n">
        <x:v>-912665.99</x:v>
      </x:c>
      <x:c r="J315" s="672" t="n">
        <x:v>-26555.02</x:v>
      </x:c>
      <x:c r="K315" s="672" t="n">
        <x:v>0</x:v>
      </x:c>
      <x:c r="L315" s="672" t="n">
        <x:v>-225910.86</x:v>
      </x:c>
      <x:c r="M315" s="672" t="n">
        <x:v>-264286.04</x:v>
      </x:c>
      <x:c r="N315" s="672" t="n">
        <x:v>-1286567.34</x:v>
      </x:c>
      <x:c r="O315" s="672" t="n">
        <x:v>3293455.38</x:v>
      </x:c>
      <x:c r="P315" s="672" t="n">
        <x:v>-44604.26</x:v>
      </x:c>
      <x:c r="Q315" s="672" t="n">
        <x:v>0</x:v>
      </x:c>
      <x:c r="R315" s="672" t="n">
        <x:v>0</x:v>
      </x:c>
      <x:c r="S315" s="667"/>
      <x:c r="T315" s="667"/>
      <x:c r="U315" s="667"/>
      <x:c r="V315" s="667"/>
      <x:c r="W315" s="667"/>
      <x:c r="X315" s="667"/>
      <x:c r="Y315" s="667"/>
      <x:c r="Z315" s="624"/>
    </x:row>
    <x:row r="316" spans="1:26" x14ac:dyDescent="0.2">
      <x:c r="D316" s="625" t="s">
        <x:v>73</x:v>
      </x:c>
      <x:c r="E316" s="627" t="n">
        <x:v>9692.06</x:v>
      </x:c>
      <x:c r="F316" s="627" t="n">
        <x:v>18576</x:v>
      </x:c>
      <x:c r="G316" s="627" t="n">
        <x:v>10518.42</x:v>
      </x:c>
      <x:c r="H316" s="627" t="n">
        <x:v>4573.71</x:v>
      </x:c>
      <x:c r="I316" s="627" t="n">
        <x:v>-24440.48</x:v>
      </x:c>
      <x:c r="J316" s="627" t="n">
        <x:v>-562.32</x:v>
      </x:c>
      <x:c r="K316" s="627" t="n">
        <x:v>0</x:v>
      </x:c>
      <x:c r="L316" s="627" t="n">
        <x:v>-4141.51</x:v>
      </x:c>
      <x:c r="M316" s="627" t="n">
        <x:v>-6583.19</x:v>
      </x:c>
      <x:c r="N316" s="627" t="n">
        <x:v>-37234</x:v>
      </x:c>
      <x:c r="O316" s="627" t="n">
        <x:v>50301.63</x:v>
      </x:c>
      <x:c r="P316" s="627" t="n">
        <x:v>-1316.2</x:v>
      </x:c>
      <x:c r="Q316" s="627" t="n">
        <x:v>0</x:v>
      </x:c>
      <x:c r="R316" s="653" t="n">
        <x:v>0</x:v>
      </x:c>
      <x:c r="Z316" s="624"/>
    </x:row>
    <x:row r="317" spans="1:26" x14ac:dyDescent="0.2">
      <x:c r="C317" s="25" t="s">
        <x:v>82</x:v>
      </x:c>
      <x:c r="D317" s="625" t="s">
        <x:v>70</x:v>
      </x:c>
      <x:c r="E317" s="627" t="n">
        <x:v>9692.06</x:v>
      </x:c>
      <x:c r="F317" s="627" t="n">
        <x:v>18576</x:v>
      </x:c>
      <x:c r="G317" s="627" t="n">
        <x:v>10518.42</x:v>
      </x:c>
      <x:c r="H317" s="627" t="n">
        <x:v>4573.71</x:v>
      </x:c>
      <x:c r="I317" s="627" t="n">
        <x:v>-24440.48</x:v>
      </x:c>
      <x:c r="J317" s="627" t="n">
        <x:v>-562.32</x:v>
      </x:c>
      <x:c r="K317" s="627" t="n">
        <x:v>0</x:v>
      </x:c>
      <x:c r="L317" s="627" t="n">
        <x:v>-4141.51</x:v>
      </x:c>
      <x:c r="M317" s="627" t="n">
        <x:v>-6583.19</x:v>
      </x:c>
      <x:c r="N317" s="627" t="n">
        <x:v>-37234</x:v>
      </x:c>
      <x:c r="O317" s="627" t="n">
        <x:v>50301.63</x:v>
      </x:c>
      <x:c r="P317" s="627" t="n">
        <x:v>-1316.2</x:v>
      </x:c>
      <x:c r="Q317" s="627" t="n">
        <x:v>0</x:v>
      </x:c>
      <x:c r="R317" s="653" t="n">
        <x:v>0</x:v>
      </x:c>
      <x:c r="Z317" s="624"/>
    </x:row>
    <x:row r="318" spans="1:26" x14ac:dyDescent="0.2">
      <x:c r="D318" s="625" t="s">
        <x:v>73</x:v>
      </x:c>
      <x:c r="E318" s="627" t="n">
        <x:v>-2115945.87</x:v>
      </x:c>
      <x:c r="F318" s="627" t="n">
        <x:v>-122058.6</x:v>
      </x:c>
      <x:c r="G318" s="627" t="n">
        <x:v>-70601.09</x:v>
      </x:c>
      <x:c r="H318" s="627" t="n">
        <x:v>-36379.54</x:v>
      </x:c>
      <x:c r="I318" s="627" t="n">
        <x:v>-755087.5</x:v>
      </x:c>
      <x:c r="J318" s="627" t="n">
        <x:v>-27028.55</x:v>
      </x:c>
      <x:c r="K318" s="627" t="n">
        <x:v>0</x:v>
      </x:c>
      <x:c r="L318" s="627" t="n">
        <x:v>-232649.91</x:v>
      </x:c>
      <x:c r="M318" s="627" t="n">
        <x:v>-236476.23</x:v>
      </x:c>
      <x:c r="N318" s="627" t="n">
        <x:v>-1214265.58</x:v>
      </x:c>
      <x:c r="O318" s="627" t="n">
        <x:v>622705.67</x:v>
      </x:c>
      <x:c r="P318" s="627" t="n">
        <x:v>-44104.54</x:v>
      </x:c>
      <x:c r="Q318" s="627" t="n">
        <x:v>0</x:v>
      </x:c>
      <x:c r="R318" s="653" t="n">
        <x:v>0</x:v>
      </x:c>
      <x:c r="Z318" s="624"/>
    </x:row>
    <x:row r="319" spans="1:26" x14ac:dyDescent="0.2">
      <x:c r="C319" s="25" t="s">
        <x:v>86</x:v>
      </x:c>
      <x:c r="D319" s="625" t="s">
        <x:v>70</x:v>
      </x:c>
      <x:c r="E319" s="627" t="n">
        <x:v>-2115945.87</x:v>
      </x:c>
      <x:c r="F319" s="627" t="n">
        <x:v>-122058.6</x:v>
      </x:c>
      <x:c r="G319" s="627" t="n">
        <x:v>-70601.09</x:v>
      </x:c>
      <x:c r="H319" s="627" t="n">
        <x:v>-36379.54</x:v>
      </x:c>
      <x:c r="I319" s="627" t="n">
        <x:v>-755087.5</x:v>
      </x:c>
      <x:c r="J319" s="627" t="n">
        <x:v>-27028.55</x:v>
      </x:c>
      <x:c r="K319" s="627" t="n">
        <x:v>0</x:v>
      </x:c>
      <x:c r="L319" s="627" t="n">
        <x:v>-232649.91</x:v>
      </x:c>
      <x:c r="M319" s="627" t="n">
        <x:v>-236476.23</x:v>
      </x:c>
      <x:c r="N319" s="627" t="n">
        <x:v>-1214265.58</x:v>
      </x:c>
      <x:c r="O319" s="627" t="n">
        <x:v>622705.67</x:v>
      </x:c>
      <x:c r="P319" s="627" t="n">
        <x:v>-44104.54</x:v>
      </x:c>
      <x:c r="Q319" s="627" t="n">
        <x:v>0</x:v>
      </x:c>
      <x:c r="R319" s="653" t="n">
        <x:v>0</x:v>
      </x:c>
      <x:c r="Z319" s="624"/>
    </x:row>
    <x:row r="320" spans="1:26" x14ac:dyDescent="0.2">
      <x:c r="C320" s="625"/>
      <x:c r="D320" s="625" t="s">
        <x:v>73</x:v>
      </x:c>
      <x:c r="E320" s="627" t="n">
        <x:v>2486196.64</x:v>
      </x:c>
      <x:c r="F320" s="627" t="n">
        <x:v>154533.22</x:v>
      </x:c>
      <x:c r="G320" s="627" t="n">
        <x:v>85945.77</x:v>
      </x:c>
      <x:c r="H320" s="627" t="n">
        <x:v>39304.26</x:v>
      </x:c>
      <x:c r="I320" s="627" t="n">
        <x:v>304865</x:v>
      </x:c>
      <x:c r="J320" s="627" t="n">
        <x:v>11493.68</x:v>
      </x:c>
      <x:c r="K320" s="627" t="n">
        <x:v>0</x:v>
      </x:c>
      <x:c r="L320" s="627" t="n">
        <x:v>105978.94</x:v>
      </x:c>
      <x:c r="M320" s="627" t="n">
        <x:v>138622.16</x:v>
      </x:c>
      <x:c r="N320" s="627" t="n">
        <x:v>699474.3</x:v>
      </x:c>
      <x:c r="O320" s="627" t="n">
        <x:v>927281.31</x:v>
      </x:c>
      <x:c r="P320" s="627" t="n">
        <x:v>18698</x:v>
      </x:c>
      <x:c r="Q320" s="627" t="n">
        <x:v>0</x:v>
      </x:c>
      <x:c r="R320" s="653" t="n">
        <x:v>0</x:v>
      </x:c>
      <x:c r="Z320" s="624"/>
    </x:row>
    <x:row r="321" spans="1:26" x14ac:dyDescent="0.2">
      <x:c r="B321" s="625"/>
      <x:c r="C321" s="625" t="s">
        <x:v>87</x:v>
      </x:c>
      <x:c r="D321" s="25" t="s">
        <x:v>70</x:v>
      </x:c>
      <x:c r="E321" s="627" t="n">
        <x:v>2486196.64</x:v>
      </x:c>
      <x:c r="F321" s="627" t="n">
        <x:v>154533.22</x:v>
      </x:c>
      <x:c r="G321" s="627" t="n">
        <x:v>85945.77</x:v>
      </x:c>
      <x:c r="H321" s="627" t="n">
        <x:v>39304.26</x:v>
      </x:c>
      <x:c r="I321" s="627" t="n">
        <x:v>304865</x:v>
      </x:c>
      <x:c r="J321" s="627" t="n">
        <x:v>11493.68</x:v>
      </x:c>
      <x:c r="K321" s="627" t="n">
        <x:v>0</x:v>
      </x:c>
      <x:c r="L321" s="627" t="n">
        <x:v>105978.94</x:v>
      </x:c>
      <x:c r="M321" s="627" t="n">
        <x:v>138622.16</x:v>
      </x:c>
      <x:c r="N321" s="627" t="n">
        <x:v>699474.3</x:v>
      </x:c>
      <x:c r="O321" s="627" t="n">
        <x:v>927281.31</x:v>
      </x:c>
      <x:c r="P321" s="627" t="n">
        <x:v>18698</x:v>
      </x:c>
      <x:c r="Q321" s="627" t="n">
        <x:v>0</x:v>
      </x:c>
      <x:c r="R321" s="653" t="n">
        <x:v>0</x:v>
      </x:c>
      <x:c r="Z321" s="624"/>
    </x:row>
    <x:row r="322" spans="1:26" x14ac:dyDescent="0.2">
      <x:c r="A322" s="631"/>
      <x:c r="B322" s="632" t="s">
        <x:v>119</x:v>
      </x:c>
      <x:c r="C322" s="632" t="s">
        <x:v>70</x:v>
      </x:c>
      <x:c r="D322" s="631"/>
      <x:c r="E322" s="633" t="n">
        <x:v>379942.83</x:v>
      </x:c>
      <x:c r="F322" s="633" t="n">
        <x:v>51050.62</x:v>
      </x:c>
      <x:c r="G322" s="633" t="n">
        <x:v>25863.1</x:v>
      </x:c>
      <x:c r="H322" s="633" t="n">
        <x:v>7498.43</x:v>
      </x:c>
      <x:c r="I322" s="633" t="n">
        <x:v>-474662.98</x:v>
      </x:c>
      <x:c r="J322" s="633" t="n">
        <x:v>-16097.19</x:v>
      </x:c>
      <x:c r="K322" s="633" t="n">
        <x:v>0</x:v>
      </x:c>
      <x:c r="L322" s="633" t="n">
        <x:v>-130812.48</x:v>
      </x:c>
      <x:c r="M322" s="633" t="n">
        <x:v>-104437.26</x:v>
      </x:c>
      <x:c r="N322" s="633" t="n">
        <x:v>-552025.28</x:v>
      </x:c>
      <x:c r="O322" s="633" t="n">
        <x:v>1600288.61</x:v>
      </x:c>
      <x:c r="P322" s="633" t="n">
        <x:v>-26722.74</x:v>
      </x:c>
      <x:c r="Q322" s="633" t="n">
        <x:v>0</x:v>
      </x:c>
      <x:c r="R322" s="678" t="n">
        <x:v>0</x:v>
      </x:c>
      <x:c r="S322" s="631"/>
      <x:c r="T322" s="631"/>
      <x:c r="U322" s="631"/>
      <x:c r="V322" s="631"/>
      <x:c r="W322" s="631"/>
      <x:c r="X322" s="631"/>
      <x:c r="Y322" s="631"/>
      <x:c r="Z322" s="624"/>
    </x:row>
    <x:row r="323" spans="1:26" x14ac:dyDescent="0.2">
      <x:c r="A323" s="639" t="s">
        <x:v>79</x:v>
      </x:c>
      <x:c r="B323" s="639" t="s">
        <x:v>70</x:v>
      </x:c>
      <x:c r="C323" s="638"/>
      <x:c r="D323" s="638"/>
      <x:c r="E323" s="640" t="n">
        <x:v>-11709082.98</x:v>
      </x:c>
      <x:c r="F323" s="640" t="n">
        <x:v>1037095.01</x:v>
      </x:c>
      <x:c r="G323" s="640" t="n">
        <x:v>558189.83</x:v>
      </x:c>
      <x:c r="H323" s="640" t="n">
        <x:v>279653.83</x:v>
      </x:c>
      <x:c r="I323" s="640" t="n">
        <x:v>-5420977.47</x:v>
      </x:c>
      <x:c r="J323" s="640" t="n">
        <x:v>-190031.9</x:v>
      </x:c>
      <x:c r="K323" s="640" t="n">
        <x:v>0</x:v>
      </x:c>
      <x:c r="L323" s="640" t="n">
        <x:v>-1646676.54</x:v>
      </x:c>
      <x:c r="M323" s="640" t="n">
        <x:v>-1625440.32</x:v>
      </x:c>
      <x:c r="N323" s="640" t="n">
        <x:v>-8345595.37</x:v>
      </x:c>
      <x:c r="O323" s="640" t="n">
        <x:v>3960453.69</x:v>
      </x:c>
      <x:c r="P323" s="640" t="n">
        <x:v>-315753.74</x:v>
      </x:c>
      <x:c r="Q323" s="640" t="n">
        <x:v>0</x:v>
      </x:c>
      <x:c r="R323" s="679" t="n">
        <x:v>0</x:v>
      </x:c>
      <x:c r="S323" s="638"/>
      <x:c r="T323" s="638"/>
      <x:c r="U323" s="638"/>
      <x:c r="V323" s="638"/>
      <x:c r="W323" s="638"/>
      <x:c r="X323" s="638"/>
      <x:c r="Y323" s="638"/>
      <x:c r="Z323" s="624"/>
    </x:row>
    <x:row r="324" spans="1:26" x14ac:dyDescent="0.2">
      <x:c r="A324" s="625" t="s">
        <x:v>70</x:v>
      </x:c>
      <x:c r="E324" s="627" t="n">
        <x:v>161461949.73</x:v>
      </x:c>
      <x:c r="F324" s="627" t="n">
        <x:v>17136200.32</x:v>
      </x:c>
      <x:c r="G324" s="627" t="n">
        <x:v>9619233.02</x:v>
      </x:c>
      <x:c r="H324" s="627" t="n">
        <x:v>3132599.89</x:v>
      </x:c>
      <x:c r="I324" s="627" t="n">
        <x:v>26919268.35</x:v>
      </x:c>
      <x:c r="J324" s="627" t="n">
        <x:v>934221.13</x:v>
      </x:c>
      <x:c r="K324" s="627" t="n">
        <x:v>0</x:v>
      </x:c>
      <x:c r="L324" s="627" t="n">
        <x:v>8141317.39</x:v>
      </x:c>
      <x:c r="M324" s="627" t="n">
        <x:v>8484157.98</x:v>
      </x:c>
      <x:c r="N324" s="627" t="n">
        <x:v>37980917.71</x:v>
      </x:c>
      <x:c r="O324" s="627" t="n">
        <x:v>47670495.35</x:v>
      </x:c>
      <x:c r="P324" s="627" t="n">
        <x:v>1443534.03</x:v>
      </x:c>
      <x:c r="Q324" s="627" t="n">
        <x:v>4.56</x:v>
      </x:c>
      <x:c r="R324" s="653" t="n">
        <x:v>0</x:v>
      </x:c>
      <x:c r="Z324" s="624"/>
    </x:row>
    <x:row r="325" spans="1:26" x14ac:dyDescent="0.2">
      <x:c r="C325" s="625"/>
      <x:c r="D325" s="625"/>
      <x:c r="E325" s="627"/>
      <x:c r="F325" s="627"/>
      <x:c r="G325" s="627"/>
      <x:c r="H325" s="627"/>
      <x:c r="I325" s="627"/>
      <x:c r="J325" s="627"/>
      <x:c r="K325" s="627"/>
      <x:c r="L325" s="627"/>
      <x:c r="M325" s="627"/>
      <x:c r="N325" s="627"/>
      <x:c r="O325" s="627"/>
      <x:c r="P325" s="627"/>
      <x:c r="Q325" s="627"/>
      <x:c r="Z325" s="624"/>
    </x:row>
    <x:row r="326" spans="1:26" x14ac:dyDescent="0.2">
      <x:c r="C326" s="625"/>
      <x:c r="D326" s="625"/>
      <x:c r="E326" s="627"/>
      <x:c r="F326" s="627"/>
      <x:c r="G326" s="627"/>
      <x:c r="H326" s="627"/>
      <x:c r="I326" s="627"/>
      <x:c r="J326" s="627"/>
      <x:c r="K326" s="627"/>
      <x:c r="L326" s="627"/>
      <x:c r="M326" s="627"/>
      <x:c r="N326" s="627"/>
      <x:c r="O326" s="627"/>
      <x:c r="P326" s="627"/>
      <x:c r="Q326" s="627"/>
      <x:c r="Z326" s="624"/>
    </x:row>
    <x:row r="327" spans="1:26" x14ac:dyDescent="0.2">
      <x:c r="C327" s="625"/>
      <x:c r="D327" s="625"/>
      <x:c r="E327" s="627"/>
      <x:c r="F327" s="627"/>
      <x:c r="G327" s="627"/>
      <x:c r="H327" s="627"/>
      <x:c r="I327" s="627"/>
      <x:c r="J327" s="627"/>
      <x:c r="K327" s="627"/>
      <x:c r="L327" s="627"/>
      <x:c r="M327" s="627"/>
      <x:c r="N327" s="627"/>
      <x:c r="O327" s="627"/>
      <x:c r="P327" s="627"/>
      <x:c r="Q327" s="627"/>
      <x:c r="Z327" s="624"/>
    </x:row>
    <x:row r="328" spans="1:26" x14ac:dyDescent="0.2">
      <x:c r="C328" s="625"/>
      <x:c r="D328" s="625"/>
      <x:c r="E328" s="627"/>
      <x:c r="F328" s="627"/>
      <x:c r="G328" s="627"/>
      <x:c r="H328" s="627"/>
      <x:c r="I328" s="627"/>
      <x:c r="J328" s="627"/>
      <x:c r="K328" s="627"/>
      <x:c r="L328" s="627"/>
      <x:c r="M328" s="627"/>
      <x:c r="N328" s="627"/>
      <x:c r="O328" s="627"/>
      <x:c r="P328" s="627"/>
      <x:c r="Q328" s="627"/>
      <x:c r="Z328" s="624"/>
    </x:row>
    <x:row r="329" spans="1:26" x14ac:dyDescent="0.2">
      <x:c r="C329" s="625"/>
      <x:c r="D329" s="625"/>
      <x:c r="E329" s="627"/>
      <x:c r="F329" s="627"/>
      <x:c r="G329" s="627"/>
      <x:c r="H329" s="627"/>
      <x:c r="I329" s="627"/>
      <x:c r="J329" s="627"/>
      <x:c r="K329" s="627"/>
      <x:c r="L329" s="627"/>
      <x:c r="M329" s="627"/>
      <x:c r="N329" s="627"/>
      <x:c r="O329" s="627"/>
      <x:c r="P329" s="627"/>
      <x:c r="Q329" s="627"/>
      <x:c r="Z329" s="624"/>
    </x:row>
    <x:row r="330" spans="1:26" x14ac:dyDescent="0.2">
      <x:c r="C330" s="625"/>
      <x:c r="D330" s="625"/>
      <x:c r="E330" s="627"/>
      <x:c r="F330" s="627"/>
      <x:c r="G330" s="627"/>
      <x:c r="H330" s="627"/>
      <x:c r="I330" s="627"/>
      <x:c r="J330" s="627"/>
      <x:c r="K330" s="627"/>
      <x:c r="L330" s="627"/>
      <x:c r="M330" s="627"/>
      <x:c r="N330" s="627"/>
      <x:c r="O330" s="627"/>
      <x:c r="P330" s="627"/>
      <x:c r="Q330" s="627"/>
      <x:c r="Z330" s="624"/>
    </x:row>
    <x:row r="331" spans="1:26" x14ac:dyDescent="0.2">
      <x:c r="C331" s="625"/>
      <x:c r="D331" s="625"/>
      <x:c r="E331" s="627"/>
      <x:c r="F331" s="627"/>
      <x:c r="G331" s="627"/>
      <x:c r="H331" s="627"/>
      <x:c r="I331" s="627"/>
      <x:c r="J331" s="627"/>
      <x:c r="K331" s="627"/>
      <x:c r="L331" s="627"/>
      <x:c r="M331" s="627"/>
      <x:c r="N331" s="627"/>
      <x:c r="O331" s="627"/>
      <x:c r="P331" s="627"/>
      <x:c r="Q331" s="627"/>
      <x:c r="Z331" s="624"/>
    </x:row>
    <x:row r="332" spans="1:26" x14ac:dyDescent="0.2">
      <x:c r="C332" s="625"/>
      <x:c r="D332" s="625"/>
      <x:c r="E332" s="627"/>
      <x:c r="F332" s="627"/>
      <x:c r="G332" s="627"/>
      <x:c r="H332" s="627"/>
      <x:c r="I332" s="627"/>
      <x:c r="J332" s="627"/>
      <x:c r="K332" s="627"/>
      <x:c r="L332" s="627"/>
      <x:c r="M332" s="627"/>
      <x:c r="N332" s="627"/>
      <x:c r="O332" s="627"/>
      <x:c r="P332" s="627"/>
      <x:c r="Q332" s="627"/>
      <x:c r="Z332" s="624"/>
    </x:row>
    <x:row r="333" spans="1:26" x14ac:dyDescent="0.2">
      <x:c r="C333" s="625"/>
      <x:c r="D333" s="625"/>
      <x:c r="E333" s="627"/>
      <x:c r="F333" s="627"/>
      <x:c r="G333" s="627"/>
      <x:c r="H333" s="627"/>
      <x:c r="I333" s="627"/>
      <x:c r="J333" s="627"/>
      <x:c r="K333" s="627"/>
      <x:c r="L333" s="627"/>
      <x:c r="M333" s="627"/>
      <x:c r="N333" s="627"/>
      <x:c r="O333" s="627"/>
      <x:c r="P333" s="627"/>
      <x:c r="Q333" s="627"/>
      <x:c r="Z333" s="624"/>
    </x:row>
    <x:row r="334" spans="1:26" x14ac:dyDescent="0.2">
      <x:c r="C334" s="625"/>
      <x:c r="D334" s="625"/>
      <x:c r="E334" s="627"/>
      <x:c r="F334" s="627"/>
      <x:c r="G334" s="627"/>
      <x:c r="H334" s="627"/>
      <x:c r="I334" s="627"/>
      <x:c r="J334" s="627"/>
      <x:c r="K334" s="627"/>
      <x:c r="L334" s="627"/>
      <x:c r="M334" s="627"/>
      <x:c r="N334" s="627"/>
      <x:c r="O334" s="627"/>
      <x:c r="P334" s="627"/>
      <x:c r="Q334" s="627"/>
      <x:c r="Z334" s="624"/>
    </x:row>
    <x:row r="335" spans="1:26" x14ac:dyDescent="0.2">
      <x:c r="C335" s="625"/>
      <x:c r="D335" s="625"/>
      <x:c r="E335" s="627"/>
      <x:c r="F335" s="627"/>
      <x:c r="G335" s="627"/>
      <x:c r="H335" s="627"/>
      <x:c r="I335" s="627"/>
      <x:c r="J335" s="627"/>
      <x:c r="K335" s="627"/>
      <x:c r="L335" s="627"/>
      <x:c r="M335" s="627"/>
      <x:c r="N335" s="627"/>
      <x:c r="O335" s="627"/>
      <x:c r="P335" s="627"/>
      <x:c r="Q335" s="627"/>
      <x:c r="Z335" s="624"/>
    </x:row>
    <x:row r="336" spans="1:26" x14ac:dyDescent="0.2">
      <x:c r="C336" s="625"/>
      <x:c r="D336" s="625"/>
      <x:c r="E336" s="627"/>
      <x:c r="F336" s="627"/>
      <x:c r="G336" s="627"/>
      <x:c r="H336" s="627"/>
      <x:c r="I336" s="627"/>
      <x:c r="J336" s="627"/>
      <x:c r="K336" s="627"/>
      <x:c r="L336" s="627"/>
      <x:c r="M336" s="627"/>
      <x:c r="N336" s="627"/>
      <x:c r="O336" s="627"/>
      <x:c r="P336" s="627"/>
      <x:c r="Q336" s="627"/>
      <x:c r="Z336" s="624"/>
    </x:row>
    <x:row r="337" spans="3:26" x14ac:dyDescent="0.2">
      <x:c r="C337" s="625"/>
      <x:c r="D337" s="625"/>
      <x:c r="E337" s="627"/>
      <x:c r="F337" s="627"/>
      <x:c r="G337" s="627"/>
      <x:c r="H337" s="627"/>
      <x:c r="I337" s="627"/>
      <x:c r="J337" s="627"/>
      <x:c r="K337" s="627"/>
      <x:c r="L337" s="627"/>
      <x:c r="M337" s="627"/>
      <x:c r="N337" s="627"/>
      <x:c r="O337" s="627"/>
      <x:c r="P337" s="627"/>
      <x:c r="Q337" s="627"/>
      <x:c r="Z337" s="624"/>
    </x:row>
    <x:row r="338" spans="3:26" x14ac:dyDescent="0.2">
      <x:c r="C338" s="625"/>
      <x:c r="D338" s="625"/>
      <x:c r="E338" s="627"/>
      <x:c r="F338" s="627"/>
      <x:c r="G338" s="627"/>
      <x:c r="H338" s="627"/>
      <x:c r="I338" s="627"/>
      <x:c r="J338" s="627"/>
      <x:c r="K338" s="627"/>
      <x:c r="L338" s="627"/>
      <x:c r="M338" s="627"/>
      <x:c r="N338" s="627"/>
      <x:c r="O338" s="627"/>
      <x:c r="P338" s="627"/>
      <x:c r="Q338" s="627"/>
      <x:c r="Z338" s="624"/>
    </x:row>
    <x:row r="339" spans="3:26" x14ac:dyDescent="0.2">
      <x:c r="C339" s="625"/>
      <x:c r="D339" s="625"/>
      <x:c r="E339" s="627"/>
      <x:c r="F339" s="627"/>
      <x:c r="G339" s="627"/>
      <x:c r="H339" s="627"/>
      <x:c r="I339" s="627"/>
      <x:c r="J339" s="627"/>
      <x:c r="K339" s="627"/>
      <x:c r="L339" s="627"/>
      <x:c r="M339" s="627"/>
      <x:c r="N339" s="627"/>
      <x:c r="O339" s="627"/>
      <x:c r="P339" s="627"/>
      <x:c r="Q339" s="627"/>
      <x:c r="Z339" s="624"/>
    </x:row>
    <x:row r="340" spans="3:26" x14ac:dyDescent="0.2">
      <x:c r="C340" s="625"/>
      <x:c r="D340" s="625"/>
      <x:c r="E340" s="627"/>
      <x:c r="F340" s="627"/>
      <x:c r="G340" s="627"/>
      <x:c r="H340" s="627"/>
      <x:c r="I340" s="627"/>
      <x:c r="J340" s="627"/>
      <x:c r="K340" s="627"/>
      <x:c r="L340" s="627"/>
      <x:c r="M340" s="627"/>
      <x:c r="N340" s="627"/>
      <x:c r="O340" s="627"/>
      <x:c r="P340" s="627"/>
      <x:c r="Q340" s="627"/>
      <x:c r="Z340" s="624"/>
    </x:row>
    <x:row r="341" spans="3:26" x14ac:dyDescent="0.2">
      <x:c r="C341" s="625"/>
      <x:c r="D341" s="625"/>
      <x:c r="E341" s="627"/>
      <x:c r="F341" s="627"/>
      <x:c r="G341" s="627"/>
      <x:c r="H341" s="627"/>
      <x:c r="I341" s="627"/>
      <x:c r="J341" s="627"/>
      <x:c r="K341" s="627"/>
      <x:c r="L341" s="627"/>
      <x:c r="M341" s="627"/>
      <x:c r="N341" s="627"/>
      <x:c r="O341" s="627"/>
      <x:c r="P341" s="627"/>
      <x:c r="Q341" s="627"/>
      <x:c r="Z341" s="624"/>
    </x:row>
    <x:row r="342" spans="3:26" x14ac:dyDescent="0.2">
      <x:c r="C342" s="625"/>
      <x:c r="D342" s="625"/>
      <x:c r="E342" s="627"/>
      <x:c r="F342" s="627"/>
      <x:c r="G342" s="627"/>
      <x:c r="H342" s="627"/>
      <x:c r="I342" s="627"/>
      <x:c r="J342" s="627"/>
      <x:c r="K342" s="627"/>
      <x:c r="L342" s="627"/>
      <x:c r="M342" s="627"/>
      <x:c r="N342" s="627"/>
      <x:c r="O342" s="627"/>
      <x:c r="P342" s="627"/>
      <x:c r="Q342" s="627"/>
      <x:c r="Z342" s="624"/>
    </x:row>
    <x:row r="343" spans="3:26" x14ac:dyDescent="0.2">
      <x:c r="C343" s="625"/>
      <x:c r="D343" s="625"/>
      <x:c r="E343" s="627"/>
      <x:c r="F343" s="627"/>
      <x:c r="G343" s="627"/>
      <x:c r="H343" s="627"/>
      <x:c r="I343" s="627"/>
      <x:c r="J343" s="627"/>
      <x:c r="K343" s="627"/>
      <x:c r="L343" s="627"/>
      <x:c r="M343" s="627"/>
      <x:c r="N343" s="627"/>
      <x:c r="O343" s="627"/>
      <x:c r="P343" s="627"/>
      <x:c r="Q343" s="627"/>
      <x:c r="Z343" s="624"/>
    </x:row>
    <x:row r="344" spans="3:26" x14ac:dyDescent="0.2">
      <x:c r="C344" s="625"/>
      <x:c r="D344" s="625"/>
      <x:c r="E344" s="627"/>
      <x:c r="F344" s="627"/>
      <x:c r="G344" s="627"/>
      <x:c r="H344" s="627"/>
      <x:c r="I344" s="627"/>
      <x:c r="J344" s="627"/>
      <x:c r="K344" s="627"/>
      <x:c r="L344" s="627"/>
      <x:c r="M344" s="627"/>
      <x:c r="N344" s="627"/>
      <x:c r="O344" s="627"/>
      <x:c r="P344" s="627"/>
      <x:c r="Q344" s="627"/>
      <x:c r="Z344" s="624"/>
    </x:row>
    <x:row r="345" spans="3:26" x14ac:dyDescent="0.2">
      <x:c r="C345" s="625"/>
      <x:c r="D345" s="625"/>
      <x:c r="E345" s="627"/>
      <x:c r="F345" s="627"/>
      <x:c r="G345" s="627"/>
      <x:c r="H345" s="627"/>
      <x:c r="I345" s="627"/>
      <x:c r="J345" s="627"/>
      <x:c r="K345" s="627"/>
      <x:c r="L345" s="627"/>
      <x:c r="M345" s="627"/>
      <x:c r="N345" s="627"/>
      <x:c r="O345" s="627"/>
      <x:c r="P345" s="627"/>
      <x:c r="Q345" s="627"/>
      <x:c r="Z345" s="624"/>
    </x:row>
    <x:row r="346" spans="3:26" x14ac:dyDescent="0.2">
      <x:c r="C346" s="625"/>
      <x:c r="D346" s="625"/>
      <x:c r="E346" s="627"/>
      <x:c r="F346" s="627"/>
      <x:c r="G346" s="627"/>
      <x:c r="H346" s="627"/>
      <x:c r="I346" s="627"/>
      <x:c r="J346" s="627"/>
      <x:c r="K346" s="627"/>
      <x:c r="L346" s="627"/>
      <x:c r="M346" s="627"/>
      <x:c r="N346" s="627"/>
      <x:c r="O346" s="627"/>
      <x:c r="P346" s="627"/>
      <x:c r="Q346" s="627"/>
      <x:c r="Z346" s="624"/>
    </x:row>
    <x:row r="347" spans="3:26" x14ac:dyDescent="0.2">
      <x:c r="C347" s="625"/>
      <x:c r="D347" s="625"/>
      <x:c r="E347" s="627"/>
      <x:c r="F347" s="627"/>
      <x:c r="G347" s="627"/>
      <x:c r="H347" s="627"/>
      <x:c r="I347" s="627"/>
      <x:c r="J347" s="627"/>
      <x:c r="K347" s="627"/>
      <x:c r="L347" s="627"/>
      <x:c r="M347" s="627"/>
      <x:c r="N347" s="627"/>
      <x:c r="O347" s="627"/>
      <x:c r="P347" s="627"/>
      <x:c r="Q347" s="627"/>
      <x:c r="Z347" s="624"/>
    </x:row>
    <x:row r="348" spans="3:26" x14ac:dyDescent="0.2">
      <x:c r="C348" s="625"/>
      <x:c r="D348" s="625"/>
      <x:c r="E348" s="627"/>
      <x:c r="F348" s="627"/>
      <x:c r="G348" s="627"/>
      <x:c r="H348" s="627"/>
      <x:c r="I348" s="627"/>
      <x:c r="J348" s="627"/>
      <x:c r="K348" s="627"/>
      <x:c r="L348" s="627"/>
      <x:c r="M348" s="627"/>
      <x:c r="N348" s="627"/>
      <x:c r="O348" s="627"/>
      <x:c r="P348" s="627"/>
      <x:c r="Q348" s="627"/>
      <x:c r="Z348" s="624"/>
    </x:row>
    <x:row r="349" spans="3:26" x14ac:dyDescent="0.2">
      <x:c r="C349" s="625"/>
      <x:c r="D349" s="625"/>
      <x:c r="E349" s="627"/>
      <x:c r="F349" s="627"/>
      <x:c r="G349" s="627"/>
      <x:c r="H349" s="627"/>
      <x:c r="I349" s="627"/>
      <x:c r="J349" s="627"/>
      <x:c r="K349" s="627"/>
      <x:c r="L349" s="627"/>
      <x:c r="M349" s="627"/>
      <x:c r="N349" s="627"/>
      <x:c r="O349" s="627"/>
      <x:c r="P349" s="627"/>
      <x:c r="Q349" s="627"/>
      <x:c r="Z349" s="624"/>
    </x:row>
    <x:row r="350" spans="3:26" x14ac:dyDescent="0.2">
      <x:c r="C350" s="625"/>
      <x:c r="D350" s="625"/>
      <x:c r="E350" s="627"/>
      <x:c r="F350" s="627"/>
      <x:c r="G350" s="627"/>
      <x:c r="H350" s="627"/>
      <x:c r="I350" s="627"/>
      <x:c r="J350" s="627"/>
      <x:c r="K350" s="627"/>
      <x:c r="L350" s="627"/>
      <x:c r="M350" s="627"/>
      <x:c r="N350" s="627"/>
      <x:c r="O350" s="627"/>
      <x:c r="P350" s="627"/>
      <x:c r="Q350" s="627"/>
      <x:c r="Z350" s="624"/>
    </x:row>
    <x:row r="351" spans="3:26" x14ac:dyDescent="0.2">
      <x:c r="C351" s="625"/>
      <x:c r="D351" s="625"/>
      <x:c r="E351" s="627"/>
      <x:c r="F351" s="627"/>
      <x:c r="G351" s="627"/>
      <x:c r="H351" s="627"/>
      <x:c r="I351" s="627"/>
      <x:c r="J351" s="627"/>
      <x:c r="K351" s="627"/>
      <x:c r="L351" s="627"/>
      <x:c r="M351" s="627"/>
      <x:c r="N351" s="627"/>
      <x:c r="O351" s="627"/>
      <x:c r="P351" s="627"/>
      <x:c r="Q351" s="627"/>
      <x:c r="Z351" s="624"/>
    </x:row>
    <x:row r="352" spans="3:26" x14ac:dyDescent="0.2">
      <x:c r="C352" s="625"/>
      <x:c r="D352" s="625"/>
      <x:c r="E352" s="627"/>
      <x:c r="F352" s="627"/>
      <x:c r="G352" s="627"/>
      <x:c r="H352" s="627"/>
      <x:c r="I352" s="627"/>
      <x:c r="J352" s="627"/>
      <x:c r="K352" s="627"/>
      <x:c r="L352" s="627"/>
      <x:c r="M352" s="627"/>
      <x:c r="N352" s="627"/>
      <x:c r="O352" s="627"/>
      <x:c r="P352" s="627"/>
      <x:c r="Q352" s="627"/>
      <x:c r="Z352" s="624"/>
    </x:row>
    <x:row r="353" spans="1:26" x14ac:dyDescent="0.2">
      <x:c r="C353" s="625"/>
      <x:c r="D353" s="625"/>
      <x:c r="E353" s="627"/>
      <x:c r="F353" s="627"/>
      <x:c r="G353" s="627"/>
      <x:c r="H353" s="627"/>
      <x:c r="I353" s="627"/>
      <x:c r="J353" s="627"/>
      <x:c r="K353" s="627"/>
      <x:c r="L353" s="627"/>
      <x:c r="M353" s="627"/>
      <x:c r="N353" s="627"/>
      <x:c r="O353" s="627"/>
      <x:c r="P353" s="627"/>
      <x:c r="Q353" s="627"/>
      <x:c r="Z353" s="624"/>
    </x:row>
    <x:row r="354" spans="1:26" x14ac:dyDescent="0.2">
      <x:c r="C354" s="625"/>
      <x:c r="D354" s="625"/>
      <x:c r="E354" s="627"/>
      <x:c r="F354" s="627"/>
      <x:c r="G354" s="627"/>
      <x:c r="H354" s="627"/>
      <x:c r="I354" s="627"/>
      <x:c r="J354" s="627"/>
      <x:c r="K354" s="627"/>
      <x:c r="L354" s="627"/>
      <x:c r="M354" s="627"/>
      <x:c r="N354" s="627"/>
      <x:c r="O354" s="627"/>
      <x:c r="P354" s="627"/>
      <x:c r="Q354" s="627"/>
      <x:c r="Z354" s="624"/>
    </x:row>
    <x:row r="355" spans="1:26" x14ac:dyDescent="0.2">
      <x:c r="C355" s="625"/>
      <x:c r="D355" s="625"/>
      <x:c r="E355" s="627"/>
      <x:c r="F355" s="627"/>
      <x:c r="G355" s="627"/>
      <x:c r="H355" s="627"/>
      <x:c r="I355" s="627"/>
      <x:c r="J355" s="627"/>
      <x:c r="K355" s="627"/>
      <x:c r="L355" s="627"/>
      <x:c r="M355" s="627"/>
      <x:c r="N355" s="627"/>
      <x:c r="O355" s="627"/>
      <x:c r="P355" s="627"/>
      <x:c r="Q355" s="627"/>
      <x:c r="Z355" s="624"/>
    </x:row>
    <x:row r="356" spans="1:26" x14ac:dyDescent="0.2">
      <x:c r="C356" s="625"/>
      <x:c r="D356" s="625"/>
      <x:c r="E356" s="627"/>
      <x:c r="F356" s="627"/>
      <x:c r="G356" s="627"/>
      <x:c r="H356" s="627"/>
      <x:c r="I356" s="627"/>
      <x:c r="J356" s="627"/>
      <x:c r="K356" s="627"/>
      <x:c r="L356" s="627"/>
      <x:c r="M356" s="627"/>
      <x:c r="N356" s="627"/>
      <x:c r="O356" s="627"/>
      <x:c r="P356" s="627"/>
      <x:c r="Q356" s="627"/>
      <x:c r="Z356" s="624"/>
    </x:row>
    <x:row r="357" spans="1:26" x14ac:dyDescent="0.2">
      <x:c r="C357" s="625"/>
      <x:c r="D357" s="625"/>
      <x:c r="E357" s="627"/>
      <x:c r="F357" s="627"/>
      <x:c r="G357" s="627"/>
      <x:c r="H357" s="627"/>
      <x:c r="I357" s="627"/>
      <x:c r="J357" s="627"/>
      <x:c r="K357" s="627"/>
      <x:c r="L357" s="627"/>
      <x:c r="M357" s="627"/>
      <x:c r="N357" s="627"/>
      <x:c r="O357" s="627"/>
      <x:c r="P357" s="627"/>
      <x:c r="Q357" s="627"/>
      <x:c r="Z357" s="624"/>
    </x:row>
    <x:row r="358" spans="1:26" x14ac:dyDescent="0.2">
      <x:c r="B358" s="770" t="s">
        <x:v>2</x:v>
      </x:c>
      <x:c r="C358" s="768" t="s">
        <x:v>132</x:v>
      </x:c>
      <x:c r="D358" s="639" t="s">
        <x:v>70</x:v>
      </x:c>
      <x:c r="E358" s="640">
        <x:f>E303+E323-K303</x:f>
        <x:v>0</x:v>
      </x:c>
      <x:c r="F358" s="640">
        <x:f>F303</x:f>
        <x:v>0</x:v>
      </x:c>
      <x:c r="G358" s="640">
        <x:f t="shared" ref="G358:R358" si="10">G303</x:f>
        <x:v>0</x:v>
      </x:c>
      <x:c r="H358" s="640">
        <x:f t="shared" si="10"/>
        <x:v>0</x:v>
      </x:c>
      <x:c r="I358" s="640">
        <x:f t="shared" si="10"/>
        <x:v>0</x:v>
      </x:c>
      <x:c r="J358" s="640">
        <x:f t="shared" si="10"/>
        <x:v>0</x:v>
      </x:c>
      <x:c r="K358" s="640">
        <x:f t="shared" si="10"/>
        <x:v>0</x:v>
      </x:c>
      <x:c r="L358" s="640">
        <x:f t="shared" si="10"/>
        <x:v>0</x:v>
      </x:c>
      <x:c r="M358" s="640">
        <x:f t="shared" si="10"/>
        <x:v>0</x:v>
      </x:c>
      <x:c r="N358" s="640">
        <x:f t="shared" si="10"/>
        <x:v>0</x:v>
      </x:c>
      <x:c r="O358" s="640">
        <x:f t="shared" si="10"/>
        <x:v>0</x:v>
      </x:c>
      <x:c r="P358" s="640">
        <x:f t="shared" si="10"/>
        <x:v>0</x:v>
      </x:c>
      <x:c r="Q358" s="640">
        <x:f t="shared" si="10"/>
        <x:v>0</x:v>
      </x:c>
      <x:c r="R358" s="640">
        <x:f t="shared" si="10"/>
        <x:v>0</x:v>
      </x:c>
      <x:c r="Z358" s="624"/>
    </x:row>
    <x:row r="359" spans="1:26" x14ac:dyDescent="0.2">
      <x:c r="B359" s="770"/>
      <x:c r="C359" s="768"/>
      <x:c r="D359" s="639" t="s">
        <x:v>73</x:v>
      </x:c>
      <x:c r="E359" s="640">
        <x:f>E323</x:f>
        <x:v>0</x:v>
      </x:c>
      <x:c r="F359" s="627"/>
      <x:c r="G359" s="627"/>
      <x:c r="H359" s="627"/>
      <x:c r="I359" s="627"/>
      <x:c r="J359" s="627"/>
      <x:c r="K359" s="627"/>
      <x:c r="L359" s="627"/>
      <x:c r="M359" s="627"/>
      <x:c r="N359" s="627"/>
      <x:c r="O359" s="627"/>
      <x:c r="P359" s="627"/>
      <x:c r="Q359" s="627"/>
      <x:c r="R359" s="627"/>
      <x:c r="Z359" s="624"/>
    </x:row>
    <x:row r="360" spans="1:26" ht="15" x14ac:dyDescent="0.25">
      <x:c r="A360" s="625"/>
      <x:c r="B360" s="50"/>
      <x:c r="E360" s="627"/>
      <x:c r="F360" s="627"/>
      <x:c r="G360" s="627"/>
      <x:c r="H360" s="627"/>
      <x:c r="I360" s="627"/>
      <x:c r="J360" s="627"/>
      <x:c r="K360" s="627"/>
      <x:c r="L360" s="627"/>
      <x:c r="M360" s="627"/>
      <x:c r="N360" s="627"/>
      <x:c r="O360" s="627"/>
      <x:c r="P360" s="627"/>
      <x:c r="Q360" s="627"/>
      <x:c r="R360" s="627"/>
      <x:c r="Z360" s="624"/>
    </x:row>
    <x:row r="361" spans="1:26" x14ac:dyDescent="0.2">
      <x:c r="B361" s="770" t="s">
        <x:v>160</x:v>
      </x:c>
      <x:c r="C361" s="768" t="s">
        <x:v>132</x:v>
      </x:c>
      <x:c r="D361" s="647" t="s">
        <x:v>70</x:v>
      </x:c>
      <x:c r="E361" s="648">
        <x:f>E315+E292-K292</x:f>
        <x:v>0</x:v>
      </x:c>
      <x:c r="F361" s="648">
        <x:f>F292</x:f>
        <x:v>0</x:v>
      </x:c>
      <x:c r="G361" s="648">
        <x:f t="shared" ref="G361:R361" si="11">G292</x:f>
        <x:v>0</x:v>
      </x:c>
      <x:c r="H361" s="648">
        <x:f t="shared" si="11"/>
        <x:v>0</x:v>
      </x:c>
      <x:c r="I361" s="648">
        <x:f t="shared" si="11"/>
        <x:v>0</x:v>
      </x:c>
      <x:c r="J361" s="648">
        <x:f t="shared" si="11"/>
        <x:v>0</x:v>
      </x:c>
      <x:c r="K361" s="648">
        <x:f t="shared" si="11"/>
        <x:v>0</x:v>
      </x:c>
      <x:c r="L361" s="648">
        <x:f t="shared" si="11"/>
        <x:v>0</x:v>
      </x:c>
      <x:c r="M361" s="648">
        <x:f t="shared" si="11"/>
        <x:v>0</x:v>
      </x:c>
      <x:c r="N361" s="648">
        <x:f t="shared" si="11"/>
        <x:v>0</x:v>
      </x:c>
      <x:c r="O361" s="648">
        <x:f t="shared" si="11"/>
        <x:v>0</x:v>
      </x:c>
      <x:c r="P361" s="648">
        <x:f t="shared" si="11"/>
        <x:v>0</x:v>
      </x:c>
      <x:c r="Q361" s="648">
        <x:f t="shared" si="11"/>
        <x:v>0</x:v>
      </x:c>
      <x:c r="R361" s="648">
        <x:f t="shared" si="11"/>
        <x:v>0</x:v>
      </x:c>
      <x:c r="Z361" s="624"/>
    </x:row>
    <x:row r="362" spans="1:26" x14ac:dyDescent="0.2">
      <x:c r="B362" s="770"/>
      <x:c r="C362" s="768"/>
      <x:c r="D362" s="647" t="s">
        <x:v>73</x:v>
      </x:c>
      <x:c r="E362" s="648">
        <x:f>E315</x:f>
        <x:v>0</x:v>
      </x:c>
      <x:c r="F362" s="627"/>
      <x:c r="G362" s="627"/>
      <x:c r="H362" s="627"/>
      <x:c r="I362" s="627"/>
      <x:c r="J362" s="627"/>
      <x:c r="K362" s="627"/>
      <x:c r="L362" s="627"/>
      <x:c r="M362" s="627"/>
      <x:c r="N362" s="627"/>
      <x:c r="O362" s="627"/>
      <x:c r="P362" s="627"/>
      <x:c r="Q362" s="627"/>
      <x:c r="R362" s="627"/>
      <x:c r="Z362" s="624"/>
    </x:row>
    <x:row r="363" spans="1:26" ht="15" x14ac:dyDescent="0.25">
      <x:c r="A363" s="625"/>
      <x:c r="B363" s="50"/>
      <x:c r="E363" s="627"/>
      <x:c r="F363" s="627"/>
      <x:c r="G363" s="627"/>
      <x:c r="H363" s="627"/>
      <x:c r="I363" s="627"/>
      <x:c r="J363" s="627"/>
      <x:c r="K363" s="627"/>
      <x:c r="L363" s="627"/>
      <x:c r="M363" s="627"/>
      <x:c r="N363" s="627"/>
      <x:c r="O363" s="627"/>
      <x:c r="P363" s="627"/>
      <x:c r="Q363" s="627"/>
      <x:c r="R363" s="627"/>
      <x:c r="Z363" s="624"/>
    </x:row>
    <x:row r="364" spans="1:26" x14ac:dyDescent="0.2">
      <x:c r="B364" s="770" t="s">
        <x:v>155</x:v>
      </x:c>
      <x:c r="C364" s="768" t="s">
        <x:v>132</x:v>
      </x:c>
      <x:c r="D364" s="651" t="s">
        <x:v>70</x:v>
      </x:c>
      <x:c r="E364" s="652">
        <x:f>E306+E279-K279</x:f>
        <x:v>0</x:v>
      </x:c>
      <x:c r="F364" s="652">
        <x:f t="shared" ref="F364:R364" si="12">F279</x:f>
        <x:v>0</x:v>
      </x:c>
      <x:c r="G364" s="652">
        <x:f t="shared" si="12"/>
        <x:v>0</x:v>
      </x:c>
      <x:c r="H364" s="652">
        <x:f t="shared" si="12"/>
        <x:v>0</x:v>
      </x:c>
      <x:c r="I364" s="652">
        <x:f t="shared" si="12"/>
        <x:v>0</x:v>
      </x:c>
      <x:c r="J364" s="652">
        <x:f t="shared" si="12"/>
        <x:v>0</x:v>
      </x:c>
      <x:c r="K364" s="652">
        <x:f t="shared" si="12"/>
        <x:v>0</x:v>
      </x:c>
      <x:c r="L364" s="652">
        <x:f t="shared" si="12"/>
        <x:v>0</x:v>
      </x:c>
      <x:c r="M364" s="652">
        <x:f t="shared" si="12"/>
        <x:v>0</x:v>
      </x:c>
      <x:c r="N364" s="652">
        <x:f t="shared" si="12"/>
        <x:v>0</x:v>
      </x:c>
      <x:c r="O364" s="652">
        <x:f t="shared" si="12"/>
        <x:v>0</x:v>
      </x:c>
      <x:c r="P364" s="652">
        <x:f t="shared" si="12"/>
        <x:v>0</x:v>
      </x:c>
      <x:c r="Q364" s="652">
        <x:f t="shared" si="12"/>
        <x:v>0</x:v>
      </x:c>
      <x:c r="R364" s="652">
        <x:f t="shared" si="12"/>
        <x:v>0</x:v>
      </x:c>
      <x:c r="Z364" s="624"/>
    </x:row>
    <x:row r="365" spans="1:26" x14ac:dyDescent="0.2">
      <x:c r="B365" s="770"/>
      <x:c r="C365" s="768"/>
      <x:c r="D365" s="651" t="s">
        <x:v>73</x:v>
      </x:c>
      <x:c r="E365" s="652">
        <x:f>E306</x:f>
        <x:v>0</x:v>
      </x:c>
      <x:c r="F365" s="627"/>
      <x:c r="G365" s="627"/>
      <x:c r="H365" s="627"/>
      <x:c r="I365" s="627"/>
      <x:c r="J365" s="627"/>
      <x:c r="K365" s="627"/>
      <x:c r="L365" s="627"/>
      <x:c r="M365" s="627"/>
      <x:c r="N365" s="627"/>
      <x:c r="O365" s="627"/>
      <x:c r="P365" s="627"/>
      <x:c r="Q365" s="627"/>
      <x:c r="R365" s="627"/>
      <x:c r="Z365" s="624"/>
    </x:row>
    <x:row r="366" spans="1:26" ht="15" x14ac:dyDescent="0.25">
      <x:c r="A366" s="625"/>
      <x:c r="B366" s="50"/>
      <x:c r="E366" s="627"/>
      <x:c r="F366" s="627"/>
      <x:c r="G366" s="627"/>
      <x:c r="H366" s="627"/>
      <x:c r="I366" s="627"/>
      <x:c r="J366" s="627"/>
      <x:c r="K366" s="627"/>
      <x:c r="L366" s="627"/>
      <x:c r="M366" s="627"/>
      <x:c r="N366" s="627"/>
      <x:c r="O366" s="627"/>
      <x:c r="P366" s="627"/>
      <x:c r="Q366" s="627"/>
      <x:c r="R366" s="627"/>
      <x:c r="Z366" s="624"/>
    </x:row>
    <x:row r="367" spans="1:26" x14ac:dyDescent="0.2">
      <x:c r="B367" s="771" t="s">
        <x:v>326</x:v>
      </x:c>
      <x:c r="C367" s="768" t="s">
        <x:v>132</x:v>
      </x:c>
      <x:c r="D367" s="654" t="s">
        <x:v>70</x:v>
      </x:c>
      <x:c r="E367" s="655">
        <x:v>0</x:v>
      </x:c>
      <x:c r="F367" s="655">
        <x:v>0</x:v>
      </x:c>
      <x:c r="G367" s="655">
        <x:v>0</x:v>
      </x:c>
      <x:c r="H367" s="655">
        <x:v>0</x:v>
      </x:c>
      <x:c r="I367" s="655">
        <x:v>0</x:v>
      </x:c>
      <x:c r="J367" s="655">
        <x:v>0</x:v>
      </x:c>
      <x:c r="K367" s="655">
        <x:v>0</x:v>
      </x:c>
      <x:c r="L367" s="655">
        <x:v>0</x:v>
      </x:c>
      <x:c r="M367" s="655">
        <x:v>0</x:v>
      </x:c>
      <x:c r="N367" s="655">
        <x:v>0</x:v>
      </x:c>
      <x:c r="O367" s="655">
        <x:v>0</x:v>
      </x:c>
      <x:c r="P367" s="655">
        <x:v>0</x:v>
      </x:c>
      <x:c r="Q367" s="655">
        <x:v>0</x:v>
      </x:c>
      <x:c r="R367" s="655">
        <x:v>0</x:v>
      </x:c>
      <x:c r="Z367" s="624"/>
    </x:row>
    <x:row r="368" spans="1:26" x14ac:dyDescent="0.2">
      <x:c r="B368" s="771"/>
      <x:c r="C368" s="768"/>
      <x:c r="D368" s="654" t="s">
        <x:v>73</x:v>
      </x:c>
      <x:c r="E368" s="655">
        <x:v>0</x:v>
      </x:c>
      <x:c r="F368" s="627"/>
      <x:c r="G368" s="627"/>
      <x:c r="H368" s="627"/>
      <x:c r="I368" s="627"/>
      <x:c r="J368" s="627"/>
      <x:c r="K368" s="627"/>
      <x:c r="L368" s="627"/>
      <x:c r="M368" s="627"/>
      <x:c r="N368" s="627"/>
      <x:c r="O368" s="627"/>
      <x:c r="P368" s="627"/>
      <x:c r="Q368" s="627"/>
      <x:c r="R368" s="627"/>
      <x:c r="Z368" s="624"/>
    </x:row>
    <x:row r="369" spans="1:26" ht="15" x14ac:dyDescent="0.25">
      <x:c r="A369" s="625"/>
      <x:c r="B369" s="50"/>
      <x:c r="E369" s="627"/>
      <x:c r="F369" s="627"/>
      <x:c r="G369" s="627"/>
      <x:c r="H369" s="627"/>
      <x:c r="I369" s="627"/>
      <x:c r="J369" s="627"/>
      <x:c r="K369" s="627"/>
      <x:c r="L369" s="627"/>
      <x:c r="M369" s="627"/>
      <x:c r="N369" s="627"/>
      <x:c r="O369" s="627"/>
      <x:c r="P369" s="627"/>
      <x:c r="Q369" s="627"/>
      <x:c r="R369" s="627"/>
      <x:c r="Z369" s="624"/>
    </x:row>
    <x:row r="370" spans="1:26" x14ac:dyDescent="0.2">
      <x:c r="A370" s="25" t="s">
        <x:v>227</x:v>
      </x:c>
      <x:c r="B370" s="770" t="s">
        <x:v>119</x:v>
      </x:c>
      <x:c r="C370" s="768" t="s">
        <x:v>132</x:v>
      </x:c>
      <x:c r="D370" s="632" t="s">
        <x:v>70</x:v>
      </x:c>
      <x:c r="E370" s="633">
        <x:f>E302+E322-K302</x:f>
        <x:v>0</x:v>
      </x:c>
      <x:c r="F370" s="633">
        <x:f>F302</x:f>
        <x:v>0</x:v>
      </x:c>
      <x:c r="G370" s="633">
        <x:f t="shared" ref="G370:R370" si="13">G302</x:f>
        <x:v>0</x:v>
      </x:c>
      <x:c r="H370" s="633">
        <x:f t="shared" si="13"/>
        <x:v>0</x:v>
      </x:c>
      <x:c r="I370" s="633">
        <x:f t="shared" si="13"/>
        <x:v>0</x:v>
      </x:c>
      <x:c r="J370" s="633">
        <x:f t="shared" si="13"/>
        <x:v>0</x:v>
      </x:c>
      <x:c r="K370" s="633">
        <x:f t="shared" si="13"/>
        <x:v>0</x:v>
      </x:c>
      <x:c r="L370" s="633">
        <x:f t="shared" si="13"/>
        <x:v>0</x:v>
      </x:c>
      <x:c r="M370" s="633">
        <x:f t="shared" si="13"/>
        <x:v>0</x:v>
      </x:c>
      <x:c r="N370" s="633">
        <x:f t="shared" si="13"/>
        <x:v>0</x:v>
      </x:c>
      <x:c r="O370" s="633">
        <x:f t="shared" si="13"/>
        <x:v>0</x:v>
      </x:c>
      <x:c r="P370" s="633">
        <x:f t="shared" si="13"/>
        <x:v>0</x:v>
      </x:c>
      <x:c r="Q370" s="633">
        <x:f t="shared" si="13"/>
        <x:v>0</x:v>
      </x:c>
      <x:c r="R370" s="633">
        <x:f t="shared" si="13"/>
        <x:v>0</x:v>
      </x:c>
      <x:c r="Z370" s="624"/>
    </x:row>
    <x:row r="371" spans="1:26" x14ac:dyDescent="0.2">
      <x:c r="B371" s="770"/>
      <x:c r="C371" s="768"/>
      <x:c r="D371" s="632" t="s">
        <x:v>73</x:v>
      </x:c>
      <x:c r="E371" s="633">
        <x:f>E322</x:f>
        <x:v>0</x:v>
      </x:c>
      <x:c r="F371" s="627"/>
      <x:c r="G371" s="627"/>
      <x:c r="H371" s="627"/>
      <x:c r="I371" s="627"/>
      <x:c r="J371" s="627"/>
      <x:c r="K371" s="627"/>
      <x:c r="L371" s="627"/>
      <x:c r="M371" s="627"/>
      <x:c r="N371" s="627"/>
      <x:c r="O371" s="627"/>
      <x:c r="P371" s="627"/>
      <x:c r="Q371" s="627"/>
      <x:c r="R371" s="627"/>
      <x:c r="Z371" s="624"/>
    </x:row>
    <x:row r="372" spans="1:26" ht="15" x14ac:dyDescent="0.25">
      <x:c r="A372" s="625"/>
      <x:c r="B372" s="50"/>
      <x:c r="E372" s="627"/>
      <x:c r="F372" s="627"/>
      <x:c r="G372" s="627"/>
      <x:c r="H372" s="627"/>
      <x:c r="I372" s="627"/>
      <x:c r="J372" s="627"/>
      <x:c r="K372" s="627"/>
      <x:c r="L372" s="627"/>
      <x:c r="M372" s="627"/>
      <x:c r="N372" s="627"/>
      <x:c r="O372" s="627"/>
      <x:c r="P372" s="627"/>
      <x:c r="Q372" s="627"/>
      <x:c r="R372" s="627"/>
      <x:c r="Z372" s="624"/>
    </x:row>
    <x:row r="373" spans="1:26" x14ac:dyDescent="0.2">
      <x:c r="B373" s="769" t="s">
        <x:v>161</x:v>
      </x:c>
      <x:c r="C373" s="768" t="s">
        <x:v>132</x:v>
      </x:c>
      <x:c r="D373" s="661" t="s">
        <x:v>70</x:v>
      </x:c>
      <x:c r="E373" s="662">
        <x:v>0</x:v>
      </x:c>
      <x:c r="F373" s="662">
        <x:v>0</x:v>
      </x:c>
      <x:c r="G373" s="662">
        <x:v>0</x:v>
      </x:c>
      <x:c r="H373" s="662">
        <x:v>0</x:v>
      </x:c>
      <x:c r="I373" s="662">
        <x:v>0</x:v>
      </x:c>
      <x:c r="J373" s="662">
        <x:v>0</x:v>
      </x:c>
      <x:c r="K373" s="662">
        <x:v>0</x:v>
      </x:c>
      <x:c r="L373" s="662">
        <x:v>0</x:v>
      </x:c>
      <x:c r="M373" s="662">
        <x:v>0</x:v>
      </x:c>
      <x:c r="N373" s="662">
        <x:v>0</x:v>
      </x:c>
      <x:c r="O373" s="662">
        <x:v>0</x:v>
      </x:c>
      <x:c r="P373" s="662">
        <x:v>0</x:v>
      </x:c>
      <x:c r="Q373" s="662">
        <x:v>0</x:v>
      </x:c>
      <x:c r="R373" s="662">
        <x:v>0</x:v>
      </x:c>
      <x:c r="Z373" s="624"/>
    </x:row>
    <x:row r="374" spans="1:26" x14ac:dyDescent="0.2">
      <x:c r="B374" s="769"/>
      <x:c r="C374" s="768"/>
      <x:c r="D374" s="661" t="s">
        <x:v>73</x:v>
      </x:c>
      <x:c r="E374" s="662">
        <x:v>0</x:v>
      </x:c>
      <x:c r="F374" s="627"/>
      <x:c r="G374" s="627"/>
      <x:c r="H374" s="627"/>
      <x:c r="I374" s="627"/>
      <x:c r="J374" s="627"/>
      <x:c r="K374" s="627"/>
      <x:c r="L374" s="627"/>
      <x:c r="M374" s="627"/>
      <x:c r="N374" s="627"/>
      <x:c r="O374" s="627"/>
      <x:c r="P374" s="627"/>
      <x:c r="Q374" s="627"/>
      <x:c r="R374" s="627"/>
      <x:c r="Z374" s="624"/>
    </x:row>
    <x:row r="375" spans="1:26" x14ac:dyDescent="0.2">
      <x:c r="A375" s="624"/>
      <x:c r="B375" s="624"/>
      <x:c r="C375" s="624"/>
      <x:c r="D375" s="624"/>
      <x:c r="E375" s="624"/>
      <x:c r="F375" s="624"/>
      <x:c r="G375" s="624"/>
      <x:c r="H375" s="624"/>
      <x:c r="I375" s="624"/>
      <x:c r="J375" s="624"/>
      <x:c r="K375" s="624"/>
      <x:c r="L375" s="624"/>
      <x:c r="M375" s="624"/>
      <x:c r="N375" s="624"/>
      <x:c r="O375" s="624"/>
      <x:c r="P375" s="624"/>
      <x:c r="Q375" s="624"/>
      <x:c r="R375" s="624"/>
      <x:c r="S375" s="624"/>
      <x:c r="T375" s="624"/>
      <x:c r="U375" s="624"/>
      <x:c r="V375" s="624"/>
      <x:c r="W375" s="624"/>
      <x:c r="X375" s="624"/>
      <x:c r="Y375" s="624"/>
      <x:c r="Z375" s="624"/>
    </x:row>
    <x:row r="376" spans="1:26" ht="15" x14ac:dyDescent="0.25">
      <x:c r="B376" s="676" t="s">
        <x:v>93</x:v>
      </x:c>
      <x:c r="Z376" s="624"/>
    </x:row>
    <x:row r="377" spans="1:26" s="50" customFormat="1" ht="15" x14ac:dyDescent="0.25">
      <x:c r="E377" s="669" t="s">
        <x:v>70</x:v>
      </x:c>
      <x:c r="F377" s="669" t="s">
        <x:v>64</x:v>
      </x:c>
      <x:c r="G377" s="669" t="s">
        <x:v>65</x:v>
      </x:c>
      <x:c r="H377" s="674" t="s">
        <x:v>164</x:v>
      </x:c>
      <x:c r="I377" s="669" t="s">
        <x:v>69</x:v>
      </x:c>
      <x:c r="J377" s="669" t="s">
        <x:v>68</x:v>
      </x:c>
      <x:c r="K377" s="669" t="s">
        <x:v>83</x:v>
      </x:c>
      <x:c r="L377" s="669" t="s">
        <x:v>66</x:v>
      </x:c>
      <x:c r="M377" s="669" t="s">
        <x:v>63</x:v>
      </x:c>
      <x:c r="N377" s="669" t="s">
        <x:v>61</x:v>
      </x:c>
      <x:c r="O377" s="669" t="s">
        <x:v>62</x:v>
      </x:c>
      <x:c r="P377" s="669" t="s">
        <x:v>67</x:v>
      </x:c>
      <x:c r="Q377" s="669" t="s">
        <x:v>84</x:v>
      </x:c>
      <x:c r="R377" s="669" t="s">
        <x:v>226</x:v>
      </x:c>
      <x:c r="Z377" s="618"/>
    </x:row>
    <x:row r="378" spans="1:26" x14ac:dyDescent="0.2">
      <x:c r="D378" s="625" t="s">
        <x:v>72</x:v>
      </x:c>
      <x:c r="E378" s="627" t="n">
        <x:v>19713558.23</x:v>
      </x:c>
      <x:c r="F378" s="627" t="n">
        <x:v>1433611.21</x:v>
      </x:c>
      <x:c r="G378" s="627" t="n">
        <x:v>821473.98</x:v>
      </x:c>
      <x:c r="H378" s="627" t="n">
        <x:v>381759.58</x:v>
      </x:c>
      <x:c r="I378" s="627" t="n">
        <x:v>4009241.14</x:v>
      </x:c>
      <x:c r="J378" s="627" t="n">
        <x:v>149648.65</x:v>
      </x:c>
      <x:c r="K378" s="627" t="n">
        <x:v>0</x:v>
      </x:c>
      <x:c r="L378" s="627" t="n">
        <x:v>1253740.49</x:v>
      </x:c>
      <x:c r="M378" s="627" t="n">
        <x:v>1363565.37</x:v>
      </x:c>
      <x:c r="N378" s="627" t="n">
        <x:v>5819071.15</x:v>
      </x:c>
      <x:c r="O378" s="627" t="n">
        <x:v>4269755.25</x:v>
      </x:c>
      <x:c r="P378" s="627" t="n">
        <x:v>211601.51</x:v>
      </x:c>
      <x:c r="Q378" s="627" t="n">
        <x:v>89.9</x:v>
      </x:c>
      <x:c r="R378" s="653" t="n">
        <x:v>0</x:v>
      </x:c>
      <x:c r="Z378" s="624"/>
    </x:row>
    <x:row r="379" spans="1:26" x14ac:dyDescent="0.2">
      <x:c r="D379" s="625" t="s">
        <x:v>81</x:v>
      </x:c>
      <x:c r="E379" s="627" t="n">
        <x:v>18754.01</x:v>
      </x:c>
      <x:c r="F379" s="627" t="n">
        <x:v>1185.98</x:v>
      </x:c>
      <x:c r="G379" s="627" t="n">
        <x:v>657.93</x:v>
      </x:c>
      <x:c r="H379" s="627" t="n">
        <x:v>342.39</x:v>
      </x:c>
      <x:c r="I379" s="627" t="n">
        <x:v>3726.74</x:v>
      </x:c>
      <x:c r="J379" s="627" t="n">
        <x:v>150.8</x:v>
      </x:c>
      <x:c r="K379" s="627" t="n">
        <x:v>0</x:v>
      </x:c>
      <x:c r="L379" s="627" t="n">
        <x:v>1322.67</x:v>
      </x:c>
      <x:c r="M379" s="627" t="n">
        <x:v>1225.14</x:v>
      </x:c>
      <x:c r="N379" s="627" t="n">
        <x:v>6423.46</x:v>
      </x:c>
      <x:c r="O379" s="627" t="n">
        <x:v>3472.69</x:v>
      </x:c>
      <x:c r="P379" s="627" t="n">
        <x:v>246.08</x:v>
      </x:c>
      <x:c r="Q379" s="627" t="n">
        <x:v>0.13</x:v>
      </x:c>
      <x:c r="R379" s="653" t="n">
        <x:v>0</x:v>
      </x:c>
      <x:c r="Z379" s="624"/>
    </x:row>
    <x:row r="380" spans="1:26" x14ac:dyDescent="0.2">
      <x:c r="B380" s="625"/>
      <x:c r="C380" s="625" t="s">
        <x:v>156</x:v>
      </x:c>
      <x:c r="D380" s="25" t="s">
        <x:v>70</x:v>
      </x:c>
      <x:c r="E380" s="627" t="n">
        <x:v>19732312.24</x:v>
      </x:c>
      <x:c r="F380" s="627" t="n">
        <x:v>1434797.19</x:v>
      </x:c>
      <x:c r="G380" s="627" t="n">
        <x:v>822131.91</x:v>
      </x:c>
      <x:c r="H380" s="627" t="n">
        <x:v>382101.97</x:v>
      </x:c>
      <x:c r="I380" s="627" t="n">
        <x:v>4012967.88</x:v>
      </x:c>
      <x:c r="J380" s="627" t="n">
        <x:v>149799.45</x:v>
      </x:c>
      <x:c r="K380" s="627" t="n">
        <x:v>0</x:v>
      </x:c>
      <x:c r="L380" s="627" t="n">
        <x:v>1255063.16</x:v>
      </x:c>
      <x:c r="M380" s="627" t="n">
        <x:v>1364790.51</x:v>
      </x:c>
      <x:c r="N380" s="627" t="n">
        <x:v>5825494.61</x:v>
      </x:c>
      <x:c r="O380" s="627" t="n">
        <x:v>4273227.94</x:v>
      </x:c>
      <x:c r="P380" s="627" t="n">
        <x:v>211847.59</x:v>
      </x:c>
      <x:c r="Q380" s="627" t="n">
        <x:v>90.03</x:v>
      </x:c>
      <x:c r="R380" s="653" t="n">
        <x:v>0</x:v>
      </x:c>
      <x:c r="Z380" s="624"/>
    </x:row>
    <x:row r="381" spans="1:26" x14ac:dyDescent="0.2">
      <x:c r="A381" s="628"/>
      <x:c r="B381" s="628" t="s">
        <x:v>155</x:v>
      </x:c>
      <x:c r="C381" s="628" t="s">
        <x:v>70</x:v>
      </x:c>
      <x:c r="D381" s="628"/>
      <x:c r="E381" s="677" t="n">
        <x:v>19732312.24</x:v>
      </x:c>
      <x:c r="F381" s="677" t="n">
        <x:v>1434797.19</x:v>
      </x:c>
      <x:c r="G381" s="677" t="n">
        <x:v>822131.91</x:v>
      </x:c>
      <x:c r="H381" s="677" t="n">
        <x:v>382101.97</x:v>
      </x:c>
      <x:c r="I381" s="677" t="n">
        <x:v>4012967.88</x:v>
      </x:c>
      <x:c r="J381" s="677" t="n">
        <x:v>149799.45</x:v>
      </x:c>
      <x:c r="K381" s="677" t="n">
        <x:v>0</x:v>
      </x:c>
      <x:c r="L381" s="677" t="n">
        <x:v>1255063.16</x:v>
      </x:c>
      <x:c r="M381" s="677" t="n">
        <x:v>1364790.51</x:v>
      </x:c>
      <x:c r="N381" s="677" t="n">
        <x:v>5825494.61</x:v>
      </x:c>
      <x:c r="O381" s="677" t="n">
        <x:v>4273227.94</x:v>
      </x:c>
      <x:c r="P381" s="677" t="n">
        <x:v>211847.59</x:v>
      </x:c>
      <x:c r="Q381" s="677" t="n">
        <x:v>90.03</x:v>
      </x:c>
      <x:c r="R381" s="677" t="n">
        <x:v>0</x:v>
      </x:c>
      <x:c r="S381" s="628"/>
      <x:c r="T381" s="628"/>
      <x:c r="U381" s="628"/>
      <x:c r="V381" s="628"/>
      <x:c r="W381" s="628"/>
      <x:c r="X381" s="628"/>
      <x:c r="Y381" s="628"/>
      <x:c r="Z381" s="624"/>
    </x:row>
    <x:row r="382" spans="1:26" x14ac:dyDescent="0.2">
      <x:c r="D382" s="25" t="s">
        <x:v>72</x:v>
      </x:c>
      <x:c r="E382" s="653" t="n">
        <x:v>7522088.94</x:v>
      </x:c>
      <x:c r="F382" s="653" t="n">
        <x:v>452084.23</x:v>
      </x:c>
      <x:c r="G382" s="653" t="n">
        <x:v>257859.84</x:v>
      </x:c>
      <x:c r="H382" s="653" t="n">
        <x:v>110457.94</x:v>
      </x:c>
      <x:c r="I382" s="653" t="n">
        <x:v>1817304.03</x:v>
      </x:c>
      <x:c r="J382" s="653" t="n">
        <x:v>58755.74</x:v>
      </x:c>
      <x:c r="K382" s="653" t="n">
        <x:v>0</x:v>
      </x:c>
      <x:c r="L382" s="653" t="n">
        <x:v>533049.52</x:v>
      </x:c>
      <x:c r="M382" s="653" t="n">
        <x:v>533000.77</x:v>
      </x:c>
      <x:c r="N382" s="653" t="n">
        <x:v>2377838.02</x:v>
      </x:c>
      <x:c r="O382" s="653" t="n">
        <x:v>1292657.05</x:v>
      </x:c>
      <x:c r="P382" s="653" t="n">
        <x:v>89104.17</x:v>
      </x:c>
      <x:c r="Q382" s="653" t="n">
        <x:v>-22.37</x:v>
      </x:c>
      <x:c r="R382" s="653" t="n">
        <x:v>0</x:v>
      </x:c>
      <x:c r="Z382" s="624"/>
    </x:row>
    <x:row r="383" spans="1:26" x14ac:dyDescent="0.2">
      <x:c r="D383" s="25" t="s">
        <x:v>81</x:v>
      </x:c>
      <x:c r="E383" s="653" t="n">
        <x:v>7478.7</x:v>
      </x:c>
      <x:c r="F383" s="653" t="n">
        <x:v>443.1</x:v>
      </x:c>
      <x:c r="G383" s="653" t="n">
        <x:v>249.22</x:v>
      </x:c>
      <x:c r="H383" s="653" t="n">
        <x:v>133.69</x:v>
      </x:c>
      <x:c r="I383" s="653" t="n">
        <x:v>1658</x:v>
      </x:c>
      <x:c r="J383" s="653" t="n">
        <x:v>59.23</x:v>
      </x:c>
      <x:c r="K383" s="653" t="n">
        <x:v>0</x:v>
      </x:c>
      <x:c r="L383" s="653" t="n">
        <x:v>512.44</x:v>
      </x:c>
      <x:c r="M383" s="653" t="n">
        <x:v>531.97</x:v>
      </x:c>
      <x:c r="N383" s="653" t="n">
        <x:v>2482.92</x:v>
      </x:c>
      <x:c r="O383" s="653" t="n">
        <x:v>1311.38</x:v>
      </x:c>
      <x:c r="P383" s="653" t="n">
        <x:v>96.59</x:v>
      </x:c>
      <x:c r="Q383" s="653" t="n">
        <x:v>0.16</x:v>
      </x:c>
      <x:c r="R383" s="653" t="n">
        <x:v>0</x:v>
      </x:c>
      <x:c r="Z383" s="624"/>
    </x:row>
    <x:row r="384" spans="1:26" x14ac:dyDescent="0.2">
      <x:c r="C384" s="25" t="s">
        <x:v>156</x:v>
      </x:c>
      <x:c r="D384" s="25" t="s">
        <x:v>70</x:v>
      </x:c>
      <x:c r="E384" s="653" t="n">
        <x:v>7529567.64</x:v>
      </x:c>
      <x:c r="F384" s="653" t="n">
        <x:v>452527.33</x:v>
      </x:c>
      <x:c r="G384" s="653" t="n">
        <x:v>258109.06</x:v>
      </x:c>
      <x:c r="H384" s="653" t="n">
        <x:v>110591.63</x:v>
      </x:c>
      <x:c r="I384" s="653" t="n">
        <x:v>1818962.03</x:v>
      </x:c>
      <x:c r="J384" s="653" t="n">
        <x:v>58814.97</x:v>
      </x:c>
      <x:c r="K384" s="653" t="n">
        <x:v>0</x:v>
      </x:c>
      <x:c r="L384" s="653" t="n">
        <x:v>533561.96</x:v>
      </x:c>
      <x:c r="M384" s="653" t="n">
        <x:v>533532.74</x:v>
      </x:c>
      <x:c r="N384" s="653" t="n">
        <x:v>2380320.94</x:v>
      </x:c>
      <x:c r="O384" s="653" t="n">
        <x:v>1293968.43</x:v>
      </x:c>
      <x:c r="P384" s="653" t="n">
        <x:v>89200.76</x:v>
      </x:c>
      <x:c r="Q384" s="653" t="n">
        <x:v>-22.21</x:v>
      </x:c>
      <x:c r="R384" s="653" t="n">
        <x:v>0</x:v>
      </x:c>
      <x:c r="Z384" s="624"/>
    </x:row>
    <x:row r="385" spans="1:26" x14ac:dyDescent="0.2">
      <x:c r="A385" s="668"/>
      <x:c r="B385" s="668" t="s">
        <x:v>326</x:v>
      </x:c>
      <x:c r="C385" s="668" t="s">
        <x:v>70</x:v>
      </x:c>
      <x:c r="D385" s="668"/>
      <x:c r="E385" s="662" t="n">
        <x:v>7529567.64</x:v>
      </x:c>
      <x:c r="F385" s="662" t="n">
        <x:v>452527.33</x:v>
      </x:c>
      <x:c r="G385" s="662" t="n">
        <x:v>258109.06</x:v>
      </x:c>
      <x:c r="H385" s="662" t="n">
        <x:v>110591.63</x:v>
      </x:c>
      <x:c r="I385" s="662" t="n">
        <x:v>1818962.03</x:v>
      </x:c>
      <x:c r="J385" s="662" t="n">
        <x:v>58814.97</x:v>
      </x:c>
      <x:c r="K385" s="662" t="n">
        <x:v>0</x:v>
      </x:c>
      <x:c r="L385" s="662" t="n">
        <x:v>533561.96</x:v>
      </x:c>
      <x:c r="M385" s="662" t="n">
        <x:v>533532.74</x:v>
      </x:c>
      <x:c r="N385" s="662" t="n">
        <x:v>2380320.94</x:v>
      </x:c>
      <x:c r="O385" s="662" t="n">
        <x:v>1293968.43</x:v>
      </x:c>
      <x:c r="P385" s="662" t="n">
        <x:v>89200.76</x:v>
      </x:c>
      <x:c r="Q385" s="662" t="n">
        <x:v>-22.21</x:v>
      </x:c>
      <x:c r="R385" s="662" t="n">
        <x:v>0</x:v>
      </x:c>
      <x:c r="S385" s="662"/>
      <x:c r="T385" s="668"/>
      <x:c r="U385" s="668"/>
      <x:c r="V385" s="668"/>
      <x:c r="W385" s="668"/>
      <x:c r="X385" s="668"/>
      <x:c r="Y385" s="668"/>
      <x:c r="Z385" s="624"/>
    </x:row>
    <x:row r="386" spans="1:26" x14ac:dyDescent="0.2">
      <x:c r="D386" s="25" t="s">
        <x:v>72</x:v>
      </x:c>
      <x:c r="E386" s="653" t="n">
        <x:v>2071705.94</x:v>
      </x:c>
      <x:c r="F386" s="653" t="n">
        <x:v>103319.02</x:v>
      </x:c>
      <x:c r="G386" s="653" t="n">
        <x:v>57420.42</x:v>
      </x:c>
      <x:c r="H386" s="653" t="n">
        <x:v>21085.54</x:v>
      </x:c>
      <x:c r="I386" s="653" t="n">
        <x:v>346150.26</x:v>
      </x:c>
      <x:c r="J386" s="653" t="n">
        <x:v>11031.32</x:v>
      </x:c>
      <x:c r="K386" s="653" t="n">
        <x:v>0</x:v>
      </x:c>
      <x:c r="L386" s="653" t="n">
        <x:v>145571.06</x:v>
      </x:c>
      <x:c r="M386" s="653" t="n">
        <x:v>183039.97</x:v>
      </x:c>
      <x:c r="N386" s="653" t="n">
        <x:v>809955.99</x:v>
      </x:c>
      <x:c r="O386" s="653" t="n">
        <x:v>379524.28</x:v>
      </x:c>
      <x:c r="P386" s="653" t="n">
        <x:v>14610.01</x:v>
      </x:c>
      <x:c r="Q386" s="653" t="n">
        <x:v>-1.93</x:v>
      </x:c>
      <x:c r="R386" s="653" t="n">
        <x:v>0</x:v>
      </x:c>
      <x:c r="Z386" s="624"/>
    </x:row>
    <x:row r="387" spans="1:26" x14ac:dyDescent="0.2">
      <x:c r="D387" s="25" t="s">
        <x:v>81</x:v>
      </x:c>
      <x:c r="E387" s="653" t="n">
        <x:v>5827.74</x:v>
      </x:c>
      <x:c r="F387" s="653" t="n">
        <x:v>335.75</x:v>
      </x:c>
      <x:c r="G387" s="653" t="n">
        <x:v>183.23</x:v>
      </x:c>
      <x:c r="H387" s="653" t="n">
        <x:v>102.43</x:v>
      </x:c>
      <x:c r="I387" s="653" t="n">
        <x:v>1405.62</x:v>
      </x:c>
      <x:c r="J387" s="653" t="n">
        <x:v>35.88</x:v>
      </x:c>
      <x:c r="K387" s="653" t="n">
        <x:v>0</x:v>
      </x:c>
      <x:c r="L387" s="653" t="n">
        <x:v>312.68</x:v>
      </x:c>
      <x:c r="M387" s="653" t="n">
        <x:v>400.21</x:v>
      </x:c>
      <x:c r="N387" s="653" t="n">
        <x:v>1989.45</x:v>
      </x:c>
      <x:c r="O387" s="653" t="n">
        <x:v>1003.89</x:v>
      </x:c>
      <x:c r="P387" s="653" t="n">
        <x:v>58.46</x:v>
      </x:c>
      <x:c r="Q387" s="653" t="n">
        <x:v>0.14</x:v>
      </x:c>
      <x:c r="R387" s="653" t="n">
        <x:v>0</x:v>
      </x:c>
      <x:c r="Z387" s="624"/>
    </x:row>
    <x:row r="388" spans="1:26" x14ac:dyDescent="0.2">
      <x:c r="C388" s="25" t="s">
        <x:v>82</x:v>
      </x:c>
      <x:c r="D388" s="25" t="s">
        <x:v>70</x:v>
      </x:c>
      <x:c r="E388" s="653" t="n">
        <x:v>2077533.68</x:v>
      </x:c>
      <x:c r="F388" s="653" t="n">
        <x:v>103654.77</x:v>
      </x:c>
      <x:c r="G388" s="653" t="n">
        <x:v>57603.65</x:v>
      </x:c>
      <x:c r="H388" s="653" t="n">
        <x:v>21187.97</x:v>
      </x:c>
      <x:c r="I388" s="653" t="n">
        <x:v>347555.88</x:v>
      </x:c>
      <x:c r="J388" s="653" t="n">
        <x:v>11067.2</x:v>
      </x:c>
      <x:c r="K388" s="653" t="n">
        <x:v>0</x:v>
      </x:c>
      <x:c r="L388" s="653" t="n">
        <x:v>145883.74</x:v>
      </x:c>
      <x:c r="M388" s="653" t="n">
        <x:v>183440.18</x:v>
      </x:c>
      <x:c r="N388" s="653" t="n">
        <x:v>811945.44</x:v>
      </x:c>
      <x:c r="O388" s="653" t="n">
        <x:v>380528.17</x:v>
      </x:c>
      <x:c r="P388" s="653" t="n">
        <x:v>14668.47</x:v>
      </x:c>
      <x:c r="Q388" s="653" t="n">
        <x:v>-1.79</x:v>
      </x:c>
      <x:c r="R388" s="653" t="n">
        <x:v>0</x:v>
      </x:c>
      <x:c r="Z388" s="624"/>
    </x:row>
    <x:row r="389" spans="1:26" x14ac:dyDescent="0.2">
      <x:c r="D389" s="25" t="s">
        <x:v>72</x:v>
      </x:c>
      <x:c r="E389" s="653" t="n">
        <x:v>564214.29</x:v>
      </x:c>
      <x:c r="F389" s="653" t="n">
        <x:v>17423.51</x:v>
      </x:c>
      <x:c r="G389" s="653" t="n">
        <x:v>9851.94</x:v>
      </x:c>
      <x:c r="H389" s="653" t="n">
        <x:v>1306.08</x:v>
      </x:c>
      <x:c r="I389" s="653" t="n">
        <x:v>70737.58</x:v>
      </x:c>
      <x:c r="J389" s="653" t="n">
        <x:v>2919.74</x:v>
      </x:c>
      <x:c r="K389" s="653" t="n">
        <x:v>0</x:v>
      </x:c>
      <x:c r="L389" s="653" t="n">
        <x:v>56924.86</x:v>
      </x:c>
      <x:c r="M389" s="653" t="n">
        <x:v>66619.45</x:v>
      </x:c>
      <x:c r="N389" s="653" t="n">
        <x:v>239269.57</x:v>
      </x:c>
      <x:c r="O389" s="653" t="n">
        <x:v>97907.86</x:v>
      </x:c>
      <x:c r="P389" s="653" t="n">
        <x:v>1248.93</x:v>
      </x:c>
      <x:c r="Q389" s="653" t="n">
        <x:v>4.77</x:v>
      </x:c>
      <x:c r="R389" s="653" t="n">
        <x:v>0</x:v>
      </x:c>
      <x:c r="Z389" s="624"/>
    </x:row>
    <x:row r="390" spans="1:26" x14ac:dyDescent="0.2">
      <x:c r="D390" s="25" t="s">
        <x:v>81</x:v>
      </x:c>
      <x:c r="E390" s="653" t="n">
        <x:v>15983.37</x:v>
      </x:c>
      <x:c r="F390" s="653" t="n">
        <x:v>1350.57</x:v>
      </x:c>
      <x:c r="G390" s="653" t="n">
        <x:v>675.27</x:v>
      </x:c>
      <x:c r="H390" s="653" t="n">
        <x:v>377.77</x:v>
      </x:c>
      <x:c r="I390" s="653" t="n">
        <x:v>2442.13</x:v>
      </x:c>
      <x:c r="J390" s="653" t="n">
        <x:v>121.05</x:v>
      </x:c>
      <x:c r="K390" s="653" t="n">
        <x:v>0</x:v>
      </x:c>
      <x:c r="L390" s="653" t="n">
        <x:v>1025.1</x:v>
      </x:c>
      <x:c r="M390" s="653" t="n">
        <x:v>984.77</x:v>
      </x:c>
      <x:c r="N390" s="653" t="n">
        <x:v>4740.85</x:v>
      </x:c>
      <x:c r="O390" s="653" t="n">
        <x:v>4068.12</x:v>
      </x:c>
      <x:c r="P390" s="653" t="n">
        <x:v>197.44</x:v>
      </x:c>
      <x:c r="Q390" s="653" t="n">
        <x:v>0.3</x:v>
      </x:c>
      <x:c r="R390" s="653" t="n">
        <x:v>0</x:v>
      </x:c>
      <x:c r="Z390" s="624"/>
    </x:row>
    <x:row r="391" spans="1:26" x14ac:dyDescent="0.2">
      <x:c r="C391" s="25" t="s">
        <x:v>86</x:v>
      </x:c>
      <x:c r="D391" s="25" t="s">
        <x:v>70</x:v>
      </x:c>
      <x:c r="E391" s="653" t="n">
        <x:v>580197.66</x:v>
      </x:c>
      <x:c r="F391" s="653" t="n">
        <x:v>18774.08</x:v>
      </x:c>
      <x:c r="G391" s="653" t="n">
        <x:v>10527.21</x:v>
      </x:c>
      <x:c r="H391" s="653" t="n">
        <x:v>1683.85</x:v>
      </x:c>
      <x:c r="I391" s="653" t="n">
        <x:v>73179.71</x:v>
      </x:c>
      <x:c r="J391" s="653" t="n">
        <x:v>3040.79</x:v>
      </x:c>
      <x:c r="K391" s="653" t="n">
        <x:v>0</x:v>
      </x:c>
      <x:c r="L391" s="653" t="n">
        <x:v>57949.96</x:v>
      </x:c>
      <x:c r="M391" s="653" t="n">
        <x:v>67604.22</x:v>
      </x:c>
      <x:c r="N391" s="653" t="n">
        <x:v>244010.42</x:v>
      </x:c>
      <x:c r="O391" s="653" t="n">
        <x:v>101975.98</x:v>
      </x:c>
      <x:c r="P391" s="653" t="n">
        <x:v>1446.37</x:v>
      </x:c>
      <x:c r="Q391" s="653" t="n">
        <x:v>5.07</x:v>
      </x:c>
      <x:c r="R391" s="653" t="n">
        <x:v>0</x:v>
      </x:c>
      <x:c r="Z391" s="624"/>
    </x:row>
    <x:row r="392" spans="1:26" x14ac:dyDescent="0.2">
      <x:c r="D392" s="25" t="s">
        <x:v>72</x:v>
      </x:c>
      <x:c r="E392" s="653" t="n">
        <x:v>9223422.14</x:v>
      </x:c>
      <x:c r="F392" s="653" t="n">
        <x:v>1035458.12</x:v>
      </x:c>
      <x:c r="G392" s="653" t="n">
        <x:v>588303.9</x:v>
      </x:c>
      <x:c r="H392" s="653" t="n">
        <x:v>292492.33</x:v>
      </x:c>
      <x:c r="I392" s="653" t="n">
        <x:v>925765.26</x:v>
      </x:c>
      <x:c r="J392" s="653" t="n">
        <x:v>26352.8</x:v>
      </x:c>
      <x:c r="K392" s="653" t="n">
        <x:v>990006.55</x:v>
      </x:c>
      <x:c r="L392" s="653" t="n">
        <x:v>272062.34</x:v>
      </x:c>
      <x:c r="M392" s="653" t="n">
        <x:v>350629.12</x:v>
      </x:c>
      <x:c r="N392" s="653" t="n">
        <x:v>1502001.28</x:v>
      </x:c>
      <x:c r="O392" s="653" t="n">
        <x:v>3205703.11</x:v>
      </x:c>
      <x:c r="P392" s="653" t="n">
        <x:v>34728.98</x:v>
      </x:c>
      <x:c r="Q392" s="653" t="n">
        <x:v>-81.65</x:v>
      </x:c>
      <x:c r="R392" s="653" t="n">
        <x:v>0</x:v>
      </x:c>
      <x:c r="Z392" s="624"/>
    </x:row>
    <x:row r="393" spans="1:26" x14ac:dyDescent="0.2">
      <x:c r="D393" s="25" t="s">
        <x:v>81</x:v>
      </x:c>
      <x:c r="E393" s="653" t="n">
        <x:v>19833.35</x:v>
      </x:c>
      <x:c r="F393" s="653" t="n">
        <x:v>1583.47</x:v>
      </x:c>
      <x:c r="G393" s="653" t="n">
        <x:v>870.86</x:v>
      </x:c>
      <x:c r="H393" s="653" t="n">
        <x:v>471.95</x:v>
      </x:c>
      <x:c r="I393" s="653" t="n">
        <x:v>3975.48</x:v>
      </x:c>
      <x:c r="J393" s="653" t="n">
        <x:v>100.34</x:v>
      </x:c>
      <x:c r="K393" s="653" t="n">
        <x:v>0</x:v>
      </x:c>
      <x:c r="L393" s="653" t="n">
        <x:v>881.78</x:v>
      </x:c>
      <x:c r="M393" s="653" t="n">
        <x:v>1143.53</x:v>
      </x:c>
      <x:c r="N393" s="653" t="n">
        <x:v>5829.84</x:v>
      </x:c>
      <x:c r="O393" s="653" t="n">
        <x:v>4812.52</x:v>
      </x:c>
      <x:c r="P393" s="653" t="n">
        <x:v>163.4</x:v>
      </x:c>
      <x:c r="Q393" s="653" t="n">
        <x:v>0.18</x:v>
      </x:c>
      <x:c r="R393" s="653" t="n">
        <x:v>0</x:v>
      </x:c>
      <x:c r="Z393" s="624"/>
    </x:row>
    <x:row r="394" spans="1:26" x14ac:dyDescent="0.2">
      <x:c r="C394" s="25" t="s">
        <x:v>87</x:v>
      </x:c>
      <x:c r="D394" s="25" t="s">
        <x:v>70</x:v>
      </x:c>
      <x:c r="E394" s="653" t="n">
        <x:v>9243255.49</x:v>
      </x:c>
      <x:c r="F394" s="653" t="n">
        <x:v>1037041.59</x:v>
      </x:c>
      <x:c r="G394" s="653" t="n">
        <x:v>589174.76</x:v>
      </x:c>
      <x:c r="H394" s="653" t="n">
        <x:v>292964.28</x:v>
      </x:c>
      <x:c r="I394" s="653" t="n">
        <x:v>929740.74</x:v>
      </x:c>
      <x:c r="J394" s="653" t="n">
        <x:v>26453.14</x:v>
      </x:c>
      <x:c r="K394" s="653" t="n">
        <x:v>990006.55</x:v>
      </x:c>
      <x:c r="L394" s="653" t="n">
        <x:v>272944.12</x:v>
      </x:c>
      <x:c r="M394" s="653" t="n">
        <x:v>351772.65</x:v>
      </x:c>
      <x:c r="N394" s="653" t="n">
        <x:v>1507831.12</x:v>
      </x:c>
      <x:c r="O394" s="653" t="n">
        <x:v>3210515.63</x:v>
      </x:c>
      <x:c r="P394" s="653" t="n">
        <x:v>34892.38</x:v>
      </x:c>
      <x:c r="Q394" s="653" t="n">
        <x:v>-81.47</x:v>
      </x:c>
      <x:c r="R394" s="653" t="n">
        <x:v>0</x:v>
      </x:c>
      <x:c r="Z394" s="624"/>
    </x:row>
    <x:row r="395" spans="1:26" x14ac:dyDescent="0.2">
      <x:c r="A395" s="631"/>
      <x:c r="B395" s="632" t="s">
        <x:v>119</x:v>
      </x:c>
      <x:c r="C395" s="632" t="s">
        <x:v>70</x:v>
      </x:c>
      <x:c r="D395" s="631"/>
      <x:c r="E395" s="633" t="n">
        <x:v>11900986.83</x:v>
      </x:c>
      <x:c r="F395" s="633" t="n">
        <x:v>1159470.44</x:v>
      </x:c>
      <x:c r="G395" s="633" t="n">
        <x:v>657305.62</x:v>
      </x:c>
      <x:c r="H395" s="633" t="n">
        <x:v>315836.1</x:v>
      </x:c>
      <x:c r="I395" s="633" t="n">
        <x:v>1350476.33</x:v>
      </x:c>
      <x:c r="J395" s="633" t="n">
        <x:v>40561.13</x:v>
      </x:c>
      <x:c r="K395" s="633" t="n">
        <x:v>990006.55</x:v>
      </x:c>
      <x:c r="L395" s="633" t="n">
        <x:v>476777.82</x:v>
      </x:c>
      <x:c r="M395" s="633" t="n">
        <x:v>602817.05</x:v>
      </x:c>
      <x:c r="N395" s="633" t="n">
        <x:v>2563786.98</x:v>
      </x:c>
      <x:c r="O395" s="633" t="n">
        <x:v>3693019.78</x:v>
      </x:c>
      <x:c r="P395" s="633" t="n">
        <x:v>51007.22</x:v>
      </x:c>
      <x:c r="Q395" s="633" t="n">
        <x:v>-78.19</x:v>
      </x:c>
      <x:c r="R395" s="678" t="n">
        <x:v>0</x:v>
      </x:c>
      <x:c r="S395" s="631"/>
      <x:c r="T395" s="631"/>
      <x:c r="U395" s="631"/>
      <x:c r="V395" s="631"/>
      <x:c r="W395" s="631"/>
      <x:c r="X395" s="631"/>
      <x:c r="Y395" s="631"/>
      <x:c r="Z395" s="624"/>
    </x:row>
    <x:row r="396" spans="1:26" x14ac:dyDescent="0.2">
      <x:c r="A396" s="639" t="s">
        <x:v>78</x:v>
      </x:c>
      <x:c r="B396" s="639" t="s">
        <x:v>70</x:v>
      </x:c>
      <x:c r="C396" s="638"/>
      <x:c r="D396" s="638"/>
      <x:c r="E396" s="640" t="n">
        <x:v>39162866.71</x:v>
      </x:c>
      <x:c r="F396" s="640" t="n">
        <x:v>3046794.96</x:v>
      </x:c>
      <x:c r="G396" s="640" t="n">
        <x:v>1737546.59</x:v>
      </x:c>
      <x:c r="H396" s="640" t="n">
        <x:v>808529.7</x:v>
      </x:c>
      <x:c r="I396" s="640" t="n">
        <x:v>7182406.24</x:v>
      </x:c>
      <x:c r="J396" s="640" t="n">
        <x:v>249175.55</x:v>
      </x:c>
      <x:c r="K396" s="640" t="n">
        <x:v>990006.55</x:v>
      </x:c>
      <x:c r="L396" s="640" t="n">
        <x:v>2265402.94</x:v>
      </x:c>
      <x:c r="M396" s="640" t="n">
        <x:v>2501140.3</x:v>
      </x:c>
      <x:c r="N396" s="640" t="n">
        <x:v>10769602.53</x:v>
      </x:c>
      <x:c r="O396" s="640" t="n">
        <x:v>9260216.15</x:v>
      </x:c>
      <x:c r="P396" s="640" t="n">
        <x:v>352055.57</x:v>
      </x:c>
      <x:c r="Q396" s="640" t="n">
        <x:v>-10.37</x:v>
      </x:c>
      <x:c r="R396" s="679" t="n">
        <x:v>0</x:v>
      </x:c>
      <x:c r="S396" s="638"/>
      <x:c r="T396" s="638"/>
      <x:c r="U396" s="638"/>
      <x:c r="V396" s="638"/>
      <x:c r="W396" s="638"/>
      <x:c r="X396" s="638"/>
      <x:c r="Y396" s="638"/>
      <x:c r="Z396" s="624"/>
    </x:row>
    <x:row r="397" spans="1:26" x14ac:dyDescent="0.2">
      <x:c r="C397" s="625"/>
      <x:c r="D397" s="625" t="s">
        <x:v>73</x:v>
      </x:c>
      <x:c r="E397" s="627" t="n">
        <x:v>3691549.5</x:v>
      </x:c>
      <x:c r="F397" s="627" t="n">
        <x:v>530921.57</x:v>
      </x:c>
      <x:c r="G397" s="627" t="n">
        <x:v>272938.43</x:v>
      </x:c>
      <x:c r="H397" s="627" t="n">
        <x:v>117564.27</x:v>
      </x:c>
      <x:c r="I397" s="627" t="n">
        <x:v>369298.5</x:v>
      </x:c>
      <x:c r="J397" s="627" t="n">
        <x:v>12339.48</x:v>
      </x:c>
      <x:c r="K397" s="627" t="n">
        <x:v>0</x:v>
      </x:c>
      <x:c r="L397" s="627" t="n">
        <x:v>114960.22</x:v>
      </x:c>
      <x:c r="M397" s="627" t="n">
        <x:v>67403.39</x:v>
      </x:c>
      <x:c r="N397" s="627" t="n">
        <x:v>586625.34</x:v>
      </x:c>
      <x:c r="O397" s="627" t="n">
        <x:v>1598903.62</x:v>
      </x:c>
      <x:c r="P397" s="627" t="n">
        <x:v>20594.68</x:v>
      </x:c>
      <x:c r="Q397" s="627" t="n">
        <x:v>0</x:v>
      </x:c>
      <x:c r="R397" s="653" t="n">
        <x:v>0</x:v>
      </x:c>
      <x:c r="Z397" s="624"/>
    </x:row>
    <x:row r="398" spans="1:26" x14ac:dyDescent="0.2">
      <x:c r="B398" s="625"/>
      <x:c r="C398" s="625" t="s">
        <x:v>156</x:v>
      </x:c>
      <x:c r="D398" s="25" t="s">
        <x:v>70</x:v>
      </x:c>
      <x:c r="E398" s="627" t="n">
        <x:v>3691549.5</x:v>
      </x:c>
      <x:c r="F398" s="627" t="n">
        <x:v>530921.57</x:v>
      </x:c>
      <x:c r="G398" s="627" t="n">
        <x:v>272938.43</x:v>
      </x:c>
      <x:c r="H398" s="627" t="n">
        <x:v>117564.27</x:v>
      </x:c>
      <x:c r="I398" s="627" t="n">
        <x:v>369298.5</x:v>
      </x:c>
      <x:c r="J398" s="627" t="n">
        <x:v>12339.48</x:v>
      </x:c>
      <x:c r="K398" s="627" t="n">
        <x:v>0</x:v>
      </x:c>
      <x:c r="L398" s="627" t="n">
        <x:v>114960.22</x:v>
      </x:c>
      <x:c r="M398" s="627" t="n">
        <x:v>67403.39</x:v>
      </x:c>
      <x:c r="N398" s="627" t="n">
        <x:v>586625.34</x:v>
      </x:c>
      <x:c r="O398" s="627" t="n">
        <x:v>1598903.62</x:v>
      </x:c>
      <x:c r="P398" s="627" t="n">
        <x:v>20594.68</x:v>
      </x:c>
      <x:c r="Q398" s="627" t="n">
        <x:v>0</x:v>
      </x:c>
      <x:c r="R398" s="653" t="n">
        <x:v>0</x:v>
      </x:c>
      <x:c r="Z398" s="624"/>
    </x:row>
    <x:row r="399" spans="1:26" x14ac:dyDescent="0.2">
      <x:c r="A399" s="628"/>
      <x:c r="B399" s="628" t="s">
        <x:v>155</x:v>
      </x:c>
      <x:c r="C399" s="628" t="s">
        <x:v>70</x:v>
      </x:c>
      <x:c r="D399" s="628"/>
      <x:c r="E399" s="677" t="n">
        <x:v>3691549.5</x:v>
      </x:c>
      <x:c r="F399" s="677" t="n">
        <x:v>530921.57</x:v>
      </x:c>
      <x:c r="G399" s="677" t="n">
        <x:v>272938.43</x:v>
      </x:c>
      <x:c r="H399" s="677" t="n">
        <x:v>117564.27</x:v>
      </x:c>
      <x:c r="I399" s="677" t="n">
        <x:v>369298.5</x:v>
      </x:c>
      <x:c r="J399" s="677" t="n">
        <x:v>12339.48</x:v>
      </x:c>
      <x:c r="K399" s="677" t="n">
        <x:v>0</x:v>
      </x:c>
      <x:c r="L399" s="677" t="n">
        <x:v>114960.22</x:v>
      </x:c>
      <x:c r="M399" s="677" t="n">
        <x:v>67403.39</x:v>
      </x:c>
      <x:c r="N399" s="677" t="n">
        <x:v>586625.34</x:v>
      </x:c>
      <x:c r="O399" s="677" t="n">
        <x:v>1598903.62</x:v>
      </x:c>
      <x:c r="P399" s="677" t="n">
        <x:v>20594.68</x:v>
      </x:c>
      <x:c r="Q399" s="677" t="n">
        <x:v>0</x:v>
      </x:c>
      <x:c r="R399" s="677" t="n">
        <x:v>0</x:v>
      </x:c>
      <x:c r="S399" s="628"/>
      <x:c r="T399" s="628"/>
      <x:c r="U399" s="628"/>
      <x:c r="V399" s="628"/>
      <x:c r="W399" s="628"/>
      <x:c r="X399" s="628"/>
      <x:c r="Y399" s="628"/>
      <x:c r="Z399" s="624"/>
    </x:row>
    <x:row r="400" spans="1:26" x14ac:dyDescent="0.2">
      <x:c r="C400" s="625"/>
      <x:c r="D400" s="625" t="s">
        <x:v>73</x:v>
      </x:c>
      <x:c r="E400" s="627" t="n">
        <x:v>-1287165.16</x:v>
      </x:c>
      <x:c r="F400" s="627" t="n">
        <x:v>-66624.22</x:v>
      </x:c>
      <x:c r="G400" s="627" t="n">
        <x:v>-37615.3</x:v>
      </x:c>
      <x:c r="H400" s="627" t="n">
        <x:v>-19739.19</x:v>
      </x:c>
      <x:c r="I400" s="627" t="n">
        <x:v>-287087.38</x:v>
      </x:c>
      <x:c r="J400" s="627" t="n">
        <x:v>-10837.21</x:v>
      </x:c>
      <x:c r="K400" s="627" t="n">
        <x:v>0</x:v>
      </x:c>
      <x:c r="L400" s="627" t="n">
        <x:v>-91013.79</x:v>
      </x:c>
      <x:c r="M400" s="627" t="n">
        <x:v>-91573.95</x:v>
      </x:c>
      <x:c r="N400" s="627" t="n">
        <x:v>-468346.31</x:v>
      </x:c>
      <x:c r="O400" s="627" t="n">
        <x:v>-196727.98</x:v>
      </x:c>
      <x:c r="P400" s="627" t="n">
        <x:v>-17599.83</x:v>
      </x:c>
      <x:c r="Q400" s="627" t="n">
        <x:v>0</x:v>
      </x:c>
      <x:c r="R400" s="653" t="n">
        <x:v>0</x:v>
      </x:c>
      <x:c r="Z400" s="624"/>
    </x:row>
    <x:row r="401" spans="1:26" x14ac:dyDescent="0.2">
      <x:c r="C401" s="625" t="s">
        <x:v>156</x:v>
      </x:c>
      <x:c r="D401" s="625" t="s">
        <x:v>70</x:v>
      </x:c>
      <x:c r="E401" s="627" t="n">
        <x:v>-1287165.16</x:v>
      </x:c>
      <x:c r="F401" s="627" t="n">
        <x:v>-66624.22</x:v>
      </x:c>
      <x:c r="G401" s="627" t="n">
        <x:v>-37615.3</x:v>
      </x:c>
      <x:c r="H401" s="627" t="n">
        <x:v>-19739.19</x:v>
      </x:c>
      <x:c r="I401" s="627" t="n">
        <x:v>-287087.38</x:v>
      </x:c>
      <x:c r="J401" s="627" t="n">
        <x:v>-10837.21</x:v>
      </x:c>
      <x:c r="K401" s="627" t="n">
        <x:v>0</x:v>
      </x:c>
      <x:c r="L401" s="627" t="n">
        <x:v>-91013.79</x:v>
      </x:c>
      <x:c r="M401" s="627" t="n">
        <x:v>-91573.95</x:v>
      </x:c>
      <x:c r="N401" s="627" t="n">
        <x:v>-468346.31</x:v>
      </x:c>
      <x:c r="O401" s="627" t="n">
        <x:v>-196727.98</x:v>
      </x:c>
      <x:c r="P401" s="627" t="n">
        <x:v>-17599.83</x:v>
      </x:c>
      <x:c r="Q401" s="627" t="n">
        <x:v>0</x:v>
      </x:c>
      <x:c r="R401" s="653" t="n">
        <x:v>0</x:v>
      </x:c>
      <x:c r="Z401" s="624"/>
    </x:row>
    <x:row r="402" spans="1:26" x14ac:dyDescent="0.2">
      <x:c r="A402" s="668"/>
      <x:c r="B402" s="668" t="s">
        <x:v>326</x:v>
      </x:c>
      <x:c r="C402" s="668" t="s">
        <x:v>70</x:v>
      </x:c>
      <x:c r="D402" s="668"/>
      <x:c r="E402" s="662" t="n">
        <x:v>-1287165.16</x:v>
      </x:c>
      <x:c r="F402" s="662" t="n">
        <x:v>-66624.22</x:v>
      </x:c>
      <x:c r="G402" s="662" t="n">
        <x:v>-37615.3</x:v>
      </x:c>
      <x:c r="H402" s="662" t="n">
        <x:v>-19739.19</x:v>
      </x:c>
      <x:c r="I402" s="662" t="n">
        <x:v>-287087.38</x:v>
      </x:c>
      <x:c r="J402" s="662" t="n">
        <x:v>-10837.21</x:v>
      </x:c>
      <x:c r="K402" s="662" t="n">
        <x:v>0</x:v>
      </x:c>
      <x:c r="L402" s="662" t="n">
        <x:v>-91013.79</x:v>
      </x:c>
      <x:c r="M402" s="662" t="n">
        <x:v>-91573.95</x:v>
      </x:c>
      <x:c r="N402" s="662" t="n">
        <x:v>-468346.31</x:v>
      </x:c>
      <x:c r="O402" s="662" t="n">
        <x:v>-196727.98</x:v>
      </x:c>
      <x:c r="P402" s="662" t="n">
        <x:v>-17599.83</x:v>
      </x:c>
      <x:c r="Q402" s="662" t="n">
        <x:v>0</x:v>
      </x:c>
      <x:c r="R402" s="662" t="n">
        <x:v>0</x:v>
      </x:c>
      <x:c r="S402" s="662"/>
      <x:c r="T402" s="668"/>
      <x:c r="U402" s="668"/>
      <x:c r="V402" s="668"/>
      <x:c r="W402" s="668"/>
      <x:c r="X402" s="668"/>
      <x:c r="Y402" s="668"/>
      <x:c r="Z402" s="624"/>
    </x:row>
    <x:row r="403" spans="1:26" x14ac:dyDescent="0.2">
      <x:c r="C403" s="625"/>
      <x:c r="D403" s="625" t="s">
        <x:v>73</x:v>
      </x:c>
      <x:c r="E403" s="627" t="n">
        <x:v>-210692.92</x:v>
      </x:c>
      <x:c r="F403" s="627" t="n">
        <x:v>-10566.31</x:v>
      </x:c>
      <x:c r="G403" s="627" t="n">
        <x:v>-5965.83</x:v>
      </x:c>
      <x:c r="H403" s="627" t="n">
        <x:v>-3131.3</x:v>
      </x:c>
      <x:c r="I403" s="627" t="n">
        <x:v>-45955.45</x:v>
      </x:c>
      <x:c r="J403" s="627" t="n">
        <x:v>-1566.98</x:v>
      </x:c>
      <x:c r="K403" s="627" t="n">
        <x:v>0</x:v>
      </x:c>
      <x:c r="L403" s="627" t="n">
        <x:v>-13745.76</x:v>
      </x:c>
      <x:c r="M403" s="627" t="n">
        <x:v>-15917.58</x:v>
      </x:c>
      <x:c r="N403" s="627" t="n">
        <x:v>-79341.42</x:v>
      </x:c>
      <x:c r="O403" s="627" t="n">
        <x:v>-31945.58</x:v>
      </x:c>
      <x:c r="P403" s="627" t="n">
        <x:v>-2556.71</x:v>
      </x:c>
      <x:c r="Q403" s="627" t="n">
        <x:v>0</x:v>
      </x:c>
      <x:c r="R403" s="653" t="n">
        <x:v>0</x:v>
      </x:c>
      <x:c r="Z403" s="624"/>
    </x:row>
    <x:row r="404" spans="1:26" x14ac:dyDescent="0.2">
      <x:c r="C404" s="625" t="s">
        <x:v>82</x:v>
      </x:c>
      <x:c r="D404" s="625" t="s">
        <x:v>70</x:v>
      </x:c>
      <x:c r="E404" s="627" t="n">
        <x:v>-210692.92</x:v>
      </x:c>
      <x:c r="F404" s="627" t="n">
        <x:v>-10566.31</x:v>
      </x:c>
      <x:c r="G404" s="627" t="n">
        <x:v>-5965.83</x:v>
      </x:c>
      <x:c r="H404" s="627" t="n">
        <x:v>-3131.3</x:v>
      </x:c>
      <x:c r="I404" s="627" t="n">
        <x:v>-45955.45</x:v>
      </x:c>
      <x:c r="J404" s="627" t="n">
        <x:v>-1566.98</x:v>
      </x:c>
      <x:c r="K404" s="627" t="n">
        <x:v>0</x:v>
      </x:c>
      <x:c r="L404" s="627" t="n">
        <x:v>-13745.76</x:v>
      </x:c>
      <x:c r="M404" s="627" t="n">
        <x:v>-15917.58</x:v>
      </x:c>
      <x:c r="N404" s="627" t="n">
        <x:v>-79341.42</x:v>
      </x:c>
      <x:c r="O404" s="627" t="n">
        <x:v>-31945.58</x:v>
      </x:c>
      <x:c r="P404" s="627" t="n">
        <x:v>-2556.71</x:v>
      </x:c>
      <x:c r="Q404" s="627" t="n">
        <x:v>0</x:v>
      </x:c>
      <x:c r="R404" s="653" t="n">
        <x:v>0</x:v>
      </x:c>
      <x:c r="Z404" s="624"/>
    </x:row>
    <x:row r="405" spans="1:26" x14ac:dyDescent="0.2">
      <x:c r="C405" s="625"/>
      <x:c r="D405" s="625" t="s">
        <x:v>73</x:v>
      </x:c>
      <x:c r="E405" s="627" t="n">
        <x:v>-108192.45</x:v>
      </x:c>
      <x:c r="F405" s="627" t="n">
        <x:v>-4309.76</x:v>
      </x:c>
      <x:c r="G405" s="627" t="n">
        <x:v>-2433.32</x:v>
      </x:c>
      <x:c r="H405" s="627" t="n">
        <x:v>-1277.18</x:v>
      </x:c>
      <x:c r="I405" s="627" t="n">
        <x:v>-18004.79</x:v>
      </x:c>
      <x:c r="J405" s="627" t="n">
        <x:v>-1041.42</x:v>
      </x:c>
      <x:c r="K405" s="627" t="n">
        <x:v>0</x:v>
      </x:c>
      <x:c r="L405" s="627" t="n">
        <x:v>-9135.26</x:v>
      </x:c>
      <x:c r="M405" s="627" t="n">
        <x:v>-8882.84</x:v>
      </x:c>
      <x:c r="N405" s="627" t="n">
        <x:v>-48363.54</x:v>
      </x:c>
      <x:c r="O405" s="627" t="n">
        <x:v>-13045.17</x:v>
      </x:c>
      <x:c r="P405" s="627" t="n">
        <x:v>-1699.17</x:v>
      </x:c>
      <x:c r="Q405" s="627" t="n">
        <x:v>0</x:v>
      </x:c>
      <x:c r="R405" s="653" t="n">
        <x:v>0</x:v>
      </x:c>
      <x:c r="Z405" s="624"/>
    </x:row>
    <x:row r="406" spans="1:26" x14ac:dyDescent="0.2">
      <x:c r="C406" s="625" t="s">
        <x:v>86</x:v>
      </x:c>
      <x:c r="D406" s="625" t="s">
        <x:v>70</x:v>
      </x:c>
      <x:c r="E406" s="627" t="n">
        <x:v>-108192.45</x:v>
      </x:c>
      <x:c r="F406" s="627" t="n">
        <x:v>-4309.76</x:v>
      </x:c>
      <x:c r="G406" s="627" t="n">
        <x:v>-2433.32</x:v>
      </x:c>
      <x:c r="H406" s="627" t="n">
        <x:v>-1277.18</x:v>
      </x:c>
      <x:c r="I406" s="627" t="n">
        <x:v>-18004.79</x:v>
      </x:c>
      <x:c r="J406" s="627" t="n">
        <x:v>-1041.42</x:v>
      </x:c>
      <x:c r="K406" s="627" t="n">
        <x:v>0</x:v>
      </x:c>
      <x:c r="L406" s="627" t="n">
        <x:v>-9135.26</x:v>
      </x:c>
      <x:c r="M406" s="627" t="n">
        <x:v>-8882.84</x:v>
      </x:c>
      <x:c r="N406" s="627" t="n">
        <x:v>-48363.54</x:v>
      </x:c>
      <x:c r="O406" s="627" t="n">
        <x:v>-13045.17</x:v>
      </x:c>
      <x:c r="P406" s="627" t="n">
        <x:v>-1699.17</x:v>
      </x:c>
      <x:c r="Q406" s="627" t="n">
        <x:v>0</x:v>
      </x:c>
      <x:c r="R406" s="653" t="n">
        <x:v>0</x:v>
      </x:c>
      <x:c r="Z406" s="624"/>
    </x:row>
    <x:row r="407" spans="1:26" x14ac:dyDescent="0.2">
      <x:c r="C407" s="625"/>
      <x:c r="D407" s="625" t="s">
        <x:v>73</x:v>
      </x:c>
      <x:c r="E407" s="627" t="n">
        <x:v>2725143.28</x:v>
      </x:c>
      <x:c r="F407" s="627" t="n">
        <x:v>679374.88</x:v>
      </x:c>
      <x:c r="G407" s="627" t="n">
        <x:v>126898.74</x:v>
      </x:c>
      <x:c r="H407" s="627" t="n">
        <x:v>10627.02</x:v>
      </x:c>
      <x:c r="I407" s="627" t="n">
        <x:v>-60093.33</x:v>
      </x:c>
      <x:c r="J407" s="627" t="n">
        <x:v>-2491.74</x:v>
      </x:c>
      <x:c r="K407" s="627" t="n">
        <x:v>0</x:v>
      </x:c>
      <x:c r="L407" s="627" t="n">
        <x:v>-16227.77</x:v>
      </x:c>
      <x:c r="M407" s="627" t="n">
        <x:v>-16672.31</x:v>
      </x:c>
      <x:c r="N407" s="627" t="n">
        <x:v>-94111.77</x:v>
      </x:c>
      <x:c r="O407" s="627" t="n">
        <x:v>2101905.15</x:v>
      </x:c>
      <x:c r="P407" s="627" t="n">
        <x:v>-4065.59</x:v>
      </x:c>
      <x:c r="Q407" s="627" t="n">
        <x:v>0</x:v>
      </x:c>
      <x:c r="R407" s="653" t="n">
        <x:v>0</x:v>
      </x:c>
      <x:c r="Z407" s="624"/>
    </x:row>
    <x:row r="408" spans="1:26" x14ac:dyDescent="0.2">
      <x:c r="C408" s="625" t="s">
        <x:v>87</x:v>
      </x:c>
      <x:c r="D408" s="625" t="s">
        <x:v>70</x:v>
      </x:c>
      <x:c r="E408" s="627" t="n">
        <x:v>2725143.28</x:v>
      </x:c>
      <x:c r="F408" s="627" t="n">
        <x:v>679374.88</x:v>
      </x:c>
      <x:c r="G408" s="627" t="n">
        <x:v>126898.74</x:v>
      </x:c>
      <x:c r="H408" s="627" t="n">
        <x:v>10627.02</x:v>
      </x:c>
      <x:c r="I408" s="627" t="n">
        <x:v>-60093.33</x:v>
      </x:c>
      <x:c r="J408" s="627" t="n">
        <x:v>-2491.74</x:v>
      </x:c>
      <x:c r="K408" s="627" t="n">
        <x:v>0</x:v>
      </x:c>
      <x:c r="L408" s="627" t="n">
        <x:v>-16227.77</x:v>
      </x:c>
      <x:c r="M408" s="627" t="n">
        <x:v>-16672.31</x:v>
      </x:c>
      <x:c r="N408" s="627" t="n">
        <x:v>-94111.77</x:v>
      </x:c>
      <x:c r="O408" s="627" t="n">
        <x:v>2101905.15</x:v>
      </x:c>
      <x:c r="P408" s="627" t="n">
        <x:v>-4065.59</x:v>
      </x:c>
      <x:c r="Q408" s="627" t="n">
        <x:v>0</x:v>
      </x:c>
      <x:c r="R408" s="653" t="n">
        <x:v>0</x:v>
      </x:c>
      <x:c r="Z408" s="624"/>
    </x:row>
    <x:row r="409" spans="1:26" x14ac:dyDescent="0.2">
      <x:c r="A409" s="631"/>
      <x:c r="B409" s="632" t="s">
        <x:v>119</x:v>
      </x:c>
      <x:c r="C409" s="632" t="s">
        <x:v>70</x:v>
      </x:c>
      <x:c r="D409" s="631"/>
      <x:c r="E409" s="633" t="n">
        <x:v>2406257.91</x:v>
      </x:c>
      <x:c r="F409" s="633" t="n">
        <x:v>664498.81</x:v>
      </x:c>
      <x:c r="G409" s="633" t="n">
        <x:v>118499.59</x:v>
      </x:c>
      <x:c r="H409" s="633" t="n">
        <x:v>6218.54</x:v>
      </x:c>
      <x:c r="I409" s="633" t="n">
        <x:v>-124053.57</x:v>
      </x:c>
      <x:c r="J409" s="633" t="n">
        <x:v>-5100.14</x:v>
      </x:c>
      <x:c r="K409" s="633" t="n">
        <x:v>0</x:v>
      </x:c>
      <x:c r="L409" s="633" t="n">
        <x:v>-39108.79</x:v>
      </x:c>
      <x:c r="M409" s="633" t="n">
        <x:v>-41472.73</x:v>
      </x:c>
      <x:c r="N409" s="633" t="n">
        <x:v>-221816.73</x:v>
      </x:c>
      <x:c r="O409" s="633" t="n">
        <x:v>2056914.4</x:v>
      </x:c>
      <x:c r="P409" s="633" t="n">
        <x:v>-8321.47</x:v>
      </x:c>
      <x:c r="Q409" s="633" t="n">
        <x:v>0</x:v>
      </x:c>
      <x:c r="R409" s="678" t="n">
        <x:v>0</x:v>
      </x:c>
      <x:c r="S409" s="631"/>
      <x:c r="T409" s="631"/>
      <x:c r="U409" s="631"/>
      <x:c r="V409" s="631"/>
      <x:c r="W409" s="631"/>
      <x:c r="X409" s="631"/>
      <x:c r="Y409" s="631"/>
      <x:c r="Z409" s="624"/>
    </x:row>
    <x:row r="410" spans="1:26" x14ac:dyDescent="0.2">
      <x:c r="A410" s="639" t="s">
        <x:v>79</x:v>
      </x:c>
      <x:c r="B410" s="639" t="s">
        <x:v>70</x:v>
      </x:c>
      <x:c r="C410" s="638"/>
      <x:c r="D410" s="638"/>
      <x:c r="E410" s="640" t="n">
        <x:v>4810642.25</x:v>
      </x:c>
      <x:c r="F410" s="640" t="n">
        <x:v>1128796.16</x:v>
      </x:c>
      <x:c r="G410" s="640" t="n">
        <x:v>353822.72</x:v>
      </x:c>
      <x:c r="H410" s="640" t="n">
        <x:v>104043.62</x:v>
      </x:c>
      <x:c r="I410" s="640" t="n">
        <x:v>-41842.45</x:v>
      </x:c>
      <x:c r="J410" s="640" t="n">
        <x:v>-3597.87</x:v>
      </x:c>
      <x:c r="K410" s="640" t="n">
        <x:v>0</x:v>
      </x:c>
      <x:c r="L410" s="640" t="n">
        <x:v>-15162.36</x:v>
      </x:c>
      <x:c r="M410" s="640" t="n">
        <x:v>-65643.29</x:v>
      </x:c>
      <x:c r="N410" s="640" t="n">
        <x:v>-103537.7</x:v>
      </x:c>
      <x:c r="O410" s="640" t="n">
        <x:v>3459090.04</x:v>
      </x:c>
      <x:c r="P410" s="640" t="n">
        <x:v>-5326.62</x:v>
      </x:c>
      <x:c r="Q410" s="640" t="n">
        <x:v>0</x:v>
      </x:c>
      <x:c r="R410" s="679" t="n">
        <x:v>0</x:v>
      </x:c>
      <x:c r="S410" s="638"/>
      <x:c r="T410" s="638"/>
      <x:c r="U410" s="638"/>
      <x:c r="V410" s="638"/>
      <x:c r="W410" s="638"/>
      <x:c r="X410" s="638"/>
      <x:c r="Y410" s="638"/>
      <x:c r="Z410" s="624"/>
    </x:row>
    <x:row r="411" spans="1:26" x14ac:dyDescent="0.2">
      <x:c r="A411" s="625" t="s">
        <x:v>70</x:v>
      </x:c>
      <x:c r="E411" s="627" t="n">
        <x:v>43973508.96</x:v>
      </x:c>
      <x:c r="F411" s="627" t="n">
        <x:v>4175591.12</x:v>
      </x:c>
      <x:c r="G411" s="627" t="n">
        <x:v>2091369.31</x:v>
      </x:c>
      <x:c r="H411" s="627" t="n">
        <x:v>912573.32</x:v>
      </x:c>
      <x:c r="I411" s="627" t="n">
        <x:v>7140563.79</x:v>
      </x:c>
      <x:c r="J411" s="627" t="n">
        <x:v>245577.68</x:v>
      </x:c>
      <x:c r="K411" s="627" t="n">
        <x:v>990006.55</x:v>
      </x:c>
      <x:c r="L411" s="627" t="n">
        <x:v>2250240.58</x:v>
      </x:c>
      <x:c r="M411" s="627" t="n">
        <x:v>2435497.01</x:v>
      </x:c>
      <x:c r="N411" s="627" t="n">
        <x:v>10666064.83</x:v>
      </x:c>
      <x:c r="O411" s="627" t="n">
        <x:v>12719306.19</x:v>
      </x:c>
      <x:c r="P411" s="627" t="n">
        <x:v>346728.95</x:v>
      </x:c>
      <x:c r="Q411" s="627" t="n">
        <x:v>-10.37</x:v>
      </x:c>
      <x:c r="R411" s="627" t="n">
        <x:v>0</x:v>
      </x:c>
      <x:c r="Z411" s="624"/>
    </x:row>
    <x:row r="412" spans="1:26" x14ac:dyDescent="0.2">
      <x:c r="A412" s="625"/>
      <x:c r="E412" s="627"/>
      <x:c r="F412" s="627"/>
      <x:c r="G412" s="627"/>
      <x:c r="H412" s="627"/>
      <x:c r="I412" s="627"/>
      <x:c r="J412" s="627"/>
      <x:c r="K412" s="627"/>
      <x:c r="L412" s="627"/>
      <x:c r="M412" s="627"/>
      <x:c r="N412" s="627"/>
      <x:c r="O412" s="627"/>
      <x:c r="P412" s="627"/>
      <x:c r="Q412" s="627"/>
      <x:c r="R412" s="627"/>
      <x:c r="Z412" s="624"/>
    </x:row>
    <x:row r="413" spans="1:26" x14ac:dyDescent="0.2">
      <x:c r="A413" s="625"/>
      <x:c r="E413" s="627"/>
      <x:c r="F413" s="627"/>
      <x:c r="G413" s="627"/>
      <x:c r="H413" s="627"/>
      <x:c r="I413" s="627"/>
      <x:c r="J413" s="627"/>
      <x:c r="K413" s="627"/>
      <x:c r="L413" s="627"/>
      <x:c r="M413" s="627"/>
      <x:c r="N413" s="627"/>
      <x:c r="O413" s="627"/>
      <x:c r="P413" s="627"/>
      <x:c r="Q413" s="627"/>
      <x:c r="R413" s="627"/>
      <x:c r="Z413" s="624"/>
    </x:row>
    <x:row r="414" spans="1:26" x14ac:dyDescent="0.2">
      <x:c r="A414" s="625"/>
      <x:c r="E414" s="627"/>
      <x:c r="F414" s="627"/>
      <x:c r="G414" s="627"/>
      <x:c r="H414" s="627"/>
      <x:c r="I414" s="627"/>
      <x:c r="J414" s="627"/>
      <x:c r="K414" s="627"/>
      <x:c r="L414" s="627"/>
      <x:c r="M414" s="627"/>
      <x:c r="N414" s="627"/>
      <x:c r="O414" s="627"/>
      <x:c r="P414" s="627"/>
      <x:c r="Q414" s="627"/>
      <x:c r="R414" s="627"/>
      <x:c r="Z414" s="624"/>
    </x:row>
    <x:row r="415" spans="1:26" x14ac:dyDescent="0.2">
      <x:c r="A415" s="625"/>
      <x:c r="E415" s="627"/>
      <x:c r="F415" s="627"/>
      <x:c r="G415" s="627"/>
      <x:c r="H415" s="627"/>
      <x:c r="I415" s="627"/>
      <x:c r="J415" s="627"/>
      <x:c r="K415" s="627"/>
      <x:c r="L415" s="627"/>
      <x:c r="M415" s="627"/>
      <x:c r="N415" s="627"/>
      <x:c r="O415" s="627"/>
      <x:c r="P415" s="627"/>
      <x:c r="Q415" s="627"/>
      <x:c r="R415" s="627"/>
      <x:c r="Z415" s="624"/>
    </x:row>
    <x:row r="416" spans="1:26" x14ac:dyDescent="0.2">
      <x:c r="A416" s="625"/>
      <x:c r="E416" s="627"/>
      <x:c r="F416" s="627"/>
      <x:c r="G416" s="627"/>
      <x:c r="H416" s="627"/>
      <x:c r="I416" s="627"/>
      <x:c r="J416" s="627"/>
      <x:c r="K416" s="627"/>
      <x:c r="L416" s="627"/>
      <x:c r="M416" s="627"/>
      <x:c r="N416" s="627"/>
      <x:c r="O416" s="627"/>
      <x:c r="P416" s="627"/>
      <x:c r="Q416" s="627"/>
      <x:c r="R416" s="627"/>
      <x:c r="Z416" s="624"/>
    </x:row>
    <x:row r="417" spans="1:26" x14ac:dyDescent="0.2">
      <x:c r="A417" s="625"/>
      <x:c r="E417" s="627"/>
      <x:c r="F417" s="627"/>
      <x:c r="G417" s="627"/>
      <x:c r="H417" s="627"/>
      <x:c r="I417" s="627"/>
      <x:c r="J417" s="627"/>
      <x:c r="K417" s="627"/>
      <x:c r="L417" s="627"/>
      <x:c r="M417" s="627"/>
      <x:c r="N417" s="627"/>
      <x:c r="O417" s="627"/>
      <x:c r="P417" s="627"/>
      <x:c r="Q417" s="627"/>
      <x:c r="R417" s="627"/>
      <x:c r="Z417" s="624"/>
    </x:row>
    <x:row r="418" spans="1:26" x14ac:dyDescent="0.2">
      <x:c r="A418" s="625"/>
      <x:c r="E418" s="627"/>
      <x:c r="F418" s="627"/>
      <x:c r="G418" s="627"/>
      <x:c r="H418" s="627"/>
      <x:c r="I418" s="627"/>
      <x:c r="J418" s="627"/>
      <x:c r="K418" s="627"/>
      <x:c r="L418" s="627"/>
      <x:c r="M418" s="627"/>
      <x:c r="N418" s="627"/>
      <x:c r="O418" s="627"/>
      <x:c r="P418" s="627"/>
      <x:c r="Q418" s="627"/>
      <x:c r="R418" s="627"/>
      <x:c r="Z418" s="624"/>
    </x:row>
    <x:row r="419" spans="1:26" x14ac:dyDescent="0.2">
      <x:c r="A419" s="625"/>
      <x:c r="E419" s="627"/>
      <x:c r="F419" s="627"/>
      <x:c r="G419" s="627"/>
      <x:c r="H419" s="627"/>
      <x:c r="I419" s="627"/>
      <x:c r="J419" s="627"/>
      <x:c r="K419" s="627"/>
      <x:c r="L419" s="627"/>
      <x:c r="M419" s="627"/>
      <x:c r="N419" s="627"/>
      <x:c r="O419" s="627"/>
      <x:c r="P419" s="627"/>
      <x:c r="Q419" s="627"/>
      <x:c r="R419" s="627"/>
      <x:c r="Z419" s="624"/>
    </x:row>
    <x:row r="420" spans="1:26" x14ac:dyDescent="0.2">
      <x:c r="A420" s="625"/>
      <x:c r="E420" s="627"/>
      <x:c r="F420" s="627"/>
      <x:c r="G420" s="627"/>
      <x:c r="H420" s="627"/>
      <x:c r="I420" s="627"/>
      <x:c r="J420" s="627"/>
      <x:c r="K420" s="627"/>
      <x:c r="L420" s="627"/>
      <x:c r="M420" s="627"/>
      <x:c r="N420" s="627"/>
      <x:c r="O420" s="627"/>
      <x:c r="P420" s="627"/>
      <x:c r="Q420" s="627"/>
      <x:c r="R420" s="627"/>
      <x:c r="Z420" s="624"/>
    </x:row>
    <x:row r="421" spans="1:26" x14ac:dyDescent="0.2">
      <x:c r="A421" s="625"/>
      <x:c r="E421" s="627"/>
      <x:c r="F421" s="627"/>
      <x:c r="G421" s="627"/>
      <x:c r="H421" s="627"/>
      <x:c r="I421" s="627"/>
      <x:c r="J421" s="627"/>
      <x:c r="K421" s="627"/>
      <x:c r="L421" s="627"/>
      <x:c r="M421" s="627"/>
      <x:c r="N421" s="627"/>
      <x:c r="O421" s="627"/>
      <x:c r="P421" s="627"/>
      <x:c r="Q421" s="627"/>
      <x:c r="R421" s="627"/>
      <x:c r="Z421" s="624"/>
    </x:row>
    <x:row r="422" spans="1:26" x14ac:dyDescent="0.2">
      <x:c r="A422" s="625"/>
      <x:c r="E422" s="627"/>
      <x:c r="F422" s="627"/>
      <x:c r="G422" s="627"/>
      <x:c r="H422" s="627"/>
      <x:c r="I422" s="627"/>
      <x:c r="J422" s="627"/>
      <x:c r="K422" s="627"/>
      <x:c r="L422" s="627"/>
      <x:c r="M422" s="627"/>
      <x:c r="N422" s="627"/>
      <x:c r="O422" s="627"/>
      <x:c r="P422" s="627"/>
      <x:c r="Q422" s="627"/>
      <x:c r="R422" s="627"/>
      <x:c r="Z422" s="624"/>
    </x:row>
    <x:row r="423" spans="1:26" x14ac:dyDescent="0.2">
      <x:c r="A423" s="625"/>
      <x:c r="E423" s="627"/>
      <x:c r="F423" s="627"/>
      <x:c r="G423" s="627"/>
      <x:c r="H423" s="627"/>
      <x:c r="I423" s="627"/>
      <x:c r="J423" s="627"/>
      <x:c r="K423" s="627"/>
      <x:c r="L423" s="627"/>
      <x:c r="M423" s="627"/>
      <x:c r="N423" s="627"/>
      <x:c r="O423" s="627"/>
      <x:c r="P423" s="627"/>
      <x:c r="Q423" s="627"/>
      <x:c r="R423" s="627"/>
      <x:c r="Z423" s="624"/>
    </x:row>
    <x:row r="424" spans="1:26" x14ac:dyDescent="0.2">
      <x:c r="A424" s="625"/>
      <x:c r="E424" s="627"/>
      <x:c r="F424" s="627"/>
      <x:c r="G424" s="627"/>
      <x:c r="H424" s="627"/>
      <x:c r="I424" s="627"/>
      <x:c r="J424" s="627"/>
      <x:c r="K424" s="627"/>
      <x:c r="L424" s="627"/>
      <x:c r="M424" s="627"/>
      <x:c r="N424" s="627"/>
      <x:c r="O424" s="627"/>
      <x:c r="P424" s="627"/>
      <x:c r="Q424" s="627"/>
      <x:c r="R424" s="627"/>
      <x:c r="Z424" s="624"/>
    </x:row>
    <x:row r="425" spans="1:26" x14ac:dyDescent="0.2">
      <x:c r="A425" s="625"/>
      <x:c r="E425" s="627"/>
      <x:c r="F425" s="627"/>
      <x:c r="G425" s="627"/>
      <x:c r="H425" s="627"/>
      <x:c r="I425" s="627"/>
      <x:c r="J425" s="627"/>
      <x:c r="K425" s="627"/>
      <x:c r="L425" s="627"/>
      <x:c r="M425" s="627"/>
      <x:c r="N425" s="627"/>
      <x:c r="O425" s="627"/>
      <x:c r="P425" s="627"/>
      <x:c r="Q425" s="627"/>
      <x:c r="R425" s="627"/>
      <x:c r="Z425" s="624"/>
    </x:row>
    <x:row r="426" spans="1:26" x14ac:dyDescent="0.2">
      <x:c r="A426" s="625"/>
      <x:c r="E426" s="627"/>
      <x:c r="F426" s="627"/>
      <x:c r="G426" s="627"/>
      <x:c r="H426" s="627"/>
      <x:c r="I426" s="627"/>
      <x:c r="J426" s="627"/>
      <x:c r="K426" s="627"/>
      <x:c r="L426" s="627"/>
      <x:c r="M426" s="627"/>
      <x:c r="N426" s="627"/>
      <x:c r="O426" s="627"/>
      <x:c r="P426" s="627"/>
      <x:c r="Q426" s="627"/>
      <x:c r="R426" s="627"/>
      <x:c r="Z426" s="624"/>
    </x:row>
    <x:row r="427" spans="1:26" x14ac:dyDescent="0.2">
      <x:c r="A427" s="625"/>
      <x:c r="E427" s="627"/>
      <x:c r="F427" s="627"/>
      <x:c r="G427" s="627"/>
      <x:c r="H427" s="627"/>
      <x:c r="I427" s="627"/>
      <x:c r="J427" s="627"/>
      <x:c r="K427" s="627"/>
      <x:c r="L427" s="627"/>
      <x:c r="M427" s="627"/>
      <x:c r="N427" s="627"/>
      <x:c r="O427" s="627"/>
      <x:c r="P427" s="627"/>
      <x:c r="Q427" s="627"/>
      <x:c r="R427" s="627"/>
      <x:c r="Z427" s="624"/>
    </x:row>
    <x:row r="428" spans="1:26" x14ac:dyDescent="0.2">
      <x:c r="A428" s="625"/>
      <x:c r="E428" s="627"/>
      <x:c r="F428" s="627"/>
      <x:c r="G428" s="627"/>
      <x:c r="H428" s="627"/>
      <x:c r="I428" s="627"/>
      <x:c r="J428" s="627"/>
      <x:c r="K428" s="627"/>
      <x:c r="L428" s="627"/>
      <x:c r="M428" s="627"/>
      <x:c r="N428" s="627"/>
      <x:c r="O428" s="627"/>
      <x:c r="P428" s="627"/>
      <x:c r="Q428" s="627"/>
      <x:c r="R428" s="627"/>
      <x:c r="Z428" s="624"/>
    </x:row>
    <x:row r="429" spans="1:26" x14ac:dyDescent="0.2">
      <x:c r="A429" s="625"/>
      <x:c r="E429" s="627"/>
      <x:c r="F429" s="627"/>
      <x:c r="G429" s="627"/>
      <x:c r="H429" s="627"/>
      <x:c r="I429" s="627"/>
      <x:c r="J429" s="627"/>
      <x:c r="K429" s="627"/>
      <x:c r="L429" s="627"/>
      <x:c r="M429" s="627"/>
      <x:c r="N429" s="627"/>
      <x:c r="O429" s="627"/>
      <x:c r="P429" s="627"/>
      <x:c r="Q429" s="627"/>
      <x:c r="R429" s="627"/>
      <x:c r="Z429" s="624"/>
    </x:row>
    <x:row r="430" spans="1:26" x14ac:dyDescent="0.2">
      <x:c r="A430" s="625"/>
      <x:c r="E430" s="627"/>
      <x:c r="F430" s="627"/>
      <x:c r="G430" s="627"/>
      <x:c r="H430" s="627"/>
      <x:c r="I430" s="627"/>
      <x:c r="J430" s="627"/>
      <x:c r="K430" s="627"/>
      <x:c r="L430" s="627"/>
      <x:c r="M430" s="627"/>
      <x:c r="N430" s="627"/>
      <x:c r="O430" s="627"/>
      <x:c r="P430" s="627"/>
      <x:c r="Q430" s="627"/>
      <x:c r="R430" s="627"/>
      <x:c r="Z430" s="624"/>
    </x:row>
    <x:row r="431" spans="1:26" x14ac:dyDescent="0.2">
      <x:c r="A431" s="625"/>
      <x:c r="E431" s="627"/>
      <x:c r="F431" s="627"/>
      <x:c r="G431" s="627"/>
      <x:c r="H431" s="627"/>
      <x:c r="I431" s="627"/>
      <x:c r="J431" s="627"/>
      <x:c r="K431" s="627"/>
      <x:c r="L431" s="627"/>
      <x:c r="M431" s="627"/>
      <x:c r="N431" s="627"/>
      <x:c r="O431" s="627"/>
      <x:c r="P431" s="627"/>
      <x:c r="Q431" s="627"/>
      <x:c r="R431" s="627"/>
      <x:c r="Z431" s="624"/>
    </x:row>
    <x:row r="432" spans="1:26" x14ac:dyDescent="0.2">
      <x:c r="A432" s="625"/>
      <x:c r="E432" s="627"/>
      <x:c r="F432" s="627"/>
      <x:c r="G432" s="627"/>
      <x:c r="H432" s="627"/>
      <x:c r="I432" s="627"/>
      <x:c r="J432" s="627"/>
      <x:c r="K432" s="627"/>
      <x:c r="L432" s="627"/>
      <x:c r="M432" s="627"/>
      <x:c r="N432" s="627"/>
      <x:c r="O432" s="627"/>
      <x:c r="P432" s="627"/>
      <x:c r="Q432" s="627"/>
      <x:c r="R432" s="627"/>
      <x:c r="Z432" s="624"/>
    </x:row>
    <x:row r="433" spans="1:26" x14ac:dyDescent="0.2">
      <x:c r="A433" s="625"/>
      <x:c r="E433" s="627"/>
      <x:c r="F433" s="627"/>
      <x:c r="G433" s="627"/>
      <x:c r="H433" s="627"/>
      <x:c r="I433" s="627"/>
      <x:c r="J433" s="627"/>
      <x:c r="K433" s="627"/>
      <x:c r="L433" s="627"/>
      <x:c r="M433" s="627"/>
      <x:c r="N433" s="627"/>
      <x:c r="O433" s="627"/>
      <x:c r="P433" s="627"/>
      <x:c r="Q433" s="627"/>
      <x:c r="R433" s="627"/>
      <x:c r="Z433" s="624"/>
    </x:row>
    <x:row r="434" spans="1:26" x14ac:dyDescent="0.2">
      <x:c r="A434" s="625"/>
      <x:c r="E434" s="627"/>
      <x:c r="F434" s="627"/>
      <x:c r="G434" s="627"/>
      <x:c r="H434" s="627"/>
      <x:c r="I434" s="627"/>
      <x:c r="J434" s="627"/>
      <x:c r="K434" s="627"/>
      <x:c r="L434" s="627"/>
      <x:c r="M434" s="627"/>
      <x:c r="N434" s="627"/>
      <x:c r="O434" s="627"/>
      <x:c r="P434" s="627"/>
      <x:c r="Q434" s="627"/>
      <x:c r="R434" s="627"/>
      <x:c r="Z434" s="624"/>
    </x:row>
    <x:row r="435" spans="1:26" x14ac:dyDescent="0.2">
      <x:c r="A435" s="625"/>
      <x:c r="E435" s="627"/>
      <x:c r="F435" s="627"/>
      <x:c r="G435" s="627"/>
      <x:c r="H435" s="627"/>
      <x:c r="I435" s="627"/>
      <x:c r="J435" s="627"/>
      <x:c r="K435" s="627"/>
      <x:c r="L435" s="627"/>
      <x:c r="M435" s="627"/>
      <x:c r="N435" s="627"/>
      <x:c r="O435" s="627"/>
      <x:c r="P435" s="627"/>
      <x:c r="Q435" s="627"/>
      <x:c r="R435" s="627"/>
      <x:c r="Z435" s="624"/>
    </x:row>
    <x:row r="436" spans="1:26" x14ac:dyDescent="0.2">
      <x:c r="A436" s="625"/>
      <x:c r="E436" s="627"/>
      <x:c r="F436" s="627"/>
      <x:c r="G436" s="627"/>
      <x:c r="H436" s="627"/>
      <x:c r="I436" s="627"/>
      <x:c r="J436" s="627"/>
      <x:c r="K436" s="627"/>
      <x:c r="L436" s="627"/>
      <x:c r="M436" s="627"/>
      <x:c r="N436" s="627"/>
      <x:c r="O436" s="627"/>
      <x:c r="P436" s="627"/>
      <x:c r="Q436" s="627"/>
      <x:c r="R436" s="627"/>
      <x:c r="Z436" s="624"/>
    </x:row>
    <x:row r="437" spans="1:26" x14ac:dyDescent="0.2">
      <x:c r="A437" s="625"/>
      <x:c r="E437" s="627"/>
      <x:c r="F437" s="627"/>
      <x:c r="G437" s="627"/>
      <x:c r="H437" s="627"/>
      <x:c r="I437" s="627"/>
      <x:c r="J437" s="627"/>
      <x:c r="K437" s="627"/>
      <x:c r="L437" s="627"/>
      <x:c r="M437" s="627"/>
      <x:c r="N437" s="627"/>
      <x:c r="O437" s="627"/>
      <x:c r="P437" s="627"/>
      <x:c r="Q437" s="627"/>
      <x:c r="R437" s="627"/>
      <x:c r="Z437" s="624"/>
    </x:row>
    <x:row r="438" spans="1:26" x14ac:dyDescent="0.2">
      <x:c r="B438" s="770" t="s">
        <x:v>2</x:v>
      </x:c>
      <x:c r="C438" s="768" t="s">
        <x:v>132</x:v>
      </x:c>
      <x:c r="D438" s="639" t="s">
        <x:v>70</x:v>
      </x:c>
      <x:c r="E438" s="640">
        <x:f>E410+E396-K396</x:f>
        <x:v>0</x:v>
      </x:c>
      <x:c r="F438" s="640">
        <x:f>F396</x:f>
        <x:v>0</x:v>
      </x:c>
      <x:c r="G438" s="640">
        <x:f t="shared" ref="G438:R438" si="14">G396</x:f>
        <x:v>0</x:v>
      </x:c>
      <x:c r="H438" s="640">
        <x:f t="shared" si="14"/>
        <x:v>0</x:v>
      </x:c>
      <x:c r="I438" s="640">
        <x:f t="shared" si="14"/>
        <x:v>0</x:v>
      </x:c>
      <x:c r="J438" s="640">
        <x:f t="shared" si="14"/>
        <x:v>0</x:v>
      </x:c>
      <x:c r="K438" s="640">
        <x:f t="shared" si="14"/>
        <x:v>0</x:v>
      </x:c>
      <x:c r="L438" s="640">
        <x:f t="shared" si="14"/>
        <x:v>0</x:v>
      </x:c>
      <x:c r="M438" s="640">
        <x:f t="shared" si="14"/>
        <x:v>0</x:v>
      </x:c>
      <x:c r="N438" s="640">
        <x:f t="shared" si="14"/>
        <x:v>0</x:v>
      </x:c>
      <x:c r="O438" s="640">
        <x:f t="shared" si="14"/>
        <x:v>0</x:v>
      </x:c>
      <x:c r="P438" s="640">
        <x:f t="shared" si="14"/>
        <x:v>0</x:v>
      </x:c>
      <x:c r="Q438" s="640">
        <x:f t="shared" si="14"/>
        <x:v>0</x:v>
      </x:c>
      <x:c r="R438" s="640">
        <x:f t="shared" si="14"/>
        <x:v>0</x:v>
      </x:c>
      <x:c r="Z438" s="624"/>
    </x:row>
    <x:row r="439" spans="1:26" x14ac:dyDescent="0.2">
      <x:c r="B439" s="770"/>
      <x:c r="C439" s="768"/>
      <x:c r="D439" s="639" t="s">
        <x:v>73</x:v>
      </x:c>
      <x:c r="E439" s="640">
        <x:f>E410</x:f>
        <x:v>0</x:v>
      </x:c>
      <x:c r="F439" s="627"/>
      <x:c r="G439" s="627"/>
      <x:c r="H439" s="627"/>
      <x:c r="I439" s="627"/>
      <x:c r="J439" s="627"/>
      <x:c r="K439" s="627"/>
      <x:c r="L439" s="627"/>
      <x:c r="M439" s="627"/>
      <x:c r="N439" s="627"/>
      <x:c r="O439" s="627"/>
      <x:c r="P439" s="627"/>
      <x:c r="Q439" s="627"/>
      <x:c r="R439" s="627"/>
      <x:c r="Z439" s="624"/>
    </x:row>
    <x:row r="440" spans="1:26" ht="15" x14ac:dyDescent="0.25">
      <x:c r="A440" s="625"/>
      <x:c r="B440" s="50"/>
      <x:c r="E440" s="627"/>
      <x:c r="F440" s="627"/>
      <x:c r="G440" s="627"/>
      <x:c r="H440" s="627"/>
      <x:c r="I440" s="627"/>
      <x:c r="J440" s="627"/>
      <x:c r="K440" s="627"/>
      <x:c r="L440" s="627"/>
      <x:c r="M440" s="627"/>
      <x:c r="N440" s="627"/>
      <x:c r="O440" s="627"/>
      <x:c r="P440" s="627"/>
      <x:c r="Q440" s="627"/>
      <x:c r="R440" s="627"/>
      <x:c r="Z440" s="624"/>
    </x:row>
    <x:row r="441" spans="1:26" x14ac:dyDescent="0.2">
      <x:c r="B441" s="770" t="s">
        <x:v>160</x:v>
      </x:c>
      <x:c r="C441" s="768" t="s">
        <x:v>132</x:v>
      </x:c>
      <x:c r="D441" s="647" t="s">
        <x:v>70</x:v>
      </x:c>
      <x:c r="E441" s="648">
        <x:v>0</x:v>
      </x:c>
      <x:c r="F441" s="648">
        <x:v>0</x:v>
      </x:c>
      <x:c r="G441" s="648">
        <x:v>0</x:v>
      </x:c>
      <x:c r="H441" s="648">
        <x:v>0</x:v>
      </x:c>
      <x:c r="I441" s="648">
        <x:v>0</x:v>
      </x:c>
      <x:c r="J441" s="648">
        <x:v>0</x:v>
      </x:c>
      <x:c r="K441" s="648">
        <x:v>0</x:v>
      </x:c>
      <x:c r="L441" s="648">
        <x:v>0</x:v>
      </x:c>
      <x:c r="M441" s="648">
        <x:v>0</x:v>
      </x:c>
      <x:c r="N441" s="648">
        <x:v>0</x:v>
      </x:c>
      <x:c r="O441" s="648">
        <x:v>0</x:v>
      </x:c>
      <x:c r="P441" s="648">
        <x:v>0</x:v>
      </x:c>
      <x:c r="Q441" s="648">
        <x:v>0</x:v>
      </x:c>
      <x:c r="R441" s="648">
        <x:v>0</x:v>
      </x:c>
      <x:c r="Z441" s="624"/>
    </x:row>
    <x:row r="442" spans="1:26" x14ac:dyDescent="0.2">
      <x:c r="B442" s="770"/>
      <x:c r="C442" s="768"/>
      <x:c r="D442" s="647" t="s">
        <x:v>73</x:v>
      </x:c>
      <x:c r="E442" s="648">
        <x:v>0</x:v>
      </x:c>
      <x:c r="F442" s="627"/>
      <x:c r="G442" s="627"/>
      <x:c r="H442" s="627"/>
      <x:c r="I442" s="627"/>
      <x:c r="J442" s="627"/>
      <x:c r="K442" s="627"/>
      <x:c r="L442" s="627"/>
      <x:c r="M442" s="627"/>
      <x:c r="N442" s="627"/>
      <x:c r="O442" s="627"/>
      <x:c r="P442" s="627"/>
      <x:c r="Q442" s="627"/>
      <x:c r="R442" s="627"/>
      <x:c r="Z442" s="624"/>
    </x:row>
    <x:row r="443" spans="1:26" ht="15" x14ac:dyDescent="0.25">
      <x:c r="A443" s="625"/>
      <x:c r="B443" s="50"/>
      <x:c r="E443" s="627"/>
      <x:c r="F443" s="627"/>
      <x:c r="G443" s="627"/>
      <x:c r="H443" s="627"/>
      <x:c r="I443" s="627"/>
      <x:c r="J443" s="627"/>
      <x:c r="K443" s="627"/>
      <x:c r="L443" s="627"/>
      <x:c r="M443" s="627"/>
      <x:c r="N443" s="627"/>
      <x:c r="O443" s="627"/>
      <x:c r="P443" s="627"/>
      <x:c r="Q443" s="627"/>
      <x:c r="R443" s="627"/>
      <x:c r="Z443" s="624"/>
    </x:row>
    <x:row r="444" spans="1:26" x14ac:dyDescent="0.2">
      <x:c r="B444" s="770" t="s">
        <x:v>155</x:v>
      </x:c>
      <x:c r="C444" s="768" t="s">
        <x:v>132</x:v>
      </x:c>
      <x:c r="D444" s="651" t="s">
        <x:v>70</x:v>
      </x:c>
      <x:c r="E444" s="652">
        <x:f>E399+E381-K381</x:f>
        <x:v>0</x:v>
      </x:c>
      <x:c r="F444" s="652">
        <x:f>F381</x:f>
        <x:v>0</x:v>
      </x:c>
      <x:c r="G444" s="652">
        <x:f t="shared" ref="G444:R444" si="15">G381</x:f>
        <x:v>0</x:v>
      </x:c>
      <x:c r="H444" s="652">
        <x:f t="shared" si="15"/>
        <x:v>0</x:v>
      </x:c>
      <x:c r="I444" s="652">
        <x:f t="shared" si="15"/>
        <x:v>0</x:v>
      </x:c>
      <x:c r="J444" s="652">
        <x:f t="shared" si="15"/>
        <x:v>0</x:v>
      </x:c>
      <x:c r="K444" s="652">
        <x:f t="shared" si="15"/>
        <x:v>0</x:v>
      </x:c>
      <x:c r="L444" s="652">
        <x:f t="shared" si="15"/>
        <x:v>0</x:v>
      </x:c>
      <x:c r="M444" s="652">
        <x:f t="shared" si="15"/>
        <x:v>0</x:v>
      </x:c>
      <x:c r="N444" s="652">
        <x:f t="shared" si="15"/>
        <x:v>0</x:v>
      </x:c>
      <x:c r="O444" s="652">
        <x:f t="shared" si="15"/>
        <x:v>0</x:v>
      </x:c>
      <x:c r="P444" s="652">
        <x:f t="shared" si="15"/>
        <x:v>0</x:v>
      </x:c>
      <x:c r="Q444" s="652">
        <x:f t="shared" si="15"/>
        <x:v>0</x:v>
      </x:c>
      <x:c r="R444" s="652">
        <x:f t="shared" si="15"/>
        <x:v>0</x:v>
      </x:c>
      <x:c r="Z444" s="624"/>
    </x:row>
    <x:row r="445" spans="1:26" x14ac:dyDescent="0.2">
      <x:c r="B445" s="770"/>
      <x:c r="C445" s="768"/>
      <x:c r="D445" s="651" t="s">
        <x:v>73</x:v>
      </x:c>
      <x:c r="E445" s="652">
        <x:f>E399</x:f>
        <x:v>0</x:v>
      </x:c>
      <x:c r="F445" s="627"/>
      <x:c r="G445" s="627"/>
      <x:c r="H445" s="627"/>
      <x:c r="I445" s="627"/>
      <x:c r="J445" s="627"/>
      <x:c r="K445" s="627"/>
      <x:c r="L445" s="627"/>
      <x:c r="M445" s="627"/>
      <x:c r="N445" s="627"/>
      <x:c r="O445" s="627"/>
      <x:c r="P445" s="627"/>
      <x:c r="Q445" s="627"/>
      <x:c r="R445" s="627"/>
      <x:c r="Z445" s="624"/>
    </x:row>
    <x:row r="446" spans="1:26" ht="15" x14ac:dyDescent="0.25">
      <x:c r="A446" s="625"/>
      <x:c r="B446" s="50"/>
      <x:c r="E446" s="627"/>
      <x:c r="F446" s="627"/>
      <x:c r="G446" s="627"/>
      <x:c r="H446" s="627"/>
      <x:c r="I446" s="627"/>
      <x:c r="J446" s="627"/>
      <x:c r="K446" s="627"/>
      <x:c r="L446" s="627"/>
      <x:c r="M446" s="627"/>
      <x:c r="N446" s="627"/>
      <x:c r="O446" s="627"/>
      <x:c r="P446" s="627"/>
      <x:c r="Q446" s="627"/>
      <x:c r="R446" s="627"/>
      <x:c r="Z446" s="624"/>
    </x:row>
    <x:row r="447" spans="1:26" x14ac:dyDescent="0.2">
      <x:c r="B447" s="771" t="s">
        <x:v>326</x:v>
      </x:c>
      <x:c r="C447" s="768" t="s">
        <x:v>132</x:v>
      </x:c>
      <x:c r="D447" s="654" t="s">
        <x:v>70</x:v>
      </x:c>
      <x:c r="E447" s="655">
        <x:f>E402+E385-K385</x:f>
        <x:v>0</x:v>
      </x:c>
      <x:c r="F447" s="655">
        <x:f>F385</x:f>
        <x:v>0</x:v>
      </x:c>
      <x:c r="G447" s="655">
        <x:f t="shared" ref="G447:R447" si="16">G385</x:f>
        <x:v>0</x:v>
      </x:c>
      <x:c r="H447" s="655">
        <x:f t="shared" si="16"/>
        <x:v>0</x:v>
      </x:c>
      <x:c r="I447" s="655">
        <x:f t="shared" si="16"/>
        <x:v>0</x:v>
      </x:c>
      <x:c r="J447" s="655">
        <x:f t="shared" si="16"/>
        <x:v>0</x:v>
      </x:c>
      <x:c r="K447" s="655">
        <x:f t="shared" si="16"/>
        <x:v>0</x:v>
      </x:c>
      <x:c r="L447" s="655">
        <x:f t="shared" si="16"/>
        <x:v>0</x:v>
      </x:c>
      <x:c r="M447" s="655">
        <x:f t="shared" si="16"/>
        <x:v>0</x:v>
      </x:c>
      <x:c r="N447" s="655">
        <x:f t="shared" si="16"/>
        <x:v>0</x:v>
      </x:c>
      <x:c r="O447" s="655">
        <x:f t="shared" si="16"/>
        <x:v>0</x:v>
      </x:c>
      <x:c r="P447" s="655">
        <x:f t="shared" si="16"/>
        <x:v>0</x:v>
      </x:c>
      <x:c r="Q447" s="655">
        <x:f t="shared" si="16"/>
        <x:v>0</x:v>
      </x:c>
      <x:c r="R447" s="655">
        <x:f t="shared" si="16"/>
        <x:v>0</x:v>
      </x:c>
      <x:c r="Z447" s="624"/>
    </x:row>
    <x:row r="448" spans="1:26" x14ac:dyDescent="0.2">
      <x:c r="B448" s="771"/>
      <x:c r="C448" s="768"/>
      <x:c r="D448" s="654" t="s">
        <x:v>73</x:v>
      </x:c>
      <x:c r="E448" s="655">
        <x:f>E402</x:f>
        <x:v>0</x:v>
      </x:c>
      <x:c r="F448" s="627"/>
      <x:c r="G448" s="627"/>
      <x:c r="H448" s="627"/>
      <x:c r="I448" s="627"/>
      <x:c r="J448" s="627"/>
      <x:c r="K448" s="627"/>
      <x:c r="L448" s="627"/>
      <x:c r="M448" s="627"/>
      <x:c r="N448" s="627"/>
      <x:c r="O448" s="627"/>
      <x:c r="P448" s="627"/>
      <x:c r="Q448" s="627"/>
      <x:c r="R448" s="627"/>
      <x:c r="Z448" s="624"/>
    </x:row>
    <x:row r="449" spans="1:26" ht="15" x14ac:dyDescent="0.2">
      <x:c r="B449" s="643"/>
      <x:c r="C449" s="644"/>
      <x:c r="D449" s="625"/>
      <x:c r="E449" s="627"/>
      <x:c r="F449" s="627"/>
      <x:c r="G449" s="627"/>
      <x:c r="H449" s="627"/>
      <x:c r="I449" s="627"/>
      <x:c r="J449" s="627"/>
      <x:c r="K449" s="627"/>
      <x:c r="L449" s="627"/>
      <x:c r="M449" s="627"/>
      <x:c r="N449" s="627"/>
      <x:c r="O449" s="627"/>
      <x:c r="P449" s="627"/>
      <x:c r="Q449" s="627"/>
      <x:c r="R449" s="627"/>
      <x:c r="Z449" s="624"/>
    </x:row>
    <x:row r="450" spans="1:26" x14ac:dyDescent="0.2">
      <x:c r="B450" s="770" t="s">
        <x:v>119</x:v>
      </x:c>
      <x:c r="C450" s="768" t="s">
        <x:v>132</x:v>
      </x:c>
      <x:c r="D450" s="632" t="s">
        <x:v>70</x:v>
      </x:c>
      <x:c r="E450" s="633">
        <x:f>E395+E409-K395</x:f>
        <x:v>0</x:v>
      </x:c>
      <x:c r="F450" s="633">
        <x:f>F395</x:f>
        <x:v>0</x:v>
      </x:c>
      <x:c r="G450" s="633">
        <x:f t="shared" ref="G450:R450" si="17">G395</x:f>
        <x:v>0</x:v>
      </x:c>
      <x:c r="H450" s="633">
        <x:f t="shared" si="17"/>
        <x:v>0</x:v>
      </x:c>
      <x:c r="I450" s="633">
        <x:f t="shared" si="17"/>
        <x:v>0</x:v>
      </x:c>
      <x:c r="J450" s="633">
        <x:f t="shared" si="17"/>
        <x:v>0</x:v>
      </x:c>
      <x:c r="K450" s="633">
        <x:f t="shared" si="17"/>
        <x:v>0</x:v>
      </x:c>
      <x:c r="L450" s="633">
        <x:f t="shared" si="17"/>
        <x:v>0</x:v>
      </x:c>
      <x:c r="M450" s="633">
        <x:f t="shared" si="17"/>
        <x:v>0</x:v>
      </x:c>
      <x:c r="N450" s="633">
        <x:f t="shared" si="17"/>
        <x:v>0</x:v>
      </x:c>
      <x:c r="O450" s="633">
        <x:f t="shared" si="17"/>
        <x:v>0</x:v>
      </x:c>
      <x:c r="P450" s="633">
        <x:f t="shared" si="17"/>
        <x:v>0</x:v>
      </x:c>
      <x:c r="Q450" s="633">
        <x:f t="shared" si="17"/>
        <x:v>0</x:v>
      </x:c>
      <x:c r="R450" s="633">
        <x:f t="shared" si="17"/>
        <x:v>0</x:v>
      </x:c>
      <x:c r="Z450" s="624"/>
    </x:row>
    <x:row r="451" spans="1:26" x14ac:dyDescent="0.2">
      <x:c r="B451" s="770"/>
      <x:c r="C451" s="768"/>
      <x:c r="D451" s="632" t="s">
        <x:v>73</x:v>
      </x:c>
      <x:c r="E451" s="633">
        <x:f>E409</x:f>
        <x:v>0</x:v>
      </x:c>
      <x:c r="F451" s="627"/>
      <x:c r="G451" s="627"/>
      <x:c r="H451" s="627"/>
      <x:c r="I451" s="627"/>
      <x:c r="J451" s="627"/>
      <x:c r="K451" s="627"/>
      <x:c r="L451" s="627"/>
      <x:c r="M451" s="627"/>
      <x:c r="N451" s="627"/>
      <x:c r="O451" s="627"/>
      <x:c r="P451" s="627"/>
      <x:c r="Q451" s="627"/>
      <x:c r="R451" s="627"/>
      <x:c r="Z451" s="624"/>
    </x:row>
    <x:row r="452" spans="1:26" ht="15" x14ac:dyDescent="0.25">
      <x:c r="A452" s="625"/>
      <x:c r="B452" s="50"/>
      <x:c r="E452" s="627"/>
      <x:c r="F452" s="627"/>
      <x:c r="G452" s="627"/>
      <x:c r="H452" s="627"/>
      <x:c r="I452" s="627"/>
      <x:c r="J452" s="627"/>
      <x:c r="K452" s="627"/>
      <x:c r="L452" s="627"/>
      <x:c r="M452" s="627"/>
      <x:c r="N452" s="627"/>
      <x:c r="O452" s="627"/>
      <x:c r="P452" s="627"/>
      <x:c r="Q452" s="627"/>
      <x:c r="R452" s="627"/>
      <x:c r="Z452" s="624"/>
    </x:row>
    <x:row r="453" spans="1:26" x14ac:dyDescent="0.2">
      <x:c r="B453" s="769" t="s">
        <x:v>161</x:v>
      </x:c>
      <x:c r="C453" s="768" t="s">
        <x:v>132</x:v>
      </x:c>
      <x:c r="D453" s="661" t="s">
        <x:v>70</x:v>
      </x:c>
      <x:c r="E453" s="662">
        <x:v>0</x:v>
      </x:c>
      <x:c r="F453" s="662">
        <x:v>0</x:v>
      </x:c>
      <x:c r="G453" s="662">
        <x:v>0</x:v>
      </x:c>
      <x:c r="H453" s="662">
        <x:v>0</x:v>
      </x:c>
      <x:c r="I453" s="662">
        <x:v>0</x:v>
      </x:c>
      <x:c r="J453" s="662">
        <x:v>0</x:v>
      </x:c>
      <x:c r="K453" s="662">
        <x:v>0</x:v>
      </x:c>
      <x:c r="L453" s="662">
        <x:v>0</x:v>
      </x:c>
      <x:c r="M453" s="662">
        <x:v>0</x:v>
      </x:c>
      <x:c r="N453" s="662">
        <x:v>0</x:v>
      </x:c>
      <x:c r="O453" s="662">
        <x:v>0</x:v>
      </x:c>
      <x:c r="P453" s="662">
        <x:v>0</x:v>
      </x:c>
      <x:c r="Q453" s="662">
        <x:v>0</x:v>
      </x:c>
      <x:c r="R453" s="662">
        <x:v>0</x:v>
      </x:c>
      <x:c r="Z453" s="624"/>
    </x:row>
    <x:row r="454" spans="1:26" x14ac:dyDescent="0.2">
      <x:c r="B454" s="769"/>
      <x:c r="C454" s="768"/>
      <x:c r="D454" s="661" t="s">
        <x:v>73</x:v>
      </x:c>
      <x:c r="E454" s="662">
        <x:v>0</x:v>
      </x:c>
      <x:c r="F454" s="627"/>
      <x:c r="G454" s="627"/>
      <x:c r="H454" s="627"/>
      <x:c r="I454" s="627"/>
      <x:c r="J454" s="627"/>
      <x:c r="K454" s="627"/>
      <x:c r="L454" s="627"/>
      <x:c r="M454" s="627"/>
      <x:c r="N454" s="627"/>
      <x:c r="O454" s="627"/>
      <x:c r="P454" s="627"/>
      <x:c r="Q454" s="627"/>
      <x:c r="R454" s="627"/>
      <x:c r="Z454" s="624"/>
    </x:row>
    <x:row r="455" spans="1:26" x14ac:dyDescent="0.2">
      <x:c r="A455" s="624"/>
      <x:c r="B455" s="624"/>
      <x:c r="C455" s="624"/>
      <x:c r="D455" s="624"/>
      <x:c r="E455" s="624"/>
      <x:c r="F455" s="624"/>
      <x:c r="G455" s="624"/>
      <x:c r="H455" s="624"/>
      <x:c r="I455" s="624"/>
      <x:c r="J455" s="624"/>
      <x:c r="K455" s="624"/>
      <x:c r="L455" s="624"/>
      <x:c r="M455" s="624"/>
      <x:c r="N455" s="624"/>
      <x:c r="O455" s="624"/>
      <x:c r="P455" s="624"/>
      <x:c r="Q455" s="624"/>
      <x:c r="R455" s="624"/>
      <x:c r="S455" s="624"/>
      <x:c r="T455" s="624"/>
      <x:c r="U455" s="624"/>
      <x:c r="V455" s="624"/>
      <x:c r="W455" s="624"/>
      <x:c r="X455" s="624"/>
      <x:c r="Y455" s="624"/>
      <x:c r="Z455" s="624"/>
    </x:row>
  </x:sheetData>
  <x:mergeCells count="60">
    <x:mergeCell ref="B450:B451"/>
    <x:mergeCell ref="C450:C451"/>
    <x:mergeCell ref="B453:B454"/>
    <x:mergeCell ref="C453:C454"/>
    <x:mergeCell ref="B447:B448"/>
    <x:mergeCell ref="C447:C448"/>
    <x:mergeCell ref="B438:B439"/>
    <x:mergeCell ref="C438:C439"/>
    <x:mergeCell ref="B441:B442"/>
    <x:mergeCell ref="C441:C442"/>
    <x:mergeCell ref="B444:B445"/>
    <x:mergeCell ref="C444:C445"/>
    <x:mergeCell ref="B370:B371"/>
    <x:mergeCell ref="C370:C371"/>
    <x:mergeCell ref="B373:B374"/>
    <x:mergeCell ref="C373:C374"/>
    <x:mergeCell ref="B367:B368"/>
    <x:mergeCell ref="C367:C368"/>
    <x:mergeCell ref="B358:B359"/>
    <x:mergeCell ref="C358:C359"/>
    <x:mergeCell ref="B361:B362"/>
    <x:mergeCell ref="C361:C362"/>
    <x:mergeCell ref="B364:B365"/>
    <x:mergeCell ref="C364:C365"/>
    <x:mergeCell ref="B268:B269"/>
    <x:mergeCell ref="C268:C269"/>
    <x:mergeCell ref="B265:B266"/>
    <x:mergeCell ref="C265:C266"/>
    <x:mergeCell ref="B271:B272"/>
    <x:mergeCell ref="C271:C272"/>
    <x:mergeCell ref="B256:B257"/>
    <x:mergeCell ref="C256:C257"/>
    <x:mergeCell ref="B259:B260"/>
    <x:mergeCell ref="C259:C260"/>
    <x:mergeCell ref="B262:B263"/>
    <x:mergeCell ref="C262:C263"/>
    <x:mergeCell ref="B43:B44"/>
    <x:mergeCell ref="C43:C44"/>
    <x:mergeCell ref="B46:B47"/>
    <x:mergeCell ref="C46:C47"/>
    <x:mergeCell ref="B52:B53"/>
    <x:mergeCell ref="C52:C53"/>
    <x:mergeCell ref="B49:B50"/>
    <x:mergeCell ref="C49:C50"/>
    <x:mergeCell ref="B55:B56"/>
    <x:mergeCell ref="C55:C56"/>
    <x:mergeCell ref="B154:B155"/>
    <x:mergeCell ref="C154:C155"/>
    <x:mergeCell ref="B58:B59"/>
    <x:mergeCell ref="C58:C59"/>
    <x:mergeCell ref="B139:B140"/>
    <x:mergeCell ref="C139:C140"/>
    <x:mergeCell ref="B142:B143"/>
    <x:mergeCell ref="C142:C143"/>
    <x:mergeCell ref="B145:B146"/>
    <x:mergeCell ref="C145:C146"/>
    <x:mergeCell ref="B151:B152"/>
    <x:mergeCell ref="C151:C152"/>
    <x:mergeCell ref="B148:B149"/>
    <x:mergeCell ref="C148:C149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Z376"/>
  <x:sheetViews>
    <x:sheetView zoomScale="82" zoomScaleNormal="82" workbookViewId="0">
      <x:pane ySplit="2" topLeftCell="A3" activePane="bottomLeft" state="frozen"/>
      <x:selection activeCell="A6" sqref="A6"/>
      <x:selection pane="bottomLeft" activeCell="C20" sqref="C20"/>
    </x:sheetView>
  </x:sheetViews>
  <x:sheetFormatPr baseColWidth="10" defaultColWidth="30" defaultRowHeight="14.25" x14ac:dyDescent="0.2"/>
  <x:cols>
    <x:col min="1" max="1" width="29.85546875" style="681" customWidth="1"/>
    <x:col min="2" max="2" width="20.5703125" style="681" bestFit="1" customWidth="1"/>
    <x:col min="3" max="3" width="25.28515625" style="681" bestFit="1" customWidth="1"/>
    <x:col min="4" max="4" width="16.28515625" style="681" bestFit="1" customWidth="1"/>
    <x:col min="5" max="5" width="18.140625" style="681" bestFit="1" customWidth="1"/>
    <x:col min="6" max="6" width="17.85546875" style="681" bestFit="1" customWidth="1"/>
    <x:col min="7" max="7" width="20.140625" style="681" bestFit="1" customWidth="1"/>
    <x:col min="8" max="8" width="18.42578125" style="681" bestFit="1" customWidth="1"/>
    <x:col min="9" max="9" width="19.42578125" style="681" bestFit="1" customWidth="1"/>
    <x:col min="10" max="10" width="18.28515625" style="681" bestFit="1" customWidth="1"/>
    <x:col min="11" max="13" width="18.140625" style="681" bestFit="1" customWidth="1"/>
    <x:col min="14" max="14" width="23.28515625" style="681" bestFit="1" customWidth="1"/>
    <x:col min="15" max="15" width="15.140625" style="681" bestFit="1" customWidth="1"/>
    <x:col min="16" max="16" width="24.140625" style="681" bestFit="1" customWidth="1"/>
    <x:col min="17" max="17" width="21.7109375" style="681" bestFit="1" customWidth="1"/>
    <x:col min="18" max="18" width="6.28515625" style="681" bestFit="1" customWidth="1"/>
    <x:col min="19" max="24" width="30" style="681"/>
    <x:col min="25" max="25" width="30.140625" style="681" customWidth="1"/>
    <x:col min="26" max="26" width="2.140625" style="681" customWidth="1"/>
    <x:col min="27" max="16384" width="30" style="681"/>
  </x:cols>
  <x:sheetData>
    <x:row r="1" spans="1:26" ht="15" x14ac:dyDescent="0.25">
      <x:c r="B1" s="707" t="s">
        <x:v>74</x:v>
      </x:c>
      <x:c r="Z1" s="701"/>
    </x:row>
    <x:row r="2" spans="1:26" s="682" customFormat="1" ht="15" x14ac:dyDescent="0.25">
      <x:c r="D2" s="704" t="s">
        <x:v>70</x:v>
      </x:c>
      <x:c r="E2" s="704" t="s">
        <x:v>64</x:v>
      </x:c>
      <x:c r="F2" s="704" t="s">
        <x:v>65</x:v>
      </x:c>
      <x:c r="G2" s="705" t="s">
        <x:v>164</x:v>
      </x:c>
      <x:c r="H2" s="704" t="s">
        <x:v>69</x:v>
      </x:c>
      <x:c r="I2" s="704" t="s">
        <x:v>68</x:v>
      </x:c>
      <x:c r="J2" s="704" t="s">
        <x:v>66</x:v>
      </x:c>
      <x:c r="K2" s="704" t="s">
        <x:v>63</x:v>
      </x:c>
      <x:c r="L2" s="704" t="s">
        <x:v>61</x:v>
      </x:c>
      <x:c r="M2" s="704" t="s">
        <x:v>62</x:v>
      </x:c>
      <x:c r="N2" s="704" t="s">
        <x:v>67</x:v>
      </x:c>
      <x:c r="O2" s="704" t="s">
        <x:v>77</x:v>
      </x:c>
      <x:c r="P2" s="682" t="s">
        <x:v>71</x:v>
      </x:c>
      <x:c r="Q2" s="704" t="s">
        <x:v>80</x:v>
      </x:c>
      <x:c r="R2" s="682" t="s">
        <x:v>167</x:v>
      </x:c>
      <x:c r="Z2" s="706"/>
    </x:row>
    <x:row r="3" spans="1:26" x14ac:dyDescent="0.2">
      <x:c r="C3" s="681" t="s">
        <x:v>72</x:v>
      </x:c>
      <x:c r="D3" s="683" t="n">
        <x:v>-15794348.21</x:v>
      </x:c>
      <x:c r="E3" s="683" t="n">
        <x:v>-792653.97</x:v>
      </x:c>
      <x:c r="F3" s="683" t="n">
        <x:v>-443520.95</x:v>
      </x:c>
      <x:c r="G3" s="683" t="n">
        <x:v>-235150.45</x:v>
      </x:c>
      <x:c r="H3" s="683" t="n">
        <x:v>-3808729.66</x:v>
      </x:c>
      <x:c r="I3" s="683" t="n">
        <x:v>-139986.99</x:v>
      </x:c>
      <x:c r="J3" s="683" t="n">
        <x:v>-1241530.57</x:v>
      </x:c>
      <x:c r="K3" s="683" t="n">
        <x:v>-1202003.46</x:v>
      </x:c>
      <x:c r="L3" s="683" t="n">
        <x:v>-5520144.82</x:v>
      </x:c>
      <x:c r="M3" s="683" t="n">
        <x:v>-2181286.43</x:v>
      </x:c>
      <x:c r="N3" s="683" t="n">
        <x:v>-229451.13</x:v>
      </x:c>
      <x:c r="O3" s="683" t="n">
        <x:v>110.22</x:v>
      </x:c>
      <x:c r="P3" s="683">
        <x:v>0</x:v>
      </x:c>
      <x:c r="Q3" s="683">
        <x:v>0</x:v>
      </x:c>
      <x:c r="R3" s="681">
        <x:v>0</x:v>
      </x:c>
      <x:c r="Z3" s="701"/>
    </x:row>
    <x:row r="4" spans="1:26" x14ac:dyDescent="0.2">
      <x:c r="C4" s="681" t="s">
        <x:v>81</x:v>
      </x:c>
      <x:c r="D4" s="683" t="n">
        <x:v>-23575</x:v>
      </x:c>
      <x:c r="E4" s="683" t="n">
        <x:v>-1070.04</x:v>
      </x:c>
      <x:c r="F4" s="683" t="n">
        <x:v>-517.3</x:v>
      </x:c>
      <x:c r="G4" s="683" t="n">
        <x:v>-287.09</x:v>
      </x:c>
      <x:c r="H4" s="683" t="n">
        <x:v>-5416.02</x:v>
      </x:c>
      <x:c r="I4" s="683" t="n">
        <x:v>-247.11</x:v>
      </x:c>
      <x:c r="J4" s="683" t="n">
        <x:v>-2165.7</x:v>
      </x:c>
      <x:c r="K4" s="683" t="n">
        <x:v>-1867.54</x:v>
      </x:c>
      <x:c r="L4" s="683" t="n">
        <x:v>-8699.17</x:v>
      </x:c>
      <x:c r="M4" s="683" t="n">
        <x:v>-2902.92</x:v>
      </x:c>
      <x:c r="N4" s="683" t="n">
        <x:v>-402.93</x:v>
      </x:c>
      <x:c r="O4" s="683" t="n">
        <x:v>0.82</x:v>
      </x:c>
      <x:c r="P4" s="683">
        <x:v>0</x:v>
      </x:c>
      <x:c r="Q4" s="683">
        <x:v>0</x:v>
      </x:c>
      <x:c r="R4" s="681">
        <x:v>0</x:v>
      </x:c>
      <x:c r="Z4" s="701"/>
    </x:row>
    <x:row r="5" spans="1:26" x14ac:dyDescent="0.2">
      <x:c r="A5" s="684"/>
      <x:c r="B5" s="685" t="s">
        <x:v>78</x:v>
      </x:c>
      <x:c r="C5" s="685" t="s">
        <x:v>70</x:v>
      </x:c>
      <x:c r="D5" s="685" t="n">
        <x:v>-15817923.21</x:v>
      </x:c>
      <x:c r="E5" s="685" t="n">
        <x:v>-793724.01</x:v>
      </x:c>
      <x:c r="F5" s="685" t="n">
        <x:v>-444038.25</x:v>
      </x:c>
      <x:c r="G5" s="685" t="n">
        <x:v>-235437.54</x:v>
      </x:c>
      <x:c r="H5" s="685" t="n">
        <x:v>-3814145.68</x:v>
      </x:c>
      <x:c r="I5" s="685" t="n">
        <x:v>-140234.1</x:v>
      </x:c>
      <x:c r="J5" s="685" t="n">
        <x:v>-1243696.27</x:v>
      </x:c>
      <x:c r="K5" s="685" t="n">
        <x:v>-1203871</x:v>
      </x:c>
      <x:c r="L5" s="685" t="n">
        <x:v>-5528843.99</x:v>
      </x:c>
      <x:c r="M5" s="685" t="n">
        <x:v>-2184189.35</x:v>
      </x:c>
      <x:c r="N5" s="685" t="n">
        <x:v>-229854.06</x:v>
      </x:c>
      <x:c r="O5" s="685" t="n">
        <x:v>111.04</x:v>
      </x:c>
      <x:c r="P5" s="684">
        <x:v>0</x:v>
      </x:c>
      <x:c r="Q5" s="685">
        <x:v>0</x:v>
      </x:c>
      <x:c r="R5" s="685">
        <x:v>0</x:v>
      </x:c>
      <x:c r="S5" s="684"/>
      <x:c r="T5" s="684"/>
      <x:c r="U5" s="684"/>
      <x:c r="V5" s="684"/>
      <x:c r="W5" s="684"/>
      <x:c r="X5" s="684"/>
      <x:c r="Y5" s="684"/>
      <x:c r="Z5" s="701"/>
    </x:row>
    <x:row r="6" spans="1:26" x14ac:dyDescent="0.2">
      <x:c r="C6" s="681" t="s">
        <x:v>73</x:v>
      </x:c>
      <x:c r="D6" s="683" t="n">
        <x:v>283961.51</x:v>
      </x:c>
      <x:c r="E6" s="683" t="n">
        <x:v>-50016.63</x:v>
      </x:c>
      <x:c r="F6" s="683" t="n">
        <x:v>-28439.29</x:v>
      </x:c>
      <x:c r="G6" s="683" t="n">
        <x:v>-8473.6</x:v>
      </x:c>
      <x:c r="H6" s="683" t="n">
        <x:v>123071.72</x:v>
      </x:c>
      <x:c r="I6" s="683" t="n">
        <x:v>6856.23</x:v>
      </x:c>
      <x:c r="J6" s="683" t="n">
        <x:v>57818.27</x:v>
      </x:c>
      <x:c r="K6" s="683" t="n">
        <x:v>55412.62</x:v>
      </x:c>
      <x:c r="L6" s="683" t="n">
        <x:v>258242.83</x:v>
      </x:c>
      <x:c r="M6" s="683" t="n">
        <x:v>-141530</x:v>
      </x:c>
      <x:c r="N6" s="683" t="n">
        <x:v>11019.36</x:v>
      </x:c>
      <x:c r="O6" s="683" t="n">
        <x:v>0</x:v>
      </x:c>
      <x:c r="P6" s="683">
        <x:v>0</x:v>
      </x:c>
      <x:c r="Q6" s="683">
        <x:v>0</x:v>
      </x:c>
      <x:c r="R6" s="681">
        <x:v>0</x:v>
      </x:c>
      <x:c r="Z6" s="701"/>
    </x:row>
    <x:row r="7" spans="1:26" x14ac:dyDescent="0.2">
      <x:c r="A7" s="686"/>
      <x:c r="B7" s="687" t="s">
        <x:v>79</x:v>
      </x:c>
      <x:c r="C7" s="687" t="s">
        <x:v>70</x:v>
      </x:c>
      <x:c r="D7" s="687" t="n">
        <x:v>283961.51</x:v>
      </x:c>
      <x:c r="E7" s="687" t="n">
        <x:v>-50016.63</x:v>
      </x:c>
      <x:c r="F7" s="687" t="n">
        <x:v>-28439.29</x:v>
      </x:c>
      <x:c r="G7" s="687" t="n">
        <x:v>-8473.6</x:v>
      </x:c>
      <x:c r="H7" s="687" t="n">
        <x:v>123071.72</x:v>
      </x:c>
      <x:c r="I7" s="687" t="n">
        <x:v>6856.23</x:v>
      </x:c>
      <x:c r="J7" s="687" t="n">
        <x:v>57818.27</x:v>
      </x:c>
      <x:c r="K7" s="687" t="n">
        <x:v>55412.62</x:v>
      </x:c>
      <x:c r="L7" s="687" t="n">
        <x:v>258242.83</x:v>
      </x:c>
      <x:c r="M7" s="687" t="n">
        <x:v>-141530</x:v>
      </x:c>
      <x:c r="N7" s="687" t="n">
        <x:v>11019.36</x:v>
      </x:c>
      <x:c r="O7" s="687" t="n">
        <x:v>0</x:v>
      </x:c>
      <x:c r="P7" s="686">
        <x:v>0</x:v>
      </x:c>
      <x:c r="Q7" s="687">
        <x:v>0</x:v>
      </x:c>
      <x:c r="R7" s="687">
        <x:v>0</x:v>
      </x:c>
      <x:c r="S7" s="686"/>
      <x:c r="T7" s="686"/>
      <x:c r="U7" s="686"/>
      <x:c r="V7" s="686"/>
      <x:c r="W7" s="686"/>
      <x:c r="X7" s="686"/>
      <x:c r="Y7" s="686"/>
      <x:c r="Z7" s="701"/>
    </x:row>
    <x:row r="8" spans="1:26" x14ac:dyDescent="0.2">
      <x:c r="A8" s="688" t="s">
        <x:v>155</x:v>
      </x:c>
      <x:c r="B8" s="688" t="s">
        <x:v>70</x:v>
      </x:c>
      <x:c r="C8" s="688"/>
      <x:c r="D8" s="689" t="n">
        <x:v>-15533961.7</x:v>
      </x:c>
      <x:c r="E8" s="689" t="n">
        <x:v>-843740.64</x:v>
      </x:c>
      <x:c r="F8" s="689" t="n">
        <x:v>-472477.54</x:v>
      </x:c>
      <x:c r="G8" s="689" t="n">
        <x:v>-243911.14</x:v>
      </x:c>
      <x:c r="H8" s="689" t="n">
        <x:v>-3691073.96</x:v>
      </x:c>
      <x:c r="I8" s="689" t="n">
        <x:v>-133377.87</x:v>
      </x:c>
      <x:c r="J8" s="689" t="n">
        <x:v>-1185878</x:v>
      </x:c>
      <x:c r="K8" s="689" t="n">
        <x:v>-1148458.38</x:v>
      </x:c>
      <x:c r="L8" s="689" t="n">
        <x:v>-5270601.16</x:v>
      </x:c>
      <x:c r="M8" s="689" t="n">
        <x:v>-2325719.35</x:v>
      </x:c>
      <x:c r="N8" s="689" t="n">
        <x:v>-218834.7</x:v>
      </x:c>
      <x:c r="O8" s="689" t="n">
        <x:v>111.04</x:v>
      </x:c>
      <x:c r="P8" s="689">
        <x:v>0</x:v>
      </x:c>
      <x:c r="Q8" s="689">
        <x:v>0</x:v>
      </x:c>
      <x:c r="R8" s="688">
        <x:v>0</x:v>
      </x:c>
      <x:c r="S8" s="688"/>
      <x:c r="T8" s="688"/>
      <x:c r="U8" s="688"/>
      <x:c r="V8" s="688"/>
      <x:c r="W8" s="688"/>
      <x:c r="X8" s="688"/>
      <x:c r="Y8" s="688"/>
      <x:c r="Z8" s="701"/>
    </x:row>
    <x:row r="9" spans="1:26" x14ac:dyDescent="0.2">
      <x:c r="C9" s="681" t="s">
        <x:v>72</x:v>
      </x:c>
      <x:c r="D9" s="683" t="n">
        <x:v>-762167.27</x:v>
      </x:c>
      <x:c r="E9" s="683" t="n">
        <x:v>-48309.04</x:v>
      </x:c>
      <x:c r="F9" s="683" t="n">
        <x:v>-26455.25</x:v>
      </x:c>
      <x:c r="G9" s="683" t="n">
        <x:v>-13891.43</x:v>
      </x:c>
      <x:c r="H9" s="683" t="n">
        <x:v>-192277.47</x:v>
      </x:c>
      <x:c r="I9" s="683" t="n">
        <x:v>-4768.85</x:v>
      </x:c>
      <x:c r="J9" s="683" t="n">
        <x:v>-58119.3</x:v>
      </x:c>
      <x:c r="K9" s="683" t="n">
        <x:v>-51919.38</x:v>
      </x:c>
      <x:c r="L9" s="683" t="n">
        <x:v>-246558.5</x:v>
      </x:c>
      <x:c r="M9" s="683" t="n">
        <x:v>-112077.14</x:v>
      </x:c>
      <x:c r="N9" s="683" t="n">
        <x:v>-7780.61</x:v>
      </x:c>
      <x:c r="O9" s="683" t="n">
        <x:v>-10.3</x:v>
      </x:c>
      <x:c r="P9" s="683">
        <x:v>0</x:v>
      </x:c>
      <x:c r="Q9" s="683">
        <x:v>0</x:v>
      </x:c>
      <x:c r="R9" s="681">
        <x:v>0</x:v>
      </x:c>
      <x:c r="Z9" s="701"/>
    </x:row>
    <x:row r="10" spans="1:26" x14ac:dyDescent="0.2">
      <x:c r="C10" s="681" t="s">
        <x:v>81</x:v>
      </x:c>
      <x:c r="D10" s="683" t="n">
        <x:v>-177.06</x:v>
      </x:c>
      <x:c r="E10" s="683" t="n">
        <x:v>-11.22</x:v>
      </x:c>
      <x:c r="F10" s="683" t="n">
        <x:v>-6.34</x:v>
      </x:c>
      <x:c r="G10" s="683" t="n">
        <x:v>-3.35</x:v>
      </x:c>
      <x:c r="H10" s="683" t="n">
        <x:v>-43.6</x:v>
      </x:c>
      <x:c r="I10" s="683" t="n">
        <x:v>-1.05</x:v>
      </x:c>
      <x:c r="J10" s="683" t="n">
        <x:v>-9.24</x:v>
      </x:c>
      <x:c r="K10" s="683" t="n">
        <x:v>-12.57</x:v>
      </x:c>
      <x:c r="L10" s="683" t="n">
        <x:v>-57.05</x:v>
      </x:c>
      <x:c r="M10" s="683" t="n">
        <x:v>-30.93</x:v>
      </x:c>
      <x:c r="N10" s="683" t="n">
        <x:v>-1.71</x:v>
      </x:c>
      <x:c r="O10" s="683" t="n">
        <x:v>0</x:v>
      </x:c>
      <x:c r="P10" s="683">
        <x:v>0</x:v>
      </x:c>
      <x:c r="Q10" s="683">
        <x:v>0</x:v>
      </x:c>
      <x:c r="R10" s="681">
        <x:v>0</x:v>
      </x:c>
      <x:c r="Z10" s="701"/>
    </x:row>
    <x:row r="11" spans="1:26" x14ac:dyDescent="0.2">
      <x:c r="A11" s="684"/>
      <x:c r="B11" s="685" t="s">
        <x:v>78</x:v>
      </x:c>
      <x:c r="C11" s="685" t="s">
        <x:v>70</x:v>
      </x:c>
      <x:c r="D11" s="685" t="n">
        <x:v>-762344.33</x:v>
      </x:c>
      <x:c r="E11" s="685" t="n">
        <x:v>-48320.26</x:v>
      </x:c>
      <x:c r="F11" s="685" t="n">
        <x:v>-26461.59</x:v>
      </x:c>
      <x:c r="G11" s="685" t="n">
        <x:v>-13894.78</x:v>
      </x:c>
      <x:c r="H11" s="685" t="n">
        <x:v>-192321.07</x:v>
      </x:c>
      <x:c r="I11" s="685" t="n">
        <x:v>-4769.9</x:v>
      </x:c>
      <x:c r="J11" s="685" t="n">
        <x:v>-58128.54</x:v>
      </x:c>
      <x:c r="K11" s="685" t="n">
        <x:v>-51931.95</x:v>
      </x:c>
      <x:c r="L11" s="685" t="n">
        <x:v>-246615.55</x:v>
      </x:c>
      <x:c r="M11" s="685" t="n">
        <x:v>-112108.07</x:v>
      </x:c>
      <x:c r="N11" s="685" t="n">
        <x:v>-7782.32</x:v>
      </x:c>
      <x:c r="O11" s="685" t="n">
        <x:v>-10.3</x:v>
      </x:c>
      <x:c r="P11" s="684">
        <x:v>0</x:v>
      </x:c>
      <x:c r="Q11" s="685">
        <x:v>0</x:v>
      </x:c>
      <x:c r="R11" s="685">
        <x:v>0</x:v>
      </x:c>
      <x:c r="S11" s="684"/>
      <x:c r="T11" s="684"/>
      <x:c r="U11" s="684"/>
      <x:c r="V11" s="684"/>
      <x:c r="W11" s="684"/>
      <x:c r="X11" s="684"/>
      <x:c r="Y11" s="684"/>
      <x:c r="Z11" s="701"/>
    </x:row>
    <x:row r="12" spans="1:26" x14ac:dyDescent="0.2">
      <x:c r="C12" s="681" t="s">
        <x:v>73</x:v>
      </x:c>
      <x:c r="D12" s="683" t="n">
        <x:v>-240407.06</x:v>
      </x:c>
      <x:c r="E12" s="683" t="n">
        <x:v>-14057.56</x:v>
      </x:c>
      <x:c r="F12" s="683" t="n">
        <x:v>-7937.89</x:v>
      </x:c>
      <x:c r="G12" s="683" t="n">
        <x:v>-4170.17</x:v>
      </x:c>
      <x:c r="H12" s="683" t="n">
        <x:v>-58249.85</x:v>
      </x:c>
      <x:c r="I12" s="683" t="n">
        <x:v>-1605.37</x:v>
      </x:c>
      <x:c r="J12" s="683" t="n">
        <x:v>-14082</x:v>
      </x:c>
      <x:c r="K12" s="683" t="n">
        <x:v>-17535.88</x:v>
      </x:c>
      <x:c r="L12" s="683" t="n">
        <x:v>-81716.35</x:v>
      </x:c>
      <x:c r="M12" s="683" t="n">
        <x:v>-38432.73</x:v>
      </x:c>
      <x:c r="N12" s="683" t="n">
        <x:v>-2619.26</x:v>
      </x:c>
      <x:c r="O12" s="683" t="n">
        <x:v>0</x:v>
      </x:c>
      <x:c r="P12" s="683">
        <x:v>0</x:v>
      </x:c>
      <x:c r="Q12" s="683">
        <x:v>0</x:v>
      </x:c>
      <x:c r="R12" s="681">
        <x:v>0</x:v>
      </x:c>
      <x:c r="Z12" s="701"/>
    </x:row>
    <x:row r="13" spans="1:26" x14ac:dyDescent="0.2">
      <x:c r="A13" s="686"/>
      <x:c r="B13" s="687" t="s">
        <x:v>79</x:v>
      </x:c>
      <x:c r="C13" s="687" t="s">
        <x:v>70</x:v>
      </x:c>
      <x:c r="D13" s="687" t="n">
        <x:v>-240407.06</x:v>
      </x:c>
      <x:c r="E13" s="687" t="n">
        <x:v>-14057.56</x:v>
      </x:c>
      <x:c r="F13" s="687" t="n">
        <x:v>-7937.89</x:v>
      </x:c>
      <x:c r="G13" s="687" t="n">
        <x:v>-4170.17</x:v>
      </x:c>
      <x:c r="H13" s="687" t="n">
        <x:v>-58249.85</x:v>
      </x:c>
      <x:c r="I13" s="687" t="n">
        <x:v>-1605.37</x:v>
      </x:c>
      <x:c r="J13" s="687" t="n">
        <x:v>-14082</x:v>
      </x:c>
      <x:c r="K13" s="687" t="n">
        <x:v>-17535.88</x:v>
      </x:c>
      <x:c r="L13" s="687" t="n">
        <x:v>-81716.35</x:v>
      </x:c>
      <x:c r="M13" s="687" t="n">
        <x:v>-38432.73</x:v>
      </x:c>
      <x:c r="N13" s="687" t="n">
        <x:v>-2619.26</x:v>
      </x:c>
      <x:c r="O13" s="687" t="n">
        <x:v>0</x:v>
      </x:c>
      <x:c r="P13" s="686">
        <x:v>0</x:v>
      </x:c>
      <x:c r="Q13" s="687">
        <x:v>0</x:v>
      </x:c>
      <x:c r="R13" s="687">
        <x:v>0</x:v>
      </x:c>
      <x:c r="S13" s="686"/>
      <x:c r="T13" s="686"/>
      <x:c r="U13" s="686"/>
      <x:c r="V13" s="686"/>
      <x:c r="W13" s="686"/>
      <x:c r="X13" s="686"/>
      <x:c r="Y13" s="686"/>
      <x:c r="Z13" s="701"/>
    </x:row>
    <x:row r="14" spans="1:26" x14ac:dyDescent="0.2">
      <x:c r="A14" s="690" t="s">
        <x:v>119</x:v>
      </x:c>
      <x:c r="B14" s="690" t="s">
        <x:v>70</x:v>
      </x:c>
      <x:c r="C14" s="690"/>
      <x:c r="D14" s="691" t="n">
        <x:v>-1002751.39</x:v>
      </x:c>
      <x:c r="E14" s="691" t="n">
        <x:v>-62377.82</x:v>
      </x:c>
      <x:c r="F14" s="691" t="n">
        <x:v>-34399.48</x:v>
      </x:c>
      <x:c r="G14" s="691" t="n">
        <x:v>-18064.95</x:v>
      </x:c>
      <x:c r="H14" s="691" t="n">
        <x:v>-250570.92</x:v>
      </x:c>
      <x:c r="I14" s="691" t="n">
        <x:v>-6375.27</x:v>
      </x:c>
      <x:c r="J14" s="691" t="n">
        <x:v>-72210.54</x:v>
      </x:c>
      <x:c r="K14" s="691" t="n">
        <x:v>-69467.83</x:v>
      </x:c>
      <x:c r="L14" s="691" t="n">
        <x:v>-328331.9</x:v>
      </x:c>
      <x:c r="M14" s="691" t="n">
        <x:v>-150540.8</x:v>
      </x:c>
      <x:c r="N14" s="691" t="n">
        <x:v>-10401.58</x:v>
      </x:c>
      <x:c r="O14" s="691" t="n">
        <x:v>-10.3</x:v>
      </x:c>
      <x:c r="P14" s="691">
        <x:v>0</x:v>
      </x:c>
      <x:c r="Q14" s="691">
        <x:v>0</x:v>
      </x:c>
      <x:c r="R14" s="690">
        <x:v>0</x:v>
      </x:c>
      <x:c r="S14" s="690"/>
      <x:c r="T14" s="690"/>
      <x:c r="U14" s="690"/>
      <x:c r="V14" s="690"/>
      <x:c r="W14" s="690"/>
      <x:c r="X14" s="690"/>
      <x:c r="Y14" s="690"/>
      <x:c r="Z14" s="701"/>
    </x:row>
    <x:row r="15" spans="1:26" x14ac:dyDescent="0.2">
      <x:c r="A15" s="692" t="s">
        <x:v>70</x:v>
      </x:c>
      <x:c r="B15" s="693"/>
      <x:c r="C15" s="693"/>
      <x:c r="D15" s="692" t="n">
        <x:v>-16536713.09</x:v>
      </x:c>
      <x:c r="E15" s="692" t="n">
        <x:v>-906118.46</x:v>
      </x:c>
      <x:c r="F15" s="692" t="n">
        <x:v>-506877.02</x:v>
      </x:c>
      <x:c r="G15" s="692" t="n">
        <x:v>-261976.09</x:v>
      </x:c>
      <x:c r="H15" s="692" t="n">
        <x:v>-3941644.88</x:v>
      </x:c>
      <x:c r="I15" s="692" t="n">
        <x:v>-139753.14</x:v>
      </x:c>
      <x:c r="J15" s="692" t="n">
        <x:v>-1258088.54</x:v>
      </x:c>
      <x:c r="K15" s="692" t="n">
        <x:v>-1217926.21</x:v>
      </x:c>
      <x:c r="L15" s="692" t="n">
        <x:v>-5598933.06</x:v>
      </x:c>
      <x:c r="M15" s="692" t="n">
        <x:v>-2476260.15</x:v>
      </x:c>
      <x:c r="N15" s="692" t="n">
        <x:v>-229236.28</x:v>
      </x:c>
      <x:c r="O15" s="692" t="n">
        <x:v>100.74</x:v>
      </x:c>
      <x:c r="P15" s="693" t="n">
        <x:v>0</x:v>
      </x:c>
      <x:c r="Q15" s="692">
        <x:v>0</x:v>
      </x:c>
      <x:c r="R15" s="692">
        <x:v>0</x:v>
      </x:c>
      <x:c r="S15" s="693"/>
      <x:c r="T15" s="693"/>
      <x:c r="U15" s="693"/>
      <x:c r="V15" s="693"/>
      <x:c r="W15" s="693"/>
      <x:c r="X15" s="693"/>
      <x:c r="Y15" s="693"/>
      <x:c r="Z15" s="701"/>
    </x:row>
    <x:row r="16" spans="1:26" x14ac:dyDescent="0.2">
      <x:c r="D16" s="683"/>
      <x:c r="E16" s="683"/>
      <x:c r="F16" s="683"/>
      <x:c r="G16" s="683"/>
      <x:c r="H16" s="683"/>
      <x:c r="I16" s="683"/>
      <x:c r="J16" s="683"/>
      <x:c r="K16" s="683"/>
      <x:c r="L16" s="683"/>
      <x:c r="M16" s="683"/>
      <x:c r="N16" s="683"/>
      <x:c r="O16" s="683"/>
      <x:c r="Z16" s="701"/>
    </x:row>
    <x:row r="17" spans="1:26" x14ac:dyDescent="0.2">
      <x:c r="A17" s="683"/>
      <x:c r="D17" s="683"/>
      <x:c r="E17" s="683"/>
      <x:c r="F17" s="683"/>
      <x:c r="G17" s="683"/>
      <x:c r="H17" s="683"/>
      <x:c r="I17" s="683"/>
      <x:c r="J17" s="683"/>
      <x:c r="K17" s="683"/>
      <x:c r="L17" s="683"/>
      <x:c r="M17" s="683"/>
      <x:c r="N17" s="683"/>
      <x:c r="O17" s="683"/>
      <x:c r="Z17" s="701"/>
    </x:row>
    <x:row r="18" spans="1:26" x14ac:dyDescent="0.2">
      <x:c r="A18" s="683"/>
      <x:c r="D18" s="683"/>
      <x:c r="E18" s="683"/>
      <x:c r="F18" s="683"/>
      <x:c r="G18" s="683"/>
      <x:c r="H18" s="683"/>
      <x:c r="I18" s="683"/>
      <x:c r="J18" s="683"/>
      <x:c r="K18" s="683"/>
      <x:c r="L18" s="683"/>
      <x:c r="M18" s="683"/>
      <x:c r="N18" s="683"/>
      <x:c r="O18" s="683"/>
      <x:c r="Z18" s="701"/>
    </x:row>
    <x:row r="19" spans="1:26" x14ac:dyDescent="0.2">
      <x:c r="A19" s="683"/>
      <x:c r="D19" s="683"/>
      <x:c r="E19" s="683"/>
      <x:c r="F19" s="683"/>
      <x:c r="G19" s="683"/>
      <x:c r="H19" s="683"/>
      <x:c r="I19" s="683"/>
      <x:c r="J19" s="683"/>
      <x:c r="K19" s="683"/>
      <x:c r="L19" s="683"/>
      <x:c r="M19" s="683"/>
      <x:c r="N19" s="683"/>
      <x:c r="O19" s="683"/>
      <x:c r="Z19" s="701"/>
    </x:row>
    <x:row r="20" spans="1:26" x14ac:dyDescent="0.2">
      <x:c r="A20" s="683"/>
      <x:c r="D20" s="683"/>
      <x:c r="E20" s="683"/>
      <x:c r="F20" s="683"/>
      <x:c r="G20" s="683"/>
      <x:c r="H20" s="683"/>
      <x:c r="I20" s="683"/>
      <x:c r="J20" s="683"/>
      <x:c r="K20" s="683"/>
      <x:c r="L20" s="683"/>
      <x:c r="M20" s="683"/>
      <x:c r="N20" s="683"/>
      <x:c r="O20" s="683"/>
      <x:c r="Z20" s="701"/>
    </x:row>
    <x:row r="21" spans="1:26" x14ac:dyDescent="0.2">
      <x:c r="A21" s="683"/>
      <x:c r="D21" s="683"/>
      <x:c r="E21" s="683"/>
      <x:c r="F21" s="683"/>
      <x:c r="G21" s="683"/>
      <x:c r="H21" s="683"/>
      <x:c r="I21" s="683"/>
      <x:c r="J21" s="683"/>
      <x:c r="K21" s="683"/>
      <x:c r="L21" s="683"/>
      <x:c r="M21" s="683"/>
      <x:c r="N21" s="683"/>
      <x:c r="O21" s="683"/>
      <x:c r="Z21" s="701"/>
    </x:row>
    <x:row r="22" spans="1:26" x14ac:dyDescent="0.2">
      <x:c r="A22" s="683"/>
      <x:c r="D22" s="683"/>
      <x:c r="E22" s="683"/>
      <x:c r="F22" s="683"/>
      <x:c r="G22" s="683"/>
      <x:c r="H22" s="683"/>
      <x:c r="I22" s="683"/>
      <x:c r="J22" s="683"/>
      <x:c r="K22" s="683"/>
      <x:c r="L22" s="683"/>
      <x:c r="M22" s="683"/>
      <x:c r="N22" s="683"/>
      <x:c r="O22" s="683"/>
      <x:c r="Z22" s="701"/>
    </x:row>
    <x:row r="23" spans="1:26" x14ac:dyDescent="0.2">
      <x:c r="A23" s="683"/>
      <x:c r="D23" s="683"/>
      <x:c r="E23" s="683"/>
      <x:c r="F23" s="683"/>
      <x:c r="G23" s="683"/>
      <x:c r="H23" s="683"/>
      <x:c r="I23" s="683"/>
      <x:c r="J23" s="683"/>
      <x:c r="K23" s="683"/>
      <x:c r="L23" s="683"/>
      <x:c r="M23" s="683"/>
      <x:c r="N23" s="683"/>
      <x:c r="O23" s="683"/>
      <x:c r="Z23" s="701"/>
    </x:row>
    <x:row r="24" spans="1:26" x14ac:dyDescent="0.2">
      <x:c r="A24" s="683"/>
      <x:c r="D24" s="683"/>
      <x:c r="E24" s="683"/>
      <x:c r="F24" s="683"/>
      <x:c r="G24" s="683"/>
      <x:c r="H24" s="683"/>
      <x:c r="I24" s="683"/>
      <x:c r="J24" s="683"/>
      <x:c r="K24" s="683"/>
      <x:c r="L24" s="683"/>
      <x:c r="M24" s="683"/>
      <x:c r="N24" s="683"/>
      <x:c r="O24" s="683"/>
      <x:c r="Z24" s="701"/>
    </x:row>
    <x:row r="25" spans="1:26" x14ac:dyDescent="0.2">
      <x:c r="A25" s="683"/>
      <x:c r="D25" s="683"/>
      <x:c r="E25" s="683"/>
      <x:c r="F25" s="683"/>
      <x:c r="G25" s="683"/>
      <x:c r="H25" s="683"/>
      <x:c r="I25" s="683"/>
      <x:c r="J25" s="683"/>
      <x:c r="K25" s="683"/>
      <x:c r="L25" s="683"/>
      <x:c r="M25" s="683"/>
      <x:c r="N25" s="683"/>
      <x:c r="O25" s="683"/>
      <x:c r="Z25" s="701"/>
    </x:row>
    <x:row r="26" spans="1:26" x14ac:dyDescent="0.2">
      <x:c r="A26" s="683"/>
      <x:c r="D26" s="683"/>
      <x:c r="E26" s="683"/>
      <x:c r="F26" s="683"/>
      <x:c r="G26" s="683"/>
      <x:c r="H26" s="683"/>
      <x:c r="I26" s="683"/>
      <x:c r="J26" s="683"/>
      <x:c r="K26" s="683"/>
      <x:c r="L26" s="683"/>
      <x:c r="M26" s="683"/>
      <x:c r="N26" s="683"/>
      <x:c r="O26" s="683"/>
      <x:c r="Z26" s="701"/>
    </x:row>
    <x:row r="27" spans="1:26" x14ac:dyDescent="0.2">
      <x:c r="A27" s="683"/>
      <x:c r="D27" s="683"/>
      <x:c r="E27" s="683"/>
      <x:c r="F27" s="683"/>
      <x:c r="G27" s="683"/>
      <x:c r="H27" s="683"/>
      <x:c r="I27" s="683"/>
      <x:c r="J27" s="683"/>
      <x:c r="K27" s="683"/>
      <x:c r="L27" s="683"/>
      <x:c r="M27" s="683"/>
      <x:c r="N27" s="683"/>
      <x:c r="O27" s="683"/>
      <x:c r="Z27" s="701"/>
    </x:row>
    <x:row r="28" spans="1:26" x14ac:dyDescent="0.2">
      <x:c r="A28" s="683"/>
      <x:c r="D28" s="683"/>
      <x:c r="E28" s="683"/>
      <x:c r="F28" s="683"/>
      <x:c r="G28" s="683"/>
      <x:c r="H28" s="683"/>
      <x:c r="I28" s="683"/>
      <x:c r="J28" s="683"/>
      <x:c r="K28" s="683"/>
      <x:c r="L28" s="683"/>
      <x:c r="M28" s="683"/>
      <x:c r="N28" s="683"/>
      <x:c r="O28" s="683"/>
      <x:c r="Z28" s="701"/>
    </x:row>
    <x:row r="29" spans="1:26" x14ac:dyDescent="0.2">
      <x:c r="A29" s="683"/>
      <x:c r="D29" s="683"/>
      <x:c r="E29" s="683"/>
      <x:c r="F29" s="683"/>
      <x:c r="G29" s="683"/>
      <x:c r="H29" s="683"/>
      <x:c r="I29" s="683"/>
      <x:c r="J29" s="683"/>
      <x:c r="K29" s="683"/>
      <x:c r="L29" s="683"/>
      <x:c r="M29" s="683"/>
      <x:c r="N29" s="683"/>
      <x:c r="O29" s="683"/>
      <x:c r="Z29" s="701"/>
    </x:row>
    <x:row r="30" spans="1:26" x14ac:dyDescent="0.2">
      <x:c r="A30" s="683"/>
      <x:c r="D30" s="683"/>
      <x:c r="E30" s="683"/>
      <x:c r="F30" s="683"/>
      <x:c r="G30" s="683"/>
      <x:c r="H30" s="683"/>
      <x:c r="I30" s="683"/>
      <x:c r="J30" s="683"/>
      <x:c r="K30" s="683"/>
      <x:c r="L30" s="683"/>
      <x:c r="M30" s="683"/>
      <x:c r="N30" s="683"/>
      <x:c r="O30" s="683"/>
      <x:c r="Z30" s="701"/>
    </x:row>
    <x:row r="31" spans="1:26" x14ac:dyDescent="0.2">
      <x:c r="A31" s="683"/>
      <x:c r="D31" s="683"/>
      <x:c r="E31" s="683"/>
      <x:c r="F31" s="683"/>
      <x:c r="G31" s="683"/>
      <x:c r="H31" s="683"/>
      <x:c r="I31" s="683"/>
      <x:c r="J31" s="683"/>
      <x:c r="K31" s="683"/>
      <x:c r="L31" s="683"/>
      <x:c r="M31" s="683"/>
      <x:c r="N31" s="683"/>
      <x:c r="O31" s="683"/>
      <x:c r="Z31" s="701"/>
    </x:row>
    <x:row r="32" spans="1:26" x14ac:dyDescent="0.2">
      <x:c r="A32" s="683"/>
      <x:c r="D32" s="683"/>
      <x:c r="E32" s="683"/>
      <x:c r="F32" s="683"/>
      <x:c r="G32" s="683"/>
      <x:c r="H32" s="683"/>
      <x:c r="I32" s="683"/>
      <x:c r="J32" s="683"/>
      <x:c r="K32" s="683"/>
      <x:c r="L32" s="683"/>
      <x:c r="M32" s="683"/>
      <x:c r="N32" s="683"/>
      <x:c r="O32" s="683"/>
      <x:c r="Z32" s="701"/>
    </x:row>
    <x:row r="33" spans="1:26" x14ac:dyDescent="0.2">
      <x:c r="A33" s="683"/>
      <x:c r="D33" s="683"/>
      <x:c r="E33" s="683"/>
      <x:c r="F33" s="683"/>
      <x:c r="G33" s="683"/>
      <x:c r="H33" s="683"/>
      <x:c r="I33" s="683"/>
      <x:c r="J33" s="683"/>
      <x:c r="K33" s="683"/>
      <x:c r="L33" s="683"/>
      <x:c r="M33" s="683"/>
      <x:c r="N33" s="683"/>
      <x:c r="O33" s="683"/>
      <x:c r="Z33" s="701"/>
    </x:row>
    <x:row r="34" spans="1:26" x14ac:dyDescent="0.2">
      <x:c r="A34" s="683"/>
      <x:c r="D34" s="683"/>
      <x:c r="E34" s="683"/>
      <x:c r="F34" s="683"/>
      <x:c r="G34" s="683"/>
      <x:c r="H34" s="683"/>
      <x:c r="I34" s="683"/>
      <x:c r="J34" s="683"/>
      <x:c r="K34" s="683"/>
      <x:c r="L34" s="683"/>
      <x:c r="M34" s="683"/>
      <x:c r="N34" s="683"/>
      <x:c r="O34" s="683"/>
      <x:c r="Z34" s="701"/>
    </x:row>
    <x:row r="35" spans="1:26" x14ac:dyDescent="0.2">
      <x:c r="A35" s="683"/>
      <x:c r="D35" s="683"/>
      <x:c r="E35" s="683"/>
      <x:c r="F35" s="683"/>
      <x:c r="G35" s="683"/>
      <x:c r="H35" s="683"/>
      <x:c r="I35" s="683"/>
      <x:c r="J35" s="683"/>
      <x:c r="K35" s="683"/>
      <x:c r="L35" s="683"/>
      <x:c r="M35" s="683"/>
      <x:c r="N35" s="683"/>
      <x:c r="O35" s="683"/>
      <x:c r="Z35" s="701"/>
    </x:row>
    <x:row r="36" spans="1:26" x14ac:dyDescent="0.2">
      <x:c r="A36" s="683"/>
      <x:c r="D36" s="683"/>
      <x:c r="E36" s="683"/>
      <x:c r="F36" s="683"/>
      <x:c r="G36" s="683"/>
      <x:c r="H36" s="683"/>
      <x:c r="I36" s="683"/>
      <x:c r="J36" s="683"/>
      <x:c r="K36" s="683"/>
      <x:c r="L36" s="683"/>
      <x:c r="M36" s="683"/>
      <x:c r="N36" s="683"/>
      <x:c r="O36" s="683"/>
      <x:c r="Z36" s="701"/>
    </x:row>
    <x:row r="37" spans="1:26" x14ac:dyDescent="0.2">
      <x:c r="A37" s="683"/>
      <x:c r="D37" s="683"/>
      <x:c r="E37" s="683"/>
      <x:c r="F37" s="683"/>
      <x:c r="G37" s="683"/>
      <x:c r="H37" s="683"/>
      <x:c r="I37" s="683"/>
      <x:c r="J37" s="683"/>
      <x:c r="K37" s="683"/>
      <x:c r="L37" s="683"/>
      <x:c r="M37" s="683"/>
      <x:c r="N37" s="683"/>
      <x:c r="O37" s="683"/>
      <x:c r="Z37" s="701"/>
    </x:row>
    <x:row r="38" spans="1:26" x14ac:dyDescent="0.2">
      <x:c r="A38" s="683"/>
      <x:c r="D38" s="683"/>
      <x:c r="E38" s="683"/>
      <x:c r="F38" s="683"/>
      <x:c r="G38" s="683"/>
      <x:c r="H38" s="683"/>
      <x:c r="I38" s="683"/>
      <x:c r="J38" s="683"/>
      <x:c r="K38" s="683"/>
      <x:c r="L38" s="683"/>
      <x:c r="M38" s="683"/>
      <x:c r="N38" s="683"/>
      <x:c r="O38" s="683"/>
      <x:c r="Z38" s="701"/>
    </x:row>
    <x:row r="39" spans="1:26" x14ac:dyDescent="0.2">
      <x:c r="A39" s="683"/>
      <x:c r="D39" s="683"/>
      <x:c r="E39" s="683"/>
      <x:c r="F39" s="683"/>
      <x:c r="G39" s="683"/>
      <x:c r="H39" s="683"/>
      <x:c r="I39" s="683"/>
      <x:c r="J39" s="683"/>
      <x:c r="K39" s="683"/>
      <x:c r="L39" s="683"/>
      <x:c r="M39" s="683"/>
      <x:c r="N39" s="683"/>
      <x:c r="O39" s="683"/>
      <x:c r="Z39" s="701"/>
    </x:row>
    <x:row r="40" spans="1:26" x14ac:dyDescent="0.2">
      <x:c r="A40" s="683"/>
      <x:c r="D40" s="683"/>
      <x:c r="E40" s="683"/>
      <x:c r="F40" s="683"/>
      <x:c r="G40" s="683"/>
      <x:c r="H40" s="683"/>
      <x:c r="I40" s="683"/>
      <x:c r="J40" s="683"/>
      <x:c r="K40" s="683"/>
      <x:c r="L40" s="683"/>
      <x:c r="M40" s="683"/>
      <x:c r="N40" s="683"/>
      <x:c r="O40" s="683"/>
      <x:c r="Z40" s="701"/>
    </x:row>
    <x:row r="41" spans="1:26" x14ac:dyDescent="0.2">
      <x:c r="A41" s="683"/>
      <x:c r="D41" s="683"/>
      <x:c r="E41" s="683"/>
      <x:c r="F41" s="683"/>
      <x:c r="G41" s="683"/>
      <x:c r="H41" s="683"/>
      <x:c r="I41" s="683"/>
      <x:c r="J41" s="683"/>
      <x:c r="K41" s="683"/>
      <x:c r="L41" s="683"/>
      <x:c r="M41" s="683"/>
      <x:c r="N41" s="683"/>
      <x:c r="O41" s="683"/>
      <x:c r="Z41" s="701"/>
    </x:row>
    <x:row r="42" spans="1:26" x14ac:dyDescent="0.2">
      <x:c r="A42" s="683"/>
      <x:c r="D42" s="683"/>
      <x:c r="E42" s="683"/>
      <x:c r="F42" s="683"/>
      <x:c r="G42" s="683"/>
      <x:c r="H42" s="683"/>
      <x:c r="I42" s="683"/>
      <x:c r="J42" s="683"/>
      <x:c r="K42" s="683"/>
      <x:c r="L42" s="683"/>
      <x:c r="M42" s="683"/>
      <x:c r="N42" s="683"/>
      <x:c r="O42" s="683"/>
      <x:c r="Z42" s="701"/>
    </x:row>
    <x:row r="43" spans="1:26" x14ac:dyDescent="0.2">
      <x:c r="A43" s="683"/>
      <x:c r="D43" s="683"/>
      <x:c r="E43" s="683"/>
      <x:c r="F43" s="683"/>
      <x:c r="G43" s="683"/>
      <x:c r="H43" s="683"/>
      <x:c r="I43" s="683"/>
      <x:c r="J43" s="683"/>
      <x:c r="K43" s="683"/>
      <x:c r="L43" s="683"/>
      <x:c r="M43" s="683"/>
      <x:c r="N43" s="683"/>
      <x:c r="O43" s="683"/>
      <x:c r="Z43" s="701"/>
    </x:row>
    <x:row r="44" spans="1:26" x14ac:dyDescent="0.2">
      <x:c r="A44" s="683"/>
      <x:c r="D44" s="683"/>
      <x:c r="E44" s="683"/>
      <x:c r="F44" s="683"/>
      <x:c r="G44" s="683"/>
      <x:c r="H44" s="683"/>
      <x:c r="I44" s="683"/>
      <x:c r="J44" s="683"/>
      <x:c r="K44" s="683"/>
      <x:c r="L44" s="683"/>
      <x:c r="M44" s="683"/>
      <x:c r="N44" s="683"/>
      <x:c r="O44" s="683"/>
      <x:c r="Z44" s="701"/>
    </x:row>
    <x:row r="45" spans="1:26" x14ac:dyDescent="0.2">
      <x:c r="A45" s="683"/>
      <x:c r="D45" s="683"/>
      <x:c r="E45" s="683"/>
      <x:c r="F45" s="683"/>
      <x:c r="G45" s="683"/>
      <x:c r="H45" s="683"/>
      <x:c r="I45" s="683"/>
      <x:c r="J45" s="683"/>
      <x:c r="K45" s="683"/>
      <x:c r="L45" s="683"/>
      <x:c r="M45" s="683"/>
      <x:c r="N45" s="683"/>
      <x:c r="O45" s="683"/>
      <x:c r="Z45" s="701"/>
    </x:row>
    <x:row r="46" spans="1:26" x14ac:dyDescent="0.2">
      <x:c r="A46" s="683"/>
      <x:c r="D46" s="683"/>
      <x:c r="E46" s="683"/>
      <x:c r="F46" s="683"/>
      <x:c r="G46" s="683"/>
      <x:c r="H46" s="683"/>
      <x:c r="I46" s="683"/>
      <x:c r="J46" s="683"/>
      <x:c r="K46" s="683"/>
      <x:c r="L46" s="683"/>
      <x:c r="M46" s="683"/>
      <x:c r="N46" s="683"/>
      <x:c r="O46" s="683"/>
      <x:c r="Z46" s="701"/>
    </x:row>
    <x:row r="47" spans="1:26" x14ac:dyDescent="0.2">
      <x:c r="A47" s="683"/>
      <x:c r="D47" s="683"/>
      <x:c r="E47" s="683"/>
      <x:c r="F47" s="683"/>
      <x:c r="G47" s="683"/>
      <x:c r="H47" s="683"/>
      <x:c r="I47" s="683"/>
      <x:c r="J47" s="683"/>
      <x:c r="K47" s="683"/>
      <x:c r="L47" s="683"/>
      <x:c r="M47" s="683"/>
      <x:c r="N47" s="683"/>
      <x:c r="O47" s="683"/>
      <x:c r="Z47" s="701"/>
    </x:row>
    <x:row r="48" spans="1:26" x14ac:dyDescent="0.2">
      <x:c r="A48" s="683"/>
      <x:c r="D48" s="683"/>
      <x:c r="E48" s="683"/>
      <x:c r="F48" s="683"/>
      <x:c r="G48" s="683"/>
      <x:c r="H48" s="683"/>
      <x:c r="I48" s="683"/>
      <x:c r="J48" s="683"/>
      <x:c r="K48" s="683"/>
      <x:c r="L48" s="683"/>
      <x:c r="M48" s="683"/>
      <x:c r="N48" s="683"/>
      <x:c r="O48" s="683"/>
      <x:c r="Z48" s="701"/>
    </x:row>
    <x:row r="49" spans="1:26" x14ac:dyDescent="0.2">
      <x:c r="A49" s="683"/>
      <x:c r="D49" s="683"/>
      <x:c r="E49" s="683"/>
      <x:c r="F49" s="683"/>
      <x:c r="G49" s="683"/>
      <x:c r="H49" s="683"/>
      <x:c r="I49" s="683"/>
      <x:c r="J49" s="683"/>
      <x:c r="K49" s="683"/>
      <x:c r="L49" s="683"/>
      <x:c r="M49" s="683"/>
      <x:c r="N49" s="683"/>
      <x:c r="O49" s="683"/>
      <x:c r="Z49" s="701"/>
    </x:row>
    <x:row r="50" spans="1:26" x14ac:dyDescent="0.2">
      <x:c r="A50" s="683"/>
      <x:c r="D50" s="683"/>
      <x:c r="E50" s="683"/>
      <x:c r="F50" s="683"/>
      <x:c r="G50" s="683"/>
      <x:c r="H50" s="683"/>
      <x:c r="I50" s="683"/>
      <x:c r="J50" s="683"/>
      <x:c r="K50" s="683"/>
      <x:c r="L50" s="683"/>
      <x:c r="M50" s="683"/>
      <x:c r="N50" s="683"/>
      <x:c r="O50" s="683"/>
      <x:c r="Z50" s="701"/>
    </x:row>
    <x:row r="51" spans="1:26" x14ac:dyDescent="0.2">
      <x:c r="A51" s="683"/>
      <x:c r="D51" s="683"/>
      <x:c r="E51" s="683"/>
      <x:c r="F51" s="683"/>
      <x:c r="G51" s="683"/>
      <x:c r="H51" s="683"/>
      <x:c r="I51" s="683"/>
      <x:c r="J51" s="683"/>
      <x:c r="K51" s="683"/>
      <x:c r="L51" s="683"/>
      <x:c r="M51" s="683"/>
      <x:c r="N51" s="683"/>
      <x:c r="O51" s="683"/>
      <x:c r="Z51" s="701"/>
    </x:row>
    <x:row r="52" spans="1:26" x14ac:dyDescent="0.2">
      <x:c r="A52" s="683"/>
      <x:c r="D52" s="683"/>
      <x:c r="E52" s="683"/>
      <x:c r="F52" s="683"/>
      <x:c r="G52" s="683"/>
      <x:c r="H52" s="683"/>
      <x:c r="I52" s="683"/>
      <x:c r="J52" s="683"/>
      <x:c r="K52" s="683"/>
      <x:c r="L52" s="683"/>
      <x:c r="M52" s="683"/>
      <x:c r="N52" s="683"/>
      <x:c r="O52" s="683"/>
      <x:c r="Z52" s="701"/>
    </x:row>
    <x:row r="53" spans="1:26" x14ac:dyDescent="0.2">
      <x:c r="A53" s="683"/>
      <x:c r="D53" s="683"/>
      <x:c r="E53" s="683"/>
      <x:c r="F53" s="683"/>
      <x:c r="G53" s="683"/>
      <x:c r="H53" s="683"/>
      <x:c r="I53" s="683"/>
      <x:c r="J53" s="683"/>
      <x:c r="K53" s="683"/>
      <x:c r="L53" s="683"/>
      <x:c r="M53" s="683"/>
      <x:c r="N53" s="683"/>
      <x:c r="O53" s="683"/>
      <x:c r="Z53" s="701"/>
    </x:row>
    <x:row r="54" spans="1:26" x14ac:dyDescent="0.2">
      <x:c r="A54" s="683"/>
      <x:c r="D54" s="683"/>
      <x:c r="E54" s="683"/>
      <x:c r="F54" s="683"/>
      <x:c r="G54" s="683"/>
      <x:c r="H54" s="683"/>
      <x:c r="I54" s="683"/>
      <x:c r="J54" s="683"/>
      <x:c r="K54" s="683"/>
      <x:c r="L54" s="683"/>
      <x:c r="M54" s="683"/>
      <x:c r="N54" s="683"/>
      <x:c r="O54" s="683"/>
      <x:c r="Z54" s="701"/>
    </x:row>
    <x:row r="55" spans="1:26" x14ac:dyDescent="0.2">
      <x:c r="A55" s="683"/>
      <x:c r="D55" s="683"/>
      <x:c r="E55" s="683"/>
      <x:c r="F55" s="683"/>
      <x:c r="G55" s="683"/>
      <x:c r="H55" s="683"/>
      <x:c r="I55" s="683"/>
      <x:c r="J55" s="683"/>
      <x:c r="K55" s="683"/>
      <x:c r="L55" s="683"/>
      <x:c r="M55" s="683"/>
      <x:c r="N55" s="683"/>
      <x:c r="O55" s="683"/>
      <x:c r="Z55" s="701"/>
    </x:row>
    <x:row r="56" spans="1:26" x14ac:dyDescent="0.2">
      <x:c r="A56" s="683"/>
      <x:c r="D56" s="683"/>
      <x:c r="E56" s="683"/>
      <x:c r="F56" s="683"/>
      <x:c r="G56" s="683"/>
      <x:c r="H56" s="683"/>
      <x:c r="I56" s="683"/>
      <x:c r="J56" s="683"/>
      <x:c r="K56" s="683"/>
      <x:c r="L56" s="683"/>
      <x:c r="M56" s="683"/>
      <x:c r="N56" s="683"/>
      <x:c r="O56" s="683"/>
      <x:c r="Z56" s="701"/>
    </x:row>
    <x:row r="57" spans="1:26" x14ac:dyDescent="0.2">
      <x:c r="A57" s="683"/>
      <x:c r="D57" s="683"/>
      <x:c r="E57" s="683"/>
      <x:c r="F57" s="683"/>
      <x:c r="G57" s="683"/>
      <x:c r="H57" s="683"/>
      <x:c r="I57" s="683"/>
      <x:c r="J57" s="683"/>
      <x:c r="K57" s="683"/>
      <x:c r="L57" s="683"/>
      <x:c r="M57" s="683"/>
      <x:c r="N57" s="683"/>
      <x:c r="O57" s="683"/>
      <x:c r="Z57" s="701"/>
    </x:row>
    <x:row r="58" spans="1:26" x14ac:dyDescent="0.2">
      <x:c r="A58" s="683"/>
      <x:c r="D58" s="683"/>
      <x:c r="E58" s="683"/>
      <x:c r="F58" s="683"/>
      <x:c r="G58" s="683"/>
      <x:c r="H58" s="683"/>
      <x:c r="I58" s="683"/>
      <x:c r="J58" s="683"/>
      <x:c r="K58" s="683"/>
      <x:c r="L58" s="683"/>
      <x:c r="M58" s="683"/>
      <x:c r="N58" s="683"/>
      <x:c r="O58" s="683"/>
      <x:c r="Z58" s="701"/>
    </x:row>
    <x:row r="59" spans="1:26" x14ac:dyDescent="0.2">
      <x:c r="A59" s="683"/>
      <x:c r="D59" s="683"/>
      <x:c r="E59" s="683"/>
      <x:c r="F59" s="683"/>
      <x:c r="G59" s="683"/>
      <x:c r="H59" s="683"/>
      <x:c r="I59" s="683"/>
      <x:c r="J59" s="683"/>
      <x:c r="K59" s="683"/>
      <x:c r="L59" s="683"/>
      <x:c r="M59" s="683"/>
      <x:c r="N59" s="683"/>
      <x:c r="O59" s="683"/>
      <x:c r="Z59" s="701"/>
    </x:row>
    <x:row r="60" spans="1:26" x14ac:dyDescent="0.2">
      <x:c r="A60" s="683"/>
      <x:c r="D60" s="683"/>
      <x:c r="E60" s="683"/>
      <x:c r="F60" s="683"/>
      <x:c r="G60" s="683"/>
      <x:c r="H60" s="683"/>
      <x:c r="I60" s="683"/>
      <x:c r="J60" s="683"/>
      <x:c r="K60" s="683"/>
      <x:c r="L60" s="683"/>
      <x:c r="M60" s="683"/>
      <x:c r="N60" s="683"/>
      <x:c r="O60" s="683"/>
      <x:c r="Z60" s="701"/>
    </x:row>
    <x:row r="61" spans="1:26" x14ac:dyDescent="0.2">
      <x:c r="A61" s="683"/>
      <x:c r="D61" s="683"/>
      <x:c r="E61" s="683"/>
      <x:c r="F61" s="683"/>
      <x:c r="G61" s="683"/>
      <x:c r="H61" s="683"/>
      <x:c r="I61" s="683"/>
      <x:c r="J61" s="683"/>
      <x:c r="K61" s="683"/>
      <x:c r="L61" s="683"/>
      <x:c r="M61" s="683"/>
      <x:c r="N61" s="683"/>
      <x:c r="O61" s="683"/>
      <x:c r="Z61" s="701"/>
    </x:row>
    <x:row r="62" spans="1:26" x14ac:dyDescent="0.2">
      <x:c r="A62" s="683"/>
      <x:c r="D62" s="683"/>
      <x:c r="E62" s="683"/>
      <x:c r="F62" s="683"/>
      <x:c r="G62" s="683"/>
      <x:c r="H62" s="683"/>
      <x:c r="I62" s="683"/>
      <x:c r="J62" s="683"/>
      <x:c r="K62" s="683"/>
      <x:c r="L62" s="683"/>
      <x:c r="M62" s="683"/>
      <x:c r="N62" s="683"/>
      <x:c r="O62" s="683"/>
      <x:c r="Z62" s="701"/>
    </x:row>
    <x:row r="63" spans="1:26" x14ac:dyDescent="0.2">
      <x:c r="A63" s="683"/>
      <x:c r="D63" s="683"/>
      <x:c r="E63" s="683"/>
      <x:c r="F63" s="683"/>
      <x:c r="G63" s="683"/>
      <x:c r="H63" s="683"/>
      <x:c r="I63" s="683"/>
      <x:c r="J63" s="683"/>
      <x:c r="K63" s="683"/>
      <x:c r="L63" s="683"/>
      <x:c r="M63" s="683"/>
      <x:c r="N63" s="683"/>
      <x:c r="O63" s="683"/>
      <x:c r="Z63" s="701"/>
    </x:row>
    <x:row r="64" spans="1:26" x14ac:dyDescent="0.2">
      <x:c r="A64" s="683"/>
      <x:c r="D64" s="683"/>
      <x:c r="E64" s="683"/>
      <x:c r="F64" s="683"/>
      <x:c r="G64" s="683"/>
      <x:c r="H64" s="683"/>
      <x:c r="I64" s="683"/>
      <x:c r="J64" s="683"/>
      <x:c r="K64" s="683"/>
      <x:c r="L64" s="683"/>
      <x:c r="M64" s="683"/>
      <x:c r="N64" s="683"/>
      <x:c r="O64" s="683"/>
      <x:c r="Z64" s="701"/>
    </x:row>
    <x:row r="65" spans="1:26" x14ac:dyDescent="0.2">
      <x:c r="A65" s="683"/>
      <x:c r="D65" s="683"/>
      <x:c r="E65" s="683"/>
      <x:c r="F65" s="683"/>
      <x:c r="G65" s="683"/>
      <x:c r="H65" s="683"/>
      <x:c r="I65" s="683"/>
      <x:c r="J65" s="683"/>
      <x:c r="K65" s="683"/>
      <x:c r="L65" s="683"/>
      <x:c r="M65" s="683"/>
      <x:c r="N65" s="683"/>
      <x:c r="O65" s="683"/>
      <x:c r="Z65" s="701"/>
    </x:row>
    <x:row r="66" spans="1:26" x14ac:dyDescent="0.2">
      <x:c r="A66" s="683"/>
      <x:c r="D66" s="683"/>
      <x:c r="E66" s="683"/>
      <x:c r="F66" s="683"/>
      <x:c r="G66" s="683"/>
      <x:c r="H66" s="683"/>
      <x:c r="I66" s="683"/>
      <x:c r="J66" s="683"/>
      <x:c r="K66" s="683"/>
      <x:c r="L66" s="683"/>
      <x:c r="M66" s="683"/>
      <x:c r="N66" s="683"/>
      <x:c r="O66" s="683"/>
      <x:c r="Z66" s="701"/>
    </x:row>
    <x:row r="67" spans="1:26" x14ac:dyDescent="0.2">
      <x:c r="A67" s="683"/>
      <x:c r="D67" s="683"/>
      <x:c r="E67" s="683"/>
      <x:c r="F67" s="683"/>
      <x:c r="G67" s="683"/>
      <x:c r="H67" s="683"/>
      <x:c r="I67" s="683"/>
      <x:c r="J67" s="683"/>
      <x:c r="K67" s="683"/>
      <x:c r="L67" s="683"/>
      <x:c r="M67" s="683"/>
      <x:c r="N67" s="683"/>
      <x:c r="O67" s="683"/>
      <x:c r="Z67" s="701"/>
    </x:row>
    <x:row r="68" spans="1:26" x14ac:dyDescent="0.2">
      <x:c r="A68" s="683"/>
      <x:c r="D68" s="683"/>
      <x:c r="E68" s="683"/>
      <x:c r="F68" s="683"/>
      <x:c r="G68" s="683"/>
      <x:c r="H68" s="683"/>
      <x:c r="I68" s="683"/>
      <x:c r="J68" s="683"/>
      <x:c r="K68" s="683"/>
      <x:c r="L68" s="683"/>
      <x:c r="M68" s="683"/>
      <x:c r="N68" s="683"/>
      <x:c r="O68" s="683"/>
      <x:c r="Z68" s="701"/>
    </x:row>
    <x:row r="69" spans="1:26" x14ac:dyDescent="0.2">
      <x:c r="A69" s="683"/>
      <x:c r="D69" s="683"/>
      <x:c r="E69" s="683"/>
      <x:c r="F69" s="683"/>
      <x:c r="G69" s="683"/>
      <x:c r="H69" s="683"/>
      <x:c r="I69" s="683"/>
      <x:c r="J69" s="683"/>
      <x:c r="K69" s="683"/>
      <x:c r="L69" s="683"/>
      <x:c r="M69" s="683"/>
      <x:c r="N69" s="683"/>
      <x:c r="O69" s="683"/>
      <x:c r="Z69" s="701"/>
    </x:row>
    <x:row r="70" spans="1:26" x14ac:dyDescent="0.2">
      <x:c r="A70" s="683"/>
      <x:c r="D70" s="683"/>
      <x:c r="E70" s="683"/>
      <x:c r="F70" s="683"/>
      <x:c r="G70" s="683"/>
      <x:c r="H70" s="683"/>
      <x:c r="I70" s="683"/>
      <x:c r="J70" s="683"/>
      <x:c r="K70" s="683"/>
      <x:c r="L70" s="683"/>
      <x:c r="M70" s="683"/>
      <x:c r="N70" s="683"/>
      <x:c r="O70" s="683"/>
      <x:c r="Z70" s="701"/>
    </x:row>
    <x:row r="71" spans="1:26" x14ac:dyDescent="0.2">
      <x:c r="A71" s="683"/>
      <x:c r="D71" s="683"/>
      <x:c r="E71" s="683"/>
      <x:c r="F71" s="683"/>
      <x:c r="G71" s="683"/>
      <x:c r="H71" s="683"/>
      <x:c r="I71" s="683"/>
      <x:c r="J71" s="683"/>
      <x:c r="K71" s="683"/>
      <x:c r="L71" s="683"/>
      <x:c r="M71" s="683"/>
      <x:c r="N71" s="683"/>
      <x:c r="O71" s="683"/>
      <x:c r="Z71" s="701"/>
    </x:row>
    <x:row r="72" spans="1:26" x14ac:dyDescent="0.2">
      <x:c r="A72" s="683"/>
      <x:c r="D72" s="683"/>
      <x:c r="E72" s="683"/>
      <x:c r="F72" s="683"/>
      <x:c r="G72" s="683"/>
      <x:c r="H72" s="683"/>
      <x:c r="I72" s="683"/>
      <x:c r="J72" s="683"/>
      <x:c r="K72" s="683"/>
      <x:c r="L72" s="683"/>
      <x:c r="M72" s="683"/>
      <x:c r="N72" s="683"/>
      <x:c r="O72" s="683"/>
      <x:c r="Z72" s="701"/>
    </x:row>
    <x:row r="73" spans="1:26" x14ac:dyDescent="0.2">
      <x:c r="A73" s="774" t="s">
        <x:v>2</x:v>
      </x:c>
      <x:c r="B73" s="773" t="s">
        <x:v>132</x:v>
      </x:c>
      <x:c r="C73" s="696" t="s">
        <x:v>70</x:v>
      </x:c>
      <x:c r="D73" s="696">
        <x:f>D15-P15</x:f>
        <x:v>0</x:v>
      </x:c>
      <x:c r="E73" s="696">
        <x:f>E5+E11</x:f>
        <x:v>0</x:v>
      </x:c>
      <x:c r="F73" s="696">
        <x:f t="shared" ref="F73:R73" si="0">F5+F11</x:f>
        <x:v>0</x:v>
      </x:c>
      <x:c r="G73" s="696">
        <x:f t="shared" si="0"/>
        <x:v>0</x:v>
      </x:c>
      <x:c r="H73" s="696">
        <x:f t="shared" si="0"/>
        <x:v>0</x:v>
      </x:c>
      <x:c r="I73" s="696">
        <x:f t="shared" si="0"/>
        <x:v>0</x:v>
      </x:c>
      <x:c r="J73" s="696">
        <x:f t="shared" si="0"/>
        <x:v>0</x:v>
      </x:c>
      <x:c r="K73" s="696">
        <x:f t="shared" si="0"/>
        <x:v>0</x:v>
      </x:c>
      <x:c r="L73" s="696">
        <x:f t="shared" si="0"/>
        <x:v>0</x:v>
      </x:c>
      <x:c r="M73" s="696">
        <x:f t="shared" si="0"/>
        <x:v>0</x:v>
      </x:c>
      <x:c r="N73" s="696">
        <x:f t="shared" si="0"/>
        <x:v>0</x:v>
      </x:c>
      <x:c r="O73" s="696">
        <x:f t="shared" si="0"/>
        <x:v>0</x:v>
      </x:c>
      <x:c r="P73" s="696">
        <x:f t="shared" si="0"/>
        <x:v>0</x:v>
      </x:c>
      <x:c r="Q73" s="696">
        <x:f t="shared" si="0"/>
        <x:v>0</x:v>
      </x:c>
      <x:c r="R73" s="696">
        <x:f t="shared" si="0"/>
        <x:v>0</x:v>
      </x:c>
      <x:c r="Z73" s="701"/>
    </x:row>
    <x:row r="74" spans="1:26" x14ac:dyDescent="0.2">
      <x:c r="A74" s="774"/>
      <x:c r="B74" s="773"/>
      <x:c r="C74" s="696" t="s">
        <x:v>73</x:v>
      </x:c>
      <x:c r="D74" s="696">
        <x:f>D7+D13</x:f>
        <x:v>0</x:v>
      </x:c>
      <x:c r="E74" s="683"/>
      <x:c r="F74" s="683"/>
      <x:c r="G74" s="683"/>
      <x:c r="H74" s="683"/>
      <x:c r="I74" s="683"/>
      <x:c r="J74" s="683"/>
      <x:c r="K74" s="683"/>
      <x:c r="L74" s="683"/>
      <x:c r="M74" s="683"/>
      <x:c r="N74" s="683"/>
      <x:c r="O74" s="683"/>
      <x:c r="P74" s="683"/>
      <x:c r="Q74" s="683"/>
      <x:c r="R74" s="683"/>
      <x:c r="Z74" s="701"/>
    </x:row>
    <x:row r="75" spans="1:26" ht="15" x14ac:dyDescent="0.25">
      <x:c r="A75" s="682"/>
      <x:c r="D75" s="683"/>
      <x:c r="E75" s="683"/>
      <x:c r="F75" s="683"/>
      <x:c r="G75" s="683"/>
      <x:c r="H75" s="683"/>
      <x:c r="I75" s="683"/>
      <x:c r="J75" s="683"/>
      <x:c r="K75" s="683"/>
      <x:c r="L75" s="683"/>
      <x:c r="M75" s="683"/>
      <x:c r="N75" s="683"/>
      <x:c r="O75" s="683"/>
      <x:c r="P75" s="683"/>
      <x:c r="Q75" s="683"/>
      <x:c r="R75" s="683"/>
      <x:c r="Z75" s="701"/>
    </x:row>
    <x:row r="76" spans="1:26" x14ac:dyDescent="0.2">
      <x:c r="A76" s="774" t="s">
        <x:v>160</x:v>
      </x:c>
      <x:c r="B76" s="773" t="s">
        <x:v>132</x:v>
      </x:c>
      <x:c r="C76" s="697" t="s">
        <x:v>70</x:v>
      </x:c>
      <x:c r="D76" s="697">
        <x:v>0</x:v>
      </x:c>
      <x:c r="E76" s="697">
        <x:v>0</x:v>
      </x:c>
      <x:c r="F76" s="697">
        <x:v>0</x:v>
      </x:c>
      <x:c r="G76" s="697">
        <x:v>0</x:v>
      </x:c>
      <x:c r="H76" s="697">
        <x:v>0</x:v>
      </x:c>
      <x:c r="I76" s="697">
        <x:v>0</x:v>
      </x:c>
      <x:c r="J76" s="697">
        <x:v>0</x:v>
      </x:c>
      <x:c r="K76" s="697">
        <x:v>0</x:v>
      </x:c>
      <x:c r="L76" s="697">
        <x:v>0</x:v>
      </x:c>
      <x:c r="M76" s="697">
        <x:v>0</x:v>
      </x:c>
      <x:c r="N76" s="697">
        <x:v>0</x:v>
      </x:c>
      <x:c r="O76" s="697">
        <x:v>0</x:v>
      </x:c>
      <x:c r="P76" s="697">
        <x:v>0</x:v>
      </x:c>
      <x:c r="Q76" s="697">
        <x:v>0</x:v>
      </x:c>
      <x:c r="R76" s="697">
        <x:v>0</x:v>
      </x:c>
      <x:c r="Z76" s="701"/>
    </x:row>
    <x:row r="77" spans="1:26" x14ac:dyDescent="0.2">
      <x:c r="A77" s="774"/>
      <x:c r="B77" s="773"/>
      <x:c r="C77" s="697" t="s">
        <x:v>73</x:v>
      </x:c>
      <x:c r="D77" s="697">
        <x:v>0</x:v>
      </x:c>
      <x:c r="E77" s="683"/>
      <x:c r="F77" s="683"/>
      <x:c r="G77" s="683"/>
      <x:c r="H77" s="683"/>
      <x:c r="I77" s="683"/>
      <x:c r="J77" s="683"/>
      <x:c r="K77" s="683"/>
      <x:c r="L77" s="683"/>
      <x:c r="M77" s="683"/>
      <x:c r="N77" s="683"/>
      <x:c r="O77" s="683"/>
      <x:c r="P77" s="683"/>
      <x:c r="Q77" s="683"/>
      <x:c r="R77" s="683"/>
      <x:c r="Z77" s="701"/>
    </x:row>
    <x:row r="78" spans="1:26" ht="15" x14ac:dyDescent="0.25">
      <x:c r="A78" s="682"/>
      <x:c r="D78" s="683"/>
      <x:c r="E78" s="683"/>
      <x:c r="F78" s="683"/>
      <x:c r="G78" s="683"/>
      <x:c r="H78" s="683"/>
      <x:c r="I78" s="683"/>
      <x:c r="J78" s="683"/>
      <x:c r="K78" s="683"/>
      <x:c r="L78" s="683"/>
      <x:c r="M78" s="683"/>
      <x:c r="N78" s="683"/>
      <x:c r="O78" s="683"/>
      <x:c r="P78" s="683"/>
      <x:c r="Q78" s="683"/>
      <x:c r="R78" s="683"/>
      <x:c r="Z78" s="701"/>
    </x:row>
    <x:row r="79" spans="1:26" x14ac:dyDescent="0.2">
      <x:c r="A79" s="774" t="s">
        <x:v>155</x:v>
      </x:c>
      <x:c r="B79" s="773" t="s">
        <x:v>132</x:v>
      </x:c>
      <x:c r="C79" s="698" t="s">
        <x:v>70</x:v>
      </x:c>
      <x:c r="D79" s="698">
        <x:f>D8-P8</x:f>
        <x:v>0</x:v>
      </x:c>
      <x:c r="E79" s="698">
        <x:f>E5</x:f>
        <x:v>0</x:v>
      </x:c>
      <x:c r="F79" s="698">
        <x:f t="shared" ref="F79:R79" si="1">F5</x:f>
        <x:v>0</x:v>
      </x:c>
      <x:c r="G79" s="698">
        <x:f t="shared" si="1"/>
        <x:v>0</x:v>
      </x:c>
      <x:c r="H79" s="698">
        <x:f t="shared" si="1"/>
        <x:v>0</x:v>
      </x:c>
      <x:c r="I79" s="698">
        <x:f t="shared" si="1"/>
        <x:v>0</x:v>
      </x:c>
      <x:c r="J79" s="698">
        <x:f t="shared" si="1"/>
        <x:v>0</x:v>
      </x:c>
      <x:c r="K79" s="698">
        <x:f t="shared" si="1"/>
        <x:v>0</x:v>
      </x:c>
      <x:c r="L79" s="698">
        <x:f t="shared" si="1"/>
        <x:v>0</x:v>
      </x:c>
      <x:c r="M79" s="698">
        <x:f t="shared" si="1"/>
        <x:v>0</x:v>
      </x:c>
      <x:c r="N79" s="698">
        <x:f t="shared" si="1"/>
        <x:v>0</x:v>
      </x:c>
      <x:c r="O79" s="698">
        <x:f t="shared" si="1"/>
        <x:v>0</x:v>
      </x:c>
      <x:c r="P79" s="698">
        <x:f t="shared" si="1"/>
        <x:v>0</x:v>
      </x:c>
      <x:c r="Q79" s="698">
        <x:f t="shared" si="1"/>
        <x:v>0</x:v>
      </x:c>
      <x:c r="R79" s="698">
        <x:f t="shared" si="1"/>
        <x:v>0</x:v>
      </x:c>
      <x:c r="Z79" s="701"/>
    </x:row>
    <x:row r="80" spans="1:26" x14ac:dyDescent="0.2">
      <x:c r="A80" s="774"/>
      <x:c r="B80" s="773"/>
      <x:c r="C80" s="698" t="s">
        <x:v>73</x:v>
      </x:c>
      <x:c r="D80" s="698">
        <x:f>D7</x:f>
        <x:v>0</x:v>
      </x:c>
      <x:c r="E80" s="683"/>
      <x:c r="F80" s="683"/>
      <x:c r="G80" s="683"/>
      <x:c r="H80" s="683"/>
      <x:c r="I80" s="683"/>
      <x:c r="J80" s="683"/>
      <x:c r="K80" s="683"/>
      <x:c r="L80" s="683"/>
      <x:c r="M80" s="683"/>
      <x:c r="N80" s="683"/>
      <x:c r="O80" s="683"/>
      <x:c r="P80" s="683"/>
      <x:c r="Q80" s="683"/>
      <x:c r="R80" s="683"/>
      <x:c r="Z80" s="701"/>
    </x:row>
    <x:row r="81" spans="1:26" ht="15" x14ac:dyDescent="0.2">
      <x:c r="A81" s="694"/>
      <x:c r="B81" s="695"/>
      <x:c r="C81" s="683"/>
      <x:c r="D81" s="683"/>
      <x:c r="E81" s="683"/>
      <x:c r="F81" s="683"/>
      <x:c r="G81" s="683"/>
      <x:c r="H81" s="683"/>
      <x:c r="I81" s="683"/>
      <x:c r="J81" s="683"/>
      <x:c r="K81" s="683"/>
      <x:c r="L81" s="683"/>
      <x:c r="M81" s="683"/>
      <x:c r="N81" s="683"/>
      <x:c r="O81" s="683"/>
      <x:c r="P81" s="683"/>
      <x:c r="Q81" s="683"/>
      <x:c r="R81" s="683"/>
      <x:c r="Z81" s="701"/>
    </x:row>
    <x:row r="82" spans="1:26" x14ac:dyDescent="0.2">
      <x:c r="A82" s="775" t="s">
        <x:v>326</x:v>
      </x:c>
      <x:c r="B82" s="773" t="s">
        <x:v>132</x:v>
      </x:c>
      <x:c r="C82" s="698" t="s">
        <x:v>70</x:v>
      </x:c>
      <x:c r="D82" s="699">
        <x:v>0</x:v>
      </x:c>
      <x:c r="E82" s="699">
        <x:v>0</x:v>
      </x:c>
      <x:c r="F82" s="699">
        <x:v>0</x:v>
      </x:c>
      <x:c r="G82" s="699">
        <x:v>0</x:v>
      </x:c>
      <x:c r="H82" s="699">
        <x:v>0</x:v>
      </x:c>
      <x:c r="I82" s="699">
        <x:v>0</x:v>
      </x:c>
      <x:c r="J82" s="699">
        <x:v>0</x:v>
      </x:c>
      <x:c r="K82" s="699">
        <x:v>0</x:v>
      </x:c>
      <x:c r="L82" s="699">
        <x:v>0</x:v>
      </x:c>
      <x:c r="M82" s="699">
        <x:v>0</x:v>
      </x:c>
      <x:c r="N82" s="699">
        <x:v>0</x:v>
      </x:c>
      <x:c r="O82" s="699">
        <x:v>0</x:v>
      </x:c>
      <x:c r="P82" s="699">
        <x:v>0</x:v>
      </x:c>
      <x:c r="Q82" s="699">
        <x:v>0</x:v>
      </x:c>
      <x:c r="R82" s="699">
        <x:v>0</x:v>
      </x:c>
      <x:c r="Z82" s="701"/>
    </x:row>
    <x:row r="83" spans="1:26" x14ac:dyDescent="0.2">
      <x:c r="A83" s="775"/>
      <x:c r="B83" s="773"/>
      <x:c r="C83" s="698" t="s">
        <x:v>73</x:v>
      </x:c>
      <x:c r="D83" s="699">
        <x:v>0</x:v>
      </x:c>
      <x:c r="E83" s="683"/>
      <x:c r="F83" s="683"/>
      <x:c r="G83" s="683"/>
      <x:c r="H83" s="683"/>
      <x:c r="I83" s="683"/>
      <x:c r="J83" s="683"/>
      <x:c r="K83" s="683"/>
      <x:c r="L83" s="683"/>
      <x:c r="M83" s="683"/>
      <x:c r="N83" s="683"/>
      <x:c r="O83" s="683"/>
      <x:c r="P83" s="683"/>
      <x:c r="Q83" s="683"/>
      <x:c r="Z83" s="701"/>
    </x:row>
    <x:row r="84" spans="1:26" ht="15" x14ac:dyDescent="0.25">
      <x:c r="A84" s="682"/>
      <x:c r="D84" s="683"/>
      <x:c r="E84" s="683"/>
      <x:c r="F84" s="683"/>
      <x:c r="G84" s="683"/>
      <x:c r="H84" s="683"/>
      <x:c r="I84" s="683"/>
      <x:c r="J84" s="683"/>
      <x:c r="K84" s="683"/>
      <x:c r="L84" s="683"/>
      <x:c r="M84" s="683"/>
      <x:c r="N84" s="683"/>
      <x:c r="O84" s="683"/>
      <x:c r="P84" s="683"/>
      <x:c r="Q84" s="683"/>
      <x:c r="R84" s="683"/>
      <x:c r="Z84" s="701"/>
    </x:row>
    <x:row r="85" spans="1:26" x14ac:dyDescent="0.2">
      <x:c r="A85" s="774" t="s">
        <x:v>119</x:v>
      </x:c>
      <x:c r="B85" s="773" t="s">
        <x:v>132</x:v>
      </x:c>
      <x:c r="C85" s="691" t="s">
        <x:v>70</x:v>
      </x:c>
      <x:c r="D85" s="691">
        <x:f>D14-P14</x:f>
        <x:v>0</x:v>
      </x:c>
      <x:c r="E85" s="691">
        <x:f>E11</x:f>
        <x:v>0</x:v>
      </x:c>
      <x:c r="F85" s="691">
        <x:f t="shared" ref="F85:R85" si="2">F11</x:f>
        <x:v>0</x:v>
      </x:c>
      <x:c r="G85" s="691">
        <x:f t="shared" si="2"/>
        <x:v>0</x:v>
      </x:c>
      <x:c r="H85" s="691">
        <x:f t="shared" si="2"/>
        <x:v>0</x:v>
      </x:c>
      <x:c r="I85" s="691">
        <x:f t="shared" si="2"/>
        <x:v>0</x:v>
      </x:c>
      <x:c r="J85" s="691">
        <x:f t="shared" si="2"/>
        <x:v>0</x:v>
      </x:c>
      <x:c r="K85" s="691">
        <x:f t="shared" si="2"/>
        <x:v>0</x:v>
      </x:c>
      <x:c r="L85" s="691">
        <x:f t="shared" si="2"/>
        <x:v>0</x:v>
      </x:c>
      <x:c r="M85" s="691">
        <x:f t="shared" si="2"/>
        <x:v>0</x:v>
      </x:c>
      <x:c r="N85" s="691">
        <x:f t="shared" si="2"/>
        <x:v>0</x:v>
      </x:c>
      <x:c r="O85" s="691">
        <x:f t="shared" si="2"/>
        <x:v>0</x:v>
      </x:c>
      <x:c r="P85" s="691">
        <x:f t="shared" si="2"/>
        <x:v>0</x:v>
      </x:c>
      <x:c r="Q85" s="691">
        <x:f t="shared" si="2"/>
        <x:v>0</x:v>
      </x:c>
      <x:c r="R85" s="691">
        <x:f t="shared" si="2"/>
        <x:v>0</x:v>
      </x:c>
      <x:c r="Z85" s="701"/>
    </x:row>
    <x:row r="86" spans="1:26" x14ac:dyDescent="0.2">
      <x:c r="A86" s="774"/>
      <x:c r="B86" s="773"/>
      <x:c r="C86" s="691" t="s">
        <x:v>73</x:v>
      </x:c>
      <x:c r="D86" s="691">
        <x:f>D13</x:f>
        <x:v>0</x:v>
      </x:c>
      <x:c r="E86" s="683"/>
      <x:c r="F86" s="683"/>
      <x:c r="G86" s="683"/>
      <x:c r="H86" s="683"/>
      <x:c r="I86" s="683"/>
      <x:c r="J86" s="683"/>
      <x:c r="K86" s="683"/>
      <x:c r="L86" s="683"/>
      <x:c r="M86" s="683"/>
      <x:c r="N86" s="683"/>
      <x:c r="O86" s="683"/>
      <x:c r="P86" s="683"/>
      <x:c r="Q86" s="683"/>
      <x:c r="R86" s="683"/>
      <x:c r="Z86" s="701"/>
    </x:row>
    <x:row r="87" spans="1:26" ht="15" x14ac:dyDescent="0.25">
      <x:c r="A87" s="682"/>
      <x:c r="D87" s="683"/>
      <x:c r="E87" s="683"/>
      <x:c r="F87" s="683"/>
      <x:c r="G87" s="683"/>
      <x:c r="H87" s="683"/>
      <x:c r="I87" s="683"/>
      <x:c r="J87" s="683"/>
      <x:c r="K87" s="683"/>
      <x:c r="L87" s="683"/>
      <x:c r="M87" s="683"/>
      <x:c r="N87" s="683"/>
      <x:c r="O87" s="683"/>
      <x:c r="P87" s="683"/>
      <x:c r="Q87" s="683"/>
      <x:c r="R87" s="683"/>
      <x:c r="Z87" s="701"/>
    </x:row>
    <x:row r="88" spans="1:26" x14ac:dyDescent="0.2">
      <x:c r="A88" s="772" t="s">
        <x:v>161</x:v>
      </x:c>
      <x:c r="B88" s="773" t="s">
        <x:v>132</x:v>
      </x:c>
      <x:c r="C88" s="700" t="s">
        <x:v>70</x:v>
      </x:c>
      <x:c r="D88" s="700">
        <x:v>0</x:v>
      </x:c>
      <x:c r="E88" s="700">
        <x:v>0</x:v>
      </x:c>
      <x:c r="F88" s="700">
        <x:v>0</x:v>
      </x:c>
      <x:c r="G88" s="700">
        <x:v>0</x:v>
      </x:c>
      <x:c r="H88" s="700">
        <x:v>0</x:v>
      </x:c>
      <x:c r="I88" s="700">
        <x:v>0</x:v>
      </x:c>
      <x:c r="J88" s="700">
        <x:v>0</x:v>
      </x:c>
      <x:c r="K88" s="700">
        <x:v>0</x:v>
      </x:c>
      <x:c r="L88" s="700">
        <x:v>0</x:v>
      </x:c>
      <x:c r="M88" s="700">
        <x:v>0</x:v>
      </x:c>
      <x:c r="N88" s="700">
        <x:v>0</x:v>
      </x:c>
      <x:c r="O88" s="700">
        <x:v>0</x:v>
      </x:c>
      <x:c r="P88" s="700">
        <x:v>0</x:v>
      </x:c>
      <x:c r="Q88" s="700">
        <x:v>0</x:v>
      </x:c>
      <x:c r="R88" s="700">
        <x:v>0</x:v>
      </x:c>
      <x:c r="Z88" s="701"/>
    </x:row>
    <x:row r="89" spans="1:26" x14ac:dyDescent="0.2">
      <x:c r="A89" s="772"/>
      <x:c r="B89" s="773"/>
      <x:c r="C89" s="700" t="s">
        <x:v>73</x:v>
      </x:c>
      <x:c r="D89" s="700">
        <x:v>0</x:v>
      </x:c>
      <x:c r="E89" s="683"/>
      <x:c r="F89" s="683"/>
      <x:c r="G89" s="683"/>
      <x:c r="H89" s="683"/>
      <x:c r="I89" s="683"/>
      <x:c r="J89" s="683"/>
      <x:c r="K89" s="683"/>
      <x:c r="L89" s="683"/>
      <x:c r="M89" s="683"/>
      <x:c r="N89" s="683"/>
      <x:c r="O89" s="683"/>
      <x:c r="P89" s="683"/>
      <x:c r="Q89" s="683"/>
      <x:c r="Z89" s="701"/>
    </x:row>
    <x:row r="90" spans="1:26" x14ac:dyDescent="0.2">
      <x:c r="A90" s="701"/>
      <x:c r="B90" s="701"/>
      <x:c r="C90" s="701"/>
      <x:c r="D90" s="701"/>
      <x:c r="E90" s="701"/>
      <x:c r="F90" s="701"/>
      <x:c r="G90" s="701"/>
      <x:c r="H90" s="701"/>
      <x:c r="I90" s="701"/>
      <x:c r="J90" s="701"/>
      <x:c r="K90" s="701"/>
      <x:c r="L90" s="701"/>
      <x:c r="M90" s="701"/>
      <x:c r="N90" s="701"/>
      <x:c r="O90" s="701"/>
      <x:c r="P90" s="701"/>
      <x:c r="Q90" s="701"/>
      <x:c r="R90" s="701"/>
      <x:c r="S90" s="701"/>
      <x:c r="T90" s="701"/>
      <x:c r="U90" s="701"/>
      <x:c r="V90" s="701"/>
      <x:c r="W90" s="701"/>
      <x:c r="X90" s="701"/>
      <x:c r="Y90" s="701"/>
      <x:c r="Z90" s="701"/>
    </x:row>
    <x:row r="91" spans="1:26" ht="15" x14ac:dyDescent="0.25">
      <x:c r="B91" s="707" t="s">
        <x:v>75</x:v>
      </x:c>
      <x:c r="Z91" s="701"/>
    </x:row>
    <x:row r="92" spans="1:26" s="682" customFormat="1" ht="15" x14ac:dyDescent="0.25">
      <x:c r="D92" s="704" t="s">
        <x:v>70</x:v>
      </x:c>
      <x:c r="E92" s="704" t="s">
        <x:v>64</x:v>
      </x:c>
      <x:c r="F92" s="704" t="s">
        <x:v>65</x:v>
      </x:c>
      <x:c r="G92" s="705" t="s">
        <x:v>164</x:v>
      </x:c>
      <x:c r="H92" s="704" t="s">
        <x:v>69</x:v>
      </x:c>
      <x:c r="I92" s="704" t="s">
        <x:v>68</x:v>
      </x:c>
      <x:c r="J92" s="704" t="s">
        <x:v>66</x:v>
      </x:c>
      <x:c r="K92" s="704" t="s">
        <x:v>63</x:v>
      </x:c>
      <x:c r="L92" s="704" t="s">
        <x:v>61</x:v>
      </x:c>
      <x:c r="M92" s="704" t="s">
        <x:v>62</x:v>
      </x:c>
      <x:c r="N92" s="704" t="s">
        <x:v>67</x:v>
      </x:c>
      <x:c r="O92" s="704" t="s">
        <x:v>77</x:v>
      </x:c>
      <x:c r="P92" s="682" t="s">
        <x:v>71</x:v>
      </x:c>
      <x:c r="Q92" s="704" t="s">
        <x:v>80</x:v>
      </x:c>
      <x:c r="R92" s="682" t="s">
        <x:v>167</x:v>
      </x:c>
      <x:c r="Z92" s="706"/>
    </x:row>
    <x:row r="93" spans="1:26" x14ac:dyDescent="0.2">
      <x:c r="C93" s="681" t="s">
        <x:v>72</x:v>
      </x:c>
      <x:c r="D93" s="683" t="n">
        <x:v>-53998016.21</x:v>
      </x:c>
      <x:c r="E93" s="683" t="n">
        <x:v>-11667185.22</x:v>
      </x:c>
      <x:c r="F93" s="683" t="n">
        <x:v>-5414703.49</x:v>
      </x:c>
      <x:c r="G93" s="683" t="n">
        <x:v>-2951482.17</x:v>
      </x:c>
      <x:c r="H93" s="683" t="n">
        <x:v>-3201477.24</x:v>
      </x:c>
      <x:c r="I93" s="683" t="n">
        <x:v>-115838.75</x:v>
      </x:c>
      <x:c r="J93" s="683" t="n">
        <x:v>-1017620.75</x:v>
      </x:c>
      <x:c r="K93" s="683" t="n">
        <x:v>-1016768.4</x:v>
      </x:c>
      <x:c r="L93" s="683" t="n">
        <x:v>-4764304</x:v>
      </x:c>
      <x:c r="M93" s="683" t="n">
        <x:v>-23659660.94</x:v>
      </x:c>
      <x:c r="N93" s="683" t="n">
        <x:v>-188999.83</x:v>
      </x:c>
      <x:c r="O93" s="683" t="n">
        <x:v>24.58</x:v>
      </x:c>
      <x:c r="P93" s="681">
        <x:v>0</x:v>
      </x:c>
      <x:c r="Q93" s="683">
        <x:v>0</x:v>
      </x:c>
      <x:c r="R93" s="681">
        <x:v>0</x:v>
      </x:c>
      <x:c r="Z93" s="701"/>
    </x:row>
    <x:row r="94" spans="1:26" x14ac:dyDescent="0.2">
      <x:c r="C94" s="681" t="s">
        <x:v>81</x:v>
      </x:c>
      <x:c r="D94" s="683" t="n">
        <x:v>-15789581.83</x:v>
      </x:c>
      <x:c r="E94" s="683" t="n">
        <x:v>-4170790.83</x:v>
      </x:c>
      <x:c r="F94" s="683" t="n">
        <x:v>-1943304.33</x:v>
      </x:c>
      <x:c r="G94" s="683" t="n">
        <x:v>-1075257.96</x:v>
      </x:c>
      <x:c r="H94" s="683" t="n">
        <x:v>-52026.8</x:v>
      </x:c>
      <x:c r="I94" s="683" t="n">
        <x:v>-1440.2</x:v>
      </x:c>
      <x:c r="J94" s="683" t="n">
        <x:v>-12737.8</x:v>
      </x:c>
      <x:c r="K94" s="683" t="n">
        <x:v>-15000.59</x:v>
      </x:c>
      <x:c r="L94" s="683" t="n">
        <x:v>-66290.83</x:v>
      </x:c>
      <x:c r="M94" s="683" t="n">
        <x:v>-8450381.27</x:v>
      </x:c>
      <x:c r="N94" s="683" t="n">
        <x:v>-2350.38</x:v>
      </x:c>
      <x:c r="O94" s="683" t="n">
        <x:v>-0.84</x:v>
      </x:c>
      <x:c r="P94" s="681">
        <x:v>0</x:v>
      </x:c>
      <x:c r="Q94" s="683">
        <x:v>0</x:v>
      </x:c>
      <x:c r="R94" s="681">
        <x:v>0</x:v>
      </x:c>
      <x:c r="Z94" s="701"/>
    </x:row>
    <x:row r="95" spans="1:26" x14ac:dyDescent="0.2">
      <x:c r="A95" s="684"/>
      <x:c r="B95" s="685" t="s">
        <x:v>78</x:v>
      </x:c>
      <x:c r="C95" s="685" t="s">
        <x:v>70</x:v>
      </x:c>
      <x:c r="D95" s="685" t="n">
        <x:v>-69787598.04</x:v>
      </x:c>
      <x:c r="E95" s="685" t="n">
        <x:v>-15837976.05</x:v>
      </x:c>
      <x:c r="F95" s="685" t="n">
        <x:v>-7358007.82</x:v>
      </x:c>
      <x:c r="G95" s="685" t="n">
        <x:v>-4026740.13</x:v>
      </x:c>
      <x:c r="H95" s="685" t="n">
        <x:v>-3253504.04</x:v>
      </x:c>
      <x:c r="I95" s="685" t="n">
        <x:v>-117278.95</x:v>
      </x:c>
      <x:c r="J95" s="685" t="n">
        <x:v>-1030358.55</x:v>
      </x:c>
      <x:c r="K95" s="685" t="n">
        <x:v>-1031768.99</x:v>
      </x:c>
      <x:c r="L95" s="685" t="n">
        <x:v>-4830594.83</x:v>
      </x:c>
      <x:c r="M95" s="685" t="n">
        <x:v>-32110042.21</x:v>
      </x:c>
      <x:c r="N95" s="685" t="n">
        <x:v>-191350.21</x:v>
      </x:c>
      <x:c r="O95" s="685" t="n">
        <x:v>23.74</x:v>
      </x:c>
      <x:c r="P95" s="684">
        <x:v>0</x:v>
      </x:c>
      <x:c r="Q95" s="685">
        <x:v>0</x:v>
      </x:c>
      <x:c r="R95" s="685">
        <x:v>0</x:v>
      </x:c>
      <x:c r="S95" s="684"/>
      <x:c r="T95" s="684"/>
      <x:c r="U95" s="684"/>
      <x:c r="V95" s="684"/>
      <x:c r="W95" s="684"/>
      <x:c r="X95" s="684"/>
      <x:c r="Y95" s="684"/>
      <x:c r="Z95" s="701"/>
    </x:row>
    <x:row r="96" spans="1:26" x14ac:dyDescent="0.2">
      <x:c r="C96" s="681" t="s">
        <x:v>73</x:v>
      </x:c>
      <x:c r="D96" s="683" t="n">
        <x:v>-991410.96</x:v>
      </x:c>
      <x:c r="E96" s="683" t="n">
        <x:v>-916794.52</x:v>
      </x:c>
      <x:c r="F96" s="683" t="n">
        <x:v>-399784.58</x:v>
      </x:c>
      <x:c r="G96" s="683" t="n">
        <x:v>-225583.16</x:v>
      </x:c>
      <x:c r="H96" s="683" t="n">
        <x:v>753139.3</x:v>
      </x:c>
      <x:c r="I96" s="683" t="n">
        <x:v>27321.94</x:v>
      </x:c>
      <x:c r="J96" s="683" t="n">
        <x:v>241143.71</x:v>
      </x:c>
      <x:c r="K96" s="683" t="n">
        <x:v>238753.51</x:v>
      </x:c>
      <x:c r="L96" s="683" t="n">
        <x:v>1113806.24</x:v>
      </x:c>
      <x:c r="M96" s="683" t="n">
        <x:v>-1867991.13</x:v>
      </x:c>
      <x:c r="N96" s="683" t="n">
        <x:v>44577.73</x:v>
      </x:c>
      <x:c r="O96" s="683" t="n">
        <x:v>0</x:v>
      </x:c>
      <x:c r="P96" s="681">
        <x:v>0</x:v>
      </x:c>
      <x:c r="Q96" s="683">
        <x:v>0</x:v>
      </x:c>
      <x:c r="R96" s="681">
        <x:v>0</x:v>
      </x:c>
      <x:c r="Z96" s="701"/>
    </x:row>
    <x:row r="97" spans="1:26" x14ac:dyDescent="0.2">
      <x:c r="A97" s="686"/>
      <x:c r="B97" s="687" t="s">
        <x:v>79</x:v>
      </x:c>
      <x:c r="C97" s="687" t="s">
        <x:v>70</x:v>
      </x:c>
      <x:c r="D97" s="687" t="n">
        <x:v>-991410.96</x:v>
      </x:c>
      <x:c r="E97" s="687" t="n">
        <x:v>-916794.52</x:v>
      </x:c>
      <x:c r="F97" s="687" t="n">
        <x:v>-399784.58</x:v>
      </x:c>
      <x:c r="G97" s="687" t="n">
        <x:v>-225583.16</x:v>
      </x:c>
      <x:c r="H97" s="687" t="n">
        <x:v>753139.3</x:v>
      </x:c>
      <x:c r="I97" s="687" t="n">
        <x:v>27321.94</x:v>
      </x:c>
      <x:c r="J97" s="687" t="n">
        <x:v>241143.71</x:v>
      </x:c>
      <x:c r="K97" s="687" t="n">
        <x:v>238753.51</x:v>
      </x:c>
      <x:c r="L97" s="687" t="n">
        <x:v>1113806.24</x:v>
      </x:c>
      <x:c r="M97" s="687" t="n">
        <x:v>-1867991.13</x:v>
      </x:c>
      <x:c r="N97" s="687" t="n">
        <x:v>44577.73</x:v>
      </x:c>
      <x:c r="O97" s="687" t="n">
        <x:v>0</x:v>
      </x:c>
      <x:c r="P97" s="686">
        <x:v>0</x:v>
      </x:c>
      <x:c r="Q97" s="687">
        <x:v>0</x:v>
      </x:c>
      <x:c r="R97" s="687">
        <x:v>0</x:v>
      </x:c>
      <x:c r="S97" s="686"/>
      <x:c r="T97" s="686"/>
      <x:c r="U97" s="686"/>
      <x:c r="V97" s="686"/>
      <x:c r="W97" s="686"/>
      <x:c r="X97" s="686"/>
      <x:c r="Y97" s="686"/>
      <x:c r="Z97" s="701"/>
    </x:row>
    <x:row r="98" spans="1:26" x14ac:dyDescent="0.2">
      <x:c r="A98" s="688" t="s">
        <x:v>155</x:v>
      </x:c>
      <x:c r="B98" s="688" t="s">
        <x:v>70</x:v>
      </x:c>
      <x:c r="C98" s="688"/>
      <x:c r="D98" s="689" t="n">
        <x:v>-70779009</x:v>
      </x:c>
      <x:c r="E98" s="689" t="n">
        <x:v>-16754770.57</x:v>
      </x:c>
      <x:c r="F98" s="689" t="n">
        <x:v>-7757792.4</x:v>
      </x:c>
      <x:c r="G98" s="689" t="n">
        <x:v>-4252323.29</x:v>
      </x:c>
      <x:c r="H98" s="689" t="n">
        <x:v>-2500364.74</x:v>
      </x:c>
      <x:c r="I98" s="689" t="n">
        <x:v>-89957.01</x:v>
      </x:c>
      <x:c r="J98" s="689" t="n">
        <x:v>-789214.84</x:v>
      </x:c>
      <x:c r="K98" s="689" t="n">
        <x:v>-793015.48</x:v>
      </x:c>
      <x:c r="L98" s="689" t="n">
        <x:v>-3716788.59</x:v>
      </x:c>
      <x:c r="M98" s="689" t="n">
        <x:v>-33978033.34</x:v>
      </x:c>
      <x:c r="N98" s="689" t="n">
        <x:v>-146772.48</x:v>
      </x:c>
      <x:c r="O98" s="689" t="n">
        <x:v>23.74</x:v>
      </x:c>
      <x:c r="P98" s="689">
        <x:v>0</x:v>
      </x:c>
      <x:c r="Q98" s="689">
        <x:v>0</x:v>
      </x:c>
      <x:c r="R98" s="688">
        <x:v>0</x:v>
      </x:c>
      <x:c r="S98" s="688"/>
      <x:c r="T98" s="688"/>
      <x:c r="U98" s="688"/>
      <x:c r="V98" s="688"/>
      <x:c r="W98" s="688"/>
      <x:c r="X98" s="688"/>
      <x:c r="Y98" s="688"/>
      <x:c r="Z98" s="701"/>
    </x:row>
    <x:row r="99" spans="1:26" x14ac:dyDescent="0.2">
      <x:c r="C99" s="681" t="s">
        <x:v>72</x:v>
      </x:c>
      <x:c r="D99" s="683" t="n">
        <x:v>-377166.8</x:v>
      </x:c>
      <x:c r="E99" s="683" t="n">
        <x:v>-43251.45</x:v>
      </x:c>
      <x:c r="F99" s="683" t="n">
        <x:v>-24151.06</x:v>
      </x:c>
      <x:c r="G99" s="683" t="n">
        <x:v>-13029.67</x:v>
      </x:c>
      <x:c r="H99" s="683" t="n">
        <x:v>-77002.42</x:v>
      </x:c>
      <x:c r="I99" s="683" t="n">
        <x:v>-2284.76</x:v>
      </x:c>
      <x:c r="J99" s="683" t="n">
        <x:v>-20041.71</x:v>
      </x:c>
      <x:c r="K99" s="683" t="n">
        <x:v>-20313.51</x:v>
      </x:c>
      <x:c r="L99" s="683" t="n">
        <x:v>-87724.06</x:v>
      </x:c>
      <x:c r="M99" s="683" t="n">
        <x:v>-86066.71</x:v>
      </x:c>
      <x:c r="N99" s="683" t="n">
        <x:v>-3305.91</x:v>
      </x:c>
      <x:c r="O99" s="683" t="n">
        <x:v>4.46</x:v>
      </x:c>
      <x:c r="P99" s="681">
        <x:v>0</x:v>
      </x:c>
      <x:c r="Q99" s="683">
        <x:v>0</x:v>
      </x:c>
      <x:c r="R99" s="681">
        <x:v>0</x:v>
      </x:c>
      <x:c r="Z99" s="701"/>
    </x:row>
    <x:row r="100" spans="1:26" x14ac:dyDescent="0.2">
      <x:c r="C100" s="681" t="s">
        <x:v>81</x:v>
      </x:c>
      <x:c r="D100" s="683" t="n">
        <x:v>-9054.66</x:v>
      </x:c>
      <x:c r="E100" s="683" t="n">
        <x:v>-491.84</x:v>
      </x:c>
      <x:c r="F100" s="683" t="n">
        <x:v>-219.75</x:v>
      </x:c>
      <x:c r="G100" s="683" t="n">
        <x:v>-125.76</x:v>
      </x:c>
      <x:c r="H100" s="683" t="n">
        <x:v>-2696.53</x:v>
      </x:c>
      <x:c r="I100" s="683" t="n">
        <x:v>-61.76</x:v>
      </x:c>
      <x:c r="J100" s="683" t="n">
        <x:v>-541.98</x:v>
      </x:c>
      <x:c r="K100" s="683" t="n">
        <x:v>-671.69</x:v>
      </x:c>
      <x:c r="L100" s="683" t="n">
        <x:v>-3161.57</x:v>
      </x:c>
      <x:c r="M100" s="683" t="n">
        <x:v>-983.04</x:v>
      </x:c>
      <x:c r="N100" s="683" t="n">
        <x:v>-100.83</x:v>
      </x:c>
      <x:c r="O100" s="683" t="n">
        <x:v>0.09</x:v>
      </x:c>
      <x:c r="P100" s="681">
        <x:v>0</x:v>
      </x:c>
      <x:c r="Q100" s="683">
        <x:v>0</x:v>
      </x:c>
      <x:c r="R100" s="681">
        <x:v>0</x:v>
      </x:c>
      <x:c r="Z100" s="701"/>
    </x:row>
    <x:row r="101" spans="1:26" x14ac:dyDescent="0.2">
      <x:c r="A101" s="684"/>
      <x:c r="B101" s="685" t="s">
        <x:v>78</x:v>
      </x:c>
      <x:c r="C101" s="685" t="s">
        <x:v>70</x:v>
      </x:c>
      <x:c r="D101" s="685" t="n">
        <x:v>-386221.46</x:v>
      </x:c>
      <x:c r="E101" s="685" t="n">
        <x:v>-43743.29</x:v>
      </x:c>
      <x:c r="F101" s="685" t="n">
        <x:v>-24370.81</x:v>
      </x:c>
      <x:c r="G101" s="685" t="n">
        <x:v>-13155.43</x:v>
      </x:c>
      <x:c r="H101" s="685" t="n">
        <x:v>-79698.95</x:v>
      </x:c>
      <x:c r="I101" s="685" t="n">
        <x:v>-2346.52</x:v>
      </x:c>
      <x:c r="J101" s="685" t="n">
        <x:v>-20583.69</x:v>
      </x:c>
      <x:c r="K101" s="685" t="n">
        <x:v>-20985.2</x:v>
      </x:c>
      <x:c r="L101" s="685" t="n">
        <x:v>-90885.63</x:v>
      </x:c>
      <x:c r="M101" s="685" t="n">
        <x:v>-87049.75</x:v>
      </x:c>
      <x:c r="N101" s="685" t="n">
        <x:v>-3406.74</x:v>
      </x:c>
      <x:c r="O101" s="685" t="n">
        <x:v>4.55</x:v>
      </x:c>
      <x:c r="P101" s="684">
        <x:v>0</x:v>
      </x:c>
      <x:c r="Q101" s="685">
        <x:v>0</x:v>
      </x:c>
      <x:c r="R101" s="685">
        <x:v>0</x:v>
      </x:c>
      <x:c r="S101" s="684"/>
      <x:c r="T101" s="684"/>
      <x:c r="U101" s="684"/>
      <x:c r="V101" s="684"/>
      <x:c r="W101" s="684"/>
      <x:c r="X101" s="684"/>
      <x:c r="Y101" s="684"/>
      <x:c r="Z101" s="701"/>
    </x:row>
    <x:row r="102" spans="1:26" x14ac:dyDescent="0.2">
      <x:c r="C102" s="681" t="s">
        <x:v>73</x:v>
      </x:c>
      <x:c r="D102" s="683" t="n">
        <x:v>95471.46</x:v>
      </x:c>
      <x:c r="E102" s="683" t="n">
        <x:v>4869.41</x:v>
      </x:c>
      <x:c r="F102" s="683" t="n">
        <x:v>2653.99</x:v>
      </x:c>
      <x:c r="G102" s="683" t="n">
        <x:v>1418.22</x:v>
      </x:c>
      <x:c r="H102" s="683" t="n">
        <x:v>24431.4</x:v>
      </x:c>
      <x:c r="I102" s="683" t="n">
        <x:v>804.56</x:v>
      </x:c>
      <x:c r="J102" s="683" t="n">
        <x:v>7057.6</x:v>
      </x:c>
      <x:c r="K102" s="683" t="n">
        <x:v>7551.54</x:v>
      </x:c>
      <x:c r="L102" s="683" t="n">
        <x:v>35697.19</x:v>
      </x:c>
      <x:c r="M102" s="683" t="n">
        <x:v>9674.81</x:v>
      </x:c>
      <x:c r="N102" s="683" t="n">
        <x:v>1312.74</x:v>
      </x:c>
      <x:c r="O102" s="683" t="n">
        <x:v>0</x:v>
      </x:c>
      <x:c r="P102" s="681">
        <x:v>0</x:v>
      </x:c>
      <x:c r="Q102" s="683">
        <x:v>0</x:v>
      </x:c>
      <x:c r="R102" s="681">
        <x:v>0</x:v>
      </x:c>
      <x:c r="Z102" s="701"/>
    </x:row>
    <x:row r="103" spans="1:26" x14ac:dyDescent="0.2">
      <x:c r="A103" s="686"/>
      <x:c r="B103" s="687" t="s">
        <x:v>79</x:v>
      </x:c>
      <x:c r="C103" s="687" t="s">
        <x:v>70</x:v>
      </x:c>
      <x:c r="D103" s="687" t="n">
        <x:v>95471.46</x:v>
      </x:c>
      <x:c r="E103" s="687" t="n">
        <x:v>4869.41</x:v>
      </x:c>
      <x:c r="F103" s="687" t="n">
        <x:v>2653.99</x:v>
      </x:c>
      <x:c r="G103" s="687" t="n">
        <x:v>1418.22</x:v>
      </x:c>
      <x:c r="H103" s="687" t="n">
        <x:v>24431.4</x:v>
      </x:c>
      <x:c r="I103" s="687" t="n">
        <x:v>804.56</x:v>
      </x:c>
      <x:c r="J103" s="687" t="n">
        <x:v>7057.6</x:v>
      </x:c>
      <x:c r="K103" s="687" t="n">
        <x:v>7551.54</x:v>
      </x:c>
      <x:c r="L103" s="687" t="n">
        <x:v>35697.19</x:v>
      </x:c>
      <x:c r="M103" s="687" t="n">
        <x:v>9674.81</x:v>
      </x:c>
      <x:c r="N103" s="687" t="n">
        <x:v>1312.74</x:v>
      </x:c>
      <x:c r="O103" s="687" t="n">
        <x:v>0</x:v>
      </x:c>
      <x:c r="P103" s="686">
        <x:v>0</x:v>
      </x:c>
      <x:c r="Q103" s="687">
        <x:v>0</x:v>
      </x:c>
      <x:c r="R103" s="687">
        <x:v>0</x:v>
      </x:c>
      <x:c r="S103" s="686"/>
      <x:c r="T103" s="686"/>
      <x:c r="U103" s="686"/>
      <x:c r="V103" s="686"/>
      <x:c r="W103" s="686"/>
      <x:c r="X103" s="686"/>
      <x:c r="Y103" s="686"/>
      <x:c r="Z103" s="701"/>
    </x:row>
    <x:row r="104" spans="1:26" x14ac:dyDescent="0.2">
      <x:c r="A104" s="690" t="s">
        <x:v>119</x:v>
      </x:c>
      <x:c r="B104" s="690" t="s">
        <x:v>70</x:v>
      </x:c>
      <x:c r="C104" s="690"/>
      <x:c r="D104" s="691" t="n">
        <x:v>-290750</x:v>
      </x:c>
      <x:c r="E104" s="691" t="n">
        <x:v>-38873.88</x:v>
      </x:c>
      <x:c r="F104" s="691" t="n">
        <x:v>-21716.82</x:v>
      </x:c>
      <x:c r="G104" s="691" t="n">
        <x:v>-11737.21</x:v>
      </x:c>
      <x:c r="H104" s="691" t="n">
        <x:v>-55267.55</x:v>
      </x:c>
      <x:c r="I104" s="691" t="n">
        <x:v>-1541.96</x:v>
      </x:c>
      <x:c r="J104" s="691" t="n">
        <x:v>-13526.09</x:v>
      </x:c>
      <x:c r="K104" s="691" t="n">
        <x:v>-13433.66</x:v>
      </x:c>
      <x:c r="L104" s="691" t="n">
        <x:v>-55188.44</x:v>
      </x:c>
      <x:c r="M104" s="691" t="n">
        <x:v>-77374.94</x:v>
      </x:c>
      <x:c r="N104" s="691" t="n">
        <x:v>-2094</x:v>
      </x:c>
      <x:c r="O104" s="691" t="n">
        <x:v>4.55</x:v>
      </x:c>
      <x:c r="P104" s="691">
        <x:v>0</x:v>
      </x:c>
      <x:c r="Q104" s="691">
        <x:v>0</x:v>
      </x:c>
      <x:c r="R104" s="690">
        <x:v>0</x:v>
      </x:c>
      <x:c r="S104" s="690"/>
      <x:c r="T104" s="690"/>
      <x:c r="U104" s="690"/>
      <x:c r="V104" s="690"/>
      <x:c r="W104" s="690"/>
      <x:c r="X104" s="690"/>
      <x:c r="Y104" s="690"/>
      <x:c r="Z104" s="701"/>
    </x:row>
    <x:row r="105" spans="1:26" x14ac:dyDescent="0.2">
      <x:c r="A105" s="692" t="s">
        <x:v>70</x:v>
      </x:c>
      <x:c r="B105" s="693"/>
      <x:c r="C105" s="693"/>
      <x:c r="D105" s="692" t="n">
        <x:v>-71069759</x:v>
      </x:c>
      <x:c r="E105" s="692" t="n">
        <x:v>-16793644.45</x:v>
      </x:c>
      <x:c r="F105" s="692" t="n">
        <x:v>-7779509.22</x:v>
      </x:c>
      <x:c r="G105" s="692" t="n">
        <x:v>-4264060.5</x:v>
      </x:c>
      <x:c r="H105" s="692" t="n">
        <x:v>-2555632.29</x:v>
      </x:c>
      <x:c r="I105" s="692" t="n">
        <x:v>-91498.97</x:v>
      </x:c>
      <x:c r="J105" s="692" t="n">
        <x:v>-802740.93</x:v>
      </x:c>
      <x:c r="K105" s="692" t="n">
        <x:v>-806449.14</x:v>
      </x:c>
      <x:c r="L105" s="692" t="n">
        <x:v>-3771977.03</x:v>
      </x:c>
      <x:c r="M105" s="692" t="n">
        <x:v>-34055408.28</x:v>
      </x:c>
      <x:c r="N105" s="692" t="n">
        <x:v>-148866.48</x:v>
      </x:c>
      <x:c r="O105" s="692" t="n">
        <x:v>28.29</x:v>
      </x:c>
      <x:c r="P105" s="693" t="n">
        <x:v>0</x:v>
      </x:c>
      <x:c r="Q105" s="692">
        <x:v>0</x:v>
      </x:c>
      <x:c r="R105" s="692">
        <x:v>0</x:v>
      </x:c>
      <x:c r="S105" s="693"/>
      <x:c r="T105" s="693"/>
      <x:c r="U105" s="693"/>
      <x:c r="V105" s="693"/>
      <x:c r="W105" s="693"/>
      <x:c r="X105" s="693"/>
      <x:c r="Y105" s="693"/>
      <x:c r="Z105" s="701"/>
    </x:row>
    <x:row r="106" spans="1:26" x14ac:dyDescent="0.2">
      <x:c r="A106" s="683"/>
      <x:c r="D106" s="683"/>
      <x:c r="E106" s="683"/>
      <x:c r="F106" s="683"/>
      <x:c r="G106" s="683"/>
      <x:c r="H106" s="683"/>
      <x:c r="I106" s="683"/>
      <x:c r="J106" s="683"/>
      <x:c r="K106" s="683"/>
      <x:c r="L106" s="683"/>
      <x:c r="M106" s="683"/>
      <x:c r="N106" s="683"/>
      <x:c r="O106" s="683"/>
      <x:c r="P106" s="683"/>
      <x:c r="Z106" s="701"/>
    </x:row>
    <x:row r="107" spans="1:26" x14ac:dyDescent="0.2">
      <x:c r="A107" s="683"/>
      <x:c r="D107" s="683"/>
      <x:c r="E107" s="683"/>
      <x:c r="F107" s="683"/>
      <x:c r="G107" s="683"/>
      <x:c r="H107" s="683"/>
      <x:c r="I107" s="683"/>
      <x:c r="J107" s="683"/>
      <x:c r="K107" s="683"/>
      <x:c r="L107" s="683"/>
      <x:c r="M107" s="683"/>
      <x:c r="N107" s="683"/>
      <x:c r="O107" s="683"/>
      <x:c r="P107" s="683"/>
      <x:c r="Z107" s="701"/>
    </x:row>
    <x:row r="108" spans="1:26" x14ac:dyDescent="0.2">
      <x:c r="A108" s="683"/>
      <x:c r="D108" s="683"/>
      <x:c r="E108" s="683"/>
      <x:c r="F108" s="683"/>
      <x:c r="G108" s="683"/>
      <x:c r="H108" s="683"/>
      <x:c r="I108" s="683"/>
      <x:c r="J108" s="683"/>
      <x:c r="K108" s="683"/>
      <x:c r="L108" s="683"/>
      <x:c r="M108" s="683"/>
      <x:c r="N108" s="683"/>
      <x:c r="O108" s="683"/>
      <x:c r="P108" s="683"/>
      <x:c r="Z108" s="701"/>
    </x:row>
    <x:row r="109" spans="1:26" x14ac:dyDescent="0.2">
      <x:c r="A109" s="683"/>
      <x:c r="D109" s="683"/>
      <x:c r="E109" s="683"/>
      <x:c r="F109" s="683"/>
      <x:c r="G109" s="683"/>
      <x:c r="H109" s="683"/>
      <x:c r="I109" s="683"/>
      <x:c r="J109" s="683"/>
      <x:c r="K109" s="683"/>
      <x:c r="L109" s="683"/>
      <x:c r="M109" s="683"/>
      <x:c r="N109" s="683"/>
      <x:c r="O109" s="683"/>
      <x:c r="P109" s="683"/>
      <x:c r="Z109" s="701"/>
    </x:row>
    <x:row r="110" spans="1:26" x14ac:dyDescent="0.2">
      <x:c r="A110" s="683"/>
      <x:c r="D110" s="683"/>
      <x:c r="E110" s="683"/>
      <x:c r="F110" s="683"/>
      <x:c r="G110" s="683"/>
      <x:c r="H110" s="683"/>
      <x:c r="I110" s="683"/>
      <x:c r="J110" s="683"/>
      <x:c r="K110" s="683"/>
      <x:c r="L110" s="683"/>
      <x:c r="M110" s="683"/>
      <x:c r="N110" s="683"/>
      <x:c r="O110" s="683"/>
      <x:c r="P110" s="683"/>
      <x:c r="Z110" s="701"/>
    </x:row>
    <x:row r="111" spans="1:26" x14ac:dyDescent="0.2">
      <x:c r="A111" s="683"/>
      <x:c r="D111" s="683"/>
      <x:c r="E111" s="683"/>
      <x:c r="F111" s="683"/>
      <x:c r="G111" s="683"/>
      <x:c r="H111" s="683"/>
      <x:c r="I111" s="683"/>
      <x:c r="J111" s="683"/>
      <x:c r="K111" s="683"/>
      <x:c r="L111" s="683"/>
      <x:c r="M111" s="683"/>
      <x:c r="N111" s="683"/>
      <x:c r="O111" s="683"/>
      <x:c r="P111" s="683"/>
      <x:c r="Z111" s="701"/>
    </x:row>
    <x:row r="112" spans="1:26" x14ac:dyDescent="0.2">
      <x:c r="A112" s="683"/>
      <x:c r="D112" s="683"/>
      <x:c r="E112" s="683"/>
      <x:c r="F112" s="683"/>
      <x:c r="G112" s="683"/>
      <x:c r="H112" s="683"/>
      <x:c r="I112" s="683"/>
      <x:c r="J112" s="683"/>
      <x:c r="K112" s="683"/>
      <x:c r="L112" s="683"/>
      <x:c r="M112" s="683"/>
      <x:c r="N112" s="683"/>
      <x:c r="O112" s="683"/>
      <x:c r="P112" s="683"/>
      <x:c r="Z112" s="701"/>
    </x:row>
    <x:row r="113" spans="1:26" x14ac:dyDescent="0.2">
      <x:c r="A113" s="683"/>
      <x:c r="D113" s="683"/>
      <x:c r="E113" s="683"/>
      <x:c r="F113" s="683"/>
      <x:c r="G113" s="683"/>
      <x:c r="H113" s="683"/>
      <x:c r="I113" s="683"/>
      <x:c r="J113" s="683"/>
      <x:c r="K113" s="683"/>
      <x:c r="L113" s="683"/>
      <x:c r="M113" s="683"/>
      <x:c r="N113" s="683"/>
      <x:c r="O113" s="683"/>
      <x:c r="P113" s="683"/>
      <x:c r="Z113" s="701"/>
    </x:row>
    <x:row r="114" spans="1:26" x14ac:dyDescent="0.2">
      <x:c r="A114" s="683"/>
      <x:c r="D114" s="683"/>
      <x:c r="E114" s="683"/>
      <x:c r="F114" s="683"/>
      <x:c r="G114" s="683"/>
      <x:c r="H114" s="683"/>
      <x:c r="I114" s="683"/>
      <x:c r="J114" s="683"/>
      <x:c r="K114" s="683"/>
      <x:c r="L114" s="683"/>
      <x:c r="M114" s="683"/>
      <x:c r="N114" s="683"/>
      <x:c r="O114" s="683"/>
      <x:c r="P114" s="683"/>
      <x:c r="Z114" s="701"/>
    </x:row>
    <x:row r="115" spans="1:26" x14ac:dyDescent="0.2">
      <x:c r="A115" s="683"/>
      <x:c r="D115" s="683"/>
      <x:c r="E115" s="683"/>
      <x:c r="F115" s="683"/>
      <x:c r="G115" s="683"/>
      <x:c r="H115" s="683"/>
      <x:c r="I115" s="683"/>
      <x:c r="J115" s="683"/>
      <x:c r="K115" s="683"/>
      <x:c r="L115" s="683"/>
      <x:c r="M115" s="683"/>
      <x:c r="N115" s="683"/>
      <x:c r="O115" s="683"/>
      <x:c r="P115" s="683"/>
      <x:c r="Z115" s="701"/>
    </x:row>
    <x:row r="116" spans="1:26" x14ac:dyDescent="0.2">
      <x:c r="A116" s="683"/>
      <x:c r="D116" s="683"/>
      <x:c r="E116" s="683"/>
      <x:c r="F116" s="683"/>
      <x:c r="G116" s="683"/>
      <x:c r="H116" s="683"/>
      <x:c r="I116" s="683"/>
      <x:c r="J116" s="683"/>
      <x:c r="K116" s="683"/>
      <x:c r="L116" s="683"/>
      <x:c r="M116" s="683"/>
      <x:c r="N116" s="683"/>
      <x:c r="O116" s="683"/>
      <x:c r="P116" s="683"/>
      <x:c r="Z116" s="701"/>
    </x:row>
    <x:row r="117" spans="1:26" x14ac:dyDescent="0.2">
      <x:c r="A117" s="683"/>
      <x:c r="D117" s="683"/>
      <x:c r="E117" s="683"/>
      <x:c r="F117" s="683"/>
      <x:c r="G117" s="683"/>
      <x:c r="H117" s="683"/>
      <x:c r="I117" s="683"/>
      <x:c r="J117" s="683"/>
      <x:c r="K117" s="683"/>
      <x:c r="L117" s="683"/>
      <x:c r="M117" s="683"/>
      <x:c r="N117" s="683"/>
      <x:c r="O117" s="683"/>
      <x:c r="P117" s="683"/>
      <x:c r="Z117" s="701"/>
    </x:row>
    <x:row r="118" spans="1:26" x14ac:dyDescent="0.2">
      <x:c r="A118" s="683"/>
      <x:c r="D118" s="683"/>
      <x:c r="E118" s="683"/>
      <x:c r="F118" s="683"/>
      <x:c r="G118" s="683"/>
      <x:c r="H118" s="683"/>
      <x:c r="I118" s="683"/>
      <x:c r="J118" s="683"/>
      <x:c r="K118" s="683"/>
      <x:c r="L118" s="683"/>
      <x:c r="M118" s="683"/>
      <x:c r="N118" s="683"/>
      <x:c r="O118" s="683"/>
      <x:c r="P118" s="683"/>
      <x:c r="Z118" s="701"/>
    </x:row>
    <x:row r="119" spans="1:26" x14ac:dyDescent="0.2">
      <x:c r="A119" s="683"/>
      <x:c r="D119" s="683"/>
      <x:c r="E119" s="683"/>
      <x:c r="F119" s="683"/>
      <x:c r="G119" s="683"/>
      <x:c r="H119" s="683"/>
      <x:c r="I119" s="683"/>
      <x:c r="J119" s="683"/>
      <x:c r="K119" s="683"/>
      <x:c r="L119" s="683"/>
      <x:c r="M119" s="683"/>
      <x:c r="N119" s="683"/>
      <x:c r="O119" s="683"/>
      <x:c r="P119" s="683"/>
      <x:c r="Z119" s="701"/>
    </x:row>
    <x:row r="120" spans="1:26" x14ac:dyDescent="0.2">
      <x:c r="A120" s="683"/>
      <x:c r="D120" s="683"/>
      <x:c r="E120" s="683"/>
      <x:c r="F120" s="683"/>
      <x:c r="G120" s="683"/>
      <x:c r="H120" s="683"/>
      <x:c r="I120" s="683"/>
      <x:c r="J120" s="683"/>
      <x:c r="K120" s="683"/>
      <x:c r="L120" s="683"/>
      <x:c r="M120" s="683"/>
      <x:c r="N120" s="683"/>
      <x:c r="O120" s="683"/>
      <x:c r="P120" s="683"/>
      <x:c r="Z120" s="701"/>
    </x:row>
    <x:row r="121" spans="1:26" x14ac:dyDescent="0.2">
      <x:c r="A121" s="683"/>
      <x:c r="D121" s="683"/>
      <x:c r="E121" s="683"/>
      <x:c r="F121" s="683"/>
      <x:c r="G121" s="683"/>
      <x:c r="H121" s="683"/>
      <x:c r="I121" s="683"/>
      <x:c r="J121" s="683"/>
      <x:c r="K121" s="683"/>
      <x:c r="L121" s="683"/>
      <x:c r="M121" s="683"/>
      <x:c r="N121" s="683"/>
      <x:c r="O121" s="683"/>
      <x:c r="P121" s="683"/>
      <x:c r="Z121" s="701"/>
    </x:row>
    <x:row r="122" spans="1:26" x14ac:dyDescent="0.2">
      <x:c r="A122" s="683"/>
      <x:c r="D122" s="683"/>
      <x:c r="E122" s="683"/>
      <x:c r="F122" s="683"/>
      <x:c r="G122" s="683"/>
      <x:c r="H122" s="683"/>
      <x:c r="I122" s="683"/>
      <x:c r="J122" s="683"/>
      <x:c r="K122" s="683"/>
      <x:c r="L122" s="683"/>
      <x:c r="M122" s="683"/>
      <x:c r="N122" s="683"/>
      <x:c r="O122" s="683"/>
      <x:c r="P122" s="683"/>
      <x:c r="Z122" s="701"/>
    </x:row>
    <x:row r="123" spans="1:26" x14ac:dyDescent="0.2">
      <x:c r="A123" s="683"/>
      <x:c r="D123" s="683"/>
      <x:c r="E123" s="683"/>
      <x:c r="F123" s="683"/>
      <x:c r="G123" s="683"/>
      <x:c r="H123" s="683"/>
      <x:c r="I123" s="683"/>
      <x:c r="J123" s="683"/>
      <x:c r="K123" s="683"/>
      <x:c r="L123" s="683"/>
      <x:c r="M123" s="683"/>
      <x:c r="N123" s="683"/>
      <x:c r="O123" s="683"/>
      <x:c r="P123" s="683"/>
      <x:c r="Z123" s="701"/>
    </x:row>
    <x:row r="124" spans="1:26" x14ac:dyDescent="0.2">
      <x:c r="A124" s="683"/>
      <x:c r="D124" s="683"/>
      <x:c r="E124" s="683"/>
      <x:c r="F124" s="683"/>
      <x:c r="G124" s="683"/>
      <x:c r="H124" s="683"/>
      <x:c r="I124" s="683"/>
      <x:c r="J124" s="683"/>
      <x:c r="K124" s="683"/>
      <x:c r="L124" s="683"/>
      <x:c r="M124" s="683"/>
      <x:c r="N124" s="683"/>
      <x:c r="O124" s="683"/>
      <x:c r="P124" s="683"/>
      <x:c r="Z124" s="701"/>
    </x:row>
    <x:row r="125" spans="1:26" x14ac:dyDescent="0.2">
      <x:c r="A125" s="683"/>
      <x:c r="D125" s="683"/>
      <x:c r="E125" s="683"/>
      <x:c r="F125" s="683"/>
      <x:c r="G125" s="683"/>
      <x:c r="H125" s="683"/>
      <x:c r="I125" s="683"/>
      <x:c r="J125" s="683"/>
      <x:c r="K125" s="683"/>
      <x:c r="L125" s="683"/>
      <x:c r="M125" s="683"/>
      <x:c r="N125" s="683"/>
      <x:c r="O125" s="683"/>
      <x:c r="P125" s="683"/>
      <x:c r="Z125" s="701"/>
    </x:row>
    <x:row r="126" spans="1:26" x14ac:dyDescent="0.2">
      <x:c r="A126" s="683"/>
      <x:c r="D126" s="683"/>
      <x:c r="E126" s="683"/>
      <x:c r="F126" s="683"/>
      <x:c r="G126" s="683"/>
      <x:c r="H126" s="683"/>
      <x:c r="I126" s="683"/>
      <x:c r="J126" s="683"/>
      <x:c r="K126" s="683"/>
      <x:c r="L126" s="683"/>
      <x:c r="M126" s="683"/>
      <x:c r="N126" s="683"/>
      <x:c r="O126" s="683"/>
      <x:c r="P126" s="683"/>
      <x:c r="Z126" s="701"/>
    </x:row>
    <x:row r="127" spans="1:26" x14ac:dyDescent="0.2">
      <x:c r="A127" s="683"/>
      <x:c r="D127" s="683"/>
      <x:c r="E127" s="683"/>
      <x:c r="F127" s="683"/>
      <x:c r="G127" s="683"/>
      <x:c r="H127" s="683"/>
      <x:c r="I127" s="683"/>
      <x:c r="J127" s="683"/>
      <x:c r="K127" s="683"/>
      <x:c r="L127" s="683"/>
      <x:c r="M127" s="683"/>
      <x:c r="N127" s="683"/>
      <x:c r="O127" s="683"/>
      <x:c r="P127" s="683"/>
      <x:c r="Z127" s="701"/>
    </x:row>
    <x:row r="128" spans="1:26" x14ac:dyDescent="0.2">
      <x:c r="A128" s="683"/>
      <x:c r="D128" s="683"/>
      <x:c r="E128" s="683"/>
      <x:c r="F128" s="683"/>
      <x:c r="G128" s="683"/>
      <x:c r="H128" s="683"/>
      <x:c r="I128" s="683"/>
      <x:c r="J128" s="683"/>
      <x:c r="K128" s="683"/>
      <x:c r="L128" s="683"/>
      <x:c r="M128" s="683"/>
      <x:c r="N128" s="683"/>
      <x:c r="O128" s="683"/>
      <x:c r="P128" s="683"/>
      <x:c r="Z128" s="701"/>
    </x:row>
    <x:row r="129" spans="1:26" x14ac:dyDescent="0.2">
      <x:c r="A129" s="683"/>
      <x:c r="D129" s="683"/>
      <x:c r="E129" s="683"/>
      <x:c r="F129" s="683"/>
      <x:c r="G129" s="683"/>
      <x:c r="H129" s="683"/>
      <x:c r="I129" s="683"/>
      <x:c r="J129" s="683"/>
      <x:c r="K129" s="683"/>
      <x:c r="L129" s="683"/>
      <x:c r="M129" s="683"/>
      <x:c r="N129" s="683"/>
      <x:c r="O129" s="683"/>
      <x:c r="P129" s="683"/>
      <x:c r="Z129" s="701"/>
    </x:row>
    <x:row r="130" spans="1:26" x14ac:dyDescent="0.2">
      <x:c r="A130" s="683"/>
      <x:c r="D130" s="683"/>
      <x:c r="E130" s="683"/>
      <x:c r="F130" s="683"/>
      <x:c r="G130" s="683"/>
      <x:c r="H130" s="683"/>
      <x:c r="I130" s="683"/>
      <x:c r="J130" s="683"/>
      <x:c r="K130" s="683"/>
      <x:c r="L130" s="683"/>
      <x:c r="M130" s="683"/>
      <x:c r="N130" s="683"/>
      <x:c r="O130" s="683"/>
      <x:c r="P130" s="683"/>
      <x:c r="Z130" s="701"/>
    </x:row>
    <x:row r="131" spans="1:26" x14ac:dyDescent="0.2">
      <x:c r="A131" s="683"/>
      <x:c r="D131" s="683"/>
      <x:c r="E131" s="683"/>
      <x:c r="F131" s="683"/>
      <x:c r="G131" s="683"/>
      <x:c r="H131" s="683"/>
      <x:c r="I131" s="683"/>
      <x:c r="J131" s="683"/>
      <x:c r="K131" s="683"/>
      <x:c r="L131" s="683"/>
      <x:c r="M131" s="683"/>
      <x:c r="N131" s="683"/>
      <x:c r="O131" s="683"/>
      <x:c r="P131" s="683"/>
      <x:c r="Z131" s="701"/>
    </x:row>
    <x:row r="132" spans="1:26" x14ac:dyDescent="0.2">
      <x:c r="A132" s="683"/>
      <x:c r="D132" s="683"/>
      <x:c r="E132" s="683"/>
      <x:c r="F132" s="683"/>
      <x:c r="G132" s="683"/>
      <x:c r="H132" s="683"/>
      <x:c r="I132" s="683"/>
      <x:c r="J132" s="683"/>
      <x:c r="K132" s="683"/>
      <x:c r="L132" s="683"/>
      <x:c r="M132" s="683"/>
      <x:c r="N132" s="683"/>
      <x:c r="O132" s="683"/>
      <x:c r="P132" s="683"/>
      <x:c r="Z132" s="701"/>
    </x:row>
    <x:row r="133" spans="1:26" x14ac:dyDescent="0.2">
      <x:c r="A133" s="683"/>
      <x:c r="D133" s="683"/>
      <x:c r="E133" s="683"/>
      <x:c r="F133" s="683"/>
      <x:c r="G133" s="683"/>
      <x:c r="H133" s="683"/>
      <x:c r="I133" s="683"/>
      <x:c r="J133" s="683"/>
      <x:c r="K133" s="683"/>
      <x:c r="L133" s="683"/>
      <x:c r="M133" s="683"/>
      <x:c r="N133" s="683"/>
      <x:c r="O133" s="683"/>
      <x:c r="P133" s="683"/>
      <x:c r="Z133" s="701"/>
    </x:row>
    <x:row r="134" spans="1:26" x14ac:dyDescent="0.2">
      <x:c r="A134" s="683"/>
      <x:c r="D134" s="683"/>
      <x:c r="E134" s="683"/>
      <x:c r="F134" s="683"/>
      <x:c r="G134" s="683"/>
      <x:c r="H134" s="683"/>
      <x:c r="I134" s="683"/>
      <x:c r="J134" s="683"/>
      <x:c r="K134" s="683"/>
      <x:c r="L134" s="683"/>
      <x:c r="M134" s="683"/>
      <x:c r="N134" s="683"/>
      <x:c r="O134" s="683"/>
      <x:c r="P134" s="683"/>
      <x:c r="Z134" s="701"/>
    </x:row>
    <x:row r="135" spans="1:26" x14ac:dyDescent="0.2">
      <x:c r="A135" s="683"/>
      <x:c r="D135" s="683"/>
      <x:c r="E135" s="683"/>
      <x:c r="F135" s="683"/>
      <x:c r="G135" s="683"/>
      <x:c r="H135" s="683"/>
      <x:c r="I135" s="683"/>
      <x:c r="J135" s="683"/>
      <x:c r="K135" s="683"/>
      <x:c r="L135" s="683"/>
      <x:c r="M135" s="683"/>
      <x:c r="N135" s="683"/>
      <x:c r="O135" s="683"/>
      <x:c r="P135" s="683"/>
      <x:c r="Z135" s="701"/>
    </x:row>
    <x:row r="136" spans="1:26" x14ac:dyDescent="0.2">
      <x:c r="A136" s="683"/>
      <x:c r="D136" s="683"/>
      <x:c r="E136" s="683"/>
      <x:c r="F136" s="683"/>
      <x:c r="G136" s="683"/>
      <x:c r="H136" s="683"/>
      <x:c r="I136" s="683"/>
      <x:c r="J136" s="683"/>
      <x:c r="K136" s="683"/>
      <x:c r="L136" s="683"/>
      <x:c r="M136" s="683"/>
      <x:c r="N136" s="683"/>
      <x:c r="O136" s="683"/>
      <x:c r="P136" s="683"/>
      <x:c r="Z136" s="701"/>
    </x:row>
    <x:row r="137" spans="1:26" x14ac:dyDescent="0.2">
      <x:c r="A137" s="683"/>
      <x:c r="D137" s="683"/>
      <x:c r="E137" s="683"/>
      <x:c r="F137" s="683"/>
      <x:c r="G137" s="683"/>
      <x:c r="H137" s="683"/>
      <x:c r="I137" s="683"/>
      <x:c r="J137" s="683"/>
      <x:c r="K137" s="683"/>
      <x:c r="L137" s="683"/>
      <x:c r="M137" s="683"/>
      <x:c r="N137" s="683"/>
      <x:c r="O137" s="683"/>
      <x:c r="P137" s="683"/>
      <x:c r="Z137" s="701"/>
    </x:row>
    <x:row r="138" spans="1:26" x14ac:dyDescent="0.2">
      <x:c r="A138" s="683"/>
      <x:c r="D138" s="683"/>
      <x:c r="E138" s="683"/>
      <x:c r="F138" s="683"/>
      <x:c r="G138" s="683"/>
      <x:c r="H138" s="683"/>
      <x:c r="I138" s="683"/>
      <x:c r="J138" s="683"/>
      <x:c r="K138" s="683"/>
      <x:c r="L138" s="683"/>
      <x:c r="M138" s="683"/>
      <x:c r="N138" s="683"/>
      <x:c r="O138" s="683"/>
      <x:c r="P138" s="683"/>
      <x:c r="Z138" s="701"/>
    </x:row>
    <x:row r="139" spans="1:26" x14ac:dyDescent="0.2">
      <x:c r="A139" s="683"/>
      <x:c r="D139" s="683"/>
      <x:c r="E139" s="683"/>
      <x:c r="F139" s="683"/>
      <x:c r="G139" s="683"/>
      <x:c r="H139" s="683"/>
      <x:c r="I139" s="683"/>
      <x:c r="J139" s="683"/>
      <x:c r="K139" s="683"/>
      <x:c r="L139" s="683"/>
      <x:c r="M139" s="683"/>
      <x:c r="N139" s="683"/>
      <x:c r="O139" s="683"/>
      <x:c r="P139" s="683"/>
      <x:c r="Z139" s="701"/>
    </x:row>
    <x:row r="140" spans="1:26" x14ac:dyDescent="0.2">
      <x:c r="A140" s="683"/>
      <x:c r="D140" s="683"/>
      <x:c r="E140" s="683"/>
      <x:c r="F140" s="683"/>
      <x:c r="G140" s="683"/>
      <x:c r="H140" s="683"/>
      <x:c r="I140" s="683"/>
      <x:c r="J140" s="683"/>
      <x:c r="K140" s="683"/>
      <x:c r="L140" s="683"/>
      <x:c r="M140" s="683"/>
      <x:c r="N140" s="683"/>
      <x:c r="O140" s="683"/>
      <x:c r="P140" s="683"/>
      <x:c r="Z140" s="701"/>
    </x:row>
    <x:row r="141" spans="1:26" x14ac:dyDescent="0.2">
      <x:c r="A141" s="683"/>
      <x:c r="D141" s="683"/>
      <x:c r="E141" s="683"/>
      <x:c r="F141" s="683"/>
      <x:c r="G141" s="683"/>
      <x:c r="H141" s="683"/>
      <x:c r="I141" s="683"/>
      <x:c r="J141" s="683"/>
      <x:c r="K141" s="683"/>
      <x:c r="L141" s="683"/>
      <x:c r="M141" s="683"/>
      <x:c r="N141" s="683"/>
      <x:c r="O141" s="683"/>
      <x:c r="P141" s="683"/>
      <x:c r="Z141" s="701"/>
    </x:row>
    <x:row r="142" spans="1:26" x14ac:dyDescent="0.2">
      <x:c r="A142" s="683"/>
      <x:c r="D142" s="683"/>
      <x:c r="E142" s="683"/>
      <x:c r="F142" s="683"/>
      <x:c r="G142" s="683"/>
      <x:c r="H142" s="683"/>
      <x:c r="I142" s="683"/>
      <x:c r="J142" s="683"/>
      <x:c r="K142" s="683"/>
      <x:c r="L142" s="683"/>
      <x:c r="M142" s="683"/>
      <x:c r="N142" s="683"/>
      <x:c r="O142" s="683"/>
      <x:c r="P142" s="683"/>
      <x:c r="Z142" s="701"/>
    </x:row>
    <x:row r="143" spans="1:26" x14ac:dyDescent="0.2">
      <x:c r="A143" s="683"/>
      <x:c r="D143" s="683"/>
      <x:c r="E143" s="683"/>
      <x:c r="F143" s="683"/>
      <x:c r="G143" s="683"/>
      <x:c r="H143" s="683"/>
      <x:c r="I143" s="683"/>
      <x:c r="J143" s="683"/>
      <x:c r="K143" s="683"/>
      <x:c r="L143" s="683"/>
      <x:c r="M143" s="683"/>
      <x:c r="N143" s="683"/>
      <x:c r="O143" s="683"/>
      <x:c r="P143" s="683"/>
      <x:c r="Z143" s="701"/>
    </x:row>
    <x:row r="144" spans="1:26" x14ac:dyDescent="0.2">
      <x:c r="A144" s="683"/>
      <x:c r="D144" s="683"/>
      <x:c r="E144" s="683"/>
      <x:c r="F144" s="683"/>
      <x:c r="G144" s="683"/>
      <x:c r="H144" s="683"/>
      <x:c r="I144" s="683"/>
      <x:c r="J144" s="683"/>
      <x:c r="K144" s="683"/>
      <x:c r="L144" s="683"/>
      <x:c r="M144" s="683"/>
      <x:c r="N144" s="683"/>
      <x:c r="O144" s="683"/>
      <x:c r="P144" s="683"/>
      <x:c r="Z144" s="701"/>
    </x:row>
    <x:row r="145" spans="1:26" x14ac:dyDescent="0.2">
      <x:c r="A145" s="683"/>
      <x:c r="D145" s="683"/>
      <x:c r="E145" s="683"/>
      <x:c r="F145" s="683"/>
      <x:c r="G145" s="683"/>
      <x:c r="H145" s="683"/>
      <x:c r="I145" s="683"/>
      <x:c r="J145" s="683"/>
      <x:c r="K145" s="683"/>
      <x:c r="L145" s="683"/>
      <x:c r="M145" s="683"/>
      <x:c r="N145" s="683"/>
      <x:c r="O145" s="683"/>
      <x:c r="P145" s="683"/>
      <x:c r="Z145" s="701"/>
    </x:row>
    <x:row r="146" spans="1:26" x14ac:dyDescent="0.2">
      <x:c r="A146" s="683"/>
      <x:c r="D146" s="683"/>
      <x:c r="E146" s="683"/>
      <x:c r="F146" s="683"/>
      <x:c r="G146" s="683"/>
      <x:c r="H146" s="683"/>
      <x:c r="I146" s="683"/>
      <x:c r="J146" s="683"/>
      <x:c r="K146" s="683"/>
      <x:c r="L146" s="683"/>
      <x:c r="M146" s="683"/>
      <x:c r="N146" s="683"/>
      <x:c r="O146" s="683"/>
      <x:c r="P146" s="683"/>
      <x:c r="Z146" s="701"/>
    </x:row>
    <x:row r="147" spans="1:26" x14ac:dyDescent="0.2">
      <x:c r="A147" s="683"/>
      <x:c r="D147" s="683"/>
      <x:c r="E147" s="683"/>
      <x:c r="F147" s="683"/>
      <x:c r="G147" s="683"/>
      <x:c r="H147" s="683"/>
      <x:c r="I147" s="683"/>
      <x:c r="J147" s="683"/>
      <x:c r="K147" s="683"/>
      <x:c r="L147" s="683"/>
      <x:c r="M147" s="683"/>
      <x:c r="N147" s="683"/>
      <x:c r="O147" s="683"/>
      <x:c r="P147" s="683"/>
      <x:c r="Z147" s="701"/>
    </x:row>
    <x:row r="148" spans="1:26" x14ac:dyDescent="0.2">
      <x:c r="A148" s="683"/>
      <x:c r="D148" s="683"/>
      <x:c r="E148" s="683"/>
      <x:c r="F148" s="683"/>
      <x:c r="G148" s="683"/>
      <x:c r="H148" s="683"/>
      <x:c r="I148" s="683"/>
      <x:c r="J148" s="683"/>
      <x:c r="K148" s="683"/>
      <x:c r="L148" s="683"/>
      <x:c r="M148" s="683"/>
      <x:c r="N148" s="683"/>
      <x:c r="O148" s="683"/>
      <x:c r="P148" s="683"/>
      <x:c r="Z148" s="701"/>
    </x:row>
    <x:row r="149" spans="1:26" x14ac:dyDescent="0.2">
      <x:c r="A149" s="683"/>
      <x:c r="D149" s="683"/>
      <x:c r="E149" s="683"/>
      <x:c r="F149" s="683"/>
      <x:c r="G149" s="683"/>
      <x:c r="H149" s="683"/>
      <x:c r="I149" s="683"/>
      <x:c r="J149" s="683"/>
      <x:c r="K149" s="683"/>
      <x:c r="L149" s="683"/>
      <x:c r="M149" s="683"/>
      <x:c r="N149" s="683"/>
      <x:c r="O149" s="683"/>
      <x:c r="P149" s="683"/>
      <x:c r="Z149" s="701"/>
    </x:row>
    <x:row r="150" spans="1:26" x14ac:dyDescent="0.2">
      <x:c r="A150" s="683"/>
      <x:c r="D150" s="683"/>
      <x:c r="E150" s="683"/>
      <x:c r="F150" s="683"/>
      <x:c r="G150" s="683"/>
      <x:c r="H150" s="683"/>
      <x:c r="I150" s="683"/>
      <x:c r="J150" s="683"/>
      <x:c r="K150" s="683"/>
      <x:c r="L150" s="683"/>
      <x:c r="M150" s="683"/>
      <x:c r="N150" s="683"/>
      <x:c r="O150" s="683"/>
      <x:c r="P150" s="683"/>
      <x:c r="Z150" s="701"/>
    </x:row>
    <x:row r="151" spans="1:26" x14ac:dyDescent="0.2">
      <x:c r="A151" s="683"/>
      <x:c r="D151" s="683"/>
      <x:c r="E151" s="683"/>
      <x:c r="F151" s="683"/>
      <x:c r="G151" s="683"/>
      <x:c r="H151" s="683"/>
      <x:c r="I151" s="683"/>
      <x:c r="J151" s="683"/>
      <x:c r="K151" s="683"/>
      <x:c r="L151" s="683"/>
      <x:c r="M151" s="683"/>
      <x:c r="N151" s="683"/>
      <x:c r="O151" s="683"/>
      <x:c r="P151" s="683"/>
      <x:c r="Z151" s="701"/>
    </x:row>
    <x:row r="152" spans="1:26" x14ac:dyDescent="0.2">
      <x:c r="A152" s="683"/>
      <x:c r="D152" s="683"/>
      <x:c r="E152" s="683"/>
      <x:c r="F152" s="683"/>
      <x:c r="G152" s="683"/>
      <x:c r="H152" s="683"/>
      <x:c r="I152" s="683"/>
      <x:c r="J152" s="683"/>
      <x:c r="K152" s="683"/>
      <x:c r="L152" s="683"/>
      <x:c r="M152" s="683"/>
      <x:c r="N152" s="683"/>
      <x:c r="O152" s="683"/>
      <x:c r="P152" s="683"/>
      <x:c r="Z152" s="701"/>
    </x:row>
    <x:row r="153" spans="1:26" x14ac:dyDescent="0.2">
      <x:c r="A153" s="683"/>
      <x:c r="D153" s="683"/>
      <x:c r="E153" s="683"/>
      <x:c r="F153" s="683"/>
      <x:c r="G153" s="683"/>
      <x:c r="H153" s="683"/>
      <x:c r="I153" s="683"/>
      <x:c r="J153" s="683"/>
      <x:c r="K153" s="683"/>
      <x:c r="L153" s="683"/>
      <x:c r="M153" s="683"/>
      <x:c r="N153" s="683"/>
      <x:c r="O153" s="683"/>
      <x:c r="P153" s="683"/>
      <x:c r="Z153" s="701"/>
    </x:row>
    <x:row r="154" spans="1:26" x14ac:dyDescent="0.2">
      <x:c r="A154" s="683"/>
      <x:c r="D154" s="683"/>
      <x:c r="E154" s="683"/>
      <x:c r="F154" s="683"/>
      <x:c r="G154" s="683"/>
      <x:c r="H154" s="683"/>
      <x:c r="I154" s="683"/>
      <x:c r="J154" s="683"/>
      <x:c r="K154" s="683"/>
      <x:c r="L154" s="683"/>
      <x:c r="M154" s="683"/>
      <x:c r="N154" s="683"/>
      <x:c r="O154" s="683"/>
      <x:c r="P154" s="683"/>
      <x:c r="Z154" s="701"/>
    </x:row>
    <x:row r="155" spans="1:26" x14ac:dyDescent="0.2">
      <x:c r="A155" s="683"/>
      <x:c r="D155" s="683"/>
      <x:c r="E155" s="683"/>
      <x:c r="F155" s="683"/>
      <x:c r="G155" s="683"/>
      <x:c r="H155" s="683"/>
      <x:c r="I155" s="683"/>
      <x:c r="J155" s="683"/>
      <x:c r="K155" s="683"/>
      <x:c r="L155" s="683"/>
      <x:c r="M155" s="683"/>
      <x:c r="N155" s="683"/>
      <x:c r="O155" s="683"/>
      <x:c r="P155" s="683"/>
      <x:c r="Z155" s="701"/>
    </x:row>
    <x:row r="156" spans="1:26" x14ac:dyDescent="0.2">
      <x:c r="A156" s="683"/>
      <x:c r="D156" s="683"/>
      <x:c r="E156" s="683"/>
      <x:c r="F156" s="683"/>
      <x:c r="G156" s="683"/>
      <x:c r="H156" s="683"/>
      <x:c r="I156" s="683"/>
      <x:c r="J156" s="683"/>
      <x:c r="K156" s="683"/>
      <x:c r="L156" s="683"/>
      <x:c r="M156" s="683"/>
      <x:c r="N156" s="683"/>
      <x:c r="O156" s="683"/>
      <x:c r="P156" s="683"/>
      <x:c r="Z156" s="701"/>
    </x:row>
    <x:row r="157" spans="1:26" x14ac:dyDescent="0.2">
      <x:c r="A157" s="683"/>
      <x:c r="D157" s="683"/>
      <x:c r="E157" s="683"/>
      <x:c r="F157" s="683"/>
      <x:c r="G157" s="683"/>
      <x:c r="H157" s="683"/>
      <x:c r="I157" s="683"/>
      <x:c r="J157" s="683"/>
      <x:c r="K157" s="683"/>
      <x:c r="L157" s="683"/>
      <x:c r="M157" s="683"/>
      <x:c r="N157" s="683"/>
      <x:c r="O157" s="683"/>
      <x:c r="P157" s="683"/>
      <x:c r="Z157" s="701"/>
    </x:row>
    <x:row r="158" spans="1:26" x14ac:dyDescent="0.2">
      <x:c r="A158" s="683"/>
      <x:c r="D158" s="683"/>
      <x:c r="E158" s="683"/>
      <x:c r="F158" s="683"/>
      <x:c r="G158" s="683"/>
      <x:c r="H158" s="683"/>
      <x:c r="I158" s="683"/>
      <x:c r="J158" s="683"/>
      <x:c r="K158" s="683"/>
      <x:c r="L158" s="683"/>
      <x:c r="M158" s="683"/>
      <x:c r="N158" s="683"/>
      <x:c r="O158" s="683"/>
      <x:c r="P158" s="683"/>
      <x:c r="Z158" s="701"/>
    </x:row>
    <x:row r="159" spans="1:26" x14ac:dyDescent="0.2">
      <x:c r="A159" s="683"/>
      <x:c r="D159" s="683"/>
      <x:c r="E159" s="683"/>
      <x:c r="F159" s="683"/>
      <x:c r="G159" s="683"/>
      <x:c r="H159" s="683"/>
      <x:c r="I159" s="683"/>
      <x:c r="J159" s="683"/>
      <x:c r="K159" s="683"/>
      <x:c r="L159" s="683"/>
      <x:c r="M159" s="683"/>
      <x:c r="N159" s="683"/>
      <x:c r="O159" s="683"/>
      <x:c r="P159" s="683"/>
      <x:c r="Z159" s="701"/>
    </x:row>
    <x:row r="160" spans="1:26" x14ac:dyDescent="0.2">
      <x:c r="A160" s="683"/>
      <x:c r="D160" s="683"/>
      <x:c r="E160" s="683"/>
      <x:c r="F160" s="683"/>
      <x:c r="G160" s="683"/>
      <x:c r="H160" s="683"/>
      <x:c r="I160" s="683"/>
      <x:c r="J160" s="683"/>
      <x:c r="K160" s="683"/>
      <x:c r="L160" s="683"/>
      <x:c r="M160" s="683"/>
      <x:c r="N160" s="683"/>
      <x:c r="O160" s="683"/>
      <x:c r="P160" s="683"/>
      <x:c r="Z160" s="701"/>
    </x:row>
    <x:row r="161" spans="1:26" x14ac:dyDescent="0.2">
      <x:c r="A161" s="683"/>
      <x:c r="D161" s="683"/>
      <x:c r="E161" s="683"/>
      <x:c r="F161" s="683"/>
      <x:c r="G161" s="683"/>
      <x:c r="H161" s="683"/>
      <x:c r="I161" s="683"/>
      <x:c r="J161" s="683"/>
      <x:c r="K161" s="683"/>
      <x:c r="L161" s="683"/>
      <x:c r="M161" s="683"/>
      <x:c r="N161" s="683"/>
      <x:c r="O161" s="683"/>
      <x:c r="P161" s="683"/>
      <x:c r="Z161" s="701"/>
    </x:row>
    <x:row r="162" spans="1:26" x14ac:dyDescent="0.2">
      <x:c r="A162" s="683"/>
      <x:c r="D162" s="683"/>
      <x:c r="E162" s="683"/>
      <x:c r="F162" s="683"/>
      <x:c r="G162" s="683"/>
      <x:c r="H162" s="683"/>
      <x:c r="I162" s="683"/>
      <x:c r="J162" s="683"/>
      <x:c r="K162" s="683"/>
      <x:c r="L162" s="683"/>
      <x:c r="M162" s="683"/>
      <x:c r="N162" s="683"/>
      <x:c r="O162" s="683"/>
      <x:c r="P162" s="683"/>
      <x:c r="Z162" s="701"/>
    </x:row>
    <x:row r="163" spans="1:26" x14ac:dyDescent="0.2">
      <x:c r="A163" s="683"/>
      <x:c r="D163" s="683"/>
      <x:c r="E163" s="683"/>
      <x:c r="F163" s="683"/>
      <x:c r="G163" s="683"/>
      <x:c r="H163" s="683"/>
      <x:c r="I163" s="683"/>
      <x:c r="J163" s="683"/>
      <x:c r="K163" s="683"/>
      <x:c r="L163" s="683"/>
      <x:c r="M163" s="683"/>
      <x:c r="N163" s="683"/>
      <x:c r="O163" s="683"/>
      <x:c r="P163" s="683"/>
      <x:c r="Z163" s="701"/>
    </x:row>
    <x:row r="164" spans="1:26" x14ac:dyDescent="0.2">
      <x:c r="A164" s="683"/>
      <x:c r="D164" s="683"/>
      <x:c r="E164" s="683"/>
      <x:c r="F164" s="683"/>
      <x:c r="G164" s="683"/>
      <x:c r="H164" s="683"/>
      <x:c r="I164" s="683"/>
      <x:c r="J164" s="683"/>
      <x:c r="K164" s="683"/>
      <x:c r="L164" s="683"/>
      <x:c r="M164" s="683"/>
      <x:c r="N164" s="683"/>
      <x:c r="O164" s="683"/>
      <x:c r="P164" s="683"/>
      <x:c r="Z164" s="701"/>
    </x:row>
    <x:row r="165" spans="1:26" x14ac:dyDescent="0.2">
      <x:c r="A165" s="683"/>
      <x:c r="D165" s="683"/>
      <x:c r="E165" s="683"/>
      <x:c r="F165" s="683"/>
      <x:c r="G165" s="683"/>
      <x:c r="H165" s="683"/>
      <x:c r="I165" s="683"/>
      <x:c r="J165" s="683"/>
      <x:c r="K165" s="683"/>
      <x:c r="L165" s="683"/>
      <x:c r="M165" s="683"/>
      <x:c r="N165" s="683"/>
      <x:c r="O165" s="683"/>
      <x:c r="P165" s="683"/>
      <x:c r="Z165" s="701"/>
    </x:row>
    <x:row r="166" spans="1:26" x14ac:dyDescent="0.2">
      <x:c r="A166" s="683"/>
      <x:c r="D166" s="683"/>
      <x:c r="E166" s="683"/>
      <x:c r="F166" s="683"/>
      <x:c r="G166" s="683"/>
      <x:c r="H166" s="683"/>
      <x:c r="I166" s="683"/>
      <x:c r="J166" s="683"/>
      <x:c r="K166" s="683"/>
      <x:c r="L166" s="683"/>
      <x:c r="M166" s="683"/>
      <x:c r="N166" s="683"/>
      <x:c r="O166" s="683"/>
      <x:c r="P166" s="683"/>
      <x:c r="Z166" s="701"/>
    </x:row>
    <x:row r="167" spans="1:26" x14ac:dyDescent="0.2">
      <x:c r="A167" s="683"/>
      <x:c r="D167" s="683"/>
      <x:c r="E167" s="683"/>
      <x:c r="F167" s="683"/>
      <x:c r="G167" s="683"/>
      <x:c r="H167" s="683"/>
      <x:c r="I167" s="683"/>
      <x:c r="J167" s="683"/>
      <x:c r="K167" s="683"/>
      <x:c r="L167" s="683"/>
      <x:c r="M167" s="683"/>
      <x:c r="N167" s="683"/>
      <x:c r="O167" s="683"/>
      <x:c r="P167" s="683"/>
      <x:c r="Z167" s="701"/>
    </x:row>
    <x:row r="168" spans="1:26" x14ac:dyDescent="0.2">
      <x:c r="A168" s="774" t="s">
        <x:v>2</x:v>
      </x:c>
      <x:c r="B168" s="773" t="s">
        <x:v>132</x:v>
      </x:c>
      <x:c r="C168" s="696" t="s">
        <x:v>70</x:v>
      </x:c>
      <x:c r="D168" s="696">
        <x:f>D105-P105</x:f>
        <x:v>0</x:v>
      </x:c>
      <x:c r="E168" s="696">
        <x:f>E101+E95</x:f>
        <x:v>0</x:v>
      </x:c>
      <x:c r="F168" s="696">
        <x:f t="shared" ref="F168:R168" si="3">F101+F95</x:f>
        <x:v>0</x:v>
      </x:c>
      <x:c r="G168" s="696">
        <x:f t="shared" si="3"/>
        <x:v>0</x:v>
      </x:c>
      <x:c r="H168" s="696">
        <x:f t="shared" si="3"/>
        <x:v>0</x:v>
      </x:c>
      <x:c r="I168" s="696">
        <x:f t="shared" si="3"/>
        <x:v>0</x:v>
      </x:c>
      <x:c r="J168" s="696">
        <x:f t="shared" si="3"/>
        <x:v>0</x:v>
      </x:c>
      <x:c r="K168" s="696">
        <x:f t="shared" si="3"/>
        <x:v>0</x:v>
      </x:c>
      <x:c r="L168" s="696">
        <x:f t="shared" si="3"/>
        <x:v>0</x:v>
      </x:c>
      <x:c r="M168" s="696">
        <x:f t="shared" si="3"/>
        <x:v>0</x:v>
      </x:c>
      <x:c r="N168" s="696">
        <x:f t="shared" si="3"/>
        <x:v>0</x:v>
      </x:c>
      <x:c r="O168" s="696">
        <x:f t="shared" si="3"/>
        <x:v>0</x:v>
      </x:c>
      <x:c r="P168" s="696">
        <x:f t="shared" si="3"/>
        <x:v>0</x:v>
      </x:c>
      <x:c r="Q168" s="696">
        <x:f t="shared" si="3"/>
        <x:v>0</x:v>
      </x:c>
      <x:c r="R168" s="696">
        <x:f t="shared" si="3"/>
        <x:v>0</x:v>
      </x:c>
      <x:c r="Z168" s="701"/>
    </x:row>
    <x:row r="169" spans="1:26" x14ac:dyDescent="0.2">
      <x:c r="A169" s="774"/>
      <x:c r="B169" s="773"/>
      <x:c r="C169" s="696" t="s">
        <x:v>73</x:v>
      </x:c>
      <x:c r="D169" s="696">
        <x:f>D103+D97</x:f>
        <x:v>0</x:v>
      </x:c>
      <x:c r="E169" s="683"/>
      <x:c r="F169" s="683"/>
      <x:c r="G169" s="683"/>
      <x:c r="H169" s="683"/>
      <x:c r="I169" s="683"/>
      <x:c r="J169" s="683"/>
      <x:c r="K169" s="683"/>
      <x:c r="L169" s="683"/>
      <x:c r="M169" s="683"/>
      <x:c r="N169" s="683"/>
      <x:c r="O169" s="683"/>
      <x:c r="P169" s="683"/>
      <x:c r="Q169" s="683"/>
      <x:c r="Z169" s="701"/>
    </x:row>
    <x:row r="170" spans="1:26" ht="15" x14ac:dyDescent="0.25">
      <x:c r="A170" s="682"/>
      <x:c r="D170" s="683"/>
      <x:c r="E170" s="683"/>
      <x:c r="F170" s="683"/>
      <x:c r="G170" s="683"/>
      <x:c r="H170" s="683"/>
      <x:c r="I170" s="683"/>
      <x:c r="J170" s="683"/>
      <x:c r="K170" s="683"/>
      <x:c r="L170" s="683"/>
      <x:c r="M170" s="683"/>
      <x:c r="N170" s="683"/>
      <x:c r="O170" s="683"/>
      <x:c r="P170" s="683"/>
      <x:c r="Q170" s="683"/>
      <x:c r="Z170" s="701"/>
    </x:row>
    <x:row r="171" spans="1:26" x14ac:dyDescent="0.2">
      <x:c r="A171" s="774" t="s">
        <x:v>160</x:v>
      </x:c>
      <x:c r="B171" s="773" t="s">
        <x:v>132</x:v>
      </x:c>
      <x:c r="C171" s="697" t="s">
        <x:v>70</x:v>
      </x:c>
      <x:c r="D171" s="697">
        <x:v>0</x:v>
      </x:c>
      <x:c r="E171" s="697">
        <x:v>0</x:v>
      </x:c>
      <x:c r="F171" s="697">
        <x:v>0</x:v>
      </x:c>
      <x:c r="G171" s="697">
        <x:v>0</x:v>
      </x:c>
      <x:c r="H171" s="697">
        <x:v>0</x:v>
      </x:c>
      <x:c r="I171" s="697">
        <x:v>0</x:v>
      </x:c>
      <x:c r="J171" s="697">
        <x:v>0</x:v>
      </x:c>
      <x:c r="K171" s="697">
        <x:v>0</x:v>
      </x:c>
      <x:c r="L171" s="697">
        <x:v>0</x:v>
      </x:c>
      <x:c r="M171" s="697">
        <x:v>0</x:v>
      </x:c>
      <x:c r="N171" s="697">
        <x:v>0</x:v>
      </x:c>
      <x:c r="O171" s="697">
        <x:v>0</x:v>
      </x:c>
      <x:c r="P171" s="697">
        <x:v>0</x:v>
      </x:c>
      <x:c r="Q171" s="697">
        <x:v>0</x:v>
      </x:c>
      <x:c r="R171" s="697">
        <x:v>0</x:v>
      </x:c>
      <x:c r="Z171" s="701"/>
    </x:row>
    <x:row r="172" spans="1:26" x14ac:dyDescent="0.2">
      <x:c r="A172" s="774"/>
      <x:c r="B172" s="773"/>
      <x:c r="C172" s="697" t="s">
        <x:v>73</x:v>
      </x:c>
      <x:c r="D172" s="697">
        <x:v>0</x:v>
      </x:c>
      <x:c r="E172" s="683"/>
      <x:c r="F172" s="683"/>
      <x:c r="G172" s="683"/>
      <x:c r="H172" s="683"/>
      <x:c r="I172" s="683"/>
      <x:c r="J172" s="683"/>
      <x:c r="K172" s="683"/>
      <x:c r="L172" s="683"/>
      <x:c r="M172" s="683"/>
      <x:c r="N172" s="683"/>
      <x:c r="O172" s="683"/>
      <x:c r="P172" s="683"/>
      <x:c r="Q172" s="683"/>
      <x:c r="Z172" s="701"/>
    </x:row>
    <x:row r="173" spans="1:26" ht="15" x14ac:dyDescent="0.25">
      <x:c r="A173" s="682"/>
      <x:c r="D173" s="683"/>
      <x:c r="E173" s="683"/>
      <x:c r="F173" s="683"/>
      <x:c r="G173" s="683"/>
      <x:c r="H173" s="683"/>
      <x:c r="I173" s="683"/>
      <x:c r="J173" s="683"/>
      <x:c r="K173" s="683"/>
      <x:c r="L173" s="683"/>
      <x:c r="M173" s="683"/>
      <x:c r="N173" s="683"/>
      <x:c r="O173" s="683"/>
      <x:c r="P173" s="683"/>
      <x:c r="Q173" s="683"/>
      <x:c r="Z173" s="701"/>
    </x:row>
    <x:row r="174" spans="1:26" x14ac:dyDescent="0.2">
      <x:c r="A174" s="774" t="s">
        <x:v>155</x:v>
      </x:c>
      <x:c r="B174" s="773" t="s">
        <x:v>132</x:v>
      </x:c>
      <x:c r="C174" s="698" t="s">
        <x:v>70</x:v>
      </x:c>
      <x:c r="D174" s="698">
        <x:f>D98-P98</x:f>
        <x:v>0</x:v>
      </x:c>
      <x:c r="E174" s="698">
        <x:f t="shared" ref="E174:R174" si="4">E95</x:f>
        <x:v>0</x:v>
      </x:c>
      <x:c r="F174" s="698">
        <x:f t="shared" si="4"/>
        <x:v>0</x:v>
      </x:c>
      <x:c r="G174" s="698">
        <x:f t="shared" si="4"/>
        <x:v>0</x:v>
      </x:c>
      <x:c r="H174" s="698">
        <x:f t="shared" si="4"/>
        <x:v>0</x:v>
      </x:c>
      <x:c r="I174" s="698">
        <x:f t="shared" si="4"/>
        <x:v>0</x:v>
      </x:c>
      <x:c r="J174" s="698">
        <x:f t="shared" si="4"/>
        <x:v>0</x:v>
      </x:c>
      <x:c r="K174" s="698">
        <x:f t="shared" si="4"/>
        <x:v>0</x:v>
      </x:c>
      <x:c r="L174" s="698">
        <x:f t="shared" si="4"/>
        <x:v>0</x:v>
      </x:c>
      <x:c r="M174" s="698">
        <x:f t="shared" si="4"/>
        <x:v>0</x:v>
      </x:c>
      <x:c r="N174" s="698">
        <x:f t="shared" si="4"/>
        <x:v>0</x:v>
      </x:c>
      <x:c r="O174" s="698">
        <x:f t="shared" si="4"/>
        <x:v>0</x:v>
      </x:c>
      <x:c r="P174" s="698">
        <x:f t="shared" si="4"/>
        <x:v>0</x:v>
      </x:c>
      <x:c r="Q174" s="698">
        <x:f t="shared" si="4"/>
        <x:v>0</x:v>
      </x:c>
      <x:c r="R174" s="698">
        <x:f t="shared" si="4"/>
        <x:v>0</x:v>
      </x:c>
      <x:c r="Z174" s="701"/>
    </x:row>
    <x:row r="175" spans="1:26" x14ac:dyDescent="0.2">
      <x:c r="A175" s="774"/>
      <x:c r="B175" s="773"/>
      <x:c r="C175" s="698" t="s">
        <x:v>73</x:v>
      </x:c>
      <x:c r="D175" s="698">
        <x:f>D97</x:f>
        <x:v>0</x:v>
      </x:c>
      <x:c r="E175" s="683"/>
      <x:c r="F175" s="683"/>
      <x:c r="G175" s="683"/>
      <x:c r="H175" s="683"/>
      <x:c r="I175" s="683"/>
      <x:c r="J175" s="683"/>
      <x:c r="K175" s="683"/>
      <x:c r="L175" s="683"/>
      <x:c r="M175" s="683"/>
      <x:c r="N175" s="683"/>
      <x:c r="O175" s="683"/>
      <x:c r="P175" s="683"/>
      <x:c r="Q175" s="683"/>
      <x:c r="Z175" s="701"/>
    </x:row>
    <x:row r="176" spans="1:26" ht="15" x14ac:dyDescent="0.2">
      <x:c r="A176" s="694"/>
      <x:c r="B176" s="695"/>
      <x:c r="C176" s="683"/>
      <x:c r="D176" s="683"/>
      <x:c r="E176" s="683"/>
      <x:c r="F176" s="683"/>
      <x:c r="G176" s="683"/>
      <x:c r="H176" s="683"/>
      <x:c r="I176" s="683"/>
      <x:c r="J176" s="683"/>
      <x:c r="K176" s="683"/>
      <x:c r="L176" s="683"/>
      <x:c r="M176" s="683"/>
      <x:c r="N176" s="683"/>
      <x:c r="O176" s="683"/>
      <x:c r="P176" s="683"/>
      <x:c r="Q176" s="683"/>
      <x:c r="Z176" s="701"/>
    </x:row>
    <x:row r="177" spans="1:26" x14ac:dyDescent="0.2">
      <x:c r="A177" s="775" t="s">
        <x:v>326</x:v>
      </x:c>
      <x:c r="B177" s="773" t="s">
        <x:v>132</x:v>
      </x:c>
      <x:c r="C177" s="698" t="s">
        <x:v>70</x:v>
      </x:c>
      <x:c r="D177" s="699">
        <x:v>0</x:v>
      </x:c>
      <x:c r="E177" s="699">
        <x:v>0</x:v>
      </x:c>
      <x:c r="F177" s="699">
        <x:v>0</x:v>
      </x:c>
      <x:c r="G177" s="699">
        <x:v>0</x:v>
      </x:c>
      <x:c r="H177" s="699">
        <x:v>0</x:v>
      </x:c>
      <x:c r="I177" s="699">
        <x:v>0</x:v>
      </x:c>
      <x:c r="J177" s="699">
        <x:v>0</x:v>
      </x:c>
      <x:c r="K177" s="699">
        <x:v>0</x:v>
      </x:c>
      <x:c r="L177" s="699">
        <x:v>0</x:v>
      </x:c>
      <x:c r="M177" s="699">
        <x:v>0</x:v>
      </x:c>
      <x:c r="N177" s="699">
        <x:v>0</x:v>
      </x:c>
      <x:c r="O177" s="699">
        <x:v>0</x:v>
      </x:c>
      <x:c r="P177" s="699">
        <x:v>0</x:v>
      </x:c>
      <x:c r="Q177" s="699">
        <x:v>0</x:v>
      </x:c>
      <x:c r="R177" s="699">
        <x:v>0</x:v>
      </x:c>
      <x:c r="Z177" s="701"/>
    </x:row>
    <x:row r="178" spans="1:26" x14ac:dyDescent="0.2">
      <x:c r="A178" s="775"/>
      <x:c r="B178" s="773"/>
      <x:c r="C178" s="698" t="s">
        <x:v>73</x:v>
      </x:c>
      <x:c r="D178" s="699">
        <x:v>0</x:v>
      </x:c>
      <x:c r="E178" s="683"/>
      <x:c r="F178" s="683"/>
      <x:c r="G178" s="683"/>
      <x:c r="H178" s="683"/>
      <x:c r="I178" s="683"/>
      <x:c r="J178" s="683"/>
      <x:c r="K178" s="683"/>
      <x:c r="L178" s="683"/>
      <x:c r="M178" s="683"/>
      <x:c r="N178" s="683"/>
      <x:c r="O178" s="683"/>
      <x:c r="P178" s="683"/>
      <x:c r="Q178" s="683"/>
      <x:c r="Z178" s="701"/>
    </x:row>
    <x:row r="179" spans="1:26" ht="15" x14ac:dyDescent="0.25">
      <x:c r="A179" s="682"/>
      <x:c r="D179" s="683"/>
      <x:c r="E179" s="683"/>
      <x:c r="F179" s="683"/>
      <x:c r="G179" s="683"/>
      <x:c r="H179" s="683"/>
      <x:c r="I179" s="683"/>
      <x:c r="J179" s="683"/>
      <x:c r="K179" s="683"/>
      <x:c r="L179" s="683"/>
      <x:c r="M179" s="683"/>
      <x:c r="N179" s="683"/>
      <x:c r="O179" s="683"/>
      <x:c r="P179" s="683"/>
      <x:c r="Q179" s="683"/>
      <x:c r="Z179" s="701"/>
    </x:row>
    <x:row r="180" spans="1:26" x14ac:dyDescent="0.2">
      <x:c r="A180" s="774" t="s">
        <x:v>119</x:v>
      </x:c>
      <x:c r="B180" s="773" t="s">
        <x:v>132</x:v>
      </x:c>
      <x:c r="C180" s="691" t="s">
        <x:v>70</x:v>
      </x:c>
      <x:c r="D180" s="691">
        <x:f>D104-P104</x:f>
        <x:v>0</x:v>
      </x:c>
      <x:c r="E180" s="691">
        <x:f>E101</x:f>
        <x:v>0</x:v>
      </x:c>
      <x:c r="F180" s="691">
        <x:f t="shared" ref="F180:R180" si="5">F101</x:f>
        <x:v>0</x:v>
      </x:c>
      <x:c r="G180" s="691">
        <x:f t="shared" si="5"/>
        <x:v>0</x:v>
      </x:c>
      <x:c r="H180" s="691">
        <x:f t="shared" si="5"/>
        <x:v>0</x:v>
      </x:c>
      <x:c r="I180" s="691">
        <x:f t="shared" si="5"/>
        <x:v>0</x:v>
      </x:c>
      <x:c r="J180" s="691">
        <x:f t="shared" si="5"/>
        <x:v>0</x:v>
      </x:c>
      <x:c r="K180" s="691">
        <x:f t="shared" si="5"/>
        <x:v>0</x:v>
      </x:c>
      <x:c r="L180" s="691">
        <x:f t="shared" si="5"/>
        <x:v>0</x:v>
      </x:c>
      <x:c r="M180" s="691">
        <x:f t="shared" si="5"/>
        <x:v>0</x:v>
      </x:c>
      <x:c r="N180" s="691">
        <x:f t="shared" si="5"/>
        <x:v>0</x:v>
      </x:c>
      <x:c r="O180" s="691">
        <x:f t="shared" si="5"/>
        <x:v>0</x:v>
      </x:c>
      <x:c r="P180" s="691">
        <x:f t="shared" si="5"/>
        <x:v>0</x:v>
      </x:c>
      <x:c r="Q180" s="691">
        <x:f t="shared" si="5"/>
        <x:v>0</x:v>
      </x:c>
      <x:c r="R180" s="691">
        <x:f t="shared" si="5"/>
        <x:v>0</x:v>
      </x:c>
      <x:c r="Z180" s="701"/>
    </x:row>
    <x:row r="181" spans="1:26" x14ac:dyDescent="0.2">
      <x:c r="A181" s="774"/>
      <x:c r="B181" s="773"/>
      <x:c r="C181" s="691" t="s">
        <x:v>73</x:v>
      </x:c>
      <x:c r="D181" s="691">
        <x:f>D103</x:f>
        <x:v>0</x:v>
      </x:c>
      <x:c r="E181" s="683"/>
      <x:c r="F181" s="683"/>
      <x:c r="G181" s="683"/>
      <x:c r="H181" s="683"/>
      <x:c r="I181" s="683"/>
      <x:c r="J181" s="683"/>
      <x:c r="K181" s="683"/>
      <x:c r="L181" s="683"/>
      <x:c r="M181" s="683"/>
      <x:c r="N181" s="683"/>
      <x:c r="O181" s="683"/>
      <x:c r="P181" s="683"/>
      <x:c r="Q181" s="683"/>
      <x:c r="R181" s="683"/>
      <x:c r="Z181" s="701"/>
    </x:row>
    <x:row r="182" spans="1:26" ht="15" x14ac:dyDescent="0.25">
      <x:c r="A182" s="682"/>
      <x:c r="D182" s="683"/>
      <x:c r="E182" s="683"/>
      <x:c r="F182" s="683"/>
      <x:c r="G182" s="683"/>
      <x:c r="H182" s="683"/>
      <x:c r="I182" s="683"/>
      <x:c r="J182" s="683"/>
      <x:c r="K182" s="683"/>
      <x:c r="L182" s="683"/>
      <x:c r="M182" s="683"/>
      <x:c r="N182" s="683"/>
      <x:c r="O182" s="683"/>
      <x:c r="P182" s="683"/>
      <x:c r="Q182" s="683"/>
      <x:c r="R182" s="683"/>
      <x:c r="Z182" s="701"/>
    </x:row>
    <x:row r="183" spans="1:26" x14ac:dyDescent="0.2">
      <x:c r="A183" s="772" t="s">
        <x:v>161</x:v>
      </x:c>
      <x:c r="B183" s="773" t="s">
        <x:v>132</x:v>
      </x:c>
      <x:c r="C183" s="700" t="s">
        <x:v>70</x:v>
      </x:c>
      <x:c r="D183" s="700">
        <x:v>0</x:v>
      </x:c>
      <x:c r="E183" s="700">
        <x:v>0</x:v>
      </x:c>
      <x:c r="F183" s="700">
        <x:v>0</x:v>
      </x:c>
      <x:c r="G183" s="700">
        <x:v>0</x:v>
      </x:c>
      <x:c r="H183" s="700">
        <x:v>0</x:v>
      </x:c>
      <x:c r="I183" s="700">
        <x:v>0</x:v>
      </x:c>
      <x:c r="J183" s="700">
        <x:v>0</x:v>
      </x:c>
      <x:c r="K183" s="700">
        <x:v>0</x:v>
      </x:c>
      <x:c r="L183" s="700">
        <x:v>0</x:v>
      </x:c>
      <x:c r="M183" s="700">
        <x:v>0</x:v>
      </x:c>
      <x:c r="N183" s="700">
        <x:v>0</x:v>
      </x:c>
      <x:c r="O183" s="700">
        <x:v>0</x:v>
      </x:c>
      <x:c r="P183" s="700">
        <x:v>0</x:v>
      </x:c>
      <x:c r="Q183" s="700">
        <x:v>0</x:v>
      </x:c>
      <x:c r="R183" s="700">
        <x:v>0</x:v>
      </x:c>
      <x:c r="Z183" s="701"/>
    </x:row>
    <x:row r="184" spans="1:26" x14ac:dyDescent="0.2">
      <x:c r="A184" s="772"/>
      <x:c r="B184" s="773"/>
      <x:c r="C184" s="700" t="s">
        <x:v>73</x:v>
      </x:c>
      <x:c r="D184" s="700">
        <x:v>0</x:v>
      </x:c>
      <x:c r="E184" s="683"/>
      <x:c r="F184" s="683"/>
      <x:c r="G184" s="683"/>
      <x:c r="H184" s="683"/>
      <x:c r="I184" s="683"/>
      <x:c r="J184" s="683"/>
      <x:c r="K184" s="683"/>
      <x:c r="L184" s="683"/>
      <x:c r="M184" s="683"/>
      <x:c r="N184" s="683"/>
      <x:c r="O184" s="683"/>
      <x:c r="P184" s="683"/>
      <x:c r="Q184" s="683"/>
      <x:c r="Z184" s="701"/>
    </x:row>
    <x:row r="185" spans="1:26" x14ac:dyDescent="0.2">
      <x:c r="A185" s="701"/>
      <x:c r="B185" s="701"/>
      <x:c r="C185" s="701"/>
      <x:c r="D185" s="701"/>
      <x:c r="E185" s="701"/>
      <x:c r="F185" s="701"/>
      <x:c r="G185" s="701"/>
      <x:c r="H185" s="701"/>
      <x:c r="I185" s="701"/>
      <x:c r="J185" s="701"/>
      <x:c r="K185" s="701"/>
      <x:c r="L185" s="701"/>
      <x:c r="M185" s="701"/>
      <x:c r="N185" s="701"/>
      <x:c r="O185" s="701"/>
      <x:c r="P185" s="701"/>
      <x:c r="Q185" s="701"/>
      <x:c r="R185" s="701"/>
      <x:c r="S185" s="701"/>
      <x:c r="T185" s="701"/>
      <x:c r="U185" s="701"/>
      <x:c r="V185" s="701"/>
      <x:c r="W185" s="701"/>
      <x:c r="X185" s="701"/>
      <x:c r="Y185" s="701"/>
      <x:c r="Z185" s="701"/>
    </x:row>
    <x:row r="186" spans="1:26" ht="15" x14ac:dyDescent="0.25">
      <x:c r="B186" s="707" t="s">
        <x:v>76</x:v>
      </x:c>
      <x:c r="Z186" s="701"/>
    </x:row>
    <x:row r="187" spans="1:26" s="682" customFormat="1" ht="15" x14ac:dyDescent="0.25">
      <x:c r="D187" s="704" t="s">
        <x:v>70</x:v>
      </x:c>
      <x:c r="E187" s="704" t="s">
        <x:v>64</x:v>
      </x:c>
      <x:c r="F187" s="704" t="s">
        <x:v>65</x:v>
      </x:c>
      <x:c r="G187" s="705" t="s">
        <x:v>164</x:v>
      </x:c>
      <x:c r="H187" s="704" t="s">
        <x:v>69</x:v>
      </x:c>
      <x:c r="I187" s="704" t="s">
        <x:v>68</x:v>
      </x:c>
      <x:c r="J187" s="704" t="s">
        <x:v>66</x:v>
      </x:c>
      <x:c r="K187" s="704" t="s">
        <x:v>63</x:v>
      </x:c>
      <x:c r="L187" s="704" t="s">
        <x:v>61</x:v>
      </x:c>
      <x:c r="M187" s="704" t="s">
        <x:v>62</x:v>
      </x:c>
      <x:c r="N187" s="704" t="s">
        <x:v>67</x:v>
      </x:c>
      <x:c r="O187" s="704" t="s">
        <x:v>77</x:v>
      </x:c>
      <x:c r="P187" s="682" t="s">
        <x:v>71</x:v>
      </x:c>
      <x:c r="Q187" s="704" t="s">
        <x:v>80</x:v>
      </x:c>
      <x:c r="R187" s="682" t="s">
        <x:v>167</x:v>
      </x:c>
      <x:c r="Z187" s="706"/>
    </x:row>
    <x:row r="188" spans="1:26" x14ac:dyDescent="0.2">
      <x:c r="B188" s="683"/>
      <x:c r="C188" s="683" t="s">
        <x:v>72</x:v>
      </x:c>
      <x:c r="D188" s="683" t="n">
        <x:v>-27227798.78</x:v>
      </x:c>
      <x:c r="E188" s="683" t="n">
        <x:v>-2315528.48</x:v>
      </x:c>
      <x:c r="F188" s="683" t="n">
        <x:v>-1284217.58</x:v>
      </x:c>
      <x:c r="G188" s="683" t="n">
        <x:v>-681382.92</x:v>
      </x:c>
      <x:c r="H188" s="683" t="n">
        <x:v>-5451652.19</x:v>
      </x:c>
      <x:c r="I188" s="683" t="n">
        <x:v>-202328.82</x:v>
      </x:c>
      <x:c r="J188" s="683" t="n">
        <x:v>-1782592.35</x:v>
      </x:c>
      <x:c r="K188" s="683" t="n">
        <x:v>-1715323.71</x:v>
      </x:c>
      <x:c r="L188" s="683" t="n">
        <x:v>-8067276.28</x:v>
      </x:c>
      <x:c r="M188" s="683" t="n">
        <x:v>-5394689.73</x:v>
      </x:c>
      <x:c r="N188" s="683" t="n">
        <x:v>-332680.61</x:v>
      </x:c>
      <x:c r="O188" s="683" t="n">
        <x:v>-126.11</x:v>
      </x:c>
      <x:c r="P188" s="681">
        <x:v>0</x:v>
      </x:c>
      <x:c r="Q188" s="683">
        <x:v>0</x:v>
      </x:c>
      <x:c r="R188" s="683">
        <x:v>0</x:v>
      </x:c>
      <x:c r="Z188" s="701"/>
    </x:row>
    <x:row r="189" spans="1:26" x14ac:dyDescent="0.2">
      <x:c r="B189" s="683"/>
      <x:c r="C189" s="683" t="s">
        <x:v>81</x:v>
      </x:c>
      <x:c r="D189" s="683" t="n">
        <x:v>-345928.04</x:v>
      </x:c>
      <x:c r="E189" s="683" t="n">
        <x:v>-25008.84</x:v>
      </x:c>
      <x:c r="F189" s="683" t="n">
        <x:v>-12602.88</x:v>
      </x:c>
      <x:c r="G189" s="683" t="n">
        <x:v>-7036.43</x:v>
      </x:c>
      <x:c r="H189" s="683" t="n">
        <x:v>-80348.21</x:v>
      </x:c>
      <x:c r="I189" s="683" t="n">
        <x:v>-2983.37</x:v>
      </x:c>
      <x:c r="J189" s="683" t="n">
        <x:v>-25907.02</x:v>
      </x:c>
      <x:c r="K189" s="683" t="n">
        <x:v>-22627.65</x:v>
      </x:c>
      <x:c r="L189" s="683" t="n">
        <x:v>-105993.62</x:v>
      </x:c>
      <x:c r="M189" s="683" t="n">
        <x:v>-58451.89</x:v>
      </x:c>
      <x:c r="N189" s="683" t="n">
        <x:v>-4966.27</x:v>
      </x:c>
      <x:c r="O189" s="683" t="n">
        <x:v>-1.86</x:v>
      </x:c>
      <x:c r="P189" s="681">
        <x:v>0</x:v>
      </x:c>
      <x:c r="Q189" s="683">
        <x:v>0</x:v>
      </x:c>
      <x:c r="R189" s="683">
        <x:v>0</x:v>
      </x:c>
      <x:c r="Z189" s="701"/>
    </x:row>
    <x:row r="190" spans="1:26" x14ac:dyDescent="0.2">
      <x:c r="A190" s="684"/>
      <x:c r="B190" s="685" t="s">
        <x:v>78</x:v>
      </x:c>
      <x:c r="C190" s="685" t="s">
        <x:v>70</x:v>
      </x:c>
      <x:c r="D190" s="685" t="n">
        <x:v>-27573726.82</x:v>
      </x:c>
      <x:c r="E190" s="685" t="n">
        <x:v>-2340537.32</x:v>
      </x:c>
      <x:c r="F190" s="685" t="n">
        <x:v>-1296820.46</x:v>
      </x:c>
      <x:c r="G190" s="685" t="n">
        <x:v>-688419.35</x:v>
      </x:c>
      <x:c r="H190" s="685" t="n">
        <x:v>-5532000.4</x:v>
      </x:c>
      <x:c r="I190" s="685" t="n">
        <x:v>-205312.19</x:v>
      </x:c>
      <x:c r="J190" s="685" t="n">
        <x:v>-1808499.37</x:v>
      </x:c>
      <x:c r="K190" s="685" t="n">
        <x:v>-1737951.36</x:v>
      </x:c>
      <x:c r="L190" s="685" t="n">
        <x:v>-8173269.9</x:v>
      </x:c>
      <x:c r="M190" s="685" t="n">
        <x:v>-5453141.62</x:v>
      </x:c>
      <x:c r="N190" s="685" t="n">
        <x:v>-337646.88</x:v>
      </x:c>
      <x:c r="O190" s="685" t="n">
        <x:v>-127.97</x:v>
      </x:c>
      <x:c r="P190" s="684">
        <x:v>0</x:v>
      </x:c>
      <x:c r="Q190" s="685">
        <x:v>0</x:v>
      </x:c>
      <x:c r="R190" s="685">
        <x:v>0</x:v>
      </x:c>
      <x:c r="S190" s="684"/>
      <x:c r="T190" s="684"/>
      <x:c r="U190" s="684"/>
      <x:c r="V190" s="684"/>
      <x:c r="W190" s="684"/>
      <x:c r="X190" s="684"/>
      <x:c r="Y190" s="684"/>
      <x:c r="Z190" s="701"/>
    </x:row>
    <x:row r="191" spans="1:26" x14ac:dyDescent="0.2">
      <x:c r="B191" s="683"/>
      <x:c r="C191" s="683" t="s">
        <x:v>73</x:v>
      </x:c>
      <x:c r="D191" s="683" t="n">
        <x:v>-4430593.18</x:v>
      </x:c>
      <x:c r="E191" s="683" t="n">
        <x:v>-1063182.64</x:v>
      </x:c>
      <x:c r="F191" s="683" t="n">
        <x:v>-614089.04</x:v>
      </x:c>
      <x:c r="G191" s="683" t="n">
        <x:v>-323946.96</x:v>
      </x:c>
      <x:c r="H191" s="683" t="n">
        <x:v>-38852</x:v>
      </x:c>
      <x:c r="I191" s="683" t="n">
        <x:v>-204.27</x:v>
      </x:c>
      <x:c r="J191" s="683" t="n">
        <x:v>8451.79</x:v>
      </x:c>
      <x:c r="K191" s="683" t="n">
        <x:v>15720.47</x:v>
      </x:c>
      <x:c r="L191" s="683" t="n">
        <x:v>51334.92</x:v>
      </x:c>
      <x:c r="M191" s="683" t="n">
        <x:v>-2466098.35</x:v>
      </x:c>
      <x:c r="N191" s="683" t="n">
        <x:v>272.9</x:v>
      </x:c>
      <x:c r="O191" s="683" t="n">
        <x:v>0</x:v>
      </x:c>
      <x:c r="P191" s="681">
        <x:v>0</x:v>
      </x:c>
      <x:c r="Q191" s="683">
        <x:v>0</x:v>
      </x:c>
      <x:c r="R191" s="683">
        <x:v>0</x:v>
      </x:c>
      <x:c r="Z191" s="701"/>
    </x:row>
    <x:row r="192" spans="1:26" x14ac:dyDescent="0.2">
      <x:c r="A192" s="686"/>
      <x:c r="B192" s="687" t="s">
        <x:v>79</x:v>
      </x:c>
      <x:c r="C192" s="687" t="s">
        <x:v>70</x:v>
      </x:c>
      <x:c r="D192" s="687" t="n">
        <x:v>-4430593.18</x:v>
      </x:c>
      <x:c r="E192" s="687" t="n">
        <x:v>-1063182.64</x:v>
      </x:c>
      <x:c r="F192" s="687" t="n">
        <x:v>-614089.04</x:v>
      </x:c>
      <x:c r="G192" s="687" t="n">
        <x:v>-323946.96</x:v>
      </x:c>
      <x:c r="H192" s="687" t="n">
        <x:v>-38852</x:v>
      </x:c>
      <x:c r="I192" s="687" t="n">
        <x:v>-204.27</x:v>
      </x:c>
      <x:c r="J192" s="687" t="n">
        <x:v>8451.79</x:v>
      </x:c>
      <x:c r="K192" s="687" t="n">
        <x:v>15720.47</x:v>
      </x:c>
      <x:c r="L192" s="687" t="n">
        <x:v>51334.92</x:v>
      </x:c>
      <x:c r="M192" s="687" t="n">
        <x:v>-2466098.35</x:v>
      </x:c>
      <x:c r="N192" s="687" t="n">
        <x:v>272.9</x:v>
      </x:c>
      <x:c r="O192" s="687" t="n">
        <x:v>0</x:v>
      </x:c>
      <x:c r="P192" s="686">
        <x:v>0</x:v>
      </x:c>
      <x:c r="Q192" s="687">
        <x:v>0</x:v>
      </x:c>
      <x:c r="R192" s="687">
        <x:v>0</x:v>
      </x:c>
      <x:c r="S192" s="686"/>
      <x:c r="T192" s="686"/>
      <x:c r="U192" s="686"/>
      <x:c r="V192" s="686"/>
      <x:c r="W192" s="686"/>
      <x:c r="X192" s="686"/>
      <x:c r="Y192" s="686"/>
      <x:c r="Z192" s="701"/>
    </x:row>
    <x:row r="193" spans="1:26" x14ac:dyDescent="0.2">
      <x:c r="A193" s="688" t="s">
        <x:v>155</x:v>
      </x:c>
      <x:c r="B193" s="688" t="s">
        <x:v>70</x:v>
      </x:c>
      <x:c r="C193" s="688"/>
      <x:c r="D193" s="689" t="n">
        <x:v>-32004320</x:v>
      </x:c>
      <x:c r="E193" s="689" t="n">
        <x:v>-3403719.96</x:v>
      </x:c>
      <x:c r="F193" s="689" t="n">
        <x:v>-1910909.5</x:v>
      </x:c>
      <x:c r="G193" s="689" t="n">
        <x:v>-1012366.31</x:v>
      </x:c>
      <x:c r="H193" s="689" t="n">
        <x:v>-5570852.4</x:v>
      </x:c>
      <x:c r="I193" s="689" t="n">
        <x:v>-205516.46</x:v>
      </x:c>
      <x:c r="J193" s="689" t="n">
        <x:v>-1800047.58</x:v>
      </x:c>
      <x:c r="K193" s="689" t="n">
        <x:v>-1722230.89</x:v>
      </x:c>
      <x:c r="L193" s="689" t="n">
        <x:v>-8121934.98</x:v>
      </x:c>
      <x:c r="M193" s="689" t="n">
        <x:v>-7919239.97</x:v>
      </x:c>
      <x:c r="N193" s="689" t="n">
        <x:v>-337373.98</x:v>
      </x:c>
      <x:c r="O193" s="689" t="n">
        <x:v>-127.97</x:v>
      </x:c>
      <x:c r="P193" s="689">
        <x:v>0</x:v>
      </x:c>
      <x:c r="Q193" s="689">
        <x:v>0</x:v>
      </x:c>
      <x:c r="R193" s="688">
        <x:v>0</x:v>
      </x:c>
      <x:c r="S193" s="688"/>
      <x:c r="T193" s="688"/>
      <x:c r="U193" s="688"/>
      <x:c r="V193" s="688"/>
      <x:c r="W193" s="688"/>
      <x:c r="X193" s="688"/>
      <x:c r="Y193" s="688"/>
      <x:c r="Z193" s="701"/>
    </x:row>
    <x:row r="194" spans="1:26" x14ac:dyDescent="0.2">
      <x:c r="B194" s="683"/>
      <x:c r="C194" s="683" t="s">
        <x:v>72</x:v>
      </x:c>
      <x:c r="D194" s="683" t="n">
        <x:v>-397050.36</x:v>
      </x:c>
      <x:c r="E194" s="683" t="n">
        <x:v>-18659.83</x:v>
      </x:c>
      <x:c r="F194" s="683" t="n">
        <x:v>-10362.45</x:v>
      </x:c>
      <x:c r="G194" s="683" t="n">
        <x:v>-4678.66</x:v>
      </x:c>
      <x:c r="H194" s="683" t="n">
        <x:v>-109695.93</x:v>
      </x:c>
      <x:c r="I194" s="683" t="n">
        <x:v>-3357.59</x:v>
      </x:c>
      <x:c r="J194" s="683" t="n">
        <x:v>-29452.65</x:v>
      </x:c>
      <x:c r="K194" s="683" t="n">
        <x:v>-33114.32</x:v>
      </x:c>
      <x:c r="L194" s="683" t="n">
        <x:v>-139136.36</x:v>
      </x:c>
      <x:c r="M194" s="683" t="n">
        <x:v>-43529.99</x:v>
      </x:c>
      <x:c r="N194" s="683" t="n">
        <x:v>-5062.02</x:v>
      </x:c>
      <x:c r="O194" s="683" t="n">
        <x:v>-0.56</x:v>
      </x:c>
      <x:c r="P194" s="681">
        <x:v>0</x:v>
      </x:c>
      <x:c r="Q194" s="683">
        <x:v>0</x:v>
      </x:c>
      <x:c r="R194" s="683">
        <x:v>0</x:v>
      </x:c>
      <x:c r="Z194" s="701"/>
    </x:row>
    <x:row r="195" spans="1:26" x14ac:dyDescent="0.2">
      <x:c r="B195" s="683"/>
      <x:c r="C195" s="683" t="s">
        <x:v>81</x:v>
      </x:c>
      <x:c r="D195" s="683" t="n">
        <x:v>-785.24</x:v>
      </x:c>
      <x:c r="E195" s="683" t="n">
        <x:v>-33.72</x:v>
      </x:c>
      <x:c r="F195" s="683" t="n">
        <x:v>-17.4</x:v>
      </x:c>
      <x:c r="G195" s="683" t="n">
        <x:v>-10.35</x:v>
      </x:c>
      <x:c r="H195" s="683" t="n">
        <x:v>-222.64</x:v>
      </x:c>
      <x:c r="I195" s="683" t="n">
        <x:v>-7.01</x:v>
      </x:c>
      <x:c r="J195" s="683" t="n">
        <x:v>-61.61</x:v>
      </x:c>
      <x:c r="K195" s="683" t="n">
        <x:v>-60.33</x:v>
      </x:c>
      <x:c r="L195" s="683" t="n">
        <x:v>-281.65</x:v>
      </x:c>
      <x:c r="M195" s="683" t="n">
        <x:v>-79.05</x:v>
      </x:c>
      <x:c r="N195" s="683" t="n">
        <x:v>-11.44</x:v>
      </x:c>
      <x:c r="O195" s="683" t="n">
        <x:v>-0.04</x:v>
      </x:c>
      <x:c r="P195" s="681">
        <x:v>0</x:v>
      </x:c>
      <x:c r="Q195" s="683">
        <x:v>0</x:v>
      </x:c>
      <x:c r="R195" s="683">
        <x:v>0</x:v>
      </x:c>
      <x:c r="Z195" s="701"/>
    </x:row>
    <x:row r="196" spans="1:26" x14ac:dyDescent="0.2">
      <x:c r="A196" s="684"/>
      <x:c r="B196" s="685" t="s">
        <x:v>78</x:v>
      </x:c>
      <x:c r="C196" s="685" t="s">
        <x:v>70</x:v>
      </x:c>
      <x:c r="D196" s="685" t="n">
        <x:v>-397835.6</x:v>
      </x:c>
      <x:c r="E196" s="685" t="n">
        <x:v>-18693.55</x:v>
      </x:c>
      <x:c r="F196" s="685" t="n">
        <x:v>-10379.85</x:v>
      </x:c>
      <x:c r="G196" s="685" t="n">
        <x:v>-4689.01</x:v>
      </x:c>
      <x:c r="H196" s="685" t="n">
        <x:v>-109918.57</x:v>
      </x:c>
      <x:c r="I196" s="685" t="n">
        <x:v>-3364.6</x:v>
      </x:c>
      <x:c r="J196" s="685" t="n">
        <x:v>-29514.26</x:v>
      </x:c>
      <x:c r="K196" s="685" t="n">
        <x:v>-33174.65</x:v>
      </x:c>
      <x:c r="L196" s="685" t="n">
        <x:v>-139418.01</x:v>
      </x:c>
      <x:c r="M196" s="685" t="n">
        <x:v>-43609.04</x:v>
      </x:c>
      <x:c r="N196" s="685" t="n">
        <x:v>-5073.46</x:v>
      </x:c>
      <x:c r="O196" s="685" t="n">
        <x:v>-0.6</x:v>
      </x:c>
      <x:c r="P196" s="684">
        <x:v>0</x:v>
      </x:c>
      <x:c r="Q196" s="685">
        <x:v>0</x:v>
      </x:c>
      <x:c r="R196" s="685">
        <x:v>0</x:v>
      </x:c>
      <x:c r="S196" s="684"/>
      <x:c r="T196" s="684"/>
      <x:c r="U196" s="684"/>
      <x:c r="V196" s="684"/>
      <x:c r="W196" s="684"/>
      <x:c r="X196" s="684"/>
      <x:c r="Y196" s="684"/>
      <x:c r="Z196" s="701"/>
    </x:row>
    <x:row r="197" spans="1:26" x14ac:dyDescent="0.2">
      <x:c r="B197" s="683"/>
      <x:c r="C197" s="683" t="s">
        <x:v>73</x:v>
      </x:c>
      <x:c r="D197" s="683" t="n">
        <x:v>91175.8</x:v>
      </x:c>
      <x:c r="E197" s="683" t="n">
        <x:v>4274.38</x:v>
      </x:c>
      <x:c r="F197" s="683" t="n">
        <x:v>2344.18</x:v>
      </x:c>
      <x:c r="G197" s="683" t="n">
        <x:v>1290.14</x:v>
      </x:c>
      <x:c r="H197" s="683" t="n">
        <x:v>24141.72</x:v>
      </x:c>
      <x:c r="I197" s="683" t="n">
        <x:v>835.82</x:v>
      </x:c>
      <x:c r="J197" s="683" t="n">
        <x:v>7331.65</x:v>
      </x:c>
      <x:c r="K197" s="683" t="n">
        <x:v>6999.36</x:v>
      </x:c>
      <x:c r="L197" s="683" t="n">
        <x:v>32593.77</x:v>
      </x:c>
      <x:c r="M197" s="683" t="n">
        <x:v>10001.11</x:v>
      </x:c>
      <x:c r="N197" s="683" t="n">
        <x:v>1363.67</x:v>
      </x:c>
      <x:c r="O197" s="683" t="n">
        <x:v>0</x:v>
      </x:c>
      <x:c r="P197" s="681">
        <x:v>0</x:v>
      </x:c>
      <x:c r="Q197" s="683">
        <x:v>0</x:v>
      </x:c>
      <x:c r="R197" s="683">
        <x:v>0</x:v>
      </x:c>
      <x:c r="Z197" s="701"/>
    </x:row>
    <x:row r="198" spans="1:26" x14ac:dyDescent="0.2">
      <x:c r="A198" s="686"/>
      <x:c r="B198" s="687" t="s">
        <x:v>79</x:v>
      </x:c>
      <x:c r="C198" s="687" t="s">
        <x:v>70</x:v>
      </x:c>
      <x:c r="D198" s="687" t="n">
        <x:v>91175.8</x:v>
      </x:c>
      <x:c r="E198" s="687" t="n">
        <x:v>4274.38</x:v>
      </x:c>
      <x:c r="F198" s="687" t="n">
        <x:v>2344.18</x:v>
      </x:c>
      <x:c r="G198" s="687" t="n">
        <x:v>1290.14</x:v>
      </x:c>
      <x:c r="H198" s="687" t="n">
        <x:v>24141.72</x:v>
      </x:c>
      <x:c r="I198" s="687" t="n">
        <x:v>835.82</x:v>
      </x:c>
      <x:c r="J198" s="687" t="n">
        <x:v>7331.65</x:v>
      </x:c>
      <x:c r="K198" s="687" t="n">
        <x:v>6999.36</x:v>
      </x:c>
      <x:c r="L198" s="687" t="n">
        <x:v>32593.77</x:v>
      </x:c>
      <x:c r="M198" s="687" t="n">
        <x:v>10001.11</x:v>
      </x:c>
      <x:c r="N198" s="687" t="n">
        <x:v>1363.67</x:v>
      </x:c>
      <x:c r="O198" s="687" t="n">
        <x:v>0</x:v>
      </x:c>
      <x:c r="P198" s="686">
        <x:v>0</x:v>
      </x:c>
      <x:c r="Q198" s="687">
        <x:v>0</x:v>
      </x:c>
      <x:c r="R198" s="687">
        <x:v>0</x:v>
      </x:c>
      <x:c r="S198" s="686"/>
      <x:c r="T198" s="686"/>
      <x:c r="U198" s="686"/>
      <x:c r="V198" s="686"/>
      <x:c r="W198" s="686"/>
      <x:c r="X198" s="686"/>
      <x:c r="Y198" s="686"/>
      <x:c r="Z198" s="701"/>
    </x:row>
    <x:row r="199" spans="1:26" x14ac:dyDescent="0.2">
      <x:c r="A199" s="690" t="s">
        <x:v>119</x:v>
      </x:c>
      <x:c r="B199" s="690" t="s">
        <x:v>70</x:v>
      </x:c>
      <x:c r="C199" s="690"/>
      <x:c r="D199" s="691" t="n">
        <x:v>-306659.8</x:v>
      </x:c>
      <x:c r="E199" s="691" t="n">
        <x:v>-14419.17</x:v>
      </x:c>
      <x:c r="F199" s="691" t="n">
        <x:v>-8035.67</x:v>
      </x:c>
      <x:c r="G199" s="691" t="n">
        <x:v>-3398.87</x:v>
      </x:c>
      <x:c r="H199" s="691" t="n">
        <x:v>-85776.85</x:v>
      </x:c>
      <x:c r="I199" s="691" t="n">
        <x:v>-2528.78</x:v>
      </x:c>
      <x:c r="J199" s="691" t="n">
        <x:v>-22182.61</x:v>
      </x:c>
      <x:c r="K199" s="691" t="n">
        <x:v>-26175.29</x:v>
      </x:c>
      <x:c r="L199" s="691" t="n">
        <x:v>-106824.24</x:v>
      </x:c>
      <x:c r="M199" s="691" t="n">
        <x:v>-33607.93</x:v>
      </x:c>
      <x:c r="N199" s="691" t="n">
        <x:v>-3709.79</x:v>
      </x:c>
      <x:c r="O199" s="691" t="n">
        <x:v>-0.6</x:v>
      </x:c>
      <x:c r="P199" s="691">
        <x:v>0</x:v>
      </x:c>
      <x:c r="Q199" s="691">
        <x:v>0</x:v>
      </x:c>
      <x:c r="R199" s="690">
        <x:v>0</x:v>
      </x:c>
      <x:c r="S199" s="690"/>
      <x:c r="T199" s="690"/>
      <x:c r="U199" s="690"/>
      <x:c r="V199" s="690"/>
      <x:c r="W199" s="690"/>
      <x:c r="X199" s="690"/>
      <x:c r="Y199" s="690"/>
      <x:c r="Z199" s="701"/>
    </x:row>
    <x:row r="200" spans="1:26" x14ac:dyDescent="0.2">
      <x:c r="A200" s="692" t="s">
        <x:v>70</x:v>
      </x:c>
      <x:c r="B200" s="693"/>
      <x:c r="C200" s="693"/>
      <x:c r="D200" s="692" t="n">
        <x:v>-32310979.8</x:v>
      </x:c>
      <x:c r="E200" s="692" t="n">
        <x:v>-3418139.13</x:v>
      </x:c>
      <x:c r="F200" s="692" t="n">
        <x:v>-1918945.17</x:v>
      </x:c>
      <x:c r="G200" s="692" t="n">
        <x:v>-1015765.18</x:v>
      </x:c>
      <x:c r="H200" s="692" t="n">
        <x:v>-5656629.25</x:v>
      </x:c>
      <x:c r="I200" s="692" t="n">
        <x:v>-208045.24</x:v>
      </x:c>
      <x:c r="J200" s="692" t="n">
        <x:v>-1822230.19</x:v>
      </x:c>
      <x:c r="K200" s="692" t="n">
        <x:v>-1748406.18</x:v>
      </x:c>
      <x:c r="L200" s="692" t="n">
        <x:v>-8228759.22</x:v>
      </x:c>
      <x:c r="M200" s="692" t="n">
        <x:v>-7952847.9</x:v>
      </x:c>
      <x:c r="N200" s="692" t="n">
        <x:v>-341083.77</x:v>
      </x:c>
      <x:c r="O200" s="692" t="n">
        <x:v>-128.57</x:v>
      </x:c>
      <x:c r="P200" s="693" t="n">
        <x:v>0</x:v>
      </x:c>
      <x:c r="Q200" s="692">
        <x:v>0</x:v>
      </x:c>
      <x:c r="R200" s="692">
        <x:v>0</x:v>
      </x:c>
      <x:c r="S200" s="693"/>
      <x:c r="T200" s="693"/>
      <x:c r="U200" s="693"/>
      <x:c r="V200" s="693"/>
      <x:c r="W200" s="693"/>
      <x:c r="X200" s="693"/>
      <x:c r="Y200" s="693"/>
      <x:c r="Z200" s="701"/>
    </x:row>
    <x:row r="201" spans="1:26" x14ac:dyDescent="0.2">
      <x:c r="A201" s="683"/>
      <x:c r="D201" s="683"/>
      <x:c r="E201" s="683"/>
      <x:c r="F201" s="683"/>
      <x:c r="G201" s="683"/>
      <x:c r="H201" s="683"/>
      <x:c r="I201" s="683"/>
      <x:c r="J201" s="683"/>
      <x:c r="K201" s="683"/>
      <x:c r="L201" s="683"/>
      <x:c r="M201" s="683"/>
      <x:c r="N201" s="683"/>
      <x:c r="O201" s="683"/>
      <x:c r="Z201" s="701"/>
    </x:row>
    <x:row r="202" spans="1:26" x14ac:dyDescent="0.2">
      <x:c r="A202" s="683"/>
      <x:c r="D202" s="683"/>
      <x:c r="E202" s="683"/>
      <x:c r="F202" s="683"/>
      <x:c r="G202" s="683"/>
      <x:c r="H202" s="683"/>
      <x:c r="I202" s="683"/>
      <x:c r="J202" s="683"/>
      <x:c r="K202" s="683"/>
      <x:c r="L202" s="683"/>
      <x:c r="M202" s="683"/>
      <x:c r="N202" s="683"/>
      <x:c r="O202" s="683"/>
      <x:c r="Z202" s="701"/>
    </x:row>
    <x:row r="203" spans="1:26" x14ac:dyDescent="0.2">
      <x:c r="A203" s="683"/>
      <x:c r="D203" s="683"/>
      <x:c r="E203" s="683"/>
      <x:c r="F203" s="683"/>
      <x:c r="G203" s="683"/>
      <x:c r="H203" s="683"/>
      <x:c r="I203" s="683"/>
      <x:c r="J203" s="683"/>
      <x:c r="K203" s="683"/>
      <x:c r="L203" s="683"/>
      <x:c r="M203" s="683"/>
      <x:c r="N203" s="683"/>
      <x:c r="O203" s="683"/>
      <x:c r="Z203" s="701"/>
    </x:row>
    <x:row r="204" spans="1:26" x14ac:dyDescent="0.2">
      <x:c r="A204" s="683"/>
      <x:c r="D204" s="683"/>
      <x:c r="E204" s="683"/>
      <x:c r="F204" s="683"/>
      <x:c r="G204" s="683"/>
      <x:c r="H204" s="683"/>
      <x:c r="I204" s="683"/>
      <x:c r="J204" s="683"/>
      <x:c r="K204" s="683"/>
      <x:c r="L204" s="683"/>
      <x:c r="M204" s="683"/>
      <x:c r="N204" s="683"/>
      <x:c r="O204" s="683"/>
      <x:c r="Z204" s="701"/>
    </x:row>
    <x:row r="205" spans="1:26" x14ac:dyDescent="0.2">
      <x:c r="A205" s="774" t="s">
        <x:v>2</x:v>
      </x:c>
      <x:c r="B205" s="773" t="s">
        <x:v>132</x:v>
      </x:c>
      <x:c r="C205" s="696" t="s">
        <x:v>70</x:v>
      </x:c>
      <x:c r="D205" s="696">
        <x:f>D200-P200</x:f>
        <x:v>0</x:v>
      </x:c>
      <x:c r="E205" s="696">
        <x:f>E196+E190</x:f>
        <x:v>0</x:v>
      </x:c>
      <x:c r="F205" s="696">
        <x:f t="shared" ref="F205:R205" si="6">F196+F190</x:f>
        <x:v>0</x:v>
      </x:c>
      <x:c r="G205" s="696">
        <x:f t="shared" si="6"/>
        <x:v>0</x:v>
      </x:c>
      <x:c r="H205" s="696">
        <x:f t="shared" si="6"/>
        <x:v>0</x:v>
      </x:c>
      <x:c r="I205" s="696">
        <x:f t="shared" si="6"/>
        <x:v>0</x:v>
      </x:c>
      <x:c r="J205" s="696">
        <x:f t="shared" si="6"/>
        <x:v>0</x:v>
      </x:c>
      <x:c r="K205" s="696">
        <x:f t="shared" si="6"/>
        <x:v>0</x:v>
      </x:c>
      <x:c r="L205" s="696">
        <x:f t="shared" si="6"/>
        <x:v>0</x:v>
      </x:c>
      <x:c r="M205" s="696">
        <x:f t="shared" si="6"/>
        <x:v>0</x:v>
      </x:c>
      <x:c r="N205" s="696">
        <x:f t="shared" si="6"/>
        <x:v>0</x:v>
      </x:c>
      <x:c r="O205" s="696">
        <x:f t="shared" si="6"/>
        <x:v>0</x:v>
      </x:c>
      <x:c r="P205" s="696">
        <x:f t="shared" si="6"/>
        <x:v>0</x:v>
      </x:c>
      <x:c r="Q205" s="696">
        <x:f t="shared" si="6"/>
        <x:v>0</x:v>
      </x:c>
      <x:c r="R205" s="696">
        <x:f t="shared" si="6"/>
        <x:v>0</x:v>
      </x:c>
      <x:c r="Z205" s="701"/>
    </x:row>
    <x:row r="206" spans="1:26" x14ac:dyDescent="0.2">
      <x:c r="A206" s="774"/>
      <x:c r="B206" s="773"/>
      <x:c r="C206" s="696" t="s">
        <x:v>73</x:v>
      </x:c>
      <x:c r="D206" s="696">
        <x:f>D198+D192</x:f>
        <x:v>0</x:v>
      </x:c>
      <x:c r="E206" s="683"/>
      <x:c r="F206" s="683"/>
      <x:c r="G206" s="683"/>
      <x:c r="H206" s="683"/>
      <x:c r="I206" s="683"/>
      <x:c r="J206" s="683"/>
      <x:c r="K206" s="683"/>
      <x:c r="L206" s="683"/>
      <x:c r="M206" s="683"/>
      <x:c r="N206" s="683"/>
      <x:c r="O206" s="683"/>
      <x:c r="P206" s="683"/>
      <x:c r="Q206" s="683"/>
      <x:c r="R206" s="683"/>
      <x:c r="Z206" s="701"/>
    </x:row>
    <x:row r="207" spans="1:26" ht="15" x14ac:dyDescent="0.25">
      <x:c r="A207" s="682"/>
      <x:c r="D207" s="683"/>
      <x:c r="E207" s="683"/>
      <x:c r="F207" s="683"/>
      <x:c r="G207" s="683"/>
      <x:c r="H207" s="683"/>
      <x:c r="I207" s="683"/>
      <x:c r="J207" s="683"/>
      <x:c r="K207" s="683"/>
      <x:c r="L207" s="683"/>
      <x:c r="M207" s="683"/>
      <x:c r="N207" s="683"/>
      <x:c r="O207" s="683"/>
      <x:c r="P207" s="683"/>
      <x:c r="Q207" s="683"/>
      <x:c r="R207" s="683"/>
      <x:c r="Z207" s="701"/>
    </x:row>
    <x:row r="208" spans="1:26" x14ac:dyDescent="0.2">
      <x:c r="A208" s="774" t="s">
        <x:v>160</x:v>
      </x:c>
      <x:c r="B208" s="773" t="s">
        <x:v>132</x:v>
      </x:c>
      <x:c r="C208" s="697" t="s">
        <x:v>70</x:v>
      </x:c>
      <x:c r="D208" s="697">
        <x:v>0</x:v>
      </x:c>
      <x:c r="E208" s="697">
        <x:v>0</x:v>
      </x:c>
      <x:c r="F208" s="697">
        <x:v>0</x:v>
      </x:c>
      <x:c r="G208" s="697">
        <x:v>0</x:v>
      </x:c>
      <x:c r="H208" s="697">
        <x:v>0</x:v>
      </x:c>
      <x:c r="I208" s="697">
        <x:v>0</x:v>
      </x:c>
      <x:c r="J208" s="697">
        <x:v>0</x:v>
      </x:c>
      <x:c r="K208" s="697">
        <x:v>0</x:v>
      </x:c>
      <x:c r="L208" s="697">
        <x:v>0</x:v>
      </x:c>
      <x:c r="M208" s="697">
        <x:v>0</x:v>
      </x:c>
      <x:c r="N208" s="697">
        <x:v>0</x:v>
      </x:c>
      <x:c r="O208" s="697">
        <x:v>0</x:v>
      </x:c>
      <x:c r="P208" s="697">
        <x:v>0</x:v>
      </x:c>
      <x:c r="Q208" s="697">
        <x:v>0</x:v>
      </x:c>
      <x:c r="R208" s="697">
        <x:v>0</x:v>
      </x:c>
      <x:c r="Z208" s="701"/>
    </x:row>
    <x:row r="209" spans="1:26" x14ac:dyDescent="0.2">
      <x:c r="A209" s="774"/>
      <x:c r="B209" s="773"/>
      <x:c r="C209" s="697" t="s">
        <x:v>73</x:v>
      </x:c>
      <x:c r="D209" s="697">
        <x:v>0</x:v>
      </x:c>
      <x:c r="E209" s="683"/>
      <x:c r="F209" s="683"/>
      <x:c r="G209" s="683"/>
      <x:c r="H209" s="683"/>
      <x:c r="I209" s="683"/>
      <x:c r="J209" s="683"/>
      <x:c r="K209" s="683"/>
      <x:c r="L209" s="683"/>
      <x:c r="M209" s="683"/>
      <x:c r="N209" s="683"/>
      <x:c r="O209" s="683"/>
      <x:c r="P209" s="683"/>
      <x:c r="Q209" s="683"/>
      <x:c r="R209" s="683"/>
      <x:c r="Z209" s="701"/>
    </x:row>
    <x:row r="210" spans="1:26" ht="15" x14ac:dyDescent="0.25">
      <x:c r="A210" s="682"/>
      <x:c r="D210" s="683"/>
      <x:c r="E210" s="683"/>
      <x:c r="F210" s="683"/>
      <x:c r="G210" s="683"/>
      <x:c r="H210" s="683"/>
      <x:c r="I210" s="683"/>
      <x:c r="J210" s="683"/>
      <x:c r="K210" s="683"/>
      <x:c r="L210" s="683"/>
      <x:c r="M210" s="683"/>
      <x:c r="N210" s="683"/>
      <x:c r="O210" s="683"/>
      <x:c r="P210" s="683"/>
      <x:c r="Q210" s="683"/>
      <x:c r="R210" s="683"/>
      <x:c r="Z210" s="701"/>
    </x:row>
    <x:row r="211" spans="1:26" x14ac:dyDescent="0.2">
      <x:c r="A211" s="774" t="s">
        <x:v>155</x:v>
      </x:c>
      <x:c r="B211" s="773" t="s">
        <x:v>132</x:v>
      </x:c>
      <x:c r="C211" s="698" t="s">
        <x:v>70</x:v>
      </x:c>
      <x:c r="D211" s="698">
        <x:f>D193-P193</x:f>
        <x:v>0</x:v>
      </x:c>
      <x:c r="E211" s="698">
        <x:f>E190</x:f>
        <x:v>0</x:v>
      </x:c>
      <x:c r="F211" s="698">
        <x:f t="shared" ref="F211:R211" si="7">F190</x:f>
        <x:v>0</x:v>
      </x:c>
      <x:c r="G211" s="698">
        <x:f t="shared" si="7"/>
        <x:v>0</x:v>
      </x:c>
      <x:c r="H211" s="698">
        <x:f t="shared" si="7"/>
        <x:v>0</x:v>
      </x:c>
      <x:c r="I211" s="698">
        <x:f t="shared" si="7"/>
        <x:v>0</x:v>
      </x:c>
      <x:c r="J211" s="698">
        <x:f t="shared" si="7"/>
        <x:v>0</x:v>
      </x:c>
      <x:c r="K211" s="698">
        <x:f t="shared" si="7"/>
        <x:v>0</x:v>
      </x:c>
      <x:c r="L211" s="698">
        <x:f t="shared" si="7"/>
        <x:v>0</x:v>
      </x:c>
      <x:c r="M211" s="698">
        <x:f t="shared" si="7"/>
        <x:v>0</x:v>
      </x:c>
      <x:c r="N211" s="698">
        <x:f t="shared" si="7"/>
        <x:v>0</x:v>
      </x:c>
      <x:c r="O211" s="698">
        <x:f t="shared" si="7"/>
        <x:v>0</x:v>
      </x:c>
      <x:c r="P211" s="698">
        <x:f t="shared" si="7"/>
        <x:v>0</x:v>
      </x:c>
      <x:c r="Q211" s="698">
        <x:f t="shared" si="7"/>
        <x:v>0</x:v>
      </x:c>
      <x:c r="R211" s="698">
        <x:f t="shared" si="7"/>
        <x:v>0</x:v>
      </x:c>
      <x:c r="Z211" s="701"/>
    </x:row>
    <x:row r="212" spans="1:26" x14ac:dyDescent="0.2">
      <x:c r="A212" s="774"/>
      <x:c r="B212" s="773"/>
      <x:c r="C212" s="698" t="s">
        <x:v>73</x:v>
      </x:c>
      <x:c r="D212" s="698">
        <x:f>D192</x:f>
        <x:v>0</x:v>
      </x:c>
      <x:c r="E212" s="683"/>
      <x:c r="F212" s="683"/>
      <x:c r="G212" s="683"/>
      <x:c r="H212" s="683"/>
      <x:c r="I212" s="683"/>
      <x:c r="J212" s="683"/>
      <x:c r="K212" s="683"/>
      <x:c r="L212" s="683"/>
      <x:c r="M212" s="683"/>
      <x:c r="N212" s="683"/>
      <x:c r="O212" s="683"/>
      <x:c r="P212" s="683"/>
      <x:c r="Q212" s="683"/>
      <x:c r="R212" s="683"/>
      <x:c r="Z212" s="701"/>
    </x:row>
    <x:row r="213" spans="1:26" ht="15" x14ac:dyDescent="0.2">
      <x:c r="A213" s="694"/>
      <x:c r="B213" s="695"/>
      <x:c r="C213" s="683"/>
      <x:c r="D213" s="683"/>
      <x:c r="E213" s="683"/>
      <x:c r="F213" s="683"/>
      <x:c r="G213" s="683"/>
      <x:c r="H213" s="683"/>
      <x:c r="I213" s="683"/>
      <x:c r="J213" s="683"/>
      <x:c r="K213" s="683"/>
      <x:c r="L213" s="683"/>
      <x:c r="M213" s="683"/>
      <x:c r="N213" s="683"/>
      <x:c r="O213" s="683"/>
      <x:c r="P213" s="683"/>
      <x:c r="Q213" s="683"/>
      <x:c r="R213" s="683"/>
      <x:c r="Z213" s="701"/>
    </x:row>
    <x:row r="214" spans="1:26" x14ac:dyDescent="0.2">
      <x:c r="A214" s="775" t="s">
        <x:v>326</x:v>
      </x:c>
      <x:c r="B214" s="773" t="s">
        <x:v>132</x:v>
      </x:c>
      <x:c r="C214" s="698" t="s">
        <x:v>70</x:v>
      </x:c>
      <x:c r="D214" s="699">
        <x:v>0</x:v>
      </x:c>
      <x:c r="E214" s="699">
        <x:v>0</x:v>
      </x:c>
      <x:c r="F214" s="699">
        <x:v>0</x:v>
      </x:c>
      <x:c r="G214" s="699">
        <x:v>0</x:v>
      </x:c>
      <x:c r="H214" s="699">
        <x:v>0</x:v>
      </x:c>
      <x:c r="I214" s="699">
        <x:v>0</x:v>
      </x:c>
      <x:c r="J214" s="699">
        <x:v>0</x:v>
      </x:c>
      <x:c r="K214" s="699">
        <x:v>0</x:v>
      </x:c>
      <x:c r="L214" s="699">
        <x:v>0</x:v>
      </x:c>
      <x:c r="M214" s="699">
        <x:v>0</x:v>
      </x:c>
      <x:c r="N214" s="699">
        <x:v>0</x:v>
      </x:c>
      <x:c r="O214" s="699">
        <x:v>0</x:v>
      </x:c>
      <x:c r="P214" s="699">
        <x:v>0</x:v>
      </x:c>
      <x:c r="Q214" s="699">
        <x:v>0</x:v>
      </x:c>
      <x:c r="R214" s="699">
        <x:v>0</x:v>
      </x:c>
      <x:c r="Z214" s="701"/>
    </x:row>
    <x:row r="215" spans="1:26" x14ac:dyDescent="0.2">
      <x:c r="A215" s="775"/>
      <x:c r="B215" s="773"/>
      <x:c r="C215" s="698" t="s">
        <x:v>73</x:v>
      </x:c>
      <x:c r="D215" s="699">
        <x:v>0</x:v>
      </x:c>
      <x:c r="E215" s="683"/>
      <x:c r="F215" s="683"/>
      <x:c r="G215" s="683"/>
      <x:c r="H215" s="683"/>
      <x:c r="I215" s="683"/>
      <x:c r="J215" s="683"/>
      <x:c r="K215" s="683"/>
      <x:c r="L215" s="683"/>
      <x:c r="M215" s="683"/>
      <x:c r="N215" s="683"/>
      <x:c r="O215" s="683"/>
      <x:c r="P215" s="683"/>
      <x:c r="Q215" s="683"/>
      <x:c r="Z215" s="701"/>
    </x:row>
    <x:row r="216" spans="1:26" ht="15" x14ac:dyDescent="0.25">
      <x:c r="A216" s="682"/>
      <x:c r="D216" s="683"/>
      <x:c r="E216" s="683"/>
      <x:c r="F216" s="683"/>
      <x:c r="G216" s="683"/>
      <x:c r="H216" s="683"/>
      <x:c r="I216" s="683"/>
      <x:c r="J216" s="683"/>
      <x:c r="K216" s="683"/>
      <x:c r="L216" s="683"/>
      <x:c r="M216" s="683"/>
      <x:c r="N216" s="683"/>
      <x:c r="O216" s="683"/>
      <x:c r="P216" s="683"/>
      <x:c r="Q216" s="683"/>
      <x:c r="R216" s="683"/>
      <x:c r="Z216" s="701"/>
    </x:row>
    <x:row r="217" spans="1:26" x14ac:dyDescent="0.2">
      <x:c r="A217" s="774" t="s">
        <x:v>119</x:v>
      </x:c>
      <x:c r="B217" s="773" t="s">
        <x:v>132</x:v>
      </x:c>
      <x:c r="C217" s="691" t="s">
        <x:v>70</x:v>
      </x:c>
      <x:c r="D217" s="691">
        <x:f>D199-P199</x:f>
        <x:v>0</x:v>
      </x:c>
      <x:c r="E217" s="691">
        <x:f>E196</x:f>
        <x:v>0</x:v>
      </x:c>
      <x:c r="F217" s="691">
        <x:f t="shared" ref="F217:R217" si="8">F196</x:f>
        <x:v>0</x:v>
      </x:c>
      <x:c r="G217" s="691">
        <x:f t="shared" si="8"/>
        <x:v>0</x:v>
      </x:c>
      <x:c r="H217" s="691">
        <x:f t="shared" si="8"/>
        <x:v>0</x:v>
      </x:c>
      <x:c r="I217" s="691">
        <x:f t="shared" si="8"/>
        <x:v>0</x:v>
      </x:c>
      <x:c r="J217" s="691">
        <x:f t="shared" si="8"/>
        <x:v>0</x:v>
      </x:c>
      <x:c r="K217" s="691">
        <x:f t="shared" si="8"/>
        <x:v>0</x:v>
      </x:c>
      <x:c r="L217" s="691">
        <x:f t="shared" si="8"/>
        <x:v>0</x:v>
      </x:c>
      <x:c r="M217" s="691">
        <x:f t="shared" si="8"/>
        <x:v>0</x:v>
      </x:c>
      <x:c r="N217" s="691">
        <x:f t="shared" si="8"/>
        <x:v>0</x:v>
      </x:c>
      <x:c r="O217" s="691">
        <x:f t="shared" si="8"/>
        <x:v>0</x:v>
      </x:c>
      <x:c r="P217" s="691">
        <x:f t="shared" si="8"/>
        <x:v>0</x:v>
      </x:c>
      <x:c r="Q217" s="691">
        <x:f t="shared" si="8"/>
        <x:v>0</x:v>
      </x:c>
      <x:c r="R217" s="691">
        <x:f t="shared" si="8"/>
        <x:v>0</x:v>
      </x:c>
      <x:c r="Z217" s="701"/>
    </x:row>
    <x:row r="218" spans="1:26" x14ac:dyDescent="0.2">
      <x:c r="A218" s="774"/>
      <x:c r="B218" s="773"/>
      <x:c r="C218" s="691" t="s">
        <x:v>73</x:v>
      </x:c>
      <x:c r="D218" s="691">
        <x:f>D198</x:f>
        <x:v>0</x:v>
      </x:c>
      <x:c r="E218" s="683"/>
      <x:c r="F218" s="683"/>
      <x:c r="G218" s="683"/>
      <x:c r="H218" s="683"/>
      <x:c r="I218" s="683"/>
      <x:c r="J218" s="683"/>
      <x:c r="K218" s="683"/>
      <x:c r="L218" s="683"/>
      <x:c r="M218" s="683"/>
      <x:c r="N218" s="683"/>
      <x:c r="O218" s="683"/>
      <x:c r="P218" s="683"/>
      <x:c r="Q218" s="683"/>
      <x:c r="R218" s="683"/>
      <x:c r="Z218" s="701"/>
    </x:row>
    <x:row r="219" spans="1:26" ht="15" x14ac:dyDescent="0.25">
      <x:c r="A219" s="682"/>
      <x:c r="D219" s="683"/>
      <x:c r="E219" s="683"/>
      <x:c r="F219" s="683"/>
      <x:c r="G219" s="683"/>
      <x:c r="H219" s="683"/>
      <x:c r="I219" s="683"/>
      <x:c r="J219" s="683"/>
      <x:c r="K219" s="683"/>
      <x:c r="L219" s="683"/>
      <x:c r="M219" s="683"/>
      <x:c r="N219" s="683"/>
      <x:c r="O219" s="683"/>
      <x:c r="P219" s="683"/>
      <x:c r="Q219" s="683"/>
      <x:c r="R219" s="683"/>
      <x:c r="Z219" s="701"/>
    </x:row>
    <x:row r="220" spans="1:26" x14ac:dyDescent="0.2">
      <x:c r="A220" s="772" t="s">
        <x:v>161</x:v>
      </x:c>
      <x:c r="B220" s="773" t="s">
        <x:v>132</x:v>
      </x:c>
      <x:c r="C220" s="700" t="s">
        <x:v>70</x:v>
      </x:c>
      <x:c r="D220" s="700">
        <x:v>0</x:v>
      </x:c>
      <x:c r="E220" s="700">
        <x:v>0</x:v>
      </x:c>
      <x:c r="F220" s="700">
        <x:v>0</x:v>
      </x:c>
      <x:c r="G220" s="700">
        <x:v>0</x:v>
      </x:c>
      <x:c r="H220" s="700">
        <x:v>0</x:v>
      </x:c>
      <x:c r="I220" s="700">
        <x:v>0</x:v>
      </x:c>
      <x:c r="J220" s="700">
        <x:v>0</x:v>
      </x:c>
      <x:c r="K220" s="700">
        <x:v>0</x:v>
      </x:c>
      <x:c r="L220" s="700">
        <x:v>0</x:v>
      </x:c>
      <x:c r="M220" s="700">
        <x:v>0</x:v>
      </x:c>
      <x:c r="N220" s="700">
        <x:v>0</x:v>
      </x:c>
      <x:c r="O220" s="700">
        <x:v>0</x:v>
      </x:c>
      <x:c r="P220" s="700">
        <x:v>0</x:v>
      </x:c>
      <x:c r="Q220" s="700">
        <x:v>0</x:v>
      </x:c>
      <x:c r="R220" s="700">
        <x:v>0</x:v>
      </x:c>
      <x:c r="Z220" s="701"/>
    </x:row>
    <x:row r="221" spans="1:26" x14ac:dyDescent="0.2">
      <x:c r="A221" s="772"/>
      <x:c r="B221" s="773"/>
      <x:c r="C221" s="700" t="s">
        <x:v>73</x:v>
      </x:c>
      <x:c r="D221" s="700">
        <x:v>0</x:v>
      </x:c>
      <x:c r="E221" s="683"/>
      <x:c r="F221" s="683"/>
      <x:c r="G221" s="683"/>
      <x:c r="H221" s="683"/>
      <x:c r="I221" s="683"/>
      <x:c r="J221" s="683"/>
      <x:c r="K221" s="683"/>
      <x:c r="L221" s="683"/>
      <x:c r="M221" s="683"/>
      <x:c r="N221" s="683"/>
      <x:c r="O221" s="683"/>
      <x:c r="P221" s="683"/>
      <x:c r="Q221" s="683"/>
      <x:c r="Z221" s="701"/>
    </x:row>
    <x:row r="222" spans="1:26" x14ac:dyDescent="0.2">
      <x:c r="A222" s="701"/>
      <x:c r="B222" s="701"/>
      <x:c r="C222" s="701"/>
      <x:c r="D222" s="701"/>
      <x:c r="E222" s="701"/>
      <x:c r="F222" s="701"/>
      <x:c r="G222" s="701"/>
      <x:c r="H222" s="701"/>
      <x:c r="I222" s="701"/>
      <x:c r="J222" s="701"/>
      <x:c r="K222" s="701"/>
      <x:c r="L222" s="701"/>
      <x:c r="M222" s="701"/>
      <x:c r="N222" s="701"/>
      <x:c r="O222" s="701"/>
      <x:c r="P222" s="701"/>
      <x:c r="Q222" s="701"/>
      <x:c r="R222" s="701"/>
      <x:c r="S222" s="701"/>
      <x:c r="T222" s="701"/>
      <x:c r="U222" s="701"/>
      <x:c r="V222" s="701"/>
      <x:c r="W222" s="701"/>
      <x:c r="X222" s="701"/>
      <x:c r="Y222" s="701"/>
      <x:c r="Z222" s="701"/>
    </x:row>
    <x:row r="223" spans="1:26" ht="15" x14ac:dyDescent="0.25">
      <x:c r="B223" s="707" t="s">
        <x:v>88</x:v>
      </x:c>
      <x:c r="Z223" s="701"/>
    </x:row>
    <x:row r="224" spans="1:26" s="682" customFormat="1" ht="15" x14ac:dyDescent="0.25">
      <x:c r="D224" s="704" t="s">
        <x:v>70</x:v>
      </x:c>
      <x:c r="E224" s="704" t="s">
        <x:v>64</x:v>
      </x:c>
      <x:c r="F224" s="704" t="s">
        <x:v>65</x:v>
      </x:c>
      <x:c r="G224" s="705" t="s">
        <x:v>164</x:v>
      </x:c>
      <x:c r="H224" s="704" t="s">
        <x:v>69</x:v>
      </x:c>
      <x:c r="I224" s="704" t="s">
        <x:v>68</x:v>
      </x:c>
      <x:c r="J224" s="704" t="s">
        <x:v>66</x:v>
      </x:c>
      <x:c r="K224" s="704" t="s">
        <x:v>63</x:v>
      </x:c>
      <x:c r="L224" s="704" t="s">
        <x:v>61</x:v>
      </x:c>
      <x:c r="M224" s="704" t="s">
        <x:v>62</x:v>
      </x:c>
      <x:c r="N224" s="704" t="s">
        <x:v>67</x:v>
      </x:c>
      <x:c r="O224" s="704" t="s">
        <x:v>77</x:v>
      </x:c>
      <x:c r="P224" s="682" t="s">
        <x:v>71</x:v>
      </x:c>
      <x:c r="Q224" s="704" t="s">
        <x:v>80</x:v>
      </x:c>
      <x:c r="R224" s="682" t="s">
        <x:v>167</x:v>
      </x:c>
      <x:c r="Z224" s="706"/>
    </x:row>
    <x:row r="225" spans="1:26" x14ac:dyDescent="0.2">
      <x:c r="C225" s="681" t="s">
        <x:v>72</x:v>
      </x:c>
      <x:c r="D225" s="683" t="n">
        <x:v>-21566863.36</x:v>
      </x:c>
      <x:c r="E225" s="683" t="n">
        <x:v>-1602733.56</x:v>
      </x:c>
      <x:c r="F225" s="683" t="n">
        <x:v>-896891.02</x:v>
      </x:c>
      <x:c r="G225" s="683" t="n">
        <x:v>-475692.34</x:v>
      </x:c>
      <x:c r="H225" s="683" t="n">
        <x:v>-4329801.24</x:v>
      </x:c>
      <x:c r="I225" s="683" t="n">
        <x:v>-156115.79</x:v>
      </x:c>
      <x:c r="J225" s="683" t="n">
        <x:v>-1354110.99</x:v>
      </x:c>
      <x:c r="K225" s="683" t="n">
        <x:v>-1357517.45</x:v>
      </x:c>
      <x:c r="L225" s="683" t="n">
        <x:v>-6863140.85</x:v>
      </x:c>
      <x:c r="M225" s="683" t="n">
        <x:v>-4276100.44</x:v>
      </x:c>
      <x:c r="N225" s="683" t="n">
        <x:v>-254729.55</x:v>
      </x:c>
      <x:c r="O225" s="683" t="n">
        <x:v>-30.13</x:v>
      </x:c>
      <x:c r="P225" s="683">
        <x:v>0</x:v>
      </x:c>
      <x:c r="Q225" s="683">
        <x:v>0</x:v>
      </x:c>
      <x:c r="R225" s="681">
        <x:v>0</x:v>
      </x:c>
      <x:c r="Z225" s="701"/>
    </x:row>
    <x:row r="226" spans="1:26" x14ac:dyDescent="0.2">
      <x:c r="C226" s="681" t="s">
        <x:v>81</x:v>
      </x:c>
      <x:c r="D226" s="683" t="n">
        <x:v>-10375865.33</x:v>
      </x:c>
      <x:c r="E226" s="683" t="n">
        <x:v>-1376999.44</x:v>
      </x:c>
      <x:c r="F226" s="683" t="n">
        <x:v>-590233.5</x:v>
      </x:c>
      <x:c r="G226" s="683" t="n">
        <x:v>-209963.97</x:v>
      </x:c>
      <x:c r="H226" s="683" t="n">
        <x:v>-1412012.61</x:v>
      </x:c>
      <x:c r="I226" s="683" t="n">
        <x:v>-55947.15</x:v>
      </x:c>
      <x:c r="J226" s="683" t="n">
        <x:v>-490779.37</x:v>
      </x:c>
      <x:c r="K226" s="683" t="n">
        <x:v>-582672.58</x:v>
      </x:c>
      <x:c r="L226" s="683" t="n">
        <x:v>-1966418.97</x:v>
      </x:c>
      <x:c r="M226" s="683" t="n">
        <x:v>-3599557.03</x:v>
      </x:c>
      <x:c r="N226" s="683" t="n">
        <x:v>-91288.76</x:v>
      </x:c>
      <x:c r="O226" s="683" t="n">
        <x:v>8.34</x:v>
      </x:c>
      <x:c r="P226" s="683">
        <x:v>0</x:v>
      </x:c>
      <x:c r="Q226" s="683">
        <x:v>0</x:v>
      </x:c>
      <x:c r="R226" s="681">
        <x:v>0</x:v>
      </x:c>
      <x:c r="Z226" s="701"/>
    </x:row>
    <x:row r="227" spans="1:26" x14ac:dyDescent="0.2">
      <x:c r="A227" s="684"/>
      <x:c r="B227" s="685" t="s">
        <x:v>78</x:v>
      </x:c>
      <x:c r="C227" s="685" t="s">
        <x:v>70</x:v>
      </x:c>
      <x:c r="D227" s="685" t="n">
        <x:v>-31942728.69</x:v>
      </x:c>
      <x:c r="E227" s="685" t="n">
        <x:v>-2979733</x:v>
      </x:c>
      <x:c r="F227" s="685" t="n">
        <x:v>-1487124.52</x:v>
      </x:c>
      <x:c r="G227" s="685" t="n">
        <x:v>-685656.31</x:v>
      </x:c>
      <x:c r="H227" s="685" t="n">
        <x:v>-5741813.85</x:v>
      </x:c>
      <x:c r="I227" s="685" t="n">
        <x:v>-212062.94</x:v>
      </x:c>
      <x:c r="J227" s="685" t="n">
        <x:v>-1844890.36</x:v>
      </x:c>
      <x:c r="K227" s="685" t="n">
        <x:v>-1940190.03</x:v>
      </x:c>
      <x:c r="L227" s="685" t="n">
        <x:v>-8829559.82</x:v>
      </x:c>
      <x:c r="M227" s="685" t="n">
        <x:v>-7875657.47</x:v>
      </x:c>
      <x:c r="N227" s="685" t="n">
        <x:v>-346018.31</x:v>
      </x:c>
      <x:c r="O227" s="685" t="n">
        <x:v>-21.79</x:v>
      </x:c>
      <x:c r="P227" s="684">
        <x:v>0</x:v>
      </x:c>
      <x:c r="Q227" s="685">
        <x:v>0</x:v>
      </x:c>
      <x:c r="R227" s="685">
        <x:v>0</x:v>
      </x:c>
      <x:c r="S227" s="684"/>
      <x:c r="T227" s="684"/>
      <x:c r="U227" s="684"/>
      <x:c r="V227" s="684"/>
      <x:c r="W227" s="684"/>
      <x:c r="X227" s="684"/>
      <x:c r="Y227" s="684"/>
      <x:c r="Z227" s="701"/>
    </x:row>
    <x:row r="228" spans="1:26" x14ac:dyDescent="0.2">
      <x:c r="C228" s="681" t="s">
        <x:v>73</x:v>
      </x:c>
      <x:c r="D228" s="683" t="n">
        <x:v>2174082.8</x:v>
      </x:c>
      <x:c r="E228" s="683" t="n">
        <x:v>22089.07</x:v>
      </x:c>
      <x:c r="F228" s="683" t="n">
        <x:v>10938.57</x:v>
      </x:c>
      <x:c r="G228" s="683" t="n">
        <x:v>6096.13</x:v>
      </x:c>
      <x:c r="H228" s="683" t="n">
        <x:v>636523.27</x:v>
      </x:c>
      <x:c r="I228" s="683" t="n">
        <x:v>22219.55</x:v>
      </x:c>
      <x:c r="J228" s="683" t="n">
        <x:v>194912.33</x:v>
      </x:c>
      <x:c r="K228" s="683" t="n">
        <x:v>197393.84</x:v>
      </x:c>
      <x:c r="L228" s="683" t="n">
        <x:v>989072.18</x:v>
      </x:c>
      <x:c r="M228" s="683" t="n">
        <x:v>58583.97</x:v>
      </x:c>
      <x:c r="N228" s="683" t="n">
        <x:v>36253.89</x:v>
      </x:c>
      <x:c r="O228" s="683" t="n">
        <x:v>0</x:v>
      </x:c>
      <x:c r="P228" s="683">
        <x:v>0</x:v>
      </x:c>
      <x:c r="Q228" s="683">
        <x:v>0</x:v>
      </x:c>
      <x:c r="R228" s="681">
        <x:v>0</x:v>
      </x:c>
      <x:c r="Z228" s="701"/>
    </x:row>
    <x:row r="229" spans="1:26" x14ac:dyDescent="0.2">
      <x:c r="A229" s="686"/>
      <x:c r="B229" s="687" t="s">
        <x:v>79</x:v>
      </x:c>
      <x:c r="C229" s="687" t="s">
        <x:v>70</x:v>
      </x:c>
      <x:c r="D229" s="687" t="n">
        <x:v>2174082.8</x:v>
      </x:c>
      <x:c r="E229" s="687" t="n">
        <x:v>22089.07</x:v>
      </x:c>
      <x:c r="F229" s="687" t="n">
        <x:v>10938.57</x:v>
      </x:c>
      <x:c r="G229" s="687" t="n">
        <x:v>6096.13</x:v>
      </x:c>
      <x:c r="H229" s="687" t="n">
        <x:v>636523.27</x:v>
      </x:c>
      <x:c r="I229" s="687" t="n">
        <x:v>22219.55</x:v>
      </x:c>
      <x:c r="J229" s="687" t="n">
        <x:v>194912.33</x:v>
      </x:c>
      <x:c r="K229" s="687" t="n">
        <x:v>197393.84</x:v>
      </x:c>
      <x:c r="L229" s="687" t="n">
        <x:v>989072.18</x:v>
      </x:c>
      <x:c r="M229" s="687" t="n">
        <x:v>58583.97</x:v>
      </x:c>
      <x:c r="N229" s="687" t="n">
        <x:v>36253.89</x:v>
      </x:c>
      <x:c r="O229" s="687" t="n">
        <x:v>0</x:v>
      </x:c>
      <x:c r="P229" s="686">
        <x:v>0</x:v>
      </x:c>
      <x:c r="Q229" s="687">
        <x:v>0</x:v>
      </x:c>
      <x:c r="R229" s="687">
        <x:v>0</x:v>
      </x:c>
      <x:c r="S229" s="686"/>
      <x:c r="T229" s="686"/>
      <x:c r="U229" s="686"/>
      <x:c r="V229" s="686"/>
      <x:c r="W229" s="686"/>
      <x:c r="X229" s="686"/>
      <x:c r="Y229" s="686"/>
      <x:c r="Z229" s="701"/>
    </x:row>
    <x:row r="230" spans="1:26" x14ac:dyDescent="0.2">
      <x:c r="A230" s="688" t="s">
        <x:v>155</x:v>
      </x:c>
      <x:c r="B230" s="688" t="s">
        <x:v>70</x:v>
      </x:c>
      <x:c r="C230" s="688"/>
      <x:c r="D230" s="689" t="n">
        <x:v>-29768645.89</x:v>
      </x:c>
      <x:c r="E230" s="689" t="n">
        <x:v>-2957643.93</x:v>
      </x:c>
      <x:c r="F230" s="689" t="n">
        <x:v>-1476185.95</x:v>
      </x:c>
      <x:c r="G230" s="689" t="n">
        <x:v>-679560.18</x:v>
      </x:c>
      <x:c r="H230" s="689" t="n">
        <x:v>-5105290.58</x:v>
      </x:c>
      <x:c r="I230" s="689" t="n">
        <x:v>-189843.39</x:v>
      </x:c>
      <x:c r="J230" s="689" t="n">
        <x:v>-1649978.03</x:v>
      </x:c>
      <x:c r="K230" s="689" t="n">
        <x:v>-1742796.19</x:v>
      </x:c>
      <x:c r="L230" s="689" t="n">
        <x:v>-7840487.64</x:v>
      </x:c>
      <x:c r="M230" s="689" t="n">
        <x:v>-7817073.5</x:v>
      </x:c>
      <x:c r="N230" s="689" t="n">
        <x:v>-309764.42</x:v>
      </x:c>
      <x:c r="O230" s="689" t="n">
        <x:v>-21.79</x:v>
      </x:c>
      <x:c r="P230" s="689">
        <x:v>0</x:v>
      </x:c>
      <x:c r="Q230" s="689">
        <x:v>0</x:v>
      </x:c>
      <x:c r="R230" s="688">
        <x:v>0</x:v>
      </x:c>
      <x:c r="S230" s="688"/>
      <x:c r="T230" s="688"/>
      <x:c r="U230" s="688"/>
      <x:c r="V230" s="688"/>
      <x:c r="W230" s="688"/>
      <x:c r="X230" s="688"/>
      <x:c r="Y230" s="688"/>
      <x:c r="Z230" s="701"/>
    </x:row>
    <x:row r="231" spans="1:26" x14ac:dyDescent="0.2">
      <x:c r="C231" s="681" t="s">
        <x:v>72</x:v>
      </x:c>
      <x:c r="D231" s="683" t="n">
        <x:v>-855911.65</x:v>
      </x:c>
      <x:c r="E231" s="683" t="n">
        <x:v>-56578.79</x:v>
      </x:c>
      <x:c r="F231" s="683" t="n">
        <x:v>-29944.45</x:v>
      </x:c>
      <x:c r="G231" s="683" t="n">
        <x:v>-16676.99</x:v>
      </x:c>
      <x:c r="H231" s="683" t="n">
        <x:v>-192512.79</x:v>
      </x:c>
      <x:c r="I231" s="683" t="n">
        <x:v>-5218.15</x:v>
      </x:c>
      <x:c r="J231" s="683" t="n">
        <x:v>-44076.57</x:v>
      </x:c>
      <x:c r="K231" s="683" t="n">
        <x:v>-55205.51</x:v>
      </x:c>
      <x:c r="L231" s="683" t="n">
        <x:v>-296108.41</x:v>
      </x:c>
      <x:c r="M231" s="683" t="n">
        <x:v>-151081.81</x:v>
      </x:c>
      <x:c r="N231" s="683" t="n">
        <x:v>-8513.86</x:v>
      </x:c>
      <x:c r="O231" s="683" t="n">
        <x:v>5.68</x:v>
      </x:c>
      <x:c r="P231" s="683">
        <x:v>0</x:v>
      </x:c>
      <x:c r="Q231" s="683">
        <x:v>0</x:v>
      </x:c>
      <x:c r="R231" s="681">
        <x:v>0</x:v>
      </x:c>
      <x:c r="Z231" s="701"/>
    </x:row>
    <x:row r="232" spans="1:26" x14ac:dyDescent="0.2">
      <x:c r="C232" s="681" t="s">
        <x:v>81</x:v>
      </x:c>
      <x:c r="D232" s="683" t="n">
        <x:v>-456.33</x:v>
      </x:c>
      <x:c r="E232" s="683" t="n">
        <x:v>-43.08</x:v>
      </x:c>
      <x:c r="F232" s="683" t="n">
        <x:v>-19.82</x:v>
      </x:c>
      <x:c r="G232" s="683" t="n">
        <x:v>-11.45</x:v>
      </x:c>
      <x:c r="H232" s="683" t="n">
        <x:v>-92.32</x:v>
      </x:c>
      <x:c r="I232" s="683" t="n">
        <x:v>-2.28</x:v>
      </x:c>
      <x:c r="J232" s="683" t="n">
        <x:v>-19.89</x:v>
      </x:c>
      <x:c r="K232" s="683" t="n">
        <x:v>-24.84</x:v>
      </x:c>
      <x:c r="L232" s="683" t="n">
        <x:v>-122.9</x:v>
      </x:c>
      <x:c r="M232" s="683" t="n">
        <x:v>-116.06</x:v>
      </x:c>
      <x:c r="N232" s="683" t="n">
        <x:v>-3.69</x:v>
      </x:c>
      <x:c r="O232" s="683" t="n">
        <x:v>0</x:v>
      </x:c>
      <x:c r="P232" s="683">
        <x:v>0</x:v>
      </x:c>
      <x:c r="Q232" s="683">
        <x:v>0</x:v>
      </x:c>
      <x:c r="R232" s="681">
        <x:v>0</x:v>
      </x:c>
      <x:c r="Z232" s="701"/>
    </x:row>
    <x:row r="233" spans="1:26" x14ac:dyDescent="0.2">
      <x:c r="A233" s="684"/>
      <x:c r="B233" s="685" t="s">
        <x:v>78</x:v>
      </x:c>
      <x:c r="C233" s="685" t="s">
        <x:v>70</x:v>
      </x:c>
      <x:c r="D233" s="685" t="n">
        <x:v>-856367.98</x:v>
      </x:c>
      <x:c r="E233" s="685" t="n">
        <x:v>-56621.87</x:v>
      </x:c>
      <x:c r="F233" s="685" t="n">
        <x:v>-29964.27</x:v>
      </x:c>
      <x:c r="G233" s="685" t="n">
        <x:v>-16688.44</x:v>
      </x:c>
      <x:c r="H233" s="685" t="n">
        <x:v>-192605.11</x:v>
      </x:c>
      <x:c r="I233" s="685" t="n">
        <x:v>-5220.43</x:v>
      </x:c>
      <x:c r="J233" s="685" t="n">
        <x:v>-44096.46</x:v>
      </x:c>
      <x:c r="K233" s="685" t="n">
        <x:v>-55230.35</x:v>
      </x:c>
      <x:c r="L233" s="685" t="n">
        <x:v>-296231.31</x:v>
      </x:c>
      <x:c r="M233" s="685" t="n">
        <x:v>-151197.87</x:v>
      </x:c>
      <x:c r="N233" s="685" t="n">
        <x:v>-8517.55</x:v>
      </x:c>
      <x:c r="O233" s="685" t="n">
        <x:v>5.68</x:v>
      </x:c>
      <x:c r="P233" s="684">
        <x:v>0</x:v>
      </x:c>
      <x:c r="Q233" s="685">
        <x:v>0</x:v>
      </x:c>
      <x:c r="R233" s="685">
        <x:v>0</x:v>
      </x:c>
      <x:c r="S233" s="684"/>
      <x:c r="T233" s="684"/>
      <x:c r="U233" s="684"/>
      <x:c r="V233" s="684"/>
      <x:c r="W233" s="684"/>
      <x:c r="X233" s="684"/>
      <x:c r="Y233" s="684"/>
      <x:c r="Z233" s="701"/>
    </x:row>
    <x:row r="234" spans="1:26" x14ac:dyDescent="0.2">
      <x:c r="C234" s="681" t="s">
        <x:v>73</x:v>
      </x:c>
      <x:c r="D234" s="683" t="n">
        <x:v>120337.98</x:v>
      </x:c>
      <x:c r="E234" s="683" t="n">
        <x:v>-5853.75</x:v>
      </x:c>
      <x:c r="F234" s="683" t="n">
        <x:v>-3466.39</x:v>
      </x:c>
      <x:c r="G234" s="683" t="n">
        <x:v>-1802.77</x:v>
      </x:c>
      <x:c r="H234" s="683" t="n">
        <x:v>44564.39</x:v>
      </x:c>
      <x:c r="I234" s="683" t="n">
        <x:v>1338.88</x:v>
      </x:c>
      <x:c r="J234" s="683" t="n">
        <x:v>11744.63</x:v>
      </x:c>
      <x:c r="K234" s="683" t="n">
        <x:v>14317.92</x:v>
      </x:c>
      <x:c r="L234" s="683" t="n">
        <x:v>72511.87</x:v>
      </x:c>
      <x:c r="M234" s="683" t="n">
        <x:v>-15201.3</x:v>
      </x:c>
      <x:c r="N234" s="683" t="n">
        <x:v>2184.5</x:v>
      </x:c>
      <x:c r="O234" s="683" t="n">
        <x:v>0</x:v>
      </x:c>
      <x:c r="P234" s="683">
        <x:v>0</x:v>
      </x:c>
      <x:c r="Q234" s="683">
        <x:v>0</x:v>
      </x:c>
      <x:c r="R234" s="681">
        <x:v>0</x:v>
      </x:c>
      <x:c r="Z234" s="701"/>
    </x:row>
    <x:row r="235" spans="1:26" x14ac:dyDescent="0.2">
      <x:c r="A235" s="686"/>
      <x:c r="B235" s="687" t="s">
        <x:v>79</x:v>
      </x:c>
      <x:c r="C235" s="687" t="s">
        <x:v>70</x:v>
      </x:c>
      <x:c r="D235" s="687" t="n">
        <x:v>120337.98</x:v>
      </x:c>
      <x:c r="E235" s="687" t="n">
        <x:v>-5853.75</x:v>
      </x:c>
      <x:c r="F235" s="687" t="n">
        <x:v>-3466.39</x:v>
      </x:c>
      <x:c r="G235" s="687" t="n">
        <x:v>-1802.77</x:v>
      </x:c>
      <x:c r="H235" s="687" t="n">
        <x:v>44564.39</x:v>
      </x:c>
      <x:c r="I235" s="687" t="n">
        <x:v>1338.88</x:v>
      </x:c>
      <x:c r="J235" s="687" t="n">
        <x:v>11744.63</x:v>
      </x:c>
      <x:c r="K235" s="687" t="n">
        <x:v>14317.92</x:v>
      </x:c>
      <x:c r="L235" s="687" t="n">
        <x:v>72511.87</x:v>
      </x:c>
      <x:c r="M235" s="687" t="n">
        <x:v>-15201.3</x:v>
      </x:c>
      <x:c r="N235" s="687" t="n">
        <x:v>2184.5</x:v>
      </x:c>
      <x:c r="O235" s="687" t="n">
        <x:v>0</x:v>
      </x:c>
      <x:c r="P235" s="686">
        <x:v>0</x:v>
      </x:c>
      <x:c r="Q235" s="687">
        <x:v>0</x:v>
      </x:c>
      <x:c r="R235" s="687">
        <x:v>0</x:v>
      </x:c>
      <x:c r="S235" s="686"/>
      <x:c r="T235" s="686"/>
      <x:c r="U235" s="686"/>
      <x:c r="V235" s="686"/>
      <x:c r="W235" s="686"/>
      <x:c r="X235" s="686"/>
      <x:c r="Y235" s="686"/>
      <x:c r="Z235" s="701"/>
    </x:row>
    <x:row r="236" spans="1:26" x14ac:dyDescent="0.2">
      <x:c r="A236" s="702" t="s">
        <x:v>120</x:v>
      </x:c>
      <x:c r="B236" s="702" t="s">
        <x:v>70</x:v>
      </x:c>
      <x:c r="C236" s="702"/>
      <x:c r="D236" s="703" t="n">
        <x:v>-736030</x:v>
      </x:c>
      <x:c r="E236" s="703" t="n">
        <x:v>-62475.62</x:v>
      </x:c>
      <x:c r="F236" s="703" t="n">
        <x:v>-33430.66</x:v>
      </x:c>
      <x:c r="G236" s="703" t="n">
        <x:v>-18491.21</x:v>
      </x:c>
      <x:c r="H236" s="703" t="n">
        <x:v>-148040.72</x:v>
      </x:c>
      <x:c r="I236" s="703" t="n">
        <x:v>-3881.55</x:v>
      </x:c>
      <x:c r="J236" s="703" t="n">
        <x:v>-32351.83</x:v>
      </x:c>
      <x:c r="K236" s="703" t="n">
        <x:v>-40912.43</x:v>
      </x:c>
      <x:c r="L236" s="703" t="n">
        <x:v>-223719.44</x:v>
      </x:c>
      <x:c r="M236" s="703" t="n">
        <x:v>-166399.17</x:v>
      </x:c>
      <x:c r="N236" s="703" t="n">
        <x:v>-6333.05</x:v>
      </x:c>
      <x:c r="O236" s="703" t="n">
        <x:v>5.68</x:v>
      </x:c>
      <x:c r="P236" s="703">
        <x:v>0</x:v>
      </x:c>
      <x:c r="Q236" s="703">
        <x:v>0</x:v>
      </x:c>
      <x:c r="R236" s="702">
        <x:v>0</x:v>
      </x:c>
      <x:c r="S236" s="702"/>
      <x:c r="T236" s="702"/>
      <x:c r="U236" s="702"/>
      <x:c r="V236" s="702"/>
      <x:c r="W236" s="702"/>
      <x:c r="X236" s="702"/>
      <x:c r="Y236" s="702"/>
      <x:c r="Z236" s="701"/>
    </x:row>
    <x:row r="237" spans="1:26" x14ac:dyDescent="0.2">
      <x:c r="C237" s="681" t="s">
        <x:v>72</x:v>
      </x:c>
      <x:c r="D237" s="683" t="n">
        <x:v>-3952597.5</x:v>
      </x:c>
      <x:c r="E237" s="683" t="n">
        <x:v>-239180.98</x:v>
      </x:c>
      <x:c r="F237" s="683" t="n">
        <x:v>-134746.5</x:v>
      </x:c>
      <x:c r="G237" s="683" t="n">
        <x:v>-69663.42</x:v>
      </x:c>
      <x:c r="H237" s="683" t="n">
        <x:v>-865036.73</x:v>
      </x:c>
      <x:c r="I237" s="683" t="n">
        <x:v>-28695.58</x:v>
      </x:c>
      <x:c r="J237" s="683" t="n">
        <x:v>-279525.13</x:v>
      </x:c>
      <x:c r="K237" s="683" t="n">
        <x:v>-279118.37</x:v>
      </x:c>
      <x:c r="L237" s="683" t="n">
        <x:v>-1359152.73</x:v>
      </x:c>
      <x:c r="M237" s="683" t="n">
        <x:v>-648894.61</x:v>
      </x:c>
      <x:c r="N237" s="683" t="n">
        <x:v>-48597.18</x:v>
      </x:c>
      <x:c r="O237" s="683" t="n">
        <x:v>13.73</x:v>
      </x:c>
      <x:c r="P237" s="683">
        <x:v>0</x:v>
      </x:c>
      <x:c r="Q237" s="683">
        <x:v>0</x:v>
      </x:c>
      <x:c r="R237" s="681">
        <x:v>0</x:v>
      </x:c>
      <x:c r="Z237" s="701"/>
    </x:row>
    <x:row r="238" spans="1:26" x14ac:dyDescent="0.2">
      <x:c r="C238" s="681" t="s">
        <x:v>81</x:v>
      </x:c>
      <x:c r="D238" s="683" t="n">
        <x:v>-72621.51</x:v>
      </x:c>
      <x:c r="E238" s="683" t="n">
        <x:v>-5294.3</x:v>
      </x:c>
      <x:c r="F238" s="683" t="n">
        <x:v>-1735.02</x:v>
      </x:c>
      <x:c r="G238" s="683" t="n">
        <x:v>-406.34</x:v>
      </x:c>
      <x:c r="H238" s="683" t="n">
        <x:v>-9879.81</x:v>
      </x:c>
      <x:c r="I238" s="683" t="n">
        <x:v>-851.94</x:v>
      </x:c>
      <x:c r="J238" s="683" t="n">
        <x:v>-7477.78</x:v>
      </x:c>
      <x:c r="K238" s="683" t="n">
        <x:v>-6895.96</x:v>
      </x:c>
      <x:c r="L238" s="683" t="n">
        <x:v>-23542.38</x:v>
      </x:c>
      <x:c r="M238" s="683" t="n">
        <x:v>-15148.31</x:v>
      </x:c>
      <x:c r="N238" s="683" t="n">
        <x:v>-1390.75</x:v>
      </x:c>
      <x:c r="O238" s="683" t="n">
        <x:v>1.08</x:v>
      </x:c>
      <x:c r="P238" s="683">
        <x:v>0</x:v>
      </x:c>
      <x:c r="Q238" s="683">
        <x:v>0</x:v>
      </x:c>
      <x:c r="R238" s="681">
        <x:v>0</x:v>
      </x:c>
      <x:c r="Z238" s="701"/>
    </x:row>
    <x:row r="239" spans="1:26" x14ac:dyDescent="0.2">
      <x:c r="A239" s="684"/>
      <x:c r="B239" s="685" t="s">
        <x:v>78</x:v>
      </x:c>
      <x:c r="C239" s="685" t="s">
        <x:v>70</x:v>
      </x:c>
      <x:c r="D239" s="685" t="n">
        <x:v>-4025219.01</x:v>
      </x:c>
      <x:c r="E239" s="685" t="n">
        <x:v>-244475.28</x:v>
      </x:c>
      <x:c r="F239" s="685" t="n">
        <x:v>-136481.52</x:v>
      </x:c>
      <x:c r="G239" s="685" t="n">
        <x:v>-70069.76</x:v>
      </x:c>
      <x:c r="H239" s="685" t="n">
        <x:v>-874916.54</x:v>
      </x:c>
      <x:c r="I239" s="685" t="n">
        <x:v>-29547.52</x:v>
      </x:c>
      <x:c r="J239" s="685" t="n">
        <x:v>-287002.91</x:v>
      </x:c>
      <x:c r="K239" s="685" t="n">
        <x:v>-286014.33</x:v>
      </x:c>
      <x:c r="L239" s="685" t="n">
        <x:v>-1382695.11</x:v>
      </x:c>
      <x:c r="M239" s="685" t="n">
        <x:v>-664042.92</x:v>
      </x:c>
      <x:c r="N239" s="685" t="n">
        <x:v>-49987.93</x:v>
      </x:c>
      <x:c r="O239" s="685" t="n">
        <x:v>14.81</x:v>
      </x:c>
      <x:c r="P239" s="684">
        <x:v>0</x:v>
      </x:c>
      <x:c r="Q239" s="685">
        <x:v>0</x:v>
      </x:c>
      <x:c r="R239" s="685">
        <x:v>0</x:v>
      </x:c>
      <x:c r="S239" s="684"/>
      <x:c r="T239" s="684"/>
      <x:c r="U239" s="684"/>
      <x:c r="V239" s="684"/>
      <x:c r="W239" s="684"/>
      <x:c r="X239" s="684"/>
      <x:c r="Y239" s="684"/>
      <x:c r="Z239" s="701"/>
    </x:row>
    <x:row r="240" spans="1:26" x14ac:dyDescent="0.2">
      <x:c r="C240" s="681" t="s">
        <x:v>73</x:v>
      </x:c>
      <x:c r="D240" s="683" t="n">
        <x:v>791790.67</x:v>
      </x:c>
      <x:c r="E240" s="683" t="n">
        <x:v>30614.54</x:v>
      </x:c>
      <x:c r="F240" s="683" t="n">
        <x:v>15664.41</x:v>
      </x:c>
      <x:c r="G240" s="683" t="n">
        <x:v>8427.03</x:v>
      </x:c>
      <x:c r="H240" s="683" t="n">
        <x:v>198488.51</x:v>
      </x:c>
      <x:c r="I240" s="683" t="n">
        <x:v>7139.75</x:v>
      </x:c>
      <x:c r="J240" s="683" t="n">
        <x:v>62630.13</x:v>
      </x:c>
      <x:c r="K240" s="683" t="n">
        <x:v>62193.6</x:v>
      </x:c>
      <x:c r="L240" s="683" t="n">
        <x:v>307975.48</x:v>
      </x:c>
      <x:c r="M240" s="683" t="n">
        <x:v>87007.94</x:v>
      </x:c>
      <x:c r="N240" s="683" t="n">
        <x:v>11649.28</x:v>
      </x:c>
      <x:c r="O240" s="683" t="n">
        <x:v>0</x:v>
      </x:c>
      <x:c r="P240" s="683">
        <x:v>0</x:v>
      </x:c>
      <x:c r="Q240" s="683">
        <x:v>0</x:v>
      </x:c>
      <x:c r="R240" s="681">
        <x:v>0</x:v>
      </x:c>
      <x:c r="Z240" s="701"/>
    </x:row>
    <x:row r="241" spans="1:26" x14ac:dyDescent="0.2">
      <x:c r="A241" s="686"/>
      <x:c r="B241" s="687" t="s">
        <x:v>79</x:v>
      </x:c>
      <x:c r="C241" s="687" t="s">
        <x:v>70</x:v>
      </x:c>
      <x:c r="D241" s="687" t="n">
        <x:v>791790.67</x:v>
      </x:c>
      <x:c r="E241" s="687" t="n">
        <x:v>30614.54</x:v>
      </x:c>
      <x:c r="F241" s="687" t="n">
        <x:v>15664.41</x:v>
      </x:c>
      <x:c r="G241" s="687" t="n">
        <x:v>8427.03</x:v>
      </x:c>
      <x:c r="H241" s="687" t="n">
        <x:v>198488.51</x:v>
      </x:c>
      <x:c r="I241" s="687" t="n">
        <x:v>7139.75</x:v>
      </x:c>
      <x:c r="J241" s="687" t="n">
        <x:v>62630.13</x:v>
      </x:c>
      <x:c r="K241" s="687" t="n">
        <x:v>62193.6</x:v>
      </x:c>
      <x:c r="L241" s="687" t="n">
        <x:v>307975.48</x:v>
      </x:c>
      <x:c r="M241" s="687" t="n">
        <x:v>87007.94</x:v>
      </x:c>
      <x:c r="N241" s="687" t="n">
        <x:v>11649.28</x:v>
      </x:c>
      <x:c r="O241" s="687" t="n">
        <x:v>0</x:v>
      </x:c>
      <x:c r="P241" s="686">
        <x:v>0</x:v>
      </x:c>
      <x:c r="Q241" s="687">
        <x:v>0</x:v>
      </x:c>
      <x:c r="R241" s="687">
        <x:v>0</x:v>
      </x:c>
      <x:c r="S241" s="686"/>
      <x:c r="T241" s="686"/>
      <x:c r="U241" s="686"/>
      <x:c r="V241" s="686"/>
      <x:c r="W241" s="686"/>
      <x:c r="X241" s="686"/>
      <x:c r="Y241" s="686"/>
      <x:c r="Z241" s="701"/>
    </x:row>
    <x:row r="242" spans="1:26" x14ac:dyDescent="0.2">
      <x:c r="A242" s="690" t="s">
        <x:v>119</x:v>
      </x:c>
      <x:c r="B242" s="690" t="s">
        <x:v>70</x:v>
      </x:c>
      <x:c r="C242" s="690"/>
      <x:c r="D242" s="691" t="n">
        <x:v>-3233428.34</x:v>
      </x:c>
      <x:c r="E242" s="691" t="n">
        <x:v>-213860.74</x:v>
      </x:c>
      <x:c r="F242" s="691" t="n">
        <x:v>-120817.11</x:v>
      </x:c>
      <x:c r="G242" s="691" t="n">
        <x:v>-61642.73</x:v>
      </x:c>
      <x:c r="H242" s="691" t="n">
        <x:v>-676428.03</x:v>
      </x:c>
      <x:c r="I242" s="691" t="n">
        <x:v>-22407.77</x:v>
      </x:c>
      <x:c r="J242" s="691" t="n">
        <x:v>-224372.78</x:v>
      </x:c>
      <x:c r="K242" s="691" t="n">
        <x:v>-223820.73</x:v>
      </x:c>
      <x:c r="L242" s="691" t="n">
        <x:v>-1074719.63</x:v>
      </x:c>
      <x:c r="M242" s="691" t="n">
        <x:v>-577034.98</x:v>
      </x:c>
      <x:c r="N242" s="691" t="n">
        <x:v>-38338.65</x:v>
      </x:c>
      <x:c r="O242" s="691" t="n">
        <x:v>14.81</x:v>
      </x:c>
      <x:c r="P242" s="691">
        <x:v>0</x:v>
      </x:c>
      <x:c r="Q242" s="691">
        <x:v>0</x:v>
      </x:c>
      <x:c r="R242" s="690">
        <x:v>0</x:v>
      </x:c>
      <x:c r="S242" s="690"/>
      <x:c r="T242" s="690"/>
      <x:c r="U242" s="690"/>
      <x:c r="V242" s="690"/>
      <x:c r="W242" s="690"/>
      <x:c r="X242" s="690"/>
      <x:c r="Y242" s="690"/>
      <x:c r="Z242" s="701"/>
    </x:row>
    <x:row r="243" spans="1:26" x14ac:dyDescent="0.2">
      <x:c r="A243" s="692" t="s">
        <x:v>70</x:v>
      </x:c>
      <x:c r="B243" s="693"/>
      <x:c r="C243" s="693"/>
      <x:c r="D243" s="692" t="n">
        <x:v>-33738104.23</x:v>
      </x:c>
      <x:c r="E243" s="692" t="n">
        <x:v>-3233980.29</x:v>
      </x:c>
      <x:c r="F243" s="692" t="n">
        <x:v>-1630433.72</x:v>
      </x:c>
      <x:c r="G243" s="692" t="n">
        <x:v>-759694.12</x:v>
      </x:c>
      <x:c r="H243" s="692" t="n">
        <x:v>-5929759.33</x:v>
      </x:c>
      <x:c r="I243" s="692" t="n">
        <x:v>-216132.71</x:v>
      </x:c>
      <x:c r="J243" s="692" t="n">
        <x:v>-1906702.64</x:v>
      </x:c>
      <x:c r="K243" s="692" t="n">
        <x:v>-2007529.35</x:v>
      </x:c>
      <x:c r="L243" s="692" t="n">
        <x:v>-9138926.71</x:v>
      </x:c>
      <x:c r="M243" s="692" t="n">
        <x:v>-8560507.65</x:v>
      </x:c>
      <x:c r="N243" s="692" t="n">
        <x:v>-354436.12</x:v>
      </x:c>
      <x:c r="O243" s="692" t="n">
        <x:v>-1.3</x:v>
      </x:c>
      <x:c r="P243" s="693" t="n">
        <x:v>0</x:v>
      </x:c>
      <x:c r="Q243" s="692">
        <x:v>0</x:v>
      </x:c>
      <x:c r="R243" s="692">
        <x:v>0</x:v>
      </x:c>
      <x:c r="S243" s="693"/>
      <x:c r="T243" s="693"/>
      <x:c r="U243" s="693"/>
      <x:c r="V243" s="693"/>
      <x:c r="W243" s="693"/>
      <x:c r="X243" s="693"/>
      <x:c r="Y243" s="693"/>
      <x:c r="Z243" s="701"/>
    </x:row>
    <x:row r="244" spans="1:26" x14ac:dyDescent="0.2">
      <x:c r="A244" s="683"/>
      <x:c r="B244" s="683"/>
      <x:c r="D244" s="683"/>
      <x:c r="E244" s="683"/>
      <x:c r="F244" s="683"/>
      <x:c r="G244" s="683"/>
      <x:c r="H244" s="683"/>
      <x:c r="I244" s="683"/>
      <x:c r="J244" s="683"/>
      <x:c r="K244" s="683"/>
      <x:c r="L244" s="683"/>
      <x:c r="M244" s="683"/>
      <x:c r="N244" s="683"/>
      <x:c r="O244" s="683"/>
      <x:c r="Z244" s="701"/>
    </x:row>
    <x:row r="245" spans="1:26" x14ac:dyDescent="0.2">
      <x:c r="A245" s="683"/>
      <x:c r="D245" s="683"/>
      <x:c r="E245" s="683"/>
      <x:c r="F245" s="683"/>
      <x:c r="G245" s="683"/>
      <x:c r="H245" s="683"/>
      <x:c r="I245" s="683"/>
      <x:c r="J245" s="683"/>
      <x:c r="K245" s="683"/>
      <x:c r="L245" s="683"/>
      <x:c r="M245" s="683"/>
      <x:c r="N245" s="683"/>
      <x:c r="O245" s="683"/>
      <x:c r="Z245" s="701"/>
    </x:row>
    <x:row r="246" spans="1:26" x14ac:dyDescent="0.2">
      <x:c r="B246" s="683"/>
      <x:c r="C246" s="683"/>
      <x:c r="D246" s="683"/>
      <x:c r="E246" s="683"/>
      <x:c r="F246" s="683"/>
      <x:c r="G246" s="683"/>
      <x:c r="H246" s="683"/>
      <x:c r="I246" s="683"/>
      <x:c r="J246" s="683"/>
      <x:c r="K246" s="683"/>
      <x:c r="L246" s="683"/>
      <x:c r="M246" s="683"/>
      <x:c r="N246" s="683"/>
      <x:c r="O246" s="683"/>
      <x:c r="Z246" s="701"/>
    </x:row>
    <x:row r="247" spans="1:26" x14ac:dyDescent="0.2">
      <x:c r="B247" s="683"/>
      <x:c r="C247" s="683"/>
      <x:c r="D247" s="683"/>
      <x:c r="E247" s="683"/>
      <x:c r="F247" s="683"/>
      <x:c r="G247" s="683"/>
      <x:c r="H247" s="683"/>
      <x:c r="I247" s="683"/>
      <x:c r="J247" s="683"/>
      <x:c r="K247" s="683"/>
      <x:c r="L247" s="683"/>
      <x:c r="M247" s="683"/>
      <x:c r="N247" s="683"/>
      <x:c r="O247" s="683"/>
      <x:c r="Z247" s="701"/>
    </x:row>
    <x:row r="248" spans="1:26" x14ac:dyDescent="0.2">
      <x:c r="B248" s="683"/>
      <x:c r="C248" s="683"/>
      <x:c r="D248" s="683"/>
      <x:c r="E248" s="683"/>
      <x:c r="F248" s="683"/>
      <x:c r="G248" s="683"/>
      <x:c r="H248" s="683"/>
      <x:c r="I248" s="683"/>
      <x:c r="J248" s="683"/>
      <x:c r="K248" s="683"/>
      <x:c r="L248" s="683"/>
      <x:c r="M248" s="683"/>
      <x:c r="N248" s="683"/>
      <x:c r="O248" s="683"/>
      <x:c r="Z248" s="701"/>
    </x:row>
    <x:row r="249" spans="1:26" x14ac:dyDescent="0.2">
      <x:c r="B249" s="683"/>
      <x:c r="C249" s="683"/>
      <x:c r="D249" s="683"/>
      <x:c r="E249" s="683"/>
      <x:c r="F249" s="683"/>
      <x:c r="G249" s="683"/>
      <x:c r="H249" s="683"/>
      <x:c r="I249" s="683"/>
      <x:c r="J249" s="683"/>
      <x:c r="K249" s="683"/>
      <x:c r="L249" s="683"/>
      <x:c r="M249" s="683"/>
      <x:c r="N249" s="683"/>
      <x:c r="O249" s="683"/>
      <x:c r="Z249" s="701"/>
    </x:row>
    <x:row r="250" spans="1:26" x14ac:dyDescent="0.2">
      <x:c r="B250" s="683"/>
      <x:c r="C250" s="683"/>
      <x:c r="D250" s="683"/>
      <x:c r="E250" s="683"/>
      <x:c r="F250" s="683"/>
      <x:c r="G250" s="683"/>
      <x:c r="H250" s="683"/>
      <x:c r="I250" s="683"/>
      <x:c r="J250" s="683"/>
      <x:c r="K250" s="683"/>
      <x:c r="L250" s="683"/>
      <x:c r="M250" s="683"/>
      <x:c r="N250" s="683"/>
      <x:c r="O250" s="683"/>
      <x:c r="Z250" s="701"/>
    </x:row>
    <x:row r="251" spans="1:26" x14ac:dyDescent="0.2">
      <x:c r="B251" s="683"/>
      <x:c r="C251" s="683"/>
      <x:c r="D251" s="683"/>
      <x:c r="E251" s="683"/>
      <x:c r="F251" s="683"/>
      <x:c r="G251" s="683"/>
      <x:c r="H251" s="683"/>
      <x:c r="I251" s="683"/>
      <x:c r="J251" s="683"/>
      <x:c r="K251" s="683"/>
      <x:c r="L251" s="683"/>
      <x:c r="M251" s="683"/>
      <x:c r="N251" s="683"/>
      <x:c r="O251" s="683"/>
      <x:c r="Z251" s="701"/>
    </x:row>
    <x:row r="252" spans="1:26" x14ac:dyDescent="0.2">
      <x:c r="B252" s="683"/>
      <x:c r="C252" s="683"/>
      <x:c r="D252" s="683"/>
      <x:c r="E252" s="683"/>
      <x:c r="F252" s="683"/>
      <x:c r="G252" s="683"/>
      <x:c r="H252" s="683"/>
      <x:c r="I252" s="683"/>
      <x:c r="J252" s="683"/>
      <x:c r="K252" s="683"/>
      <x:c r="L252" s="683"/>
      <x:c r="M252" s="683"/>
      <x:c r="N252" s="683"/>
      <x:c r="O252" s="683"/>
      <x:c r="Z252" s="701"/>
    </x:row>
    <x:row r="253" spans="1:26" x14ac:dyDescent="0.2">
      <x:c r="B253" s="683"/>
      <x:c r="C253" s="683"/>
      <x:c r="D253" s="683"/>
      <x:c r="E253" s="683"/>
      <x:c r="F253" s="683"/>
      <x:c r="G253" s="683"/>
      <x:c r="H253" s="683"/>
      <x:c r="I253" s="683"/>
      <x:c r="J253" s="683"/>
      <x:c r="K253" s="683"/>
      <x:c r="L253" s="683"/>
      <x:c r="M253" s="683"/>
      <x:c r="N253" s="683"/>
      <x:c r="O253" s="683"/>
      <x:c r="Z253" s="701"/>
    </x:row>
    <x:row r="254" spans="1:26" x14ac:dyDescent="0.2">
      <x:c r="B254" s="683"/>
      <x:c r="C254" s="683"/>
      <x:c r="D254" s="683"/>
      <x:c r="E254" s="683"/>
      <x:c r="F254" s="683"/>
      <x:c r="G254" s="683"/>
      <x:c r="H254" s="683"/>
      <x:c r="I254" s="683"/>
      <x:c r="J254" s="683"/>
      <x:c r="K254" s="683"/>
      <x:c r="L254" s="683"/>
      <x:c r="M254" s="683"/>
      <x:c r="N254" s="683"/>
      <x:c r="O254" s="683"/>
      <x:c r="Z254" s="701"/>
    </x:row>
    <x:row r="255" spans="1:26" x14ac:dyDescent="0.2">
      <x:c r="B255" s="683"/>
      <x:c r="C255" s="683"/>
      <x:c r="D255" s="683"/>
      <x:c r="E255" s="683"/>
      <x:c r="F255" s="683"/>
      <x:c r="G255" s="683"/>
      <x:c r="H255" s="683"/>
      <x:c r="I255" s="683"/>
      <x:c r="J255" s="683"/>
      <x:c r="K255" s="683"/>
      <x:c r="L255" s="683"/>
      <x:c r="M255" s="683"/>
      <x:c r="N255" s="683"/>
      <x:c r="O255" s="683"/>
      <x:c r="Z255" s="701"/>
    </x:row>
    <x:row r="256" spans="1:26" x14ac:dyDescent="0.2">
      <x:c r="B256" s="683"/>
      <x:c r="C256" s="683"/>
      <x:c r="D256" s="683"/>
      <x:c r="E256" s="683"/>
      <x:c r="F256" s="683"/>
      <x:c r="G256" s="683"/>
      <x:c r="H256" s="683"/>
      <x:c r="I256" s="683"/>
      <x:c r="J256" s="683"/>
      <x:c r="K256" s="683"/>
      <x:c r="L256" s="683"/>
      <x:c r="M256" s="683"/>
      <x:c r="N256" s="683"/>
      <x:c r="O256" s="683"/>
      <x:c r="Z256" s="701"/>
    </x:row>
    <x:row r="257" spans="2:26" x14ac:dyDescent="0.2">
      <x:c r="B257" s="683"/>
      <x:c r="C257" s="683"/>
      <x:c r="D257" s="683"/>
      <x:c r="E257" s="683"/>
      <x:c r="F257" s="683"/>
      <x:c r="G257" s="683"/>
      <x:c r="H257" s="683"/>
      <x:c r="I257" s="683"/>
      <x:c r="J257" s="683"/>
      <x:c r="K257" s="683"/>
      <x:c r="L257" s="683"/>
      <x:c r="M257" s="683"/>
      <x:c r="N257" s="683"/>
      <x:c r="O257" s="683"/>
      <x:c r="Z257" s="701"/>
    </x:row>
    <x:row r="258" spans="2:26" x14ac:dyDescent="0.2">
      <x:c r="B258" s="683"/>
      <x:c r="C258" s="683"/>
      <x:c r="D258" s="683"/>
      <x:c r="E258" s="683"/>
      <x:c r="F258" s="683"/>
      <x:c r="G258" s="683"/>
      <x:c r="H258" s="683"/>
      <x:c r="I258" s="683"/>
      <x:c r="J258" s="683"/>
      <x:c r="K258" s="683"/>
      <x:c r="L258" s="683"/>
      <x:c r="M258" s="683"/>
      <x:c r="N258" s="683"/>
      <x:c r="O258" s="683"/>
      <x:c r="Z258" s="701"/>
    </x:row>
    <x:row r="259" spans="2:26" x14ac:dyDescent="0.2">
      <x:c r="B259" s="683"/>
      <x:c r="C259" s="683"/>
      <x:c r="D259" s="683"/>
      <x:c r="E259" s="683"/>
      <x:c r="F259" s="683"/>
      <x:c r="G259" s="683"/>
      <x:c r="H259" s="683"/>
      <x:c r="I259" s="683"/>
      <x:c r="J259" s="683"/>
      <x:c r="K259" s="683"/>
      <x:c r="L259" s="683"/>
      <x:c r="M259" s="683"/>
      <x:c r="N259" s="683"/>
      <x:c r="O259" s="683"/>
      <x:c r="Z259" s="701"/>
    </x:row>
    <x:row r="260" spans="2:26" x14ac:dyDescent="0.2">
      <x:c r="B260" s="683"/>
      <x:c r="C260" s="683"/>
      <x:c r="D260" s="683"/>
      <x:c r="E260" s="683"/>
      <x:c r="F260" s="683"/>
      <x:c r="G260" s="683"/>
      <x:c r="H260" s="683"/>
      <x:c r="I260" s="683"/>
      <x:c r="J260" s="683"/>
      <x:c r="K260" s="683"/>
      <x:c r="L260" s="683"/>
      <x:c r="M260" s="683"/>
      <x:c r="N260" s="683"/>
      <x:c r="O260" s="683"/>
      <x:c r="Z260" s="701"/>
    </x:row>
    <x:row r="261" spans="2:26" x14ac:dyDescent="0.2">
      <x:c r="B261" s="683"/>
      <x:c r="C261" s="683"/>
      <x:c r="D261" s="683"/>
      <x:c r="E261" s="683"/>
      <x:c r="F261" s="683"/>
      <x:c r="G261" s="683"/>
      <x:c r="H261" s="683"/>
      <x:c r="I261" s="683"/>
      <x:c r="J261" s="683"/>
      <x:c r="K261" s="683"/>
      <x:c r="L261" s="683"/>
      <x:c r="M261" s="683"/>
      <x:c r="N261" s="683"/>
      <x:c r="O261" s="683"/>
      <x:c r="Z261" s="701"/>
    </x:row>
    <x:row r="262" spans="2:26" x14ac:dyDescent="0.2">
      <x:c r="B262" s="683"/>
      <x:c r="C262" s="683"/>
      <x:c r="D262" s="683"/>
      <x:c r="E262" s="683"/>
      <x:c r="F262" s="683"/>
      <x:c r="G262" s="683"/>
      <x:c r="H262" s="683"/>
      <x:c r="I262" s="683"/>
      <x:c r="J262" s="683"/>
      <x:c r="K262" s="683"/>
      <x:c r="L262" s="683"/>
      <x:c r="M262" s="683"/>
      <x:c r="N262" s="683"/>
      <x:c r="O262" s="683"/>
      <x:c r="Z262" s="701"/>
    </x:row>
    <x:row r="263" spans="2:26" x14ac:dyDescent="0.2">
      <x:c r="B263" s="683"/>
      <x:c r="C263" s="683"/>
      <x:c r="D263" s="683"/>
      <x:c r="E263" s="683"/>
      <x:c r="F263" s="683"/>
      <x:c r="G263" s="683"/>
      <x:c r="H263" s="683"/>
      <x:c r="I263" s="683"/>
      <x:c r="J263" s="683"/>
      <x:c r="K263" s="683"/>
      <x:c r="L263" s="683"/>
      <x:c r="M263" s="683"/>
      <x:c r="N263" s="683"/>
      <x:c r="O263" s="683"/>
      <x:c r="Z263" s="701"/>
    </x:row>
    <x:row r="264" spans="2:26" x14ac:dyDescent="0.2">
      <x:c r="B264" s="683"/>
      <x:c r="C264" s="683"/>
      <x:c r="D264" s="683"/>
      <x:c r="E264" s="683"/>
      <x:c r="F264" s="683"/>
      <x:c r="G264" s="683"/>
      <x:c r="H264" s="683"/>
      <x:c r="I264" s="683"/>
      <x:c r="J264" s="683"/>
      <x:c r="K264" s="683"/>
      <x:c r="L264" s="683"/>
      <x:c r="M264" s="683"/>
      <x:c r="N264" s="683"/>
      <x:c r="O264" s="683"/>
      <x:c r="Z264" s="701"/>
    </x:row>
    <x:row r="265" spans="2:26" x14ac:dyDescent="0.2">
      <x:c r="B265" s="683"/>
      <x:c r="C265" s="683"/>
      <x:c r="D265" s="683"/>
      <x:c r="E265" s="683"/>
      <x:c r="F265" s="683"/>
      <x:c r="G265" s="683"/>
      <x:c r="H265" s="683"/>
      <x:c r="I265" s="683"/>
      <x:c r="J265" s="683"/>
      <x:c r="K265" s="683"/>
      <x:c r="L265" s="683"/>
      <x:c r="M265" s="683"/>
      <x:c r="N265" s="683"/>
      <x:c r="O265" s="683"/>
      <x:c r="Z265" s="701"/>
    </x:row>
    <x:row r="266" spans="2:26" x14ac:dyDescent="0.2">
      <x:c r="B266" s="683"/>
      <x:c r="C266" s="683"/>
      <x:c r="D266" s="683"/>
      <x:c r="E266" s="683"/>
      <x:c r="F266" s="683"/>
      <x:c r="G266" s="683"/>
      <x:c r="H266" s="683"/>
      <x:c r="I266" s="683"/>
      <x:c r="J266" s="683"/>
      <x:c r="K266" s="683"/>
      <x:c r="L266" s="683"/>
      <x:c r="M266" s="683"/>
      <x:c r="N266" s="683"/>
      <x:c r="O266" s="683"/>
      <x:c r="Z266" s="701"/>
    </x:row>
    <x:row r="267" spans="2:26" x14ac:dyDescent="0.2">
      <x:c r="B267" s="683"/>
      <x:c r="C267" s="683"/>
      <x:c r="D267" s="683"/>
      <x:c r="E267" s="683"/>
      <x:c r="F267" s="683"/>
      <x:c r="G267" s="683"/>
      <x:c r="H267" s="683"/>
      <x:c r="I267" s="683"/>
      <x:c r="J267" s="683"/>
      <x:c r="K267" s="683"/>
      <x:c r="L267" s="683"/>
      <x:c r="M267" s="683"/>
      <x:c r="N267" s="683"/>
      <x:c r="O267" s="683"/>
      <x:c r="Z267" s="701"/>
    </x:row>
    <x:row r="268" spans="2:26" x14ac:dyDescent="0.2">
      <x:c r="B268" s="683"/>
      <x:c r="C268" s="683"/>
      <x:c r="D268" s="683"/>
      <x:c r="E268" s="683"/>
      <x:c r="F268" s="683"/>
      <x:c r="G268" s="683"/>
      <x:c r="H268" s="683"/>
      <x:c r="I268" s="683"/>
      <x:c r="J268" s="683"/>
      <x:c r="K268" s="683"/>
      <x:c r="L268" s="683"/>
      <x:c r="M268" s="683"/>
      <x:c r="N268" s="683"/>
      <x:c r="O268" s="683"/>
      <x:c r="Z268" s="701"/>
    </x:row>
    <x:row r="269" spans="2:26" x14ac:dyDescent="0.2">
      <x:c r="B269" s="683"/>
      <x:c r="C269" s="683"/>
      <x:c r="D269" s="683"/>
      <x:c r="E269" s="683"/>
      <x:c r="F269" s="683"/>
      <x:c r="G269" s="683"/>
      <x:c r="H269" s="683"/>
      <x:c r="I269" s="683"/>
      <x:c r="J269" s="683"/>
      <x:c r="K269" s="683"/>
      <x:c r="L269" s="683"/>
      <x:c r="M269" s="683"/>
      <x:c r="N269" s="683"/>
      <x:c r="O269" s="683"/>
      <x:c r="Z269" s="701"/>
    </x:row>
    <x:row r="270" spans="2:26" x14ac:dyDescent="0.2">
      <x:c r="B270" s="683"/>
      <x:c r="C270" s="683"/>
      <x:c r="D270" s="683"/>
      <x:c r="E270" s="683"/>
      <x:c r="F270" s="683"/>
      <x:c r="G270" s="683"/>
      <x:c r="H270" s="683"/>
      <x:c r="I270" s="683"/>
      <x:c r="J270" s="683"/>
      <x:c r="K270" s="683"/>
      <x:c r="L270" s="683"/>
      <x:c r="M270" s="683"/>
      <x:c r="N270" s="683"/>
      <x:c r="O270" s="683"/>
      <x:c r="Z270" s="701"/>
    </x:row>
    <x:row r="271" spans="2:26" x14ac:dyDescent="0.2">
      <x:c r="B271" s="683"/>
      <x:c r="C271" s="683"/>
      <x:c r="D271" s="683"/>
      <x:c r="E271" s="683"/>
      <x:c r="F271" s="683"/>
      <x:c r="G271" s="683"/>
      <x:c r="H271" s="683"/>
      <x:c r="I271" s="683"/>
      <x:c r="J271" s="683"/>
      <x:c r="K271" s="683"/>
      <x:c r="L271" s="683"/>
      <x:c r="M271" s="683"/>
      <x:c r="N271" s="683"/>
      <x:c r="O271" s="683"/>
      <x:c r="Z271" s="701"/>
    </x:row>
    <x:row r="272" spans="2:26" x14ac:dyDescent="0.2">
      <x:c r="B272" s="683"/>
      <x:c r="C272" s="683"/>
      <x:c r="D272" s="683"/>
      <x:c r="E272" s="683"/>
      <x:c r="F272" s="683"/>
      <x:c r="G272" s="683"/>
      <x:c r="H272" s="683"/>
      <x:c r="I272" s="683"/>
      <x:c r="J272" s="683"/>
      <x:c r="K272" s="683"/>
      <x:c r="L272" s="683"/>
      <x:c r="M272" s="683"/>
      <x:c r="N272" s="683"/>
      <x:c r="O272" s="683"/>
      <x:c r="Z272" s="701"/>
    </x:row>
    <x:row r="273" spans="2:26" x14ac:dyDescent="0.2">
      <x:c r="B273" s="683"/>
      <x:c r="C273" s="683"/>
      <x:c r="D273" s="683"/>
      <x:c r="E273" s="683"/>
      <x:c r="F273" s="683"/>
      <x:c r="G273" s="683"/>
      <x:c r="H273" s="683"/>
      <x:c r="I273" s="683"/>
      <x:c r="J273" s="683"/>
      <x:c r="K273" s="683"/>
      <x:c r="L273" s="683"/>
      <x:c r="M273" s="683"/>
      <x:c r="N273" s="683"/>
      <x:c r="O273" s="683"/>
      <x:c r="Z273" s="701"/>
    </x:row>
    <x:row r="274" spans="2:26" x14ac:dyDescent="0.2">
      <x:c r="B274" s="683"/>
      <x:c r="C274" s="683"/>
      <x:c r="D274" s="683"/>
      <x:c r="E274" s="683"/>
      <x:c r="F274" s="683"/>
      <x:c r="G274" s="683"/>
      <x:c r="H274" s="683"/>
      <x:c r="I274" s="683"/>
      <x:c r="J274" s="683"/>
      <x:c r="K274" s="683"/>
      <x:c r="L274" s="683"/>
      <x:c r="M274" s="683"/>
      <x:c r="N274" s="683"/>
      <x:c r="O274" s="683"/>
      <x:c r="Z274" s="701"/>
    </x:row>
    <x:row r="275" spans="2:26" x14ac:dyDescent="0.2">
      <x:c r="B275" s="683"/>
      <x:c r="C275" s="683"/>
      <x:c r="D275" s="683"/>
      <x:c r="E275" s="683"/>
      <x:c r="F275" s="683"/>
      <x:c r="G275" s="683"/>
      <x:c r="H275" s="683"/>
      <x:c r="I275" s="683"/>
      <x:c r="J275" s="683"/>
      <x:c r="K275" s="683"/>
      <x:c r="L275" s="683"/>
      <x:c r="M275" s="683"/>
      <x:c r="N275" s="683"/>
      <x:c r="O275" s="683"/>
      <x:c r="Z275" s="701"/>
    </x:row>
    <x:row r="276" spans="2:26" x14ac:dyDescent="0.2">
      <x:c r="B276" s="683"/>
      <x:c r="C276" s="683"/>
      <x:c r="D276" s="683"/>
      <x:c r="E276" s="683"/>
      <x:c r="F276" s="683"/>
      <x:c r="G276" s="683"/>
      <x:c r="H276" s="683"/>
      <x:c r="I276" s="683"/>
      <x:c r="J276" s="683"/>
      <x:c r="K276" s="683"/>
      <x:c r="L276" s="683"/>
      <x:c r="M276" s="683"/>
      <x:c r="N276" s="683"/>
      <x:c r="O276" s="683"/>
      <x:c r="Z276" s="701"/>
    </x:row>
    <x:row r="277" spans="2:26" x14ac:dyDescent="0.2">
      <x:c r="B277" s="683"/>
      <x:c r="C277" s="683"/>
      <x:c r="D277" s="683"/>
      <x:c r="E277" s="683"/>
      <x:c r="F277" s="683"/>
      <x:c r="G277" s="683"/>
      <x:c r="H277" s="683"/>
      <x:c r="I277" s="683"/>
      <x:c r="J277" s="683"/>
      <x:c r="K277" s="683"/>
      <x:c r="L277" s="683"/>
      <x:c r="M277" s="683"/>
      <x:c r="N277" s="683"/>
      <x:c r="O277" s="683"/>
      <x:c r="Z277" s="701"/>
    </x:row>
    <x:row r="278" spans="2:26" x14ac:dyDescent="0.2">
      <x:c r="B278" s="683"/>
      <x:c r="C278" s="683"/>
      <x:c r="D278" s="683"/>
      <x:c r="E278" s="683"/>
      <x:c r="F278" s="683"/>
      <x:c r="G278" s="683"/>
      <x:c r="H278" s="683"/>
      <x:c r="I278" s="683"/>
      <x:c r="J278" s="683"/>
      <x:c r="K278" s="683"/>
      <x:c r="L278" s="683"/>
      <x:c r="M278" s="683"/>
      <x:c r="N278" s="683"/>
      <x:c r="O278" s="683"/>
      <x:c r="Z278" s="701"/>
    </x:row>
    <x:row r="279" spans="2:26" x14ac:dyDescent="0.2">
      <x:c r="B279" s="683"/>
      <x:c r="C279" s="683"/>
      <x:c r="D279" s="683"/>
      <x:c r="E279" s="683"/>
      <x:c r="F279" s="683"/>
      <x:c r="G279" s="683"/>
      <x:c r="H279" s="683"/>
      <x:c r="I279" s="683"/>
      <x:c r="J279" s="683"/>
      <x:c r="K279" s="683"/>
      <x:c r="L279" s="683"/>
      <x:c r="M279" s="683"/>
      <x:c r="N279" s="683"/>
      <x:c r="O279" s="683"/>
      <x:c r="Z279" s="701"/>
    </x:row>
    <x:row r="280" spans="2:26" x14ac:dyDescent="0.2">
      <x:c r="B280" s="683"/>
      <x:c r="C280" s="683"/>
      <x:c r="D280" s="683"/>
      <x:c r="E280" s="683"/>
      <x:c r="F280" s="683"/>
      <x:c r="G280" s="683"/>
      <x:c r="H280" s="683"/>
      <x:c r="I280" s="683"/>
      <x:c r="J280" s="683"/>
      <x:c r="K280" s="683"/>
      <x:c r="L280" s="683"/>
      <x:c r="M280" s="683"/>
      <x:c r="N280" s="683"/>
      <x:c r="O280" s="683"/>
      <x:c r="Z280" s="701"/>
    </x:row>
    <x:row r="281" spans="2:26" x14ac:dyDescent="0.2">
      <x:c r="B281" s="683"/>
      <x:c r="C281" s="683"/>
      <x:c r="D281" s="683"/>
      <x:c r="E281" s="683"/>
      <x:c r="F281" s="683"/>
      <x:c r="G281" s="683"/>
      <x:c r="H281" s="683"/>
      <x:c r="I281" s="683"/>
      <x:c r="J281" s="683"/>
      <x:c r="K281" s="683"/>
      <x:c r="L281" s="683"/>
      <x:c r="M281" s="683"/>
      <x:c r="N281" s="683"/>
      <x:c r="O281" s="683"/>
      <x:c r="Z281" s="701"/>
    </x:row>
    <x:row r="282" spans="2:26" x14ac:dyDescent="0.2">
      <x:c r="B282" s="683"/>
      <x:c r="C282" s="683"/>
      <x:c r="D282" s="683"/>
      <x:c r="E282" s="683"/>
      <x:c r="F282" s="683"/>
      <x:c r="G282" s="683"/>
      <x:c r="H282" s="683"/>
      <x:c r="I282" s="683"/>
      <x:c r="J282" s="683"/>
      <x:c r="K282" s="683"/>
      <x:c r="L282" s="683"/>
      <x:c r="M282" s="683"/>
      <x:c r="N282" s="683"/>
      <x:c r="O282" s="683"/>
      <x:c r="Z282" s="701"/>
    </x:row>
    <x:row r="283" spans="2:26" x14ac:dyDescent="0.2">
      <x:c r="B283" s="683"/>
      <x:c r="C283" s="683"/>
      <x:c r="D283" s="683"/>
      <x:c r="E283" s="683"/>
      <x:c r="F283" s="683"/>
      <x:c r="G283" s="683"/>
      <x:c r="H283" s="683"/>
      <x:c r="I283" s="683"/>
      <x:c r="J283" s="683"/>
      <x:c r="K283" s="683"/>
      <x:c r="L283" s="683"/>
      <x:c r="M283" s="683"/>
      <x:c r="N283" s="683"/>
      <x:c r="O283" s="683"/>
      <x:c r="Z283" s="701"/>
    </x:row>
    <x:row r="284" spans="2:26" x14ac:dyDescent="0.2">
      <x:c r="B284" s="683"/>
      <x:c r="C284" s="683"/>
      <x:c r="D284" s="683"/>
      <x:c r="E284" s="683"/>
      <x:c r="F284" s="683"/>
      <x:c r="G284" s="683"/>
      <x:c r="H284" s="683"/>
      <x:c r="I284" s="683"/>
      <x:c r="J284" s="683"/>
      <x:c r="K284" s="683"/>
      <x:c r="L284" s="683"/>
      <x:c r="M284" s="683"/>
      <x:c r="N284" s="683"/>
      <x:c r="O284" s="683"/>
      <x:c r="Z284" s="701"/>
    </x:row>
    <x:row r="285" spans="2:26" x14ac:dyDescent="0.2">
      <x:c r="B285" s="683"/>
      <x:c r="C285" s="683"/>
      <x:c r="D285" s="683"/>
      <x:c r="E285" s="683"/>
      <x:c r="F285" s="683"/>
      <x:c r="G285" s="683"/>
      <x:c r="H285" s="683"/>
      <x:c r="I285" s="683"/>
      <x:c r="J285" s="683"/>
      <x:c r="K285" s="683"/>
      <x:c r="L285" s="683"/>
      <x:c r="M285" s="683"/>
      <x:c r="N285" s="683"/>
      <x:c r="O285" s="683"/>
      <x:c r="Z285" s="701"/>
    </x:row>
    <x:row r="286" spans="2:26" x14ac:dyDescent="0.2">
      <x:c r="B286" s="683"/>
      <x:c r="C286" s="683"/>
      <x:c r="D286" s="683"/>
      <x:c r="E286" s="683"/>
      <x:c r="F286" s="683"/>
      <x:c r="G286" s="683"/>
      <x:c r="H286" s="683"/>
      <x:c r="I286" s="683"/>
      <x:c r="J286" s="683"/>
      <x:c r="K286" s="683"/>
      <x:c r="L286" s="683"/>
      <x:c r="M286" s="683"/>
      <x:c r="N286" s="683"/>
      <x:c r="O286" s="683"/>
      <x:c r="Z286" s="701"/>
    </x:row>
    <x:row r="287" spans="2:26" x14ac:dyDescent="0.2">
      <x:c r="B287" s="683"/>
      <x:c r="C287" s="683"/>
      <x:c r="D287" s="683"/>
      <x:c r="E287" s="683"/>
      <x:c r="F287" s="683"/>
      <x:c r="G287" s="683"/>
      <x:c r="H287" s="683"/>
      <x:c r="I287" s="683"/>
      <x:c r="J287" s="683"/>
      <x:c r="K287" s="683"/>
      <x:c r="L287" s="683"/>
      <x:c r="M287" s="683"/>
      <x:c r="N287" s="683"/>
      <x:c r="O287" s="683"/>
      <x:c r="Z287" s="701"/>
    </x:row>
    <x:row r="288" spans="2:26" x14ac:dyDescent="0.2">
      <x:c r="B288" s="683"/>
      <x:c r="C288" s="683"/>
      <x:c r="D288" s="683"/>
      <x:c r="E288" s="683"/>
      <x:c r="F288" s="683"/>
      <x:c r="G288" s="683"/>
      <x:c r="H288" s="683"/>
      <x:c r="I288" s="683"/>
      <x:c r="J288" s="683"/>
      <x:c r="K288" s="683"/>
      <x:c r="L288" s="683"/>
      <x:c r="M288" s="683"/>
      <x:c r="N288" s="683"/>
      <x:c r="O288" s="683"/>
      <x:c r="Z288" s="701"/>
    </x:row>
    <x:row r="289" spans="2:26" x14ac:dyDescent="0.2">
      <x:c r="B289" s="683"/>
      <x:c r="C289" s="683"/>
      <x:c r="D289" s="683"/>
      <x:c r="E289" s="683"/>
      <x:c r="F289" s="683"/>
      <x:c r="G289" s="683"/>
      <x:c r="H289" s="683"/>
      <x:c r="I289" s="683"/>
      <x:c r="J289" s="683"/>
      <x:c r="K289" s="683"/>
      <x:c r="L289" s="683"/>
      <x:c r="M289" s="683"/>
      <x:c r="N289" s="683"/>
      <x:c r="O289" s="683"/>
      <x:c r="Z289" s="701"/>
    </x:row>
    <x:row r="290" spans="2:26" x14ac:dyDescent="0.2">
      <x:c r="B290" s="683"/>
      <x:c r="C290" s="683"/>
      <x:c r="D290" s="683"/>
      <x:c r="E290" s="683"/>
      <x:c r="F290" s="683"/>
      <x:c r="G290" s="683"/>
      <x:c r="H290" s="683"/>
      <x:c r="I290" s="683"/>
      <x:c r="J290" s="683"/>
      <x:c r="K290" s="683"/>
      <x:c r="L290" s="683"/>
      <x:c r="M290" s="683"/>
      <x:c r="N290" s="683"/>
      <x:c r="O290" s="683"/>
      <x:c r="Z290" s="701"/>
    </x:row>
    <x:row r="291" spans="2:26" x14ac:dyDescent="0.2">
      <x:c r="B291" s="683"/>
      <x:c r="C291" s="683"/>
      <x:c r="D291" s="683"/>
      <x:c r="E291" s="683"/>
      <x:c r="F291" s="683"/>
      <x:c r="G291" s="683"/>
      <x:c r="H291" s="683"/>
      <x:c r="I291" s="683"/>
      <x:c r="J291" s="683"/>
      <x:c r="K291" s="683"/>
      <x:c r="L291" s="683"/>
      <x:c r="M291" s="683"/>
      <x:c r="N291" s="683"/>
      <x:c r="O291" s="683"/>
      <x:c r="Z291" s="701"/>
    </x:row>
    <x:row r="292" spans="2:26" x14ac:dyDescent="0.2">
      <x:c r="B292" s="683"/>
      <x:c r="C292" s="683"/>
      <x:c r="D292" s="683"/>
      <x:c r="E292" s="683"/>
      <x:c r="F292" s="683"/>
      <x:c r="G292" s="683"/>
      <x:c r="H292" s="683"/>
      <x:c r="I292" s="683"/>
      <x:c r="J292" s="683"/>
      <x:c r="K292" s="683"/>
      <x:c r="L292" s="683"/>
      <x:c r="M292" s="683"/>
      <x:c r="N292" s="683"/>
      <x:c r="O292" s="683"/>
      <x:c r="Z292" s="701"/>
    </x:row>
    <x:row r="293" spans="2:26" x14ac:dyDescent="0.2">
      <x:c r="B293" s="683"/>
      <x:c r="C293" s="683"/>
      <x:c r="D293" s="683"/>
      <x:c r="E293" s="683"/>
      <x:c r="F293" s="683"/>
      <x:c r="G293" s="683"/>
      <x:c r="H293" s="683"/>
      <x:c r="I293" s="683"/>
      <x:c r="J293" s="683"/>
      <x:c r="K293" s="683"/>
      <x:c r="L293" s="683"/>
      <x:c r="M293" s="683"/>
      <x:c r="N293" s="683"/>
      <x:c r="O293" s="683"/>
      <x:c r="Z293" s="701"/>
    </x:row>
    <x:row r="294" spans="2:26" x14ac:dyDescent="0.2">
      <x:c r="B294" s="683"/>
      <x:c r="C294" s="683"/>
      <x:c r="D294" s="683"/>
      <x:c r="E294" s="683"/>
      <x:c r="F294" s="683"/>
      <x:c r="G294" s="683"/>
      <x:c r="H294" s="683"/>
      <x:c r="I294" s="683"/>
      <x:c r="J294" s="683"/>
      <x:c r="K294" s="683"/>
      <x:c r="L294" s="683"/>
      <x:c r="M294" s="683"/>
      <x:c r="N294" s="683"/>
      <x:c r="O294" s="683"/>
      <x:c r="Z294" s="701"/>
    </x:row>
    <x:row r="295" spans="2:26" x14ac:dyDescent="0.2">
      <x:c r="B295" s="683"/>
      <x:c r="C295" s="683"/>
      <x:c r="D295" s="683"/>
      <x:c r="E295" s="683"/>
      <x:c r="F295" s="683"/>
      <x:c r="G295" s="683"/>
      <x:c r="H295" s="683"/>
      <x:c r="I295" s="683"/>
      <x:c r="J295" s="683"/>
      <x:c r="K295" s="683"/>
      <x:c r="L295" s="683"/>
      <x:c r="M295" s="683"/>
      <x:c r="N295" s="683"/>
      <x:c r="O295" s="683"/>
      <x:c r="Z295" s="701"/>
    </x:row>
    <x:row r="296" spans="2:26" x14ac:dyDescent="0.2">
      <x:c r="B296" s="683"/>
      <x:c r="C296" s="683"/>
      <x:c r="D296" s="683"/>
      <x:c r="E296" s="683"/>
      <x:c r="F296" s="683"/>
      <x:c r="G296" s="683"/>
      <x:c r="H296" s="683"/>
      <x:c r="I296" s="683"/>
      <x:c r="J296" s="683"/>
      <x:c r="K296" s="683"/>
      <x:c r="L296" s="683"/>
      <x:c r="M296" s="683"/>
      <x:c r="N296" s="683"/>
      <x:c r="O296" s="683"/>
      <x:c r="Z296" s="701"/>
    </x:row>
    <x:row r="297" spans="2:26" x14ac:dyDescent="0.2">
      <x:c r="B297" s="683"/>
      <x:c r="C297" s="683"/>
      <x:c r="D297" s="683"/>
      <x:c r="E297" s="683"/>
      <x:c r="F297" s="683"/>
      <x:c r="G297" s="683"/>
      <x:c r="H297" s="683"/>
      <x:c r="I297" s="683"/>
      <x:c r="J297" s="683"/>
      <x:c r="K297" s="683"/>
      <x:c r="L297" s="683"/>
      <x:c r="M297" s="683"/>
      <x:c r="N297" s="683"/>
      <x:c r="O297" s="683"/>
      <x:c r="Z297" s="701"/>
    </x:row>
    <x:row r="298" spans="2:26" x14ac:dyDescent="0.2">
      <x:c r="B298" s="683"/>
      <x:c r="C298" s="683"/>
      <x:c r="D298" s="683"/>
      <x:c r="E298" s="683"/>
      <x:c r="F298" s="683"/>
      <x:c r="G298" s="683"/>
      <x:c r="H298" s="683"/>
      <x:c r="I298" s="683"/>
      <x:c r="J298" s="683"/>
      <x:c r="K298" s="683"/>
      <x:c r="L298" s="683"/>
      <x:c r="M298" s="683"/>
      <x:c r="N298" s="683"/>
      <x:c r="O298" s="683"/>
      <x:c r="Z298" s="701"/>
    </x:row>
    <x:row r="299" spans="2:26" x14ac:dyDescent="0.2">
      <x:c r="B299" s="683"/>
      <x:c r="C299" s="683"/>
      <x:c r="D299" s="683"/>
      <x:c r="E299" s="683"/>
      <x:c r="F299" s="683"/>
      <x:c r="G299" s="683"/>
      <x:c r="H299" s="683"/>
      <x:c r="I299" s="683"/>
      <x:c r="J299" s="683"/>
      <x:c r="K299" s="683"/>
      <x:c r="L299" s="683"/>
      <x:c r="M299" s="683"/>
      <x:c r="N299" s="683"/>
      <x:c r="O299" s="683"/>
      <x:c r="Z299" s="701"/>
    </x:row>
    <x:row r="300" spans="2:26" x14ac:dyDescent="0.2">
      <x:c r="B300" s="683"/>
      <x:c r="C300" s="683"/>
      <x:c r="D300" s="683"/>
      <x:c r="E300" s="683"/>
      <x:c r="F300" s="683"/>
      <x:c r="G300" s="683"/>
      <x:c r="H300" s="683"/>
      <x:c r="I300" s="683"/>
      <x:c r="J300" s="683"/>
      <x:c r="K300" s="683"/>
      <x:c r="L300" s="683"/>
      <x:c r="M300" s="683"/>
      <x:c r="N300" s="683"/>
      <x:c r="O300" s="683"/>
      <x:c r="Z300" s="701"/>
    </x:row>
    <x:row r="301" spans="2:26" x14ac:dyDescent="0.2">
      <x:c r="B301" s="683"/>
      <x:c r="C301" s="683"/>
      <x:c r="D301" s="683"/>
      <x:c r="E301" s="683"/>
      <x:c r="F301" s="683"/>
      <x:c r="G301" s="683"/>
      <x:c r="H301" s="683"/>
      <x:c r="I301" s="683"/>
      <x:c r="J301" s="683"/>
      <x:c r="K301" s="683"/>
      <x:c r="L301" s="683"/>
      <x:c r="M301" s="683"/>
      <x:c r="N301" s="683"/>
      <x:c r="O301" s="683"/>
      <x:c r="Z301" s="701"/>
    </x:row>
    <x:row r="302" spans="2:26" x14ac:dyDescent="0.2">
      <x:c r="B302" s="683"/>
      <x:c r="C302" s="683"/>
      <x:c r="D302" s="683"/>
      <x:c r="E302" s="683"/>
      <x:c r="F302" s="683"/>
      <x:c r="G302" s="683"/>
      <x:c r="H302" s="683"/>
      <x:c r="I302" s="683"/>
      <x:c r="J302" s="683"/>
      <x:c r="K302" s="683"/>
      <x:c r="L302" s="683"/>
      <x:c r="M302" s="683"/>
      <x:c r="N302" s="683"/>
      <x:c r="O302" s="683"/>
      <x:c r="Z302" s="701"/>
    </x:row>
    <x:row r="303" spans="2:26" x14ac:dyDescent="0.2">
      <x:c r="B303" s="683"/>
      <x:c r="C303" s="683"/>
      <x:c r="D303" s="683"/>
      <x:c r="E303" s="683"/>
      <x:c r="F303" s="683"/>
      <x:c r="G303" s="683"/>
      <x:c r="H303" s="683"/>
      <x:c r="I303" s="683"/>
      <x:c r="J303" s="683"/>
      <x:c r="K303" s="683"/>
      <x:c r="L303" s="683"/>
      <x:c r="M303" s="683"/>
      <x:c r="N303" s="683"/>
      <x:c r="O303" s="683"/>
      <x:c r="Z303" s="701"/>
    </x:row>
    <x:row r="304" spans="2:26" x14ac:dyDescent="0.2">
      <x:c r="B304" s="683"/>
      <x:c r="C304" s="683"/>
      <x:c r="D304" s="683"/>
      <x:c r="E304" s="683"/>
      <x:c r="F304" s="683"/>
      <x:c r="G304" s="683"/>
      <x:c r="H304" s="683"/>
      <x:c r="I304" s="683"/>
      <x:c r="J304" s="683"/>
      <x:c r="K304" s="683"/>
      <x:c r="L304" s="683"/>
      <x:c r="M304" s="683"/>
      <x:c r="N304" s="683"/>
      <x:c r="O304" s="683"/>
      <x:c r="Z304" s="701"/>
    </x:row>
    <x:row r="305" spans="1:26" x14ac:dyDescent="0.2">
      <x:c r="B305" s="683"/>
      <x:c r="C305" s="683"/>
      <x:c r="D305" s="683"/>
      <x:c r="E305" s="683"/>
      <x:c r="F305" s="683"/>
      <x:c r="G305" s="683"/>
      <x:c r="H305" s="683"/>
      <x:c r="I305" s="683"/>
      <x:c r="J305" s="683"/>
      <x:c r="K305" s="683"/>
      <x:c r="L305" s="683"/>
      <x:c r="M305" s="683"/>
      <x:c r="N305" s="683"/>
      <x:c r="O305" s="683"/>
      <x:c r="Z305" s="701"/>
    </x:row>
    <x:row r="306" spans="1:26" x14ac:dyDescent="0.2">
      <x:c r="B306" s="683"/>
      <x:c r="C306" s="683"/>
      <x:c r="D306" s="683"/>
      <x:c r="E306" s="683"/>
      <x:c r="F306" s="683"/>
      <x:c r="G306" s="683"/>
      <x:c r="H306" s="683"/>
      <x:c r="I306" s="683"/>
      <x:c r="J306" s="683"/>
      <x:c r="K306" s="683"/>
      <x:c r="L306" s="683"/>
      <x:c r="M306" s="683"/>
      <x:c r="N306" s="683"/>
      <x:c r="O306" s="683"/>
      <x:c r="Z306" s="701"/>
    </x:row>
    <x:row r="307" spans="1:26" x14ac:dyDescent="0.2">
      <x:c r="B307" s="683"/>
      <x:c r="C307" s="683"/>
      <x:c r="D307" s="683"/>
      <x:c r="E307" s="683"/>
      <x:c r="F307" s="683"/>
      <x:c r="G307" s="683"/>
      <x:c r="H307" s="683"/>
      <x:c r="I307" s="683"/>
      <x:c r="J307" s="683"/>
      <x:c r="K307" s="683"/>
      <x:c r="L307" s="683"/>
      <x:c r="M307" s="683"/>
      <x:c r="N307" s="683"/>
      <x:c r="O307" s="683"/>
      <x:c r="Z307" s="701"/>
    </x:row>
    <x:row r="308" spans="1:26" x14ac:dyDescent="0.2">
      <x:c r="B308" s="683"/>
      <x:c r="C308" s="683"/>
      <x:c r="D308" s="683"/>
      <x:c r="E308" s="683"/>
      <x:c r="F308" s="683"/>
      <x:c r="G308" s="683"/>
      <x:c r="H308" s="683"/>
      <x:c r="I308" s="683"/>
      <x:c r="J308" s="683"/>
      <x:c r="K308" s="683"/>
      <x:c r="L308" s="683"/>
      <x:c r="M308" s="683"/>
      <x:c r="N308" s="683"/>
      <x:c r="O308" s="683"/>
      <x:c r="Z308" s="701"/>
    </x:row>
    <x:row r="309" spans="1:26" x14ac:dyDescent="0.2">
      <x:c r="B309" s="683"/>
      <x:c r="C309" s="683"/>
      <x:c r="D309" s="683"/>
      <x:c r="E309" s="683"/>
      <x:c r="F309" s="683"/>
      <x:c r="G309" s="683"/>
      <x:c r="H309" s="683"/>
      <x:c r="I309" s="683"/>
      <x:c r="J309" s="683"/>
      <x:c r="K309" s="683"/>
      <x:c r="L309" s="683"/>
      <x:c r="M309" s="683"/>
      <x:c r="N309" s="683"/>
      <x:c r="O309" s="683"/>
      <x:c r="Z309" s="701"/>
    </x:row>
    <x:row r="310" spans="1:26" x14ac:dyDescent="0.2">
      <x:c r="B310" s="683"/>
      <x:c r="C310" s="683"/>
      <x:c r="D310" s="683"/>
      <x:c r="E310" s="683"/>
      <x:c r="F310" s="683"/>
      <x:c r="G310" s="683"/>
      <x:c r="H310" s="683"/>
      <x:c r="I310" s="683"/>
      <x:c r="J310" s="683"/>
      <x:c r="K310" s="683"/>
      <x:c r="L310" s="683"/>
      <x:c r="M310" s="683"/>
      <x:c r="N310" s="683"/>
      <x:c r="O310" s="683"/>
      <x:c r="Z310" s="701"/>
    </x:row>
    <x:row r="311" spans="1:26" x14ac:dyDescent="0.2">
      <x:c r="B311" s="683"/>
      <x:c r="C311" s="683"/>
      <x:c r="D311" s="683"/>
      <x:c r="E311" s="683"/>
      <x:c r="F311" s="683"/>
      <x:c r="G311" s="683"/>
      <x:c r="H311" s="683"/>
      <x:c r="I311" s="683"/>
      <x:c r="J311" s="683"/>
      <x:c r="K311" s="683"/>
      <x:c r="L311" s="683"/>
      <x:c r="M311" s="683"/>
      <x:c r="N311" s="683"/>
      <x:c r="O311" s="683"/>
      <x:c r="Z311" s="701"/>
    </x:row>
    <x:row r="312" spans="1:26" x14ac:dyDescent="0.2">
      <x:c r="B312" s="683"/>
      <x:c r="C312" s="683"/>
      <x:c r="D312" s="683"/>
      <x:c r="E312" s="683"/>
      <x:c r="F312" s="683"/>
      <x:c r="G312" s="683"/>
      <x:c r="H312" s="683"/>
      <x:c r="I312" s="683"/>
      <x:c r="J312" s="683"/>
      <x:c r="K312" s="683"/>
      <x:c r="L312" s="683"/>
      <x:c r="M312" s="683"/>
      <x:c r="N312" s="683"/>
      <x:c r="O312" s="683"/>
      <x:c r="Z312" s="701"/>
    </x:row>
    <x:row r="313" spans="1:26" x14ac:dyDescent="0.2">
      <x:c r="B313" s="683"/>
      <x:c r="C313" s="683"/>
      <x:c r="D313" s="683"/>
      <x:c r="E313" s="683"/>
      <x:c r="F313" s="683"/>
      <x:c r="G313" s="683"/>
      <x:c r="H313" s="683"/>
      <x:c r="I313" s="683"/>
      <x:c r="J313" s="683"/>
      <x:c r="K313" s="683"/>
      <x:c r="L313" s="683"/>
      <x:c r="M313" s="683"/>
      <x:c r="N313" s="683"/>
      <x:c r="O313" s="683"/>
      <x:c r="Z313" s="701"/>
    </x:row>
    <x:row r="314" spans="1:26" x14ac:dyDescent="0.2">
      <x:c r="B314" s="683"/>
      <x:c r="C314" s="683"/>
      <x:c r="D314" s="683"/>
      <x:c r="E314" s="683"/>
      <x:c r="F314" s="683"/>
      <x:c r="G314" s="683"/>
      <x:c r="H314" s="683"/>
      <x:c r="I314" s="683"/>
      <x:c r="J314" s="683"/>
      <x:c r="K314" s="683"/>
      <x:c r="L314" s="683"/>
      <x:c r="M314" s="683"/>
      <x:c r="N314" s="683"/>
      <x:c r="O314" s="683"/>
      <x:c r="Z314" s="701"/>
    </x:row>
    <x:row r="315" spans="1:26" x14ac:dyDescent="0.2">
      <x:c r="B315" s="683"/>
      <x:c r="C315" s="683"/>
      <x:c r="D315" s="683"/>
      <x:c r="E315" s="683"/>
      <x:c r="F315" s="683"/>
      <x:c r="G315" s="683"/>
      <x:c r="H315" s="683"/>
      <x:c r="I315" s="683"/>
      <x:c r="J315" s="683"/>
      <x:c r="K315" s="683"/>
      <x:c r="L315" s="683"/>
      <x:c r="M315" s="683"/>
      <x:c r="N315" s="683"/>
      <x:c r="O315" s="683"/>
      <x:c r="Z315" s="701"/>
    </x:row>
    <x:row r="316" spans="1:26" x14ac:dyDescent="0.2">
      <x:c r="B316" s="683"/>
      <x:c r="C316" s="683"/>
      <x:c r="D316" s="683"/>
      <x:c r="E316" s="683"/>
      <x:c r="F316" s="683"/>
      <x:c r="G316" s="683"/>
      <x:c r="H316" s="683"/>
      <x:c r="I316" s="683"/>
      <x:c r="J316" s="683"/>
      <x:c r="K316" s="683"/>
      <x:c r="L316" s="683"/>
      <x:c r="M316" s="683"/>
      <x:c r="N316" s="683"/>
      <x:c r="O316" s="683"/>
      <x:c r="Z316" s="701"/>
    </x:row>
    <x:row r="317" spans="1:26" x14ac:dyDescent="0.2">
      <x:c r="B317" s="683"/>
      <x:c r="C317" s="683"/>
      <x:c r="D317" s="683"/>
      <x:c r="E317" s="683"/>
      <x:c r="F317" s="683"/>
      <x:c r="G317" s="683"/>
      <x:c r="H317" s="683"/>
      <x:c r="I317" s="683"/>
      <x:c r="J317" s="683"/>
      <x:c r="K317" s="683"/>
      <x:c r="L317" s="683"/>
      <x:c r="M317" s="683"/>
      <x:c r="N317" s="683"/>
      <x:c r="O317" s="683"/>
      <x:c r="Z317" s="701"/>
    </x:row>
    <x:row r="318" spans="1:26" x14ac:dyDescent="0.2">
      <x:c r="B318" s="683"/>
      <x:c r="C318" s="683"/>
      <x:c r="D318" s="683"/>
      <x:c r="E318" s="683"/>
      <x:c r="F318" s="683"/>
      <x:c r="G318" s="683"/>
      <x:c r="H318" s="683"/>
      <x:c r="I318" s="683"/>
      <x:c r="J318" s="683"/>
      <x:c r="K318" s="683"/>
      <x:c r="L318" s="683"/>
      <x:c r="M318" s="683"/>
      <x:c r="N318" s="683"/>
      <x:c r="O318" s="683"/>
      <x:c r="Z318" s="701"/>
    </x:row>
    <x:row r="319" spans="1:26" x14ac:dyDescent="0.2">
      <x:c r="B319" s="683"/>
      <x:c r="C319" s="683"/>
      <x:c r="D319" s="683"/>
      <x:c r="E319" s="683"/>
      <x:c r="F319" s="683"/>
      <x:c r="G319" s="683"/>
      <x:c r="H319" s="683"/>
      <x:c r="I319" s="683"/>
      <x:c r="J319" s="683"/>
      <x:c r="K319" s="683"/>
      <x:c r="L319" s="683"/>
      <x:c r="M319" s="683"/>
      <x:c r="N319" s="683"/>
      <x:c r="O319" s="683"/>
      <x:c r="Z319" s="701"/>
    </x:row>
    <x:row r="320" spans="1:26" x14ac:dyDescent="0.2">
      <x:c r="A320" s="774" t="s">
        <x:v>2</x:v>
      </x:c>
      <x:c r="B320" s="773" t="s">
        <x:v>132</x:v>
      </x:c>
      <x:c r="C320" s="696" t="s">
        <x:v>70</x:v>
      </x:c>
      <x:c r="D320" s="696">
        <x:f>D243-P243</x:f>
        <x:v>0</x:v>
      </x:c>
      <x:c r="E320" s="696">
        <x:f>E239+E233+E227</x:f>
        <x:v>0</x:v>
      </x:c>
      <x:c r="F320" s="696">
        <x:f t="shared" ref="F320:R320" si="9">F239+F233+F227</x:f>
        <x:v>0</x:v>
      </x:c>
      <x:c r="G320" s="696">
        <x:f t="shared" si="9"/>
        <x:v>0</x:v>
      </x:c>
      <x:c r="H320" s="696">
        <x:f t="shared" si="9"/>
        <x:v>0</x:v>
      </x:c>
      <x:c r="I320" s="696">
        <x:f t="shared" si="9"/>
        <x:v>0</x:v>
      </x:c>
      <x:c r="J320" s="696">
        <x:f t="shared" si="9"/>
        <x:v>0</x:v>
      </x:c>
      <x:c r="K320" s="696">
        <x:f t="shared" si="9"/>
        <x:v>0</x:v>
      </x:c>
      <x:c r="L320" s="696">
        <x:f t="shared" si="9"/>
        <x:v>0</x:v>
      </x:c>
      <x:c r="M320" s="696">
        <x:f t="shared" si="9"/>
        <x:v>0</x:v>
      </x:c>
      <x:c r="N320" s="696">
        <x:f t="shared" si="9"/>
        <x:v>0</x:v>
      </x:c>
      <x:c r="O320" s="696">
        <x:f t="shared" si="9"/>
        <x:v>0</x:v>
      </x:c>
      <x:c r="P320" s="696">
        <x:f t="shared" si="9"/>
        <x:v>0</x:v>
      </x:c>
      <x:c r="Q320" s="696">
        <x:f t="shared" si="9"/>
        <x:v>0</x:v>
      </x:c>
      <x:c r="R320" s="696">
        <x:f t="shared" si="9"/>
        <x:v>0</x:v>
      </x:c>
      <x:c r="Z320" s="701"/>
    </x:row>
    <x:row r="321" spans="1:26" x14ac:dyDescent="0.2">
      <x:c r="A321" s="774"/>
      <x:c r="B321" s="773"/>
      <x:c r="C321" s="696" t="s">
        <x:v>73</x:v>
      </x:c>
      <x:c r="D321" s="696">
        <x:f>D241+D235+D229</x:f>
        <x:v>0</x:v>
      </x:c>
      <x:c r="E321" s="683"/>
      <x:c r="F321" s="683"/>
      <x:c r="G321" s="683"/>
      <x:c r="H321" s="683"/>
      <x:c r="I321" s="683"/>
      <x:c r="J321" s="683"/>
      <x:c r="K321" s="683"/>
      <x:c r="L321" s="683"/>
      <x:c r="M321" s="683"/>
      <x:c r="N321" s="683"/>
      <x:c r="O321" s="683"/>
      <x:c r="P321" s="683"/>
      <x:c r="Q321" s="683"/>
      <x:c r="R321" s="683"/>
      <x:c r="Z321" s="701"/>
    </x:row>
    <x:row r="322" spans="1:26" ht="15" x14ac:dyDescent="0.25">
      <x:c r="A322" s="682"/>
      <x:c r="D322" s="683"/>
      <x:c r="E322" s="683"/>
      <x:c r="F322" s="683"/>
      <x:c r="G322" s="683"/>
      <x:c r="H322" s="683"/>
      <x:c r="I322" s="683"/>
      <x:c r="J322" s="683"/>
      <x:c r="K322" s="683"/>
      <x:c r="L322" s="683"/>
      <x:c r="M322" s="683"/>
      <x:c r="N322" s="683"/>
      <x:c r="O322" s="683"/>
      <x:c r="P322" s="683"/>
      <x:c r="Q322" s="683"/>
      <x:c r="R322" s="683"/>
      <x:c r="Z322" s="701"/>
    </x:row>
    <x:row r="323" spans="1:26" x14ac:dyDescent="0.2">
      <x:c r="A323" s="774" t="s">
        <x:v>160</x:v>
      </x:c>
      <x:c r="B323" s="773" t="s">
        <x:v>132</x:v>
      </x:c>
      <x:c r="C323" s="697" t="s">
        <x:v>70</x:v>
      </x:c>
      <x:c r="D323" s="697">
        <x:f>D236-P236</x:f>
        <x:v>0</x:v>
      </x:c>
      <x:c r="E323" s="697">
        <x:f>E233</x:f>
        <x:v>0</x:v>
      </x:c>
      <x:c r="F323" s="697">
        <x:f t="shared" ref="F323:R323" si="10">F233</x:f>
        <x:v>0</x:v>
      </x:c>
      <x:c r="G323" s="697">
        <x:f t="shared" si="10"/>
        <x:v>0</x:v>
      </x:c>
      <x:c r="H323" s="697">
        <x:f t="shared" si="10"/>
        <x:v>0</x:v>
      </x:c>
      <x:c r="I323" s="697">
        <x:f t="shared" si="10"/>
        <x:v>0</x:v>
      </x:c>
      <x:c r="J323" s="697">
        <x:f t="shared" si="10"/>
        <x:v>0</x:v>
      </x:c>
      <x:c r="K323" s="697">
        <x:f t="shared" si="10"/>
        <x:v>0</x:v>
      </x:c>
      <x:c r="L323" s="697">
        <x:f t="shared" si="10"/>
        <x:v>0</x:v>
      </x:c>
      <x:c r="M323" s="697">
        <x:f t="shared" si="10"/>
        <x:v>0</x:v>
      </x:c>
      <x:c r="N323" s="697">
        <x:f t="shared" si="10"/>
        <x:v>0</x:v>
      </x:c>
      <x:c r="O323" s="697">
        <x:f t="shared" si="10"/>
        <x:v>0</x:v>
      </x:c>
      <x:c r="P323" s="697">
        <x:f t="shared" si="10"/>
        <x:v>0</x:v>
      </x:c>
      <x:c r="Q323" s="697">
        <x:f t="shared" si="10"/>
        <x:v>0</x:v>
      </x:c>
      <x:c r="R323" s="697">
        <x:f t="shared" si="10"/>
        <x:v>0</x:v>
      </x:c>
      <x:c r="Z323" s="701"/>
    </x:row>
    <x:row r="324" spans="1:26" x14ac:dyDescent="0.2">
      <x:c r="A324" s="774"/>
      <x:c r="B324" s="773"/>
      <x:c r="C324" s="697" t="s">
        <x:v>73</x:v>
      </x:c>
      <x:c r="D324" s="697">
        <x:f>D235</x:f>
        <x:v>0</x:v>
      </x:c>
      <x:c r="E324" s="683"/>
      <x:c r="F324" s="683"/>
      <x:c r="G324" s="683"/>
      <x:c r="H324" s="683"/>
      <x:c r="I324" s="683"/>
      <x:c r="J324" s="683"/>
      <x:c r="K324" s="683"/>
      <x:c r="L324" s="683"/>
      <x:c r="M324" s="683"/>
      <x:c r="N324" s="683"/>
      <x:c r="O324" s="683"/>
      <x:c r="P324" s="683"/>
      <x:c r="Q324" s="683"/>
      <x:c r="R324" s="683"/>
      <x:c r="Z324" s="701"/>
    </x:row>
    <x:row r="325" spans="1:26" ht="15" x14ac:dyDescent="0.25">
      <x:c r="A325" s="682"/>
      <x:c r="D325" s="683"/>
      <x:c r="E325" s="683"/>
      <x:c r="F325" s="683"/>
      <x:c r="G325" s="683"/>
      <x:c r="H325" s="683"/>
      <x:c r="I325" s="683"/>
      <x:c r="J325" s="683"/>
      <x:c r="K325" s="683"/>
      <x:c r="L325" s="683"/>
      <x:c r="M325" s="683"/>
      <x:c r="N325" s="683"/>
      <x:c r="O325" s="683"/>
      <x:c r="P325" s="683"/>
      <x:c r="Q325" s="683"/>
      <x:c r="R325" s="683"/>
      <x:c r="Z325" s="701"/>
    </x:row>
    <x:row r="326" spans="1:26" x14ac:dyDescent="0.2">
      <x:c r="A326" s="774" t="s">
        <x:v>155</x:v>
      </x:c>
      <x:c r="B326" s="773" t="s">
        <x:v>132</x:v>
      </x:c>
      <x:c r="C326" s="698" t="s">
        <x:v>70</x:v>
      </x:c>
      <x:c r="D326" s="698">
        <x:f>D230-P230</x:f>
        <x:v>0</x:v>
      </x:c>
      <x:c r="E326" s="698">
        <x:f>E227</x:f>
        <x:v>0</x:v>
      </x:c>
      <x:c r="F326" s="698">
        <x:f t="shared" ref="F326:R326" si="11">F227</x:f>
        <x:v>0</x:v>
      </x:c>
      <x:c r="G326" s="698">
        <x:f t="shared" si="11"/>
        <x:v>0</x:v>
      </x:c>
      <x:c r="H326" s="698">
        <x:f t="shared" si="11"/>
        <x:v>0</x:v>
      </x:c>
      <x:c r="I326" s="698">
        <x:f t="shared" si="11"/>
        <x:v>0</x:v>
      </x:c>
      <x:c r="J326" s="698">
        <x:f t="shared" si="11"/>
        <x:v>0</x:v>
      </x:c>
      <x:c r="K326" s="698">
        <x:f t="shared" si="11"/>
        <x:v>0</x:v>
      </x:c>
      <x:c r="L326" s="698">
        <x:f t="shared" si="11"/>
        <x:v>0</x:v>
      </x:c>
      <x:c r="M326" s="698">
        <x:f t="shared" si="11"/>
        <x:v>0</x:v>
      </x:c>
      <x:c r="N326" s="698">
        <x:f t="shared" si="11"/>
        <x:v>0</x:v>
      </x:c>
      <x:c r="O326" s="698">
        <x:f t="shared" si="11"/>
        <x:v>0</x:v>
      </x:c>
      <x:c r="P326" s="698">
        <x:f t="shared" si="11"/>
        <x:v>0</x:v>
      </x:c>
      <x:c r="Q326" s="698">
        <x:f t="shared" si="11"/>
        <x:v>0</x:v>
      </x:c>
      <x:c r="R326" s="698">
        <x:f t="shared" si="11"/>
        <x:v>0</x:v>
      </x:c>
      <x:c r="Z326" s="701"/>
    </x:row>
    <x:row r="327" spans="1:26" x14ac:dyDescent="0.2">
      <x:c r="A327" s="774"/>
      <x:c r="B327" s="773"/>
      <x:c r="C327" s="698" t="s">
        <x:v>73</x:v>
      </x:c>
      <x:c r="D327" s="698">
        <x:f>D229</x:f>
        <x:v>0</x:v>
      </x:c>
      <x:c r="E327" s="683"/>
      <x:c r="F327" s="683"/>
      <x:c r="G327" s="683"/>
      <x:c r="H327" s="683"/>
      <x:c r="I327" s="683"/>
      <x:c r="J327" s="683"/>
      <x:c r="K327" s="683"/>
      <x:c r="L327" s="683"/>
      <x:c r="M327" s="683"/>
      <x:c r="N327" s="683"/>
      <x:c r="O327" s="683"/>
      <x:c r="P327" s="683"/>
      <x:c r="Q327" s="683"/>
      <x:c r="R327" s="683"/>
      <x:c r="Z327" s="701"/>
    </x:row>
    <x:row r="328" spans="1:26" ht="15" x14ac:dyDescent="0.2">
      <x:c r="A328" s="694"/>
      <x:c r="B328" s="695"/>
      <x:c r="C328" s="683"/>
      <x:c r="D328" s="683"/>
      <x:c r="E328" s="683"/>
      <x:c r="F328" s="683"/>
      <x:c r="G328" s="683"/>
      <x:c r="H328" s="683"/>
      <x:c r="I328" s="683"/>
      <x:c r="J328" s="683"/>
      <x:c r="K328" s="683"/>
      <x:c r="L328" s="683"/>
      <x:c r="M328" s="683"/>
      <x:c r="N328" s="683"/>
      <x:c r="O328" s="683"/>
      <x:c r="P328" s="683"/>
      <x:c r="Q328" s="683"/>
      <x:c r="R328" s="683"/>
      <x:c r="Z328" s="701"/>
    </x:row>
    <x:row r="329" spans="1:26" x14ac:dyDescent="0.2">
      <x:c r="A329" s="775" t="s">
        <x:v>326</x:v>
      </x:c>
      <x:c r="B329" s="773" t="s">
        <x:v>132</x:v>
      </x:c>
      <x:c r="C329" s="698" t="s">
        <x:v>70</x:v>
      </x:c>
      <x:c r="D329" s="699">
        <x:v>0</x:v>
      </x:c>
      <x:c r="E329" s="699">
        <x:v>0</x:v>
      </x:c>
      <x:c r="F329" s="699">
        <x:v>0</x:v>
      </x:c>
      <x:c r="G329" s="699">
        <x:v>0</x:v>
      </x:c>
      <x:c r="H329" s="699">
        <x:v>0</x:v>
      </x:c>
      <x:c r="I329" s="699">
        <x:v>0</x:v>
      </x:c>
      <x:c r="J329" s="699">
        <x:v>0</x:v>
      </x:c>
      <x:c r="K329" s="699">
        <x:v>0</x:v>
      </x:c>
      <x:c r="L329" s="699">
        <x:v>0</x:v>
      </x:c>
      <x:c r="M329" s="699">
        <x:v>0</x:v>
      </x:c>
      <x:c r="N329" s="699">
        <x:v>0</x:v>
      </x:c>
      <x:c r="O329" s="699">
        <x:v>0</x:v>
      </x:c>
      <x:c r="P329" s="699">
        <x:v>0</x:v>
      </x:c>
      <x:c r="Q329" s="699">
        <x:v>0</x:v>
      </x:c>
      <x:c r="R329" s="699">
        <x:v>0</x:v>
      </x:c>
      <x:c r="Z329" s="701"/>
    </x:row>
    <x:row r="330" spans="1:26" x14ac:dyDescent="0.2">
      <x:c r="A330" s="775"/>
      <x:c r="B330" s="773"/>
      <x:c r="C330" s="698" t="s">
        <x:v>73</x:v>
      </x:c>
      <x:c r="D330" s="699">
        <x:v>0</x:v>
      </x:c>
      <x:c r="E330" s="683"/>
      <x:c r="F330" s="683"/>
      <x:c r="G330" s="683"/>
      <x:c r="H330" s="683"/>
      <x:c r="I330" s="683"/>
      <x:c r="J330" s="683"/>
      <x:c r="K330" s="683"/>
      <x:c r="L330" s="683"/>
      <x:c r="M330" s="683"/>
      <x:c r="N330" s="683"/>
      <x:c r="O330" s="683"/>
      <x:c r="P330" s="683"/>
      <x:c r="Q330" s="683"/>
      <x:c r="Z330" s="701"/>
    </x:row>
    <x:row r="331" spans="1:26" ht="15" x14ac:dyDescent="0.25">
      <x:c r="A331" s="682"/>
      <x:c r="D331" s="683"/>
      <x:c r="E331" s="683"/>
      <x:c r="F331" s="683"/>
      <x:c r="G331" s="683"/>
      <x:c r="H331" s="683"/>
      <x:c r="I331" s="683"/>
      <x:c r="J331" s="683"/>
      <x:c r="K331" s="683"/>
      <x:c r="L331" s="683"/>
      <x:c r="M331" s="683"/>
      <x:c r="N331" s="683"/>
      <x:c r="O331" s="683"/>
      <x:c r="P331" s="683"/>
      <x:c r="Q331" s="683"/>
      <x:c r="R331" s="683"/>
      <x:c r="Z331" s="701"/>
    </x:row>
    <x:row r="332" spans="1:26" x14ac:dyDescent="0.2">
      <x:c r="A332" s="774" t="s">
        <x:v>119</x:v>
      </x:c>
      <x:c r="B332" s="773" t="s">
        <x:v>132</x:v>
      </x:c>
      <x:c r="C332" s="691" t="s">
        <x:v>70</x:v>
      </x:c>
      <x:c r="D332" s="691">
        <x:f>D242-P242</x:f>
        <x:v>0</x:v>
      </x:c>
      <x:c r="E332" s="691">
        <x:f>E239</x:f>
        <x:v>0</x:v>
      </x:c>
      <x:c r="F332" s="691">
        <x:f t="shared" ref="F332:R332" si="12">F239</x:f>
        <x:v>0</x:v>
      </x:c>
      <x:c r="G332" s="691">
        <x:f t="shared" si="12"/>
        <x:v>0</x:v>
      </x:c>
      <x:c r="H332" s="691">
        <x:f t="shared" si="12"/>
        <x:v>0</x:v>
      </x:c>
      <x:c r="I332" s="691">
        <x:f t="shared" si="12"/>
        <x:v>0</x:v>
      </x:c>
      <x:c r="J332" s="691">
        <x:f t="shared" si="12"/>
        <x:v>0</x:v>
      </x:c>
      <x:c r="K332" s="691">
        <x:f t="shared" si="12"/>
        <x:v>0</x:v>
      </x:c>
      <x:c r="L332" s="691">
        <x:f t="shared" si="12"/>
        <x:v>0</x:v>
      </x:c>
      <x:c r="M332" s="691">
        <x:f t="shared" si="12"/>
        <x:v>0</x:v>
      </x:c>
      <x:c r="N332" s="691">
        <x:f t="shared" si="12"/>
        <x:v>0</x:v>
      </x:c>
      <x:c r="O332" s="691">
        <x:f t="shared" si="12"/>
        <x:v>0</x:v>
      </x:c>
      <x:c r="P332" s="691">
        <x:f t="shared" si="12"/>
        <x:v>0</x:v>
      </x:c>
      <x:c r="Q332" s="691">
        <x:f t="shared" si="12"/>
        <x:v>0</x:v>
      </x:c>
      <x:c r="R332" s="691">
        <x:f t="shared" si="12"/>
        <x:v>0</x:v>
      </x:c>
      <x:c r="Z332" s="701"/>
    </x:row>
    <x:row r="333" spans="1:26" x14ac:dyDescent="0.2">
      <x:c r="A333" s="774"/>
      <x:c r="B333" s="773"/>
      <x:c r="C333" s="691" t="s">
        <x:v>73</x:v>
      </x:c>
      <x:c r="D333" s="691">
        <x:f>D241</x:f>
        <x:v>0</x:v>
      </x:c>
      <x:c r="E333" s="683"/>
      <x:c r="F333" s="683"/>
      <x:c r="G333" s="683"/>
      <x:c r="H333" s="683"/>
      <x:c r="I333" s="683"/>
      <x:c r="J333" s="683"/>
      <x:c r="K333" s="683"/>
      <x:c r="L333" s="683"/>
      <x:c r="M333" s="683"/>
      <x:c r="N333" s="683"/>
      <x:c r="O333" s="683"/>
      <x:c r="P333" s="683"/>
      <x:c r="Q333" s="683"/>
      <x:c r="R333" s="683"/>
      <x:c r="Z333" s="701"/>
    </x:row>
    <x:row r="334" spans="1:26" ht="15" x14ac:dyDescent="0.25">
      <x:c r="A334" s="682"/>
      <x:c r="D334" s="683"/>
      <x:c r="E334" s="683"/>
      <x:c r="F334" s="683"/>
      <x:c r="G334" s="683"/>
      <x:c r="H334" s="683"/>
      <x:c r="I334" s="683"/>
      <x:c r="J334" s="683"/>
      <x:c r="K334" s="683"/>
      <x:c r="L334" s="683"/>
      <x:c r="M334" s="683"/>
      <x:c r="N334" s="683"/>
      <x:c r="O334" s="683"/>
      <x:c r="P334" s="683"/>
      <x:c r="Q334" s="683"/>
      <x:c r="R334" s="683"/>
      <x:c r="Z334" s="701"/>
    </x:row>
    <x:row r="335" spans="1:26" x14ac:dyDescent="0.2">
      <x:c r="A335" s="772" t="s">
        <x:v>161</x:v>
      </x:c>
      <x:c r="B335" s="773" t="s">
        <x:v>132</x:v>
      </x:c>
      <x:c r="C335" s="700" t="s">
        <x:v>70</x:v>
      </x:c>
      <x:c r="D335" s="700">
        <x:v>0</x:v>
      </x:c>
      <x:c r="E335" s="700">
        <x:v>0</x:v>
      </x:c>
      <x:c r="F335" s="700">
        <x:v>0</x:v>
      </x:c>
      <x:c r="G335" s="700">
        <x:v>0</x:v>
      </x:c>
      <x:c r="H335" s="700">
        <x:v>0</x:v>
      </x:c>
      <x:c r="I335" s="700">
        <x:v>0</x:v>
      </x:c>
      <x:c r="J335" s="700">
        <x:v>0</x:v>
      </x:c>
      <x:c r="K335" s="700">
        <x:v>0</x:v>
      </x:c>
      <x:c r="L335" s="700">
        <x:v>0</x:v>
      </x:c>
      <x:c r="M335" s="700">
        <x:v>0</x:v>
      </x:c>
      <x:c r="N335" s="700">
        <x:v>0</x:v>
      </x:c>
      <x:c r="O335" s="700">
        <x:v>0</x:v>
      </x:c>
      <x:c r="P335" s="700">
        <x:v>0</x:v>
      </x:c>
      <x:c r="Q335" s="700">
        <x:v>0</x:v>
      </x:c>
      <x:c r="R335" s="700">
        <x:v>0</x:v>
      </x:c>
      <x:c r="Z335" s="701"/>
    </x:row>
    <x:row r="336" spans="1:26" x14ac:dyDescent="0.2">
      <x:c r="A336" s="772"/>
      <x:c r="B336" s="773"/>
      <x:c r="C336" s="700" t="s">
        <x:v>73</x:v>
      </x:c>
      <x:c r="D336" s="700">
        <x:v>0</x:v>
      </x:c>
      <x:c r="E336" s="683"/>
      <x:c r="F336" s="683"/>
      <x:c r="G336" s="683"/>
      <x:c r="H336" s="683"/>
      <x:c r="I336" s="683"/>
      <x:c r="J336" s="683"/>
      <x:c r="K336" s="683"/>
      <x:c r="L336" s="683"/>
      <x:c r="M336" s="683"/>
      <x:c r="N336" s="683"/>
      <x:c r="O336" s="683"/>
      <x:c r="P336" s="683"/>
      <x:c r="Q336" s="683"/>
      <x:c r="Z336" s="701"/>
    </x:row>
    <x:row r="337" spans="1:26" x14ac:dyDescent="0.2">
      <x:c r="A337" s="701"/>
      <x:c r="B337" s="701"/>
      <x:c r="C337" s="701"/>
      <x:c r="D337" s="701"/>
      <x:c r="E337" s="701"/>
      <x:c r="F337" s="701"/>
      <x:c r="G337" s="701"/>
      <x:c r="H337" s="701"/>
      <x:c r="I337" s="701"/>
      <x:c r="J337" s="701"/>
      <x:c r="K337" s="701"/>
      <x:c r="L337" s="701"/>
      <x:c r="M337" s="701"/>
      <x:c r="N337" s="701"/>
      <x:c r="O337" s="701"/>
      <x:c r="P337" s="701"/>
      <x:c r="Q337" s="701"/>
      <x:c r="R337" s="701"/>
      <x:c r="S337" s="701"/>
      <x:c r="T337" s="701"/>
      <x:c r="U337" s="701"/>
      <x:c r="V337" s="701"/>
      <x:c r="W337" s="701"/>
      <x:c r="X337" s="701"/>
      <x:c r="Y337" s="701"/>
      <x:c r="Z337" s="701"/>
    </x:row>
    <x:row r="338" spans="1:26" ht="15" x14ac:dyDescent="0.25">
      <x:c r="B338" s="707" t="s">
        <x:v>93</x:v>
      </x:c>
      <x:c r="Z338" s="701"/>
    </x:row>
    <x:row r="339" spans="1:26" s="682" customFormat="1" ht="15" x14ac:dyDescent="0.25">
      <x:c r="D339" s="704" t="s">
        <x:v>70</x:v>
      </x:c>
      <x:c r="E339" s="704" t="s">
        <x:v>64</x:v>
      </x:c>
      <x:c r="F339" s="704" t="s">
        <x:v>65</x:v>
      </x:c>
      <x:c r="G339" s="705" t="s">
        <x:v>164</x:v>
      </x:c>
      <x:c r="H339" s="704" t="s">
        <x:v>69</x:v>
      </x:c>
      <x:c r="I339" s="704" t="s">
        <x:v>68</x:v>
      </x:c>
      <x:c r="J339" s="704" t="s">
        <x:v>66</x:v>
      </x:c>
      <x:c r="K339" s="704" t="s">
        <x:v>63</x:v>
      </x:c>
      <x:c r="L339" s="704" t="s">
        <x:v>61</x:v>
      </x:c>
      <x:c r="M339" s="704" t="s">
        <x:v>62</x:v>
      </x:c>
      <x:c r="N339" s="704" t="s">
        <x:v>67</x:v>
      </x:c>
      <x:c r="O339" s="704" t="s">
        <x:v>77</x:v>
      </x:c>
      <x:c r="P339" s="682" t="s">
        <x:v>71</x:v>
      </x:c>
      <x:c r="Q339" s="704" t="s">
        <x:v>80</x:v>
      </x:c>
      <x:c r="R339" s="682" t="s">
        <x:v>167</x:v>
      </x:c>
      <x:c r="Z339" s="706"/>
    </x:row>
    <x:row r="340" spans="1:26" x14ac:dyDescent="0.2">
      <x:c r="C340" s="683" t="s">
        <x:v>72</x:v>
      </x:c>
      <x:c r="D340" s="683" t="n">
        <x:v>-2459958.99</x:v>
      </x:c>
      <x:c r="E340" s="683" t="n">
        <x:v>-131176.3</x:v>
      </x:c>
      <x:c r="F340" s="683" t="n">
        <x:v>-73947.6</x:v>
      </x:c>
      <x:c r="G340" s="683" t="n">
        <x:v>-38360.96</x:v>
      </x:c>
      <x:c r="H340" s="683" t="n">
        <x:v>-516845.27</x:v>
      </x:c>
      <x:c r="I340" s="683" t="n">
        <x:v>-20608.35</x:v>
      </x:c>
      <x:c r="J340" s="683" t="n">
        <x:v>-180773.73</x:v>
      </x:c>
      <x:c r="K340" s="683" t="n">
        <x:v>-177017.02</x:v>
      </x:c>
      <x:c r="L340" s="683" t="n">
        <x:v>-903639.16</x:v>
      </x:c>
      <x:c r="M340" s="683" t="n">
        <x:v>-383975.32</x:v>
      </x:c>
      <x:c r="N340" s="683" t="n">
        <x:v>-33624.08</x:v>
      </x:c>
      <x:c r="O340" s="683" t="n">
        <x:v>8.8</x:v>
      </x:c>
      <x:c r="P340" s="681">
        <x:v>0</x:v>
      </x:c>
      <x:c r="Q340" s="683">
        <x:v>0</x:v>
      </x:c>
      <x:c r="R340" s="681">
        <x:v>0</x:v>
      </x:c>
      <x:c r="Z340" s="701"/>
    </x:row>
    <x:row r="341" spans="1:26" x14ac:dyDescent="0.2">
      <x:c r="C341" s="683" t="s">
        <x:v>81</x:v>
      </x:c>
      <x:c r="D341" s="683" t="n">
        <x:v>-1530.78</x:v>
      </x:c>
      <x:c r="E341" s="683" t="n">
        <x:v>-92.42</x:v>
      </x:c>
      <x:c r="F341" s="683" t="n">
        <x:v>-52.15</x:v>
      </x:c>
      <x:c r="G341" s="683" t="n">
        <x:v>-27.92</x:v>
      </x:c>
      <x:c r="H341" s="683" t="n">
        <x:v>-308.9</x:v>
      </x:c>
      <x:c r="I341" s="683" t="n">
        <x:v>-11.75</x:v>
      </x:c>
      <x:c r="J341" s="683" t="n">
        <x:v>-106.44</x:v>
      </x:c>
      <x:c r="K341" s="683" t="n">
        <x:v>-103.99</x:v>
      </x:c>
      <x:c r="L341" s="683" t="n">
        <x:v>-527.01</x:v>
      </x:c>
      <x:c r="M341" s="683" t="n">
        <x:v>-281.03</x:v>
      </x:c>
      <x:c r="N341" s="683" t="n">
        <x:v>-19.16</x:v>
      </x:c>
      <x:c r="O341" s="683" t="n">
        <x:v>-0.01</x:v>
      </x:c>
      <x:c r="P341" s="681">
        <x:v>0</x:v>
      </x:c>
      <x:c r="Q341" s="683">
        <x:v>0</x:v>
      </x:c>
      <x:c r="R341" s="681">
        <x:v>0</x:v>
      </x:c>
      <x:c r="Z341" s="701"/>
    </x:row>
    <x:row r="342" spans="1:26" x14ac:dyDescent="0.2">
      <x:c r="A342" s="684"/>
      <x:c r="B342" s="685" t="s">
        <x:v>78</x:v>
      </x:c>
      <x:c r="C342" s="685" t="s">
        <x:v>70</x:v>
      </x:c>
      <x:c r="D342" s="685" t="n">
        <x:v>-2461489.77</x:v>
      </x:c>
      <x:c r="E342" s="685" t="n">
        <x:v>-131268.72</x:v>
      </x:c>
      <x:c r="F342" s="685" t="n">
        <x:v>-73999.75</x:v>
      </x:c>
      <x:c r="G342" s="685" t="n">
        <x:v>-38388.88</x:v>
      </x:c>
      <x:c r="H342" s="685" t="n">
        <x:v>-517154.17</x:v>
      </x:c>
      <x:c r="I342" s="685" t="n">
        <x:v>-20620.1</x:v>
      </x:c>
      <x:c r="J342" s="685" t="n">
        <x:v>-180880.17</x:v>
      </x:c>
      <x:c r="K342" s="685" t="n">
        <x:v>-177121.01</x:v>
      </x:c>
      <x:c r="L342" s="685" t="n">
        <x:v>-904166.17</x:v>
      </x:c>
      <x:c r="M342" s="685" t="n">
        <x:v>-384256.35</x:v>
      </x:c>
      <x:c r="N342" s="685" t="n">
        <x:v>-33643.24</x:v>
      </x:c>
      <x:c r="O342" s="685" t="n">
        <x:v>8.79</x:v>
      </x:c>
      <x:c r="P342" s="684">
        <x:v>0</x:v>
      </x:c>
      <x:c r="Q342" s="685">
        <x:v>0</x:v>
      </x:c>
      <x:c r="R342" s="685">
        <x:v>0</x:v>
      </x:c>
      <x:c r="S342" s="684"/>
      <x:c r="T342" s="684"/>
      <x:c r="U342" s="684"/>
      <x:c r="V342" s="684"/>
      <x:c r="W342" s="684"/>
      <x:c r="X342" s="684"/>
      <x:c r="Y342" s="684"/>
      <x:c r="Z342" s="701"/>
    </x:row>
    <x:row r="343" spans="1:26" x14ac:dyDescent="0.2">
      <x:c r="C343" s="683" t="s">
        <x:v>73</x:v>
      </x:c>
      <x:c r="D343" s="683" t="n">
        <x:v>395889.77</x:v>
      </x:c>
      <x:c r="E343" s="683" t="n">
        <x:v>21738.99</x:v>
      </x:c>
      <x:c r="F343" s="683" t="n">
        <x:v>12237.73</x:v>
      </x:c>
      <x:c r="G343" s="683" t="n">
        <x:v>6281.21</x:v>
      </x:c>
      <x:c r="H343" s="683" t="n">
        <x:v>77529.75</x:v>
      </x:c>
      <x:c r="I343" s="683" t="n">
        <x:v>3370.36</x:v>
      </x:c>
      <x:c r="J343" s="683" t="n">
        <x:v>29563.65</x:v>
      </x:c>
      <x:c r="K343" s="683" t="n">
        <x:v>28884.29</x:v>
      </x:c>
      <x:c r="L343" s="683" t="n">
        <x:v>147901.79</x:v>
      </x:c>
      <x:c r="M343" s="683" t="n">
        <x:v>62883.22</x:v>
      </x:c>
      <x:c r="N343" s="683" t="n">
        <x:v>5498.78</x:v>
      </x:c>
      <x:c r="O343" s="683" t="n">
        <x:v>0</x:v>
      </x:c>
      <x:c r="P343" s="681">
        <x:v>0</x:v>
      </x:c>
      <x:c r="Q343" s="683">
        <x:v>0</x:v>
      </x:c>
      <x:c r="R343" s="681">
        <x:v>0</x:v>
      </x:c>
      <x:c r="Z343" s="701"/>
    </x:row>
    <x:row r="344" spans="1:26" x14ac:dyDescent="0.2">
      <x:c r="A344" s="686"/>
      <x:c r="B344" s="687" t="s">
        <x:v>79</x:v>
      </x:c>
      <x:c r="C344" s="687" t="s">
        <x:v>70</x:v>
      </x:c>
      <x:c r="D344" s="687" t="n">
        <x:v>395889.77</x:v>
      </x:c>
      <x:c r="E344" s="687" t="n">
        <x:v>21738.99</x:v>
      </x:c>
      <x:c r="F344" s="687" t="n">
        <x:v>12237.73</x:v>
      </x:c>
      <x:c r="G344" s="687" t="n">
        <x:v>6281.21</x:v>
      </x:c>
      <x:c r="H344" s="687" t="n">
        <x:v>77529.75</x:v>
      </x:c>
      <x:c r="I344" s="687" t="n">
        <x:v>3370.36</x:v>
      </x:c>
      <x:c r="J344" s="687" t="n">
        <x:v>29563.65</x:v>
      </x:c>
      <x:c r="K344" s="687" t="n">
        <x:v>28884.29</x:v>
      </x:c>
      <x:c r="L344" s="687" t="n">
        <x:v>147901.79</x:v>
      </x:c>
      <x:c r="M344" s="687" t="n">
        <x:v>62883.22</x:v>
      </x:c>
      <x:c r="N344" s="687" t="n">
        <x:v>5498.78</x:v>
      </x:c>
      <x:c r="O344" s="687" t="n">
        <x:v>0</x:v>
      </x:c>
      <x:c r="P344" s="686">
        <x:v>0</x:v>
      </x:c>
      <x:c r="Q344" s="687">
        <x:v>0</x:v>
      </x:c>
      <x:c r="R344" s="687">
        <x:v>0</x:v>
      </x:c>
      <x:c r="S344" s="686"/>
      <x:c r="T344" s="686"/>
      <x:c r="U344" s="686"/>
      <x:c r="V344" s="686"/>
      <x:c r="W344" s="686"/>
      <x:c r="X344" s="686"/>
      <x:c r="Y344" s="686"/>
      <x:c r="Z344" s="701"/>
    </x:row>
    <x:row r="345" spans="1:26" x14ac:dyDescent="0.2">
      <x:c r="A345" s="688" t="s">
        <x:v>155</x:v>
      </x:c>
      <x:c r="B345" s="688" t="s">
        <x:v>70</x:v>
      </x:c>
      <x:c r="C345" s="688"/>
      <x:c r="D345" s="689" t="n">
        <x:v>-2065600</x:v>
      </x:c>
      <x:c r="E345" s="689" t="n">
        <x:v>-109529.73</x:v>
      </x:c>
      <x:c r="F345" s="689" t="n">
        <x:v>-61762.02</x:v>
      </x:c>
      <x:c r="G345" s="689" t="n">
        <x:v>-32107.67</x:v>
      </x:c>
      <x:c r="H345" s="689" t="n">
        <x:v>-439624.42</x:v>
      </x:c>
      <x:c r="I345" s="689" t="n">
        <x:v>-17249.74</x:v>
      </x:c>
      <x:c r="J345" s="689" t="n">
        <x:v>-151316.52</x:v>
      </x:c>
      <x:c r="K345" s="689" t="n">
        <x:v>-148236.72</x:v>
      </x:c>
      <x:c r="L345" s="689" t="n">
        <x:v>-756264.38</x:v>
      </x:c>
      <x:c r="M345" s="689" t="n">
        <x:v>-321373.13</x:v>
      </x:c>
      <x:c r="N345" s="689" t="n">
        <x:v>-28144.46</x:v>
      </x:c>
      <x:c r="O345" s="689" t="n">
        <x:v>8.79</x:v>
      </x:c>
      <x:c r="P345" s="689">
        <x:v>0</x:v>
      </x:c>
      <x:c r="Q345" s="689">
        <x:v>0</x:v>
      </x:c>
      <x:c r="R345" s="688">
        <x:v>0</x:v>
      </x:c>
      <x:c r="S345" s="688"/>
      <x:c r="T345" s="688"/>
      <x:c r="U345" s="688"/>
      <x:c r="V345" s="688"/>
      <x:c r="W345" s="688"/>
      <x:c r="X345" s="688"/>
      <x:c r="Y345" s="688"/>
      <x:c r="Z345" s="701"/>
    </x:row>
    <x:row r="346" spans="1:26" x14ac:dyDescent="0.2">
      <x:c r="C346" s="681" t="s">
        <x:v>72</x:v>
      </x:c>
      <x:c r="D346" s="683" t="n">
        <x:v>-1083123.76</x:v>
      </x:c>
      <x:c r="E346" s="683" t="n">
        <x:v>-72781.12</x:v>
      </x:c>
      <x:c r="F346" s="683" t="n">
        <x:v>-39747.02</x:v>
      </x:c>
      <x:c r="G346" s="683" t="n">
        <x:v>-20862.82</x:v>
      </x:c>
      <x:c r="H346" s="683" t="n">
        <x:v>-236215.25</x:v>
      </x:c>
      <x:c r="I346" s="683" t="n">
        <x:v>-6590.57</x:v>
      </x:c>
      <x:c r="J346" s="683" t="n">
        <x:v>-57811.55</x:v>
      </x:c>
      <x:c r="K346" s="683" t="n">
        <x:v>-68511.12</x:v>
      </x:c>
      <x:c r="L346" s="683" t="n">
        <x:v>-351743.19</x:v>
      </x:c>
      <x:c r="M346" s="683" t="n">
        <x:v>-218096.95</x:v>
      </x:c>
      <x:c r="N346" s="683" t="n">
        <x:v>-10752.99</x:v>
      </x:c>
      <x:c r="O346" s="683" t="n">
        <x:v>-11.18</x:v>
      </x:c>
      <x:c r="P346" s="683">
        <x:v>0</x:v>
      </x:c>
      <x:c r="Q346" s="683">
        <x:v>0</x:v>
      </x:c>
      <x:c r="R346" s="681">
        <x:v>0</x:v>
      </x:c>
      <x:c r="Z346" s="701"/>
    </x:row>
    <x:row r="347" spans="1:26" x14ac:dyDescent="0.2">
      <x:c r="C347" s="681" t="s">
        <x:v>81</x:v>
      </x:c>
      <x:c r="D347" s="683" t="n">
        <x:v>-7940.15</x:v>
      </x:c>
      <x:c r="E347" s="683" t="n">
        <x:v>-601.51</x:v>
      </x:c>
      <x:c r="F347" s="683" t="n">
        <x:v>-315.89</x:v>
      </x:c>
      <x:c r="G347" s="683" t="n">
        <x:v>-174.4</x:v>
      </x:c>
      <x:c r="H347" s="683" t="n">
        <x:v>-1696</x:v>
      </x:c>
      <x:c r="I347" s="683" t="n">
        <x:v>-40.25</x:v>
      </x:c>
      <x:c r="J347" s="683" t="n">
        <x:v>-352.25</x:v>
      </x:c>
      <x:c r="K347" s="683" t="n">
        <x:v>-482.43</x:v>
      </x:c>
      <x:c r="L347" s="683" t="n">
        <x:v>-2396.34</x:v>
      </x:c>
      <x:c r="M347" s="683" t="n">
        <x:v>-1815.36</x:v>
      </x:c>
      <x:c r="N347" s="683" t="n">
        <x:v>-65.55</x:v>
      </x:c>
      <x:c r="O347" s="683" t="n">
        <x:v>-0.17</x:v>
      </x:c>
      <x:c r="P347" s="683">
        <x:v>0</x:v>
      </x:c>
      <x:c r="Q347" s="683">
        <x:v>0</x:v>
      </x:c>
      <x:c r="R347" s="681">
        <x:v>0</x:v>
      </x:c>
      <x:c r="Z347" s="701"/>
    </x:row>
    <x:row r="348" spans="1:26" x14ac:dyDescent="0.2">
      <x:c r="A348" s="684"/>
      <x:c r="B348" s="685" t="s">
        <x:v>78</x:v>
      </x:c>
      <x:c r="C348" s="685" t="s">
        <x:v>70</x:v>
      </x:c>
      <x:c r="D348" s="685" t="n">
        <x:v>-1091063.91</x:v>
      </x:c>
      <x:c r="E348" s="685" t="n">
        <x:v>-73382.63</x:v>
      </x:c>
      <x:c r="F348" s="685" t="n">
        <x:v>-40062.91</x:v>
      </x:c>
      <x:c r="G348" s="685" t="n">
        <x:v>-21037.22</x:v>
      </x:c>
      <x:c r="H348" s="685" t="n">
        <x:v>-237911.25</x:v>
      </x:c>
      <x:c r="I348" s="685" t="n">
        <x:v>-6630.82</x:v>
      </x:c>
      <x:c r="J348" s="685" t="n">
        <x:v>-58163.8</x:v>
      </x:c>
      <x:c r="K348" s="685" t="n">
        <x:v>-68993.55</x:v>
      </x:c>
      <x:c r="L348" s="685" t="n">
        <x:v>-354139.53</x:v>
      </x:c>
      <x:c r="M348" s="685" t="n">
        <x:v>-219912.31</x:v>
      </x:c>
      <x:c r="N348" s="685" t="n">
        <x:v>-10818.54</x:v>
      </x:c>
      <x:c r="O348" s="685" t="n">
        <x:v>-11.35</x:v>
      </x:c>
      <x:c r="P348" s="684">
        <x:v>0</x:v>
      </x:c>
      <x:c r="Q348" s="685">
        <x:v>0</x:v>
      </x:c>
      <x:c r="R348" s="685">
        <x:v>0</x:v>
      </x:c>
      <x:c r="S348" s="684"/>
      <x:c r="T348" s="684"/>
      <x:c r="U348" s="684"/>
      <x:c r="V348" s="684"/>
      <x:c r="W348" s="684"/>
      <x:c r="X348" s="684"/>
      <x:c r="Y348" s="684"/>
      <x:c r="Z348" s="701"/>
    </x:row>
    <x:row r="349" spans="1:26" x14ac:dyDescent="0.2">
      <x:c r="C349" s="681" t="s">
        <x:v>73</x:v>
      </x:c>
      <x:c r="D349" s="683" t="n">
        <x:v>64288.38</x:v>
      </x:c>
      <x:c r="E349" s="683" t="n">
        <x:v>-653.33</x:v>
      </x:c>
      <x:c r="F349" s="683" t="n">
        <x:v>-464.25</x:v>
      </x:c>
      <x:c r="G349" s="683" t="n">
        <x:v>-316.04</x:v>
      </x:c>
      <x:c r="H349" s="683" t="n">
        <x:v>19509.96</x:v>
      </x:c>
      <x:c r="I349" s="683" t="n">
        <x:v>788.95</x:v>
      </x:c>
      <x:c r="J349" s="683" t="n">
        <x:v>6920.78</x:v>
      </x:c>
      <x:c r="K349" s="683" t="n">
        <x:v>7226.71</x:v>
      </x:c>
      <x:c r="L349" s="683" t="n">
        <x:v>32486.74</x:v>
      </x:c>
      <x:c r="M349" s="683" t="n">
        <x:v>-2498.41</x:v>
      </x:c>
      <x:c r="N349" s="683" t="n">
        <x:v>1287.27</x:v>
      </x:c>
      <x:c r="O349" s="683" t="n">
        <x:v>0</x:v>
      </x:c>
      <x:c r="P349" s="683">
        <x:v>0</x:v>
      </x:c>
      <x:c r="Q349" s="683">
        <x:v>0</x:v>
      </x:c>
      <x:c r="R349" s="681">
        <x:v>0</x:v>
      </x:c>
      <x:c r="Z349" s="701"/>
    </x:row>
    <x:row r="350" spans="1:26" x14ac:dyDescent="0.2">
      <x:c r="A350" s="686"/>
      <x:c r="B350" s="687" t="s">
        <x:v>79</x:v>
      </x:c>
      <x:c r="C350" s="687" t="s">
        <x:v>70</x:v>
      </x:c>
      <x:c r="D350" s="687" t="n">
        <x:v>64288.38</x:v>
      </x:c>
      <x:c r="E350" s="687" t="n">
        <x:v>-653.33</x:v>
      </x:c>
      <x:c r="F350" s="687" t="n">
        <x:v>-464.25</x:v>
      </x:c>
      <x:c r="G350" s="687" t="n">
        <x:v>-316.04</x:v>
      </x:c>
      <x:c r="H350" s="687" t="n">
        <x:v>19509.96</x:v>
      </x:c>
      <x:c r="I350" s="687" t="n">
        <x:v>788.95</x:v>
      </x:c>
      <x:c r="J350" s="687" t="n">
        <x:v>6920.78</x:v>
      </x:c>
      <x:c r="K350" s="687" t="n">
        <x:v>7226.71</x:v>
      </x:c>
      <x:c r="L350" s="687" t="n">
        <x:v>32486.74</x:v>
      </x:c>
      <x:c r="M350" s="687" t="n">
        <x:v>-2498.41</x:v>
      </x:c>
      <x:c r="N350" s="687" t="n">
        <x:v>1287.27</x:v>
      </x:c>
      <x:c r="O350" s="687" t="n">
        <x:v>0</x:v>
      </x:c>
      <x:c r="P350" s="686">
        <x:v>0</x:v>
      </x:c>
      <x:c r="Q350" s="687">
        <x:v>0</x:v>
      </x:c>
      <x:c r="R350" s="687">
        <x:v>0</x:v>
      </x:c>
      <x:c r="S350" s="686"/>
      <x:c r="T350" s="686"/>
      <x:c r="U350" s="686"/>
      <x:c r="V350" s="686"/>
      <x:c r="W350" s="686"/>
      <x:c r="X350" s="686"/>
      <x:c r="Y350" s="686"/>
      <x:c r="Z350" s="701"/>
    </x:row>
    <x:row r="351" spans="1:26" x14ac:dyDescent="0.2">
      <x:c r="A351" s="690" t="s">
        <x:v>119</x:v>
      </x:c>
      <x:c r="B351" s="690" t="s">
        <x:v>70</x:v>
      </x:c>
      <x:c r="C351" s="690"/>
      <x:c r="D351" s="691" t="n">
        <x:v>-1026775.53</x:v>
      </x:c>
      <x:c r="E351" s="691" t="n">
        <x:v>-74035.96</x:v>
      </x:c>
      <x:c r="F351" s="691" t="n">
        <x:v>-40527.16</x:v>
      </x:c>
      <x:c r="G351" s="691" t="n">
        <x:v>-21353.26</x:v>
      </x:c>
      <x:c r="H351" s="691" t="n">
        <x:v>-218401.29</x:v>
      </x:c>
      <x:c r="I351" s="691" t="n">
        <x:v>-5841.87</x:v>
      </x:c>
      <x:c r="J351" s="691" t="n">
        <x:v>-51243.02</x:v>
      </x:c>
      <x:c r="K351" s="691" t="n">
        <x:v>-61766.84</x:v>
      </x:c>
      <x:c r="L351" s="691" t="n">
        <x:v>-321652.79</x:v>
      </x:c>
      <x:c r="M351" s="691" t="n">
        <x:v>-222410.72</x:v>
      </x:c>
      <x:c r="N351" s="691" t="n">
        <x:v>-9531.27</x:v>
      </x:c>
      <x:c r="O351" s="691" t="n">
        <x:v>-11.35</x:v>
      </x:c>
      <x:c r="P351" s="691">
        <x:v>0</x:v>
      </x:c>
      <x:c r="Q351" s="691">
        <x:v>0</x:v>
      </x:c>
      <x:c r="R351" s="690">
        <x:v>0</x:v>
      </x:c>
      <x:c r="S351" s="690"/>
      <x:c r="T351" s="690"/>
      <x:c r="U351" s="690"/>
      <x:c r="V351" s="690"/>
      <x:c r="W351" s="690"/>
      <x:c r="X351" s="690"/>
      <x:c r="Y351" s="690"/>
      <x:c r="Z351" s="701"/>
    </x:row>
    <x:row r="352" spans="1:26" x14ac:dyDescent="0.2">
      <x:c r="A352" s="692" t="s">
        <x:v>70</x:v>
      </x:c>
      <x:c r="B352" s="693"/>
      <x:c r="C352" s="693"/>
      <x:c r="D352" s="692" t="n">
        <x:v>-3092375.53</x:v>
      </x:c>
      <x:c r="E352" s="692" t="n">
        <x:v>-183565.69</x:v>
      </x:c>
      <x:c r="F352" s="692" t="n">
        <x:v>-102289.18</x:v>
      </x:c>
      <x:c r="G352" s="692" t="n">
        <x:v>-53460.93</x:v>
      </x:c>
      <x:c r="H352" s="692" t="n">
        <x:v>-658025.71</x:v>
      </x:c>
      <x:c r="I352" s="692" t="n">
        <x:v>-23091.61</x:v>
      </x:c>
      <x:c r="J352" s="692" t="n">
        <x:v>-202559.54</x:v>
      </x:c>
      <x:c r="K352" s="692" t="n">
        <x:v>-210003.56</x:v>
      </x:c>
      <x:c r="L352" s="692" t="n">
        <x:v>-1077917.17</x:v>
      </x:c>
      <x:c r="M352" s="692" t="n">
        <x:v>-543783.85</x:v>
      </x:c>
      <x:c r="N352" s="692" t="n">
        <x:v>-37675.73</x:v>
      </x:c>
      <x:c r="O352" s="692" t="n">
        <x:v>-2.56</x:v>
      </x:c>
      <x:c r="P352" s="693" t="n">
        <x:v>0</x:v>
      </x:c>
      <x:c r="Q352" s="692">
        <x:v>0</x:v>
      </x:c>
      <x:c r="R352" s="692">
        <x:v>0</x:v>
      </x:c>
      <x:c r="S352" s="693"/>
      <x:c r="T352" s="693"/>
      <x:c r="U352" s="693"/>
      <x:c r="V352" s="693"/>
      <x:c r="W352" s="693"/>
      <x:c r="X352" s="693"/>
      <x:c r="Y352" s="693"/>
      <x:c r="Z352" s="701"/>
    </x:row>
    <x:row r="353" spans="1:26" x14ac:dyDescent="0.2">
      <x:c r="C353" s="683"/>
      <x:c r="D353" s="683"/>
      <x:c r="E353" s="683"/>
      <x:c r="F353" s="683"/>
      <x:c r="G353" s="683"/>
      <x:c r="H353" s="683"/>
      <x:c r="I353" s="683"/>
      <x:c r="J353" s="683"/>
      <x:c r="K353" s="683"/>
      <x:c r="L353" s="683"/>
      <x:c r="M353" s="683"/>
      <x:c r="N353" s="683"/>
      <x:c r="O353" s="683"/>
      <x:c r="Q353" s="683"/>
      <x:c r="Z353" s="701"/>
    </x:row>
    <x:row r="354" spans="1:26" x14ac:dyDescent="0.2">
      <x:c r="C354" s="683"/>
      <x:c r="D354" s="683"/>
      <x:c r="E354" s="683"/>
      <x:c r="F354" s="683"/>
      <x:c r="G354" s="683"/>
      <x:c r="H354" s="683"/>
      <x:c r="I354" s="683"/>
      <x:c r="J354" s="683"/>
      <x:c r="K354" s="683"/>
      <x:c r="L354" s="683"/>
      <x:c r="M354" s="683"/>
      <x:c r="N354" s="683"/>
      <x:c r="O354" s="683"/>
      <x:c r="Q354" s="683"/>
      <x:c r="Z354" s="701"/>
    </x:row>
    <x:row r="355" spans="1:26" x14ac:dyDescent="0.2">
      <x:c r="A355" s="774" t="s">
        <x:v>2</x:v>
      </x:c>
      <x:c r="B355" s="773" t="s">
        <x:v>132</x:v>
      </x:c>
      <x:c r="C355" s="696" t="s">
        <x:v>70</x:v>
      </x:c>
      <x:c r="D355" s="696">
        <x:f>D352-P352</x:f>
        <x:v>0</x:v>
      </x:c>
      <x:c r="E355" s="696">
        <x:f>E342+E348</x:f>
        <x:v>0</x:v>
      </x:c>
      <x:c r="F355" s="696">
        <x:f t="shared" ref="F355:R355" si="13">F342+F348</x:f>
        <x:v>0</x:v>
      </x:c>
      <x:c r="G355" s="696">
        <x:f t="shared" si="13"/>
        <x:v>0</x:v>
      </x:c>
      <x:c r="H355" s="696">
        <x:f t="shared" si="13"/>
        <x:v>0</x:v>
      </x:c>
      <x:c r="I355" s="696">
        <x:f t="shared" si="13"/>
        <x:v>0</x:v>
      </x:c>
      <x:c r="J355" s="696">
        <x:f t="shared" si="13"/>
        <x:v>0</x:v>
      </x:c>
      <x:c r="K355" s="696">
        <x:f t="shared" si="13"/>
        <x:v>0</x:v>
      </x:c>
      <x:c r="L355" s="696">
        <x:f t="shared" si="13"/>
        <x:v>0</x:v>
      </x:c>
      <x:c r="M355" s="696">
        <x:f t="shared" si="13"/>
        <x:v>0</x:v>
      </x:c>
      <x:c r="N355" s="696">
        <x:f t="shared" si="13"/>
        <x:v>0</x:v>
      </x:c>
      <x:c r="O355" s="696">
        <x:f t="shared" si="13"/>
        <x:v>0</x:v>
      </x:c>
      <x:c r="P355" s="696">
        <x:f t="shared" si="13"/>
        <x:v>0</x:v>
      </x:c>
      <x:c r="Q355" s="696">
        <x:f t="shared" si="13"/>
        <x:v>0</x:v>
      </x:c>
      <x:c r="R355" s="696">
        <x:f t="shared" si="13"/>
        <x:v>0</x:v>
      </x:c>
      <x:c r="Z355" s="701"/>
    </x:row>
    <x:row r="356" spans="1:26" x14ac:dyDescent="0.2">
      <x:c r="A356" s="774"/>
      <x:c r="B356" s="773"/>
      <x:c r="C356" s="696" t="s">
        <x:v>73</x:v>
      </x:c>
      <x:c r="D356" s="696">
        <x:f>D344+D350</x:f>
        <x:v>0</x:v>
      </x:c>
      <x:c r="E356" s="683"/>
      <x:c r="F356" s="683"/>
      <x:c r="G356" s="683"/>
      <x:c r="H356" s="683"/>
      <x:c r="I356" s="683"/>
      <x:c r="J356" s="683"/>
      <x:c r="K356" s="683"/>
      <x:c r="L356" s="683"/>
      <x:c r="M356" s="683"/>
      <x:c r="N356" s="683"/>
      <x:c r="O356" s="683"/>
      <x:c r="P356" s="683"/>
      <x:c r="Q356" s="683"/>
      <x:c r="R356" s="683"/>
      <x:c r="Z356" s="701"/>
    </x:row>
    <x:row r="357" spans="1:26" ht="15" x14ac:dyDescent="0.25">
      <x:c r="A357" s="682"/>
      <x:c r="D357" s="683"/>
      <x:c r="E357" s="683"/>
      <x:c r="F357" s="683"/>
      <x:c r="G357" s="683"/>
      <x:c r="H357" s="683"/>
      <x:c r="I357" s="683"/>
      <x:c r="J357" s="683"/>
      <x:c r="K357" s="683"/>
      <x:c r="L357" s="683"/>
      <x:c r="M357" s="683"/>
      <x:c r="N357" s="683"/>
      <x:c r="O357" s="683"/>
      <x:c r="P357" s="683"/>
      <x:c r="Q357" s="683"/>
      <x:c r="R357" s="683"/>
      <x:c r="Z357" s="701"/>
    </x:row>
    <x:row r="358" spans="1:26" x14ac:dyDescent="0.2">
      <x:c r="A358" s="774" t="s">
        <x:v>160</x:v>
      </x:c>
      <x:c r="B358" s="773" t="s">
        <x:v>132</x:v>
      </x:c>
      <x:c r="C358" s="697" t="s">
        <x:v>70</x:v>
      </x:c>
      <x:c r="D358" s="697">
        <x:v>0</x:v>
      </x:c>
      <x:c r="E358" s="697">
        <x:v>0</x:v>
      </x:c>
      <x:c r="F358" s="697">
        <x:v>0</x:v>
      </x:c>
      <x:c r="G358" s="697">
        <x:v>0</x:v>
      </x:c>
      <x:c r="H358" s="697">
        <x:v>0</x:v>
      </x:c>
      <x:c r="I358" s="697">
        <x:v>0</x:v>
      </x:c>
      <x:c r="J358" s="697">
        <x:v>0</x:v>
      </x:c>
      <x:c r="K358" s="697">
        <x:v>0</x:v>
      </x:c>
      <x:c r="L358" s="697">
        <x:v>0</x:v>
      </x:c>
      <x:c r="M358" s="697">
        <x:v>0</x:v>
      </x:c>
      <x:c r="N358" s="697">
        <x:v>0</x:v>
      </x:c>
      <x:c r="O358" s="697">
        <x:v>0</x:v>
      </x:c>
      <x:c r="P358" s="697">
        <x:v>0</x:v>
      </x:c>
      <x:c r="Q358" s="697">
        <x:v>0</x:v>
      </x:c>
      <x:c r="R358" s="697">
        <x:v>0</x:v>
      </x:c>
      <x:c r="Z358" s="701"/>
    </x:row>
    <x:row r="359" spans="1:26" x14ac:dyDescent="0.2">
      <x:c r="A359" s="774"/>
      <x:c r="B359" s="773"/>
      <x:c r="C359" s="697" t="s">
        <x:v>73</x:v>
      </x:c>
      <x:c r="D359" s="697">
        <x:v>0</x:v>
      </x:c>
      <x:c r="E359" s="683"/>
      <x:c r="F359" s="683"/>
      <x:c r="G359" s="683"/>
      <x:c r="H359" s="683"/>
      <x:c r="I359" s="683"/>
      <x:c r="J359" s="683"/>
      <x:c r="K359" s="683"/>
      <x:c r="L359" s="683"/>
      <x:c r="M359" s="683"/>
      <x:c r="N359" s="683"/>
      <x:c r="O359" s="683"/>
      <x:c r="P359" s="683"/>
      <x:c r="Q359" s="683"/>
      <x:c r="R359" s="683"/>
      <x:c r="Z359" s="701"/>
    </x:row>
    <x:row r="360" spans="1:26" ht="15" x14ac:dyDescent="0.25">
      <x:c r="A360" s="682"/>
      <x:c r="D360" s="683"/>
      <x:c r="E360" s="683"/>
      <x:c r="F360" s="683"/>
      <x:c r="G360" s="683"/>
      <x:c r="H360" s="683"/>
      <x:c r="I360" s="683"/>
      <x:c r="J360" s="683"/>
      <x:c r="K360" s="683"/>
      <x:c r="L360" s="683"/>
      <x:c r="M360" s="683"/>
      <x:c r="N360" s="683"/>
      <x:c r="O360" s="683"/>
      <x:c r="P360" s="683"/>
      <x:c r="Q360" s="683"/>
      <x:c r="R360" s="683"/>
      <x:c r="Z360" s="701"/>
    </x:row>
    <x:row r="361" spans="1:26" x14ac:dyDescent="0.2">
      <x:c r="A361" s="774" t="s">
        <x:v>155</x:v>
      </x:c>
      <x:c r="B361" s="773" t="s">
        <x:v>132</x:v>
      </x:c>
      <x:c r="C361" s="698" t="s">
        <x:v>70</x:v>
      </x:c>
      <x:c r="D361" s="698">
        <x:f>D345-P345</x:f>
        <x:v>0</x:v>
      </x:c>
      <x:c r="E361" s="698">
        <x:f t="shared" ref="E361:R361" si="14">E342</x:f>
        <x:v>0</x:v>
      </x:c>
      <x:c r="F361" s="698">
        <x:f t="shared" si="14"/>
        <x:v>0</x:v>
      </x:c>
      <x:c r="G361" s="698">
        <x:f t="shared" si="14"/>
        <x:v>0</x:v>
      </x:c>
      <x:c r="H361" s="698">
        <x:f t="shared" si="14"/>
        <x:v>0</x:v>
      </x:c>
      <x:c r="I361" s="698">
        <x:f t="shared" si="14"/>
        <x:v>0</x:v>
      </x:c>
      <x:c r="J361" s="698">
        <x:f t="shared" si="14"/>
        <x:v>0</x:v>
      </x:c>
      <x:c r="K361" s="698">
        <x:f t="shared" si="14"/>
        <x:v>0</x:v>
      </x:c>
      <x:c r="L361" s="698">
        <x:f t="shared" si="14"/>
        <x:v>0</x:v>
      </x:c>
      <x:c r="M361" s="698">
        <x:f t="shared" si="14"/>
        <x:v>0</x:v>
      </x:c>
      <x:c r="N361" s="698">
        <x:f t="shared" si="14"/>
        <x:v>0</x:v>
      </x:c>
      <x:c r="O361" s="698">
        <x:f t="shared" si="14"/>
        <x:v>0</x:v>
      </x:c>
      <x:c r="P361" s="698">
        <x:f t="shared" si="14"/>
        <x:v>0</x:v>
      </x:c>
      <x:c r="Q361" s="698">
        <x:f t="shared" si="14"/>
        <x:v>0</x:v>
      </x:c>
      <x:c r="R361" s="698">
        <x:f t="shared" si="14"/>
        <x:v>0</x:v>
      </x:c>
      <x:c r="Z361" s="701"/>
    </x:row>
    <x:row r="362" spans="1:26" x14ac:dyDescent="0.2">
      <x:c r="A362" s="774"/>
      <x:c r="B362" s="773"/>
      <x:c r="C362" s="698" t="s">
        <x:v>73</x:v>
      </x:c>
      <x:c r="D362" s="698">
        <x:f>D344</x:f>
        <x:v>0</x:v>
      </x:c>
      <x:c r="E362" s="683"/>
      <x:c r="F362" s="683"/>
      <x:c r="G362" s="683"/>
      <x:c r="H362" s="683"/>
      <x:c r="I362" s="683"/>
      <x:c r="J362" s="683"/>
      <x:c r="K362" s="683"/>
      <x:c r="L362" s="683"/>
      <x:c r="M362" s="683"/>
      <x:c r="N362" s="683"/>
      <x:c r="O362" s="683"/>
      <x:c r="P362" s="683"/>
      <x:c r="Q362" s="683"/>
      <x:c r="Z362" s="701"/>
    </x:row>
    <x:row r="363" spans="1:26" ht="15" x14ac:dyDescent="0.25">
      <x:c r="A363" s="682"/>
      <x:c r="D363" s="683"/>
      <x:c r="E363" s="683"/>
      <x:c r="F363" s="683"/>
      <x:c r="G363" s="683"/>
      <x:c r="H363" s="683"/>
      <x:c r="I363" s="683"/>
      <x:c r="J363" s="683"/>
      <x:c r="K363" s="683"/>
      <x:c r="L363" s="683"/>
      <x:c r="M363" s="683"/>
      <x:c r="N363" s="683"/>
      <x:c r="O363" s="683"/>
      <x:c r="P363" s="683"/>
      <x:c r="Q363" s="683"/>
      <x:c r="Z363" s="701"/>
    </x:row>
    <x:row r="364" spans="1:26" x14ac:dyDescent="0.2">
      <x:c r="A364" s="775" t="s">
        <x:v>326</x:v>
      </x:c>
      <x:c r="B364" s="773" t="s">
        <x:v>132</x:v>
      </x:c>
      <x:c r="C364" s="698" t="s">
        <x:v>70</x:v>
      </x:c>
      <x:c r="D364" s="699">
        <x:v>0</x:v>
      </x:c>
      <x:c r="E364" s="699">
        <x:v>0</x:v>
      </x:c>
      <x:c r="F364" s="699">
        <x:v>0</x:v>
      </x:c>
      <x:c r="G364" s="699">
        <x:v>0</x:v>
      </x:c>
      <x:c r="H364" s="699">
        <x:v>0</x:v>
      </x:c>
      <x:c r="I364" s="699">
        <x:v>0</x:v>
      </x:c>
      <x:c r="J364" s="699">
        <x:v>0</x:v>
      </x:c>
      <x:c r="K364" s="699">
        <x:v>0</x:v>
      </x:c>
      <x:c r="L364" s="699">
        <x:v>0</x:v>
      </x:c>
      <x:c r="M364" s="699">
        <x:v>0</x:v>
      </x:c>
      <x:c r="N364" s="699">
        <x:v>0</x:v>
      </x:c>
      <x:c r="O364" s="699">
        <x:v>0</x:v>
      </x:c>
      <x:c r="P364" s="699">
        <x:v>0</x:v>
      </x:c>
      <x:c r="Q364" s="699">
        <x:v>0</x:v>
      </x:c>
      <x:c r="R364" s="699">
        <x:v>0</x:v>
      </x:c>
      <x:c r="Z364" s="701"/>
    </x:row>
    <x:row r="365" spans="1:26" x14ac:dyDescent="0.2">
      <x:c r="A365" s="775"/>
      <x:c r="B365" s="773"/>
      <x:c r="C365" s="698" t="s">
        <x:v>73</x:v>
      </x:c>
      <x:c r="D365" s="699">
        <x:v>0</x:v>
      </x:c>
      <x:c r="E365" s="683"/>
      <x:c r="F365" s="683"/>
      <x:c r="G365" s="683"/>
      <x:c r="H365" s="683"/>
      <x:c r="I365" s="683"/>
      <x:c r="J365" s="683"/>
      <x:c r="K365" s="683"/>
      <x:c r="L365" s="683"/>
      <x:c r="M365" s="683"/>
      <x:c r="N365" s="683"/>
      <x:c r="O365" s="683"/>
      <x:c r="P365" s="683"/>
      <x:c r="Q365" s="683"/>
      <x:c r="Z365" s="701"/>
    </x:row>
    <x:row r="366" spans="1:26" ht="15" x14ac:dyDescent="0.25">
      <x:c r="A366" s="682"/>
      <x:c r="D366" s="683"/>
      <x:c r="E366" s="683"/>
      <x:c r="F366" s="683"/>
      <x:c r="G366" s="683"/>
      <x:c r="H366" s="683"/>
      <x:c r="I366" s="683"/>
      <x:c r="J366" s="683"/>
      <x:c r="K366" s="683"/>
      <x:c r="L366" s="683"/>
      <x:c r="M366" s="683"/>
      <x:c r="N366" s="683"/>
      <x:c r="O366" s="683"/>
      <x:c r="P366" s="683"/>
      <x:c r="Q366" s="683"/>
      <x:c r="Z366" s="701"/>
    </x:row>
    <x:row r="367" spans="1:26" x14ac:dyDescent="0.2">
      <x:c r="A367" s="774" t="s">
        <x:v>119</x:v>
      </x:c>
      <x:c r="B367" s="773" t="s">
        <x:v>132</x:v>
      </x:c>
      <x:c r="C367" s="691" t="s">
        <x:v>70</x:v>
      </x:c>
      <x:c r="D367" s="691">
        <x:f>D351-P351</x:f>
        <x:v>0</x:v>
      </x:c>
      <x:c r="E367" s="691">
        <x:f>E348</x:f>
        <x:v>0</x:v>
      </x:c>
      <x:c r="F367" s="691">
        <x:f t="shared" ref="F367:R367" si="15">F348</x:f>
        <x:v>0</x:v>
      </x:c>
      <x:c r="G367" s="691">
        <x:f t="shared" si="15"/>
        <x:v>0</x:v>
      </x:c>
      <x:c r="H367" s="691">
        <x:f t="shared" si="15"/>
        <x:v>0</x:v>
      </x:c>
      <x:c r="I367" s="691">
        <x:f t="shared" si="15"/>
        <x:v>0</x:v>
      </x:c>
      <x:c r="J367" s="691">
        <x:f t="shared" si="15"/>
        <x:v>0</x:v>
      </x:c>
      <x:c r="K367" s="691">
        <x:f t="shared" si="15"/>
        <x:v>0</x:v>
      </x:c>
      <x:c r="L367" s="691">
        <x:f t="shared" si="15"/>
        <x:v>0</x:v>
      </x:c>
      <x:c r="M367" s="691">
        <x:f t="shared" si="15"/>
        <x:v>0</x:v>
      </x:c>
      <x:c r="N367" s="691">
        <x:f t="shared" si="15"/>
        <x:v>0</x:v>
      </x:c>
      <x:c r="O367" s="691">
        <x:f t="shared" si="15"/>
        <x:v>0</x:v>
      </x:c>
      <x:c r="P367" s="691">
        <x:f t="shared" si="15"/>
        <x:v>0</x:v>
      </x:c>
      <x:c r="Q367" s="691">
        <x:f t="shared" si="15"/>
        <x:v>0</x:v>
      </x:c>
      <x:c r="R367" s="691">
        <x:f t="shared" si="15"/>
        <x:v>0</x:v>
      </x:c>
      <x:c r="Z367" s="701"/>
    </x:row>
    <x:row r="368" spans="1:26" x14ac:dyDescent="0.2">
      <x:c r="A368" s="774"/>
      <x:c r="B368" s="773"/>
      <x:c r="C368" s="691" t="s">
        <x:v>73</x:v>
      </x:c>
      <x:c r="D368" s="691">
        <x:f>D350</x:f>
        <x:v>0</x:v>
      </x:c>
      <x:c r="E368" s="683"/>
      <x:c r="F368" s="683"/>
      <x:c r="G368" s="683"/>
      <x:c r="H368" s="683"/>
      <x:c r="I368" s="683"/>
      <x:c r="J368" s="683"/>
      <x:c r="K368" s="683"/>
      <x:c r="L368" s="683"/>
      <x:c r="M368" s="683"/>
      <x:c r="N368" s="683"/>
      <x:c r="O368" s="683"/>
      <x:c r="P368" s="683"/>
      <x:c r="Q368" s="683"/>
      <x:c r="Z368" s="701"/>
    </x:row>
    <x:row r="369" spans="1:26" ht="15" x14ac:dyDescent="0.25">
      <x:c r="A369" s="682"/>
      <x:c r="D369" s="683"/>
      <x:c r="E369" s="683"/>
      <x:c r="F369" s="683"/>
      <x:c r="G369" s="683"/>
      <x:c r="H369" s="683"/>
      <x:c r="I369" s="683"/>
      <x:c r="J369" s="683"/>
      <x:c r="K369" s="683"/>
      <x:c r="L369" s="683"/>
      <x:c r="M369" s="683"/>
      <x:c r="N369" s="683"/>
      <x:c r="O369" s="683"/>
      <x:c r="P369" s="683"/>
      <x:c r="Q369" s="683"/>
      <x:c r="Z369" s="701"/>
    </x:row>
    <x:row r="370" spans="1:26" x14ac:dyDescent="0.2">
      <x:c r="A370" s="772" t="s">
        <x:v>161</x:v>
      </x:c>
      <x:c r="B370" s="773" t="s">
        <x:v>132</x:v>
      </x:c>
      <x:c r="C370" s="700" t="s">
        <x:v>70</x:v>
      </x:c>
      <x:c r="D370" s="700">
        <x:v>0</x:v>
      </x:c>
      <x:c r="E370" s="700">
        <x:v>0</x:v>
      </x:c>
      <x:c r="F370" s="700">
        <x:v>0</x:v>
      </x:c>
      <x:c r="G370" s="700">
        <x:v>0</x:v>
      </x:c>
      <x:c r="H370" s="700">
        <x:v>0</x:v>
      </x:c>
      <x:c r="I370" s="700">
        <x:v>0</x:v>
      </x:c>
      <x:c r="J370" s="700">
        <x:v>0</x:v>
      </x:c>
      <x:c r="K370" s="700">
        <x:v>0</x:v>
      </x:c>
      <x:c r="L370" s="700">
        <x:v>0</x:v>
      </x:c>
      <x:c r="M370" s="700">
        <x:v>0</x:v>
      </x:c>
      <x:c r="N370" s="700">
        <x:v>0</x:v>
      </x:c>
      <x:c r="O370" s="700">
        <x:v>0</x:v>
      </x:c>
      <x:c r="P370" s="700">
        <x:v>0</x:v>
      </x:c>
      <x:c r="Q370" s="700">
        <x:v>0</x:v>
      </x:c>
      <x:c r="R370" s="700">
        <x:v>0</x:v>
      </x:c>
      <x:c r="Z370" s="701"/>
    </x:row>
    <x:row r="371" spans="1:26" x14ac:dyDescent="0.2">
      <x:c r="A371" s="772"/>
      <x:c r="B371" s="773"/>
      <x:c r="C371" s="700" t="s">
        <x:v>73</x:v>
      </x:c>
      <x:c r="D371" s="700">
        <x:v>0</x:v>
      </x:c>
      <x:c r="E371" s="683"/>
      <x:c r="F371" s="683"/>
      <x:c r="G371" s="683"/>
      <x:c r="H371" s="683"/>
      <x:c r="I371" s="683"/>
      <x:c r="J371" s="683"/>
      <x:c r="K371" s="683"/>
      <x:c r="L371" s="683"/>
      <x:c r="M371" s="683"/>
      <x:c r="N371" s="683"/>
      <x:c r="O371" s="683"/>
      <x:c r="P371" s="683"/>
      <x:c r="Q371" s="683"/>
      <x:c r="Z371" s="701"/>
    </x:row>
    <x:row r="372" spans="1:26" x14ac:dyDescent="0.2">
      <x:c r="A372" s="701"/>
      <x:c r="B372" s="701"/>
      <x:c r="C372" s="701"/>
      <x:c r="D372" s="701"/>
      <x:c r="E372" s="701"/>
      <x:c r="F372" s="701"/>
      <x:c r="G372" s="701"/>
      <x:c r="H372" s="701"/>
      <x:c r="I372" s="701"/>
      <x:c r="J372" s="701"/>
      <x:c r="K372" s="701"/>
      <x:c r="L372" s="701"/>
      <x:c r="M372" s="701"/>
      <x:c r="N372" s="701"/>
      <x:c r="O372" s="701"/>
      <x:c r="P372" s="701"/>
      <x:c r="Q372" s="701"/>
      <x:c r="R372" s="701"/>
      <x:c r="S372" s="701"/>
      <x:c r="T372" s="701"/>
      <x:c r="U372" s="701"/>
      <x:c r="V372" s="701"/>
      <x:c r="W372" s="701"/>
      <x:c r="X372" s="701"/>
      <x:c r="Y372" s="701"/>
      <x:c r="Z372" s="701"/>
    </x:row>
    <x:row r="375" spans="1:26" x14ac:dyDescent="0.2">
      <x:c r="D375" s="681">
        <x:f t="shared" ref="D375:R375" si="16">D73+D168+D205+D320+D355</x:f>
        <x:v>0</x:v>
      </x:c>
      <x:c r="E375" s="681">
        <x:f t="shared" si="16"/>
        <x:v>0</x:v>
      </x:c>
      <x:c r="F375" s="681">
        <x:f t="shared" si="16"/>
        <x:v>0</x:v>
      </x:c>
      <x:c r="G375" s="681">
        <x:f t="shared" si="16"/>
        <x:v>0</x:v>
      </x:c>
      <x:c r="H375" s="681">
        <x:f t="shared" si="16"/>
        <x:v>0</x:v>
      </x:c>
      <x:c r="I375" s="681">
        <x:f t="shared" si="16"/>
        <x:v>0</x:v>
      </x:c>
      <x:c r="J375" s="681">
        <x:f t="shared" si="16"/>
        <x:v>0</x:v>
      </x:c>
      <x:c r="K375" s="681">
        <x:f t="shared" si="16"/>
        <x:v>0</x:v>
      </x:c>
      <x:c r="L375" s="681">
        <x:f t="shared" si="16"/>
        <x:v>0</x:v>
      </x:c>
      <x:c r="M375" s="681">
        <x:f t="shared" si="16"/>
        <x:v>0</x:v>
      </x:c>
      <x:c r="N375" s="681">
        <x:f t="shared" si="16"/>
        <x:v>0</x:v>
      </x:c>
      <x:c r="O375" s="681">
        <x:f t="shared" si="16"/>
        <x:v>0</x:v>
      </x:c>
      <x:c r="P375" s="681">
        <x:f t="shared" si="16"/>
        <x:v>0</x:v>
      </x:c>
      <x:c r="Q375" s="681">
        <x:f t="shared" si="16"/>
        <x:v>0</x:v>
      </x:c>
      <x:c r="R375" s="681">
        <x:f t="shared" si="16"/>
        <x:v>0</x:v>
      </x:c>
    </x:row>
    <x:row r="376" spans="1:26" x14ac:dyDescent="0.2">
      <x:c r="D376" s="681">
        <x:f>D74+D169+D206+D321+D356</x:f>
        <x:v>0</x:v>
      </x:c>
    </x:row>
  </x:sheetData>
  <x:mergeCells count="60">
    <x:mergeCell ref="A82:A83"/>
    <x:mergeCell ref="B82:B83"/>
    <x:mergeCell ref="A177:A178"/>
    <x:mergeCell ref="B177:B178"/>
    <x:mergeCell ref="A214:A215"/>
    <x:mergeCell ref="B214:B215"/>
    <x:mergeCell ref="A85:A86"/>
    <x:mergeCell ref="B85:B86"/>
    <x:mergeCell ref="A88:A89"/>
    <x:mergeCell ref="B88:B89"/>
    <x:mergeCell ref="A168:A169"/>
    <x:mergeCell ref="B168:B169"/>
    <x:mergeCell ref="A171:A172"/>
    <x:mergeCell ref="B171:B172"/>
    <x:mergeCell ref="A174:A175"/>
    <x:mergeCell ref="B174:B175"/>
    <x:mergeCell ref="A73:A74"/>
    <x:mergeCell ref="B73:B74"/>
    <x:mergeCell ref="A76:A77"/>
    <x:mergeCell ref="B76:B77"/>
    <x:mergeCell ref="A79:A80"/>
    <x:mergeCell ref="B79:B80"/>
    <x:mergeCell ref="A180:A181"/>
    <x:mergeCell ref="B180:B181"/>
    <x:mergeCell ref="A183:A184"/>
    <x:mergeCell ref="B183:B184"/>
    <x:mergeCell ref="A205:A206"/>
    <x:mergeCell ref="B205:B206"/>
    <x:mergeCell ref="A208:A209"/>
    <x:mergeCell ref="B208:B209"/>
    <x:mergeCell ref="A211:A212"/>
    <x:mergeCell ref="B211:B212"/>
    <x:mergeCell ref="A217:A218"/>
    <x:mergeCell ref="B217:B218"/>
    <x:mergeCell ref="A220:A221"/>
    <x:mergeCell ref="B220:B221"/>
    <x:mergeCell ref="A320:A321"/>
    <x:mergeCell ref="B320:B321"/>
    <x:mergeCell ref="A323:A324"/>
    <x:mergeCell ref="B323:B324"/>
    <x:mergeCell ref="A326:A327"/>
    <x:mergeCell ref="B326:B327"/>
    <x:mergeCell ref="A332:A333"/>
    <x:mergeCell ref="B332:B333"/>
    <x:mergeCell ref="A329:A330"/>
    <x:mergeCell ref="B329:B330"/>
    <x:mergeCell ref="A335:A336"/>
    <x:mergeCell ref="B335:B336"/>
    <x:mergeCell ref="A355:A356"/>
    <x:mergeCell ref="B355:B356"/>
    <x:mergeCell ref="A370:A371"/>
    <x:mergeCell ref="B370:B371"/>
    <x:mergeCell ref="A358:A359"/>
    <x:mergeCell ref="B358:B359"/>
    <x:mergeCell ref="A361:A362"/>
    <x:mergeCell ref="B361:B362"/>
    <x:mergeCell ref="A367:A368"/>
    <x:mergeCell ref="B367:B368"/>
    <x:mergeCell ref="A364:A365"/>
    <x:mergeCell ref="B364:B365"/>
  </x:mergeCells>
  <x:conditionalFormatting sqref="D75:D89 D168:D184 D205:D221 D320:D336 D355:D371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Z70"/>
  <x:sheetViews>
    <x:sheetView topLeftCell="K1" zoomScale="92" zoomScaleNormal="92" workbookViewId="0">
      <x:selection activeCell="U6" sqref="U6"/>
    </x:sheetView>
  </x:sheetViews>
  <x:sheetFormatPr baseColWidth="10" defaultColWidth="11.5703125" defaultRowHeight="14.25" x14ac:dyDescent="0.2"/>
  <x:cols>
    <x:col min="1" max="1" width="12.28515625" style="25" bestFit="1" customWidth="1"/>
    <x:col min="2" max="2" width="27.140625" style="25" bestFit="1" customWidth="1"/>
    <x:col min="3" max="3" width="11.7109375" style="675" bestFit="1" customWidth="1"/>
    <x:col min="4" max="4" width="18.140625" style="25" bestFit="1" customWidth="1"/>
    <x:col min="5" max="5" width="17.85546875" style="25" bestFit="1" customWidth="1"/>
    <x:col min="6" max="6" width="20.140625" style="25" bestFit="1" customWidth="1"/>
    <x:col min="7" max="7" width="18.42578125" style="25" bestFit="1" customWidth="1"/>
    <x:col min="8" max="8" width="19.42578125" style="25" bestFit="1" customWidth="1"/>
    <x:col min="9" max="9" width="11.5703125" style="25" bestFit="1" customWidth="1"/>
    <x:col min="10" max="10" width="18.28515625" style="25" bestFit="1" customWidth="1"/>
    <x:col min="11" max="13" width="18.140625" style="25" bestFit="1" customWidth="1"/>
    <x:col min="14" max="14" width="23.28515625" style="25" bestFit="1" customWidth="1"/>
    <x:col min="15" max="15" width="10.140625" style="25" bestFit="1" customWidth="1"/>
    <x:col min="16" max="16" width="4.85546875" style="25" bestFit="1" customWidth="1"/>
    <x:col min="17" max="25" width="11.5703125" style="25"/>
    <x:col min="26" max="26" width="1.42578125" style="25" customWidth="1"/>
    <x:col min="27" max="16384" width="11.5703125" style="25"/>
  </x:cols>
  <x:sheetData>
    <x:row r="1" spans="1:26" ht="15" x14ac:dyDescent="0.25">
      <x:c r="B1" s="676" t="s">
        <x:v>74</x:v>
      </x:c>
      <x:c r="Z1" s="624"/>
    </x:row>
    <x:row r="2" spans="1:26" s="50" customFormat="1" ht="15" x14ac:dyDescent="0.25">
      <x:c r="C2" s="669" t="s">
        <x:v>70</x:v>
      </x:c>
      <x:c r="D2" s="669" t="s">
        <x:v>64</x:v>
      </x:c>
      <x:c r="E2" s="669" t="s">
        <x:v>65</x:v>
      </x:c>
      <x:c r="F2" s="674" t="s">
        <x:v>164</x:v>
      </x:c>
      <x:c r="G2" s="669" t="s">
        <x:v>69</x:v>
      </x:c>
      <x:c r="H2" s="669" t="s">
        <x:v>68</x:v>
      </x:c>
      <x:c r="I2" s="669" t="s">
        <x:v>83</x:v>
      </x:c>
      <x:c r="J2" s="669" t="s">
        <x:v>66</x:v>
      </x:c>
      <x:c r="K2" s="669" t="s">
        <x:v>63</x:v>
      </x:c>
      <x:c r="L2" s="669" t="s">
        <x:v>61</x:v>
      </x:c>
      <x:c r="M2" s="669" t="s">
        <x:v>62</x:v>
      </x:c>
      <x:c r="N2" s="669" t="s">
        <x:v>67</x:v>
      </x:c>
      <x:c r="O2" s="669" t="s">
        <x:v>84</x:v>
      </x:c>
      <x:c r="Z2" s="618"/>
    </x:row>
    <x:row r="3" spans="1:26" x14ac:dyDescent="0.2">
      <x:c r="B3" s="625" t="s">
        <x:v>72</x:v>
      </x:c>
      <x:c r="C3" s="627" t="n">
        <x:v>796773.47</x:v>
      </x:c>
      <x:c r="D3" s="627" t="n">
        <x:v>65524.22</x:v>
      </x:c>
      <x:c r="E3" s="627" t="n">
        <x:v>36995.02</x:v>
      </x:c>
      <x:c r="F3" s="627" t="n">
        <x:v>19417.65</x:v>
      </x:c>
      <x:c r="G3" s="627" t="n">
        <x:v>156624.35</x:v>
      </x:c>
      <x:c r="H3" s="627" t="n">
        <x:v>5557.5</x:v>
      </x:c>
      <x:c r="I3" s="627" t="n">
        <x:v>0</x:v>
      </x:c>
      <x:c r="J3" s="627" t="n">
        <x:v>52109.79</x:v>
      </x:c>
      <x:c r="K3" s="627" t="n">
        <x:v>47607.03</x:v>
      </x:c>
      <x:c r="L3" s="627" t="n">
        <x:v>225441.17</x:v>
      </x:c>
      <x:c r="M3" s="627" t="n">
        <x:v>178429.31</x:v>
      </x:c>
      <x:c r="N3" s="627" t="n">
        <x:v>9067.43</x:v>
      </x:c>
      <x:c r="O3" s="627">
        <x:v>0</x:v>
      </x:c>
      <x:c r="Z3" s="624"/>
    </x:row>
    <x:row r="4" spans="1:26" x14ac:dyDescent="0.2">
      <x:c r="A4" s="636" t="s">
        <x:v>78</x:v>
      </x:c>
      <x:c r="B4" s="636" t="s">
        <x:v>70</x:v>
      </x:c>
      <x:c r="C4" s="637" t="n">
        <x:v>796773.47</x:v>
      </x:c>
      <x:c r="D4" s="637" t="n">
        <x:v>65524.22</x:v>
      </x:c>
      <x:c r="E4" s="637" t="n">
        <x:v>36995.02</x:v>
      </x:c>
      <x:c r="F4" s="637" t="n">
        <x:v>19417.65</x:v>
      </x:c>
      <x:c r="G4" s="637" t="n">
        <x:v>156624.35</x:v>
      </x:c>
      <x:c r="H4" s="637" t="n">
        <x:v>5557.5</x:v>
      </x:c>
      <x:c r="I4" s="637" t="n">
        <x:v>0</x:v>
      </x:c>
      <x:c r="J4" s="637" t="n">
        <x:v>52109.79</x:v>
      </x:c>
      <x:c r="K4" s="637" t="n">
        <x:v>47607.03</x:v>
      </x:c>
      <x:c r="L4" s="637" t="n">
        <x:v>225441.17</x:v>
      </x:c>
      <x:c r="M4" s="637" t="n">
        <x:v>178429.31</x:v>
      </x:c>
      <x:c r="N4" s="637" t="n">
        <x:v>9067.43</x:v>
      </x:c>
      <x:c r="O4" s="637">
        <x:v>0</x:v>
      </x:c>
      <x:c r="P4" s="635"/>
      <x:c r="Z4" s="624"/>
    </x:row>
    <x:row r="5" spans="1:26" x14ac:dyDescent="0.2">
      <x:c r="B5" s="625" t="s">
        <x:v>73</x:v>
      </x:c>
      <x:c r="C5" s="627" t="n">
        <x:v>176919.99</x:v>
      </x:c>
      <x:c r="D5" s="627" t="n">
        <x:v>32442.78</x:v>
      </x:c>
      <x:c r="E5" s="627" t="n">
        <x:v>18317.24</x:v>
      </x:c>
      <x:c r="F5" s="627" t="n">
        <x:v>9614.21</x:v>
      </x:c>
      <x:c r="G5" s="627" t="n">
        <x:v>9543.57</x:v>
      </x:c>
      <x:c r="H5" s="627" t="n">
        <x:v>280.5</x:v>
      </x:c>
      <x:c r="I5" s="627" t="n">
        <x:v>0</x:v>
      </x:c>
      <x:c r="J5" s="627" t="n">
        <x:v>1116.45</x:v>
      </x:c>
      <x:c r="K5" s="627" t="n">
        <x:v>2883.45</x:v>
      </x:c>
      <x:c r="L5" s="627" t="n">
        <x:v>13655.06</x:v>
      </x:c>
      <x:c r="M5" s="627" t="n">
        <x:v>88609.08</x:v>
      </x:c>
      <x:c r="N5" s="627" t="n">
        <x:v>457.65</x:v>
      </x:c>
      <x:c r="O5" s="627">
        <x:v>0</x:v>
      </x:c>
      <x:c r="Z5" s="624"/>
    </x:row>
    <x:row r="6" spans="1:26" x14ac:dyDescent="0.2">
      <x:c r="A6" s="654" t="s">
        <x:v>79</x:v>
      </x:c>
      <x:c r="B6" s="654" t="s">
        <x:v>70</x:v>
      </x:c>
      <x:c r="C6" s="655" t="n">
        <x:v>176919.99</x:v>
      </x:c>
      <x:c r="D6" s="655" t="n">
        <x:v>32442.78</x:v>
      </x:c>
      <x:c r="E6" s="655" t="n">
        <x:v>18317.24</x:v>
      </x:c>
      <x:c r="F6" s="655" t="n">
        <x:v>9614.21</x:v>
      </x:c>
      <x:c r="G6" s="655" t="n">
        <x:v>9543.57</x:v>
      </x:c>
      <x:c r="H6" s="655" t="n">
        <x:v>280.5</x:v>
      </x:c>
      <x:c r="I6" s="655" t="n">
        <x:v>0</x:v>
      </x:c>
      <x:c r="J6" s="655" t="n">
        <x:v>1116.45</x:v>
      </x:c>
      <x:c r="K6" s="655" t="n">
        <x:v>2883.45</x:v>
      </x:c>
      <x:c r="L6" s="655" t="n">
        <x:v>13655.06</x:v>
      </x:c>
      <x:c r="M6" s="655" t="n">
        <x:v>88609.08</x:v>
      </x:c>
      <x:c r="N6" s="655" t="n">
        <x:v>457.65</x:v>
      </x:c>
      <x:c r="O6" s="655">
        <x:v>0</x:v>
      </x:c>
      <x:c r="P6" s="708"/>
      <x:c r="Z6" s="624"/>
    </x:row>
    <x:row r="7" spans="1:26" x14ac:dyDescent="0.2">
      <x:c r="A7" s="625" t="s">
        <x:v>70</x:v>
      </x:c>
      <x:c r="C7" s="627" t="n">
        <x:v>973693.46</x:v>
      </x:c>
      <x:c r="D7" s="627" t="n">
        <x:v>97967</x:v>
      </x:c>
      <x:c r="E7" s="627" t="n">
        <x:v>55312.26</x:v>
      </x:c>
      <x:c r="F7" s="627" t="n">
        <x:v>29031.86</x:v>
      </x:c>
      <x:c r="G7" s="627" t="n">
        <x:v>166167.92</x:v>
      </x:c>
      <x:c r="H7" s="627" t="n">
        <x:v>5838</x:v>
      </x:c>
      <x:c r="I7" s="627" t="n">
        <x:v>0</x:v>
      </x:c>
      <x:c r="J7" s="627" t="n">
        <x:v>53226.24</x:v>
      </x:c>
      <x:c r="K7" s="627" t="n">
        <x:v>50490.48</x:v>
      </x:c>
      <x:c r="L7" s="627" t="n">
        <x:v>239096.23</x:v>
      </x:c>
      <x:c r="M7" s="627" t="n">
        <x:v>267038.39</x:v>
      </x:c>
      <x:c r="N7" s="627" t="n">
        <x:v>9525.08</x:v>
      </x:c>
      <x:c r="O7" s="627">
        <x:v>0</x:v>
      </x:c>
      <x:c r="Z7" s="624"/>
    </x:row>
    <x:row r="8" spans="1:26" x14ac:dyDescent="0.2">
      <x:c r="Z8" s="624"/>
    </x:row>
    <x:row r="9" spans="1:26" x14ac:dyDescent="0.2">
      <x:c r="B9" s="709" t="s">
        <x:v>70</x:v>
      </x:c>
      <x:c r="C9" s="679">
        <x:f>C7-I7</x:f>
        <x:v>0</x:v>
      </x:c>
      <x:c r="D9" s="679">
        <x:f>D4</x:f>
        <x:v>0</x:v>
      </x:c>
      <x:c r="E9" s="679">
        <x:f t="shared" ref="E9:P9" si="0">E4</x:f>
        <x:v>0</x:v>
      </x:c>
      <x:c r="F9" s="679">
        <x:f t="shared" si="0"/>
        <x:v>0</x:v>
      </x:c>
      <x:c r="G9" s="679">
        <x:f t="shared" si="0"/>
        <x:v>0</x:v>
      </x:c>
      <x:c r="H9" s="679">
        <x:f t="shared" si="0"/>
        <x:v>0</x:v>
      </x:c>
      <x:c r="I9" s="679">
        <x:f t="shared" si="0"/>
        <x:v>0</x:v>
      </x:c>
      <x:c r="J9" s="679">
        <x:f t="shared" si="0"/>
        <x:v>0</x:v>
      </x:c>
      <x:c r="K9" s="679">
        <x:f t="shared" si="0"/>
        <x:v>0</x:v>
      </x:c>
      <x:c r="L9" s="679">
        <x:f t="shared" si="0"/>
        <x:v>0</x:v>
      </x:c>
      <x:c r="M9" s="679">
        <x:f t="shared" si="0"/>
        <x:v>0</x:v>
      </x:c>
      <x:c r="N9" s="679">
        <x:f t="shared" si="0"/>
        <x:v>0</x:v>
      </x:c>
      <x:c r="O9" s="679">
        <x:f>O4</x:f>
        <x:v>0</x:v>
      </x:c>
      <x:c r="P9" s="679">
        <x:f t="shared" si="0"/>
        <x:v>0</x:v>
      </x:c>
      <x:c r="Z9" s="624"/>
    </x:row>
    <x:row r="10" spans="1:26" x14ac:dyDescent="0.2">
      <x:c r="B10" s="709" t="s">
        <x:v>73</x:v>
      </x:c>
      <x:c r="C10" s="679">
        <x:f>C6</x:f>
        <x:v>0</x:v>
      </x:c>
      <x:c r="D10" s="653"/>
      <x:c r="Z10" s="624"/>
    </x:row>
    <x:row r="11" spans="1:26" x14ac:dyDescent="0.2">
      <x:c r="D11" s="653"/>
      <x:c r="Z11" s="624"/>
    </x:row>
    <x:row r="12" spans="1:26" x14ac:dyDescent="0.2">
      <x:c r="A12" s="631"/>
      <x:c r="B12" s="631"/>
      <x:c r="C12" s="710"/>
      <x:c r="D12" s="631"/>
      <x:c r="E12" s="631"/>
      <x:c r="F12" s="631"/>
      <x:c r="G12" s="631"/>
      <x:c r="H12" s="631"/>
      <x:c r="I12" s="631"/>
      <x:c r="J12" s="631"/>
      <x:c r="K12" s="631"/>
      <x:c r="L12" s="631"/>
      <x:c r="M12" s="631"/>
      <x:c r="N12" s="631"/>
      <x:c r="O12" s="631"/>
      <x:c r="P12" s="631"/>
      <x:c r="Z12" s="624"/>
    </x:row>
    <x:row r="13" spans="1:26" ht="15" x14ac:dyDescent="0.25">
      <x:c r="B13" s="676" t="s">
        <x:v>75</x:v>
      </x:c>
      <x:c r="Z13" s="624"/>
    </x:row>
    <x:row r="14" spans="1:26" s="50" customFormat="1" ht="15" x14ac:dyDescent="0.25">
      <x:c r="C14" s="669" t="s">
        <x:v>70</x:v>
      </x:c>
      <x:c r="D14" s="669" t="s">
        <x:v>64</x:v>
      </x:c>
      <x:c r="E14" s="669" t="s">
        <x:v>65</x:v>
      </x:c>
      <x:c r="F14" s="674" t="s">
        <x:v>164</x:v>
      </x:c>
      <x:c r="G14" s="669" t="s">
        <x:v>69</x:v>
      </x:c>
      <x:c r="H14" s="669" t="s">
        <x:v>68</x:v>
      </x:c>
      <x:c r="I14" s="669" t="s">
        <x:v>83</x:v>
      </x:c>
      <x:c r="J14" s="669" t="s">
        <x:v>66</x:v>
      </x:c>
      <x:c r="K14" s="669" t="s">
        <x:v>63</x:v>
      </x:c>
      <x:c r="L14" s="669" t="s">
        <x:v>61</x:v>
      </x:c>
      <x:c r="M14" s="669" t="s">
        <x:v>62</x:v>
      </x:c>
      <x:c r="N14" s="669" t="s">
        <x:v>67</x:v>
      </x:c>
      <x:c r="O14" s="669" t="s">
        <x:v>84</x:v>
      </x:c>
      <x:c r="Z14" s="618"/>
    </x:row>
    <x:row r="15" spans="1:26" x14ac:dyDescent="0.2">
      <x:c r="B15" s="25" t="s">
        <x:v>72</x:v>
      </x:c>
      <x:c r="C15" s="627" t="n">
        <x:v>448371.28</x:v>
      </x:c>
      <x:c r="D15" s="627" t="n">
        <x:v>31889</x:v>
      </x:c>
      <x:c r="E15" s="627" t="n">
        <x:v>18568.04</x:v>
      </x:c>
      <x:c r="F15" s="627" t="n">
        <x:v>8864.59</x:v>
      </x:c>
      <x:c r="G15" s="627" t="n">
        <x:v>92916.35</x:v>
      </x:c>
      <x:c r="H15" s="627" t="n">
        <x:v>3882.28</x:v>
      </x:c>
      <x:c r="I15" s="627" t="n">
        <x:v>0</x:v>
      </x:c>
      <x:c r="J15" s="627" t="n">
        <x:v>61344.03</x:v>
      </x:c>
      <x:c r="K15" s="627" t="n">
        <x:v>33520.25</x:v>
      </x:c>
      <x:c r="L15" s="627" t="n">
        <x:v>127751.61</x:v>
      </x:c>
      <x:c r="M15" s="627" t="n">
        <x:v>64498.2</x:v>
      </x:c>
      <x:c r="N15" s="627" t="n">
        <x:v>5137.3</x:v>
      </x:c>
      <x:c r="O15" s="627" t="n">
        <x:v>-0.37</x:v>
      </x:c>
      <x:c r="Z15" s="624"/>
    </x:row>
    <x:row r="16" spans="1:26" x14ac:dyDescent="0.2">
      <x:c r="B16" s="625" t="s">
        <x:v>81</x:v>
      </x:c>
      <x:c r="C16" s="627" t="n">
        <x:v>172.61</x:v>
      </x:c>
      <x:c r="D16" s="627" t="n">
        <x:v>8.62</x:v>
      </x:c>
      <x:c r="E16" s="627" t="n">
        <x:v>4.87</x:v>
      </x:c>
      <x:c r="F16" s="627" t="n">
        <x:v>2.55</x:v>
      </x:c>
      <x:c r="G16" s="627" t="n">
        <x:v>43.14</x:v>
      </x:c>
      <x:c r="H16" s="627" t="n">
        <x:v>1.6</x:v>
      </x:c>
      <x:c r="I16" s="627" t="n">
        <x:v>0</x:v>
      </x:c>
      <x:c r="J16" s="627" t="n">
        <x:v>14.06</x:v>
      </x:c>
      <x:c r="K16" s="627" t="n">
        <x:v>13.76</x:v>
      </x:c>
      <x:c r="L16" s="627" t="n">
        <x:v>64.26</x:v>
      </x:c>
      <x:c r="M16" s="627" t="n">
        <x:v>17.12</x:v>
      </x:c>
      <x:c r="N16" s="627" t="n">
        <x:v>2.62</x:v>
      </x:c>
      <x:c r="O16" s="627" t="n">
        <x:v>0.01</x:v>
      </x:c>
      <x:c r="Z16" s="624"/>
    </x:row>
    <x:row r="17" spans="1:26" x14ac:dyDescent="0.2">
      <x:c r="A17" s="636" t="s">
        <x:v>78</x:v>
      </x:c>
      <x:c r="B17" s="636" t="s">
        <x:v>70</x:v>
      </x:c>
      <x:c r="C17" s="637" t="n">
        <x:v>448543.89</x:v>
      </x:c>
      <x:c r="D17" s="637" t="n">
        <x:v>31897.62</x:v>
      </x:c>
      <x:c r="E17" s="637" t="n">
        <x:v>18572.91</x:v>
      </x:c>
      <x:c r="F17" s="637" t="n">
        <x:v>8867.14</x:v>
      </x:c>
      <x:c r="G17" s="637" t="n">
        <x:v>92959.49</x:v>
      </x:c>
      <x:c r="H17" s="637" t="n">
        <x:v>3883.88</x:v>
      </x:c>
      <x:c r="I17" s="637" t="n">
        <x:v>0</x:v>
      </x:c>
      <x:c r="J17" s="637" t="n">
        <x:v>61358.09</x:v>
      </x:c>
      <x:c r="K17" s="637" t="n">
        <x:v>33534.01</x:v>
      </x:c>
      <x:c r="L17" s="637" t="n">
        <x:v>127815.87</x:v>
      </x:c>
      <x:c r="M17" s="637" t="n">
        <x:v>64515.32</x:v>
      </x:c>
      <x:c r="N17" s="637" t="n">
        <x:v>5139.92</x:v>
      </x:c>
      <x:c r="O17" s="637" t="n">
        <x:v>-0.36</x:v>
      </x:c>
      <x:c r="P17" s="635"/>
      <x:c r="Z17" s="624"/>
    </x:row>
    <x:row r="18" spans="1:26" x14ac:dyDescent="0.2">
      <x:c r="B18" s="625" t="s">
        <x:v>73</x:v>
      </x:c>
      <x:c r="C18" s="627" t="n">
        <x:v>-232518.12</x:v>
      </x:c>
      <x:c r="D18" s="627" t="n">
        <x:v>-15692.52</x:v>
      </x:c>
      <x:c r="E18" s="627" t="n">
        <x:v>-8860.02</x:v>
      </x:c>
      <x:c r="F18" s="627" t="n">
        <x:v>-4649.05</x:v>
      </x:c>
      <x:c r="G18" s="627" t="n">
        <x:v>-48588.46</x:v>
      </x:c>
      <x:c r="H18" s="627" t="n">
        <x:v>-1735.35</x:v>
      </x:c>
      <x:c r="I18" s="627" t="n">
        <x:v>0</x:v>
      </x:c>
      <x:c r="J18" s="627" t="n">
        <x:v>-35751.35</x:v>
      </x:c>
      <x:c r="K18" s="627" t="n">
        <x:v>-14884.94</x:v>
      </x:c>
      <x:c r="L18" s="627" t="n">
        <x:v>-70344.96</x:v>
      </x:c>
      <x:c r="M18" s="627" t="n">
        <x:v>-29180.14</x:v>
      </x:c>
      <x:c r="N18" s="627" t="n">
        <x:v>-2831.33</x:v>
      </x:c>
      <x:c r="O18" s="627" t="n">
        <x:v>0</x:v>
      </x:c>
      <x:c r="Z18" s="624"/>
    </x:row>
    <x:row r="19" spans="1:26" x14ac:dyDescent="0.2">
      <x:c r="A19" s="654" t="s">
        <x:v>79</x:v>
      </x:c>
      <x:c r="B19" s="654" t="s">
        <x:v>70</x:v>
      </x:c>
      <x:c r="C19" s="655" t="n">
        <x:v>-232518.12</x:v>
      </x:c>
      <x:c r="D19" s="655" t="n">
        <x:v>-15692.52</x:v>
      </x:c>
      <x:c r="E19" s="655" t="n">
        <x:v>-8860.02</x:v>
      </x:c>
      <x:c r="F19" s="655" t="n">
        <x:v>-4649.05</x:v>
      </x:c>
      <x:c r="G19" s="655" t="n">
        <x:v>-48588.46</x:v>
      </x:c>
      <x:c r="H19" s="655" t="n">
        <x:v>-1735.35</x:v>
      </x:c>
      <x:c r="I19" s="655" t="n">
        <x:v>0</x:v>
      </x:c>
      <x:c r="J19" s="655" t="n">
        <x:v>-35751.35</x:v>
      </x:c>
      <x:c r="K19" s="655" t="n">
        <x:v>-14884.94</x:v>
      </x:c>
      <x:c r="L19" s="655" t="n">
        <x:v>-70344.96</x:v>
      </x:c>
      <x:c r="M19" s="655" t="n">
        <x:v>-29180.14</x:v>
      </x:c>
      <x:c r="N19" s="655" t="n">
        <x:v>-2831.33</x:v>
      </x:c>
      <x:c r="O19" s="655" t="n">
        <x:v>0</x:v>
      </x:c>
      <x:c r="P19" s="708"/>
      <x:c r="Z19" s="624"/>
    </x:row>
    <x:row r="20" spans="1:26" x14ac:dyDescent="0.2">
      <x:c r="A20" s="625" t="s">
        <x:v>70</x:v>
      </x:c>
      <x:c r="C20" s="627" t="n">
        <x:v>216025.77</x:v>
      </x:c>
      <x:c r="D20" s="627" t="n">
        <x:v>16205.1</x:v>
      </x:c>
      <x:c r="E20" s="627" t="n">
        <x:v>9712.89</x:v>
      </x:c>
      <x:c r="F20" s="627" t="n">
        <x:v>4218.09</x:v>
      </x:c>
      <x:c r="G20" s="627" t="n">
        <x:v>44371.03</x:v>
      </x:c>
      <x:c r="H20" s="627" t="n">
        <x:v>2148.53</x:v>
      </x:c>
      <x:c r="I20" s="627" t="n">
        <x:v>0</x:v>
      </x:c>
      <x:c r="J20" s="627" t="n">
        <x:v>25606.74</x:v>
      </x:c>
      <x:c r="K20" s="627" t="n">
        <x:v>18649.07</x:v>
      </x:c>
      <x:c r="L20" s="627" t="n">
        <x:v>57470.91</x:v>
      </x:c>
      <x:c r="M20" s="627" t="n">
        <x:v>35335.18</x:v>
      </x:c>
      <x:c r="N20" s="627" t="n">
        <x:v>2308.59</x:v>
      </x:c>
      <x:c r="O20" s="627" t="n">
        <x:v>-0.36</x:v>
      </x:c>
      <x:c r="Z20" s="624"/>
    </x:row>
    <x:row r="21" spans="1:26" x14ac:dyDescent="0.2">
      <x:c r="A21" s="625"/>
      <x:c r="C21" s="627"/>
      <x:c r="D21" s="627"/>
      <x:c r="E21" s="627"/>
      <x:c r="F21" s="627"/>
      <x:c r="G21" s="627"/>
      <x:c r="H21" s="627"/>
      <x:c r="I21" s="627"/>
      <x:c r="J21" s="627"/>
      <x:c r="K21" s="627"/>
      <x:c r="L21" s="627"/>
      <x:c r="M21" s="627"/>
      <x:c r="N21" s="627"/>
      <x:c r="O21" s="627"/>
      <x:c r="P21" s="627"/>
      <x:c r="Z21" s="624"/>
    </x:row>
    <x:row r="22" spans="1:26" x14ac:dyDescent="0.2">
      <x:c r="B22" s="709" t="s">
        <x:v>70</x:v>
      </x:c>
      <x:c r="C22" s="679">
        <x:f>C20-I20</x:f>
        <x:v>0</x:v>
      </x:c>
      <x:c r="D22" s="679">
        <x:f>D17</x:f>
        <x:v>0</x:v>
      </x:c>
      <x:c r="E22" s="679">
        <x:f t="shared" ref="E22:P22" si="1">E17</x:f>
        <x:v>0</x:v>
      </x:c>
      <x:c r="F22" s="679">
        <x:f t="shared" si="1"/>
        <x:v>0</x:v>
      </x:c>
      <x:c r="G22" s="679">
        <x:f t="shared" si="1"/>
        <x:v>0</x:v>
      </x:c>
      <x:c r="H22" s="679">
        <x:f t="shared" si="1"/>
        <x:v>0</x:v>
      </x:c>
      <x:c r="I22" s="679">
        <x:f t="shared" si="1"/>
        <x:v>0</x:v>
      </x:c>
      <x:c r="J22" s="679">
        <x:f t="shared" si="1"/>
        <x:v>0</x:v>
      </x:c>
      <x:c r="K22" s="679">
        <x:f t="shared" si="1"/>
        <x:v>0</x:v>
      </x:c>
      <x:c r="L22" s="679">
        <x:f t="shared" si="1"/>
        <x:v>0</x:v>
      </x:c>
      <x:c r="M22" s="679">
        <x:f t="shared" si="1"/>
        <x:v>0</x:v>
      </x:c>
      <x:c r="N22" s="679">
        <x:f t="shared" si="1"/>
        <x:v>0</x:v>
      </x:c>
      <x:c r="O22" s="679">
        <x:f>O17</x:f>
        <x:v>0</x:v>
      </x:c>
      <x:c r="P22" s="679">
        <x:f t="shared" si="1"/>
        <x:v>0</x:v>
      </x:c>
      <x:c r="Z22" s="624"/>
    </x:row>
    <x:row r="23" spans="1:26" x14ac:dyDescent="0.2">
      <x:c r="B23" s="709" t="s">
        <x:v>73</x:v>
      </x:c>
      <x:c r="C23" s="679">
        <x:f>C19</x:f>
        <x:v>0</x:v>
      </x:c>
      <x:c r="Z23" s="624"/>
    </x:row>
    <x:row r="24" spans="1:26" x14ac:dyDescent="0.2">
      <x:c r="Z24" s="624"/>
    </x:row>
    <x:row r="25" spans="1:26" x14ac:dyDescent="0.2">
      <x:c r="A25" s="631"/>
      <x:c r="B25" s="631"/>
      <x:c r="C25" s="710"/>
      <x:c r="D25" s="631"/>
      <x:c r="E25" s="631"/>
      <x:c r="F25" s="631"/>
      <x:c r="G25" s="631"/>
      <x:c r="H25" s="631"/>
      <x:c r="I25" s="631"/>
      <x:c r="J25" s="631"/>
      <x:c r="K25" s="631"/>
      <x:c r="L25" s="631"/>
      <x:c r="M25" s="631"/>
      <x:c r="N25" s="631"/>
      <x:c r="O25" s="631"/>
      <x:c r="P25" s="631"/>
      <x:c r="Z25" s="624"/>
    </x:row>
    <x:row r="26" spans="1:26" ht="15" x14ac:dyDescent="0.25">
      <x:c r="B26" s="676" t="s">
        <x:v>76</x:v>
      </x:c>
      <x:c r="Z26" s="624"/>
    </x:row>
    <x:row r="27" spans="1:26" s="50" customFormat="1" ht="15" x14ac:dyDescent="0.25">
      <x:c r="C27" s="669" t="s">
        <x:v>70</x:v>
      </x:c>
      <x:c r="D27" s="669" t="s">
        <x:v>64</x:v>
      </x:c>
      <x:c r="E27" s="669" t="s">
        <x:v>65</x:v>
      </x:c>
      <x:c r="F27" s="674" t="s">
        <x:v>164</x:v>
      </x:c>
      <x:c r="G27" s="669" t="s">
        <x:v>69</x:v>
      </x:c>
      <x:c r="H27" s="669" t="s">
        <x:v>68</x:v>
      </x:c>
      <x:c r="I27" s="669" t="s">
        <x:v>83</x:v>
      </x:c>
      <x:c r="J27" s="669" t="s">
        <x:v>66</x:v>
      </x:c>
      <x:c r="K27" s="669" t="s">
        <x:v>63</x:v>
      </x:c>
      <x:c r="L27" s="669" t="s">
        <x:v>61</x:v>
      </x:c>
      <x:c r="M27" s="669" t="s">
        <x:v>62</x:v>
      </x:c>
      <x:c r="N27" s="669" t="s">
        <x:v>67</x:v>
      </x:c>
      <x:c r="O27" s="669" t="s">
        <x:v>84</x:v>
      </x:c>
      <x:c r="Z27" s="618"/>
    </x:row>
    <x:row r="28" spans="1:26" x14ac:dyDescent="0.2">
      <x:c r="B28" s="625" t="s">
        <x:v>72</x:v>
      </x:c>
      <x:c r="C28" s="627" t="n">
        <x:v>93864.95</x:v>
      </x:c>
      <x:c r="D28" s="627" t="n">
        <x:v>6620.63</x:v>
      </x:c>
      <x:c r="E28" s="627" t="n">
        <x:v>3738.02</x:v>
      </x:c>
      <x:c r="F28" s="627" t="n">
        <x:v>1961.98</x:v>
      </x:c>
      <x:c r="G28" s="627" t="n">
        <x:v>20927.5</x:v>
      </x:c>
      <x:c r="H28" s="627" t="n">
        <x:v>743.08</x:v>
      </x:c>
      <x:c r="I28" s="627" t="n">
        <x:v>0</x:v>
      </x:c>
      <x:c r="J28" s="627" t="n">
        <x:v>6518.28</x:v>
      </x:c>
      <x:c r="K28" s="627" t="n">
        <x:v>6410.86</x:v>
      </x:c>
      <x:c r="L28" s="627" t="n">
        <x:v>30349.1</x:v>
      </x:c>
      <x:c r="M28" s="627" t="n">
        <x:v>15383.1</x:v>
      </x:c>
      <x:c r="N28" s="627" t="n">
        <x:v>1212.4</x:v>
      </x:c>
      <x:c r="O28" s="627">
        <x:v>0</x:v>
      </x:c>
      <x:c r="Z28" s="624"/>
    </x:row>
    <x:row r="29" spans="1:26" x14ac:dyDescent="0.2">
      <x:c r="A29" s="636" t="s">
        <x:v>78</x:v>
      </x:c>
      <x:c r="B29" s="636" t="s">
        <x:v>70</x:v>
      </x:c>
      <x:c r="C29" s="637" t="n">
        <x:v>93864.95</x:v>
      </x:c>
      <x:c r="D29" s="637" t="n">
        <x:v>6620.63</x:v>
      </x:c>
      <x:c r="E29" s="637" t="n">
        <x:v>3738.02</x:v>
      </x:c>
      <x:c r="F29" s="637" t="n">
        <x:v>1961.98</x:v>
      </x:c>
      <x:c r="G29" s="637" t="n">
        <x:v>20927.5</x:v>
      </x:c>
      <x:c r="H29" s="637" t="n">
        <x:v>743.08</x:v>
      </x:c>
      <x:c r="I29" s="637" t="n">
        <x:v>0</x:v>
      </x:c>
      <x:c r="J29" s="637" t="n">
        <x:v>6518.28</x:v>
      </x:c>
      <x:c r="K29" s="637" t="n">
        <x:v>6410.86</x:v>
      </x:c>
      <x:c r="L29" s="637" t="n">
        <x:v>30349.1</x:v>
      </x:c>
      <x:c r="M29" s="637" t="n">
        <x:v>15383.1</x:v>
      </x:c>
      <x:c r="N29" s="637" t="n">
        <x:v>1212.4</x:v>
      </x:c>
      <x:c r="O29" s="637">
        <x:v>0</x:v>
      </x:c>
      <x:c r="P29" s="635"/>
      <x:c r="Z29" s="624"/>
    </x:row>
    <x:row r="30" spans="1:26" x14ac:dyDescent="0.2">
      <x:c r="B30" s="625" t="s">
        <x:v>73</x:v>
      </x:c>
      <x:c r="C30" s="627" t="n">
        <x:v>10366.88</x:v>
      </x:c>
      <x:c r="D30" s="627" t="n">
        <x:v>1686.92</x:v>
      </x:c>
      <x:c r="E30" s="627" t="n">
        <x:v>952.43</x:v>
      </x:c>
      <x:c r="F30" s="627" t="n">
        <x:v>499.9</x:v>
      </x:c>
      <x:c r="G30" s="627" t="n">
        <x:v>1046.38</x:v>
      </x:c>
      <x:c r="H30" s="627" t="n">
        <x:v>37.15</x:v>
      </x:c>
      <x:c r="I30" s="627" t="n">
        <x:v>0</x:v>
      </x:c>
      <x:c r="J30" s="627" t="n">
        <x:v>325.91</x:v>
      </x:c>
      <x:c r="K30" s="627" t="n">
        <x:v>320.55</x:v>
      </x:c>
      <x:c r="L30" s="627" t="n">
        <x:v>1517.46</x:v>
      </x:c>
      <x:c r="M30" s="627" t="n">
        <x:v>3919.56</x:v>
      </x:c>
      <x:c r="N30" s="627" t="n">
        <x:v>60.62</x:v>
      </x:c>
      <x:c r="O30" s="627">
        <x:v>0</x:v>
      </x:c>
      <x:c r="Z30" s="624"/>
    </x:row>
    <x:row r="31" spans="1:26" x14ac:dyDescent="0.2">
      <x:c r="A31" s="654" t="s">
        <x:v>79</x:v>
      </x:c>
      <x:c r="B31" s="654" t="s">
        <x:v>70</x:v>
      </x:c>
      <x:c r="C31" s="655" t="n">
        <x:v>10366.88</x:v>
      </x:c>
      <x:c r="D31" s="655" t="n">
        <x:v>1686.92</x:v>
      </x:c>
      <x:c r="E31" s="655" t="n">
        <x:v>952.43</x:v>
      </x:c>
      <x:c r="F31" s="655" t="n">
        <x:v>499.9</x:v>
      </x:c>
      <x:c r="G31" s="655" t="n">
        <x:v>1046.38</x:v>
      </x:c>
      <x:c r="H31" s="655" t="n">
        <x:v>37.15</x:v>
      </x:c>
      <x:c r="I31" s="655" t="n">
        <x:v>0</x:v>
      </x:c>
      <x:c r="J31" s="655" t="n">
        <x:v>325.91</x:v>
      </x:c>
      <x:c r="K31" s="655" t="n">
        <x:v>320.55</x:v>
      </x:c>
      <x:c r="L31" s="655" t="n">
        <x:v>1517.46</x:v>
      </x:c>
      <x:c r="M31" s="655" t="n">
        <x:v>3919.56</x:v>
      </x:c>
      <x:c r="N31" s="655" t="n">
        <x:v>60.62</x:v>
      </x:c>
      <x:c r="O31" s="655">
        <x:v>0</x:v>
      </x:c>
      <x:c r="P31" s="708"/>
      <x:c r="Z31" s="624"/>
    </x:row>
    <x:row r="32" spans="1:26" x14ac:dyDescent="0.2">
      <x:c r="A32" s="625" t="s">
        <x:v>70</x:v>
      </x:c>
      <x:c r="C32" s="627" t="n">
        <x:v>104231.83</x:v>
      </x:c>
      <x:c r="D32" s="627" t="n">
        <x:v>8307.55</x:v>
      </x:c>
      <x:c r="E32" s="627" t="n">
        <x:v>4690.45</x:v>
      </x:c>
      <x:c r="F32" s="627" t="n">
        <x:v>2461.88</x:v>
      </x:c>
      <x:c r="G32" s="627" t="n">
        <x:v>21973.88</x:v>
      </x:c>
      <x:c r="H32" s="627" t="n">
        <x:v>780.23</x:v>
      </x:c>
      <x:c r="I32" s="627" t="n">
        <x:v>0</x:v>
      </x:c>
      <x:c r="J32" s="627" t="n">
        <x:v>6844.19</x:v>
      </x:c>
      <x:c r="K32" s="627" t="n">
        <x:v>6731.41</x:v>
      </x:c>
      <x:c r="L32" s="627" t="n">
        <x:v>31866.56</x:v>
      </x:c>
      <x:c r="M32" s="627" t="n">
        <x:v>19302.66</x:v>
      </x:c>
      <x:c r="N32" s="627" t="n">
        <x:v>1273.02</x:v>
      </x:c>
      <x:c r="O32" s="627">
        <x:v>0</x:v>
      </x:c>
      <x:c r="Z32" s="624"/>
    </x:row>
    <x:row r="33" spans="1:26" x14ac:dyDescent="0.2">
      <x:c r="A33" s="625"/>
      <x:c r="C33" s="627"/>
      <x:c r="D33" s="627"/>
      <x:c r="E33" s="627"/>
      <x:c r="F33" s="627"/>
      <x:c r="G33" s="627"/>
      <x:c r="H33" s="627"/>
      <x:c r="I33" s="627"/>
      <x:c r="J33" s="627"/>
      <x:c r="L33" s="627"/>
      <x:c r="M33" s="627"/>
      <x:c r="N33" s="627"/>
      <x:c r="O33" s="627"/>
      <x:c r="P33" s="627"/>
      <x:c r="Z33" s="624"/>
    </x:row>
    <x:row r="34" spans="1:26" x14ac:dyDescent="0.2">
      <x:c r="B34" s="709" t="s">
        <x:v>70</x:v>
      </x:c>
      <x:c r="C34" s="679">
        <x:f>C32-I32</x:f>
        <x:v>0</x:v>
      </x:c>
      <x:c r="D34" s="679">
        <x:f>D29</x:f>
        <x:v>0</x:v>
      </x:c>
      <x:c r="E34" s="679">
        <x:f t="shared" ref="E34:P34" si="2">E29</x:f>
        <x:v>0</x:v>
      </x:c>
      <x:c r="F34" s="679">
        <x:f t="shared" si="2"/>
        <x:v>0</x:v>
      </x:c>
      <x:c r="G34" s="679">
        <x:f t="shared" si="2"/>
        <x:v>0</x:v>
      </x:c>
      <x:c r="H34" s="679">
        <x:f t="shared" si="2"/>
        <x:v>0</x:v>
      </x:c>
      <x:c r="I34" s="679">
        <x:f t="shared" si="2"/>
        <x:v>0</x:v>
      </x:c>
      <x:c r="J34" s="679">
        <x:f t="shared" si="2"/>
        <x:v>0</x:v>
      </x:c>
      <x:c r="K34" s="679">
        <x:f t="shared" si="2"/>
        <x:v>0</x:v>
      </x:c>
      <x:c r="L34" s="679">
        <x:f t="shared" si="2"/>
        <x:v>0</x:v>
      </x:c>
      <x:c r="M34" s="679">
        <x:f t="shared" si="2"/>
        <x:v>0</x:v>
      </x:c>
      <x:c r="N34" s="679">
        <x:f t="shared" si="2"/>
        <x:v>0</x:v>
      </x:c>
      <x:c r="O34" s="679">
        <x:f>O29</x:f>
        <x:v>0</x:v>
      </x:c>
      <x:c r="P34" s="679">
        <x:f t="shared" si="2"/>
        <x:v>0</x:v>
      </x:c>
      <x:c r="Z34" s="624"/>
    </x:row>
    <x:row r="35" spans="1:26" x14ac:dyDescent="0.2">
      <x:c r="B35" s="709" t="s">
        <x:v>73</x:v>
      </x:c>
      <x:c r="C35" s="679">
        <x:f>C31</x:f>
        <x:v>0</x:v>
      </x:c>
      <x:c r="Z35" s="624"/>
    </x:row>
    <x:row r="36" spans="1:26" x14ac:dyDescent="0.2">
      <x:c r="Z36" s="624"/>
    </x:row>
    <x:row r="37" spans="1:26" x14ac:dyDescent="0.2">
      <x:c r="A37" s="631"/>
      <x:c r="B37" s="631"/>
      <x:c r="C37" s="710"/>
      <x:c r="D37" s="631"/>
      <x:c r="E37" s="631"/>
      <x:c r="F37" s="631"/>
      <x:c r="G37" s="631"/>
      <x:c r="H37" s="631"/>
      <x:c r="I37" s="631"/>
      <x:c r="J37" s="631"/>
      <x:c r="K37" s="631"/>
      <x:c r="L37" s="631"/>
      <x:c r="M37" s="631"/>
      <x:c r="N37" s="631"/>
      <x:c r="O37" s="631"/>
      <x:c r="P37" s="631"/>
      <x:c r="Z37" s="624"/>
    </x:row>
    <x:row r="38" spans="1:26" ht="15" x14ac:dyDescent="0.25">
      <x:c r="B38" s="676" t="s">
        <x:v>88</x:v>
      </x:c>
      <x:c r="Z38" s="624"/>
    </x:row>
    <x:row r="39" spans="1:26" s="50" customFormat="1" ht="15" x14ac:dyDescent="0.25">
      <x:c r="C39" s="669" t="s">
        <x:v>70</x:v>
      </x:c>
      <x:c r="D39" s="669" t="s">
        <x:v>64</x:v>
      </x:c>
      <x:c r="E39" s="669" t="s">
        <x:v>65</x:v>
      </x:c>
      <x:c r="F39" s="674" t="s">
        <x:v>164</x:v>
      </x:c>
      <x:c r="G39" s="669" t="s">
        <x:v>69</x:v>
      </x:c>
      <x:c r="H39" s="669" t="s">
        <x:v>68</x:v>
      </x:c>
      <x:c r="I39" s="669" t="s">
        <x:v>83</x:v>
      </x:c>
      <x:c r="J39" s="669" t="s">
        <x:v>66</x:v>
      </x:c>
      <x:c r="K39" s="669" t="s">
        <x:v>63</x:v>
      </x:c>
      <x:c r="L39" s="669" t="s">
        <x:v>61</x:v>
      </x:c>
      <x:c r="M39" s="669" t="s">
        <x:v>62</x:v>
      </x:c>
      <x:c r="N39" s="669" t="s">
        <x:v>67</x:v>
      </x:c>
      <x:c r="O39" s="669" t="s">
        <x:v>84</x:v>
      </x:c>
      <x:c r="Z39" s="618"/>
    </x:row>
    <x:row r="40" spans="1:26" x14ac:dyDescent="0.2">
      <x:c r="B40" s="25" t="s">
        <x:v>72</x:v>
      </x:c>
      <x:c r="C40" s="627" t="n">
        <x:v>43025.12</x:v>
      </x:c>
      <x:c r="D40" s="627" t="n">
        <x:v>1890.6</x:v>
      </x:c>
      <x:c r="E40" s="627" t="n">
        <x:v>1067.43</x:v>
      </x:c>
      <x:c r="F40" s="627" t="n">
        <x:v>560.27</x:v>
      </x:c>
      <x:c r="G40" s="627" t="n">
        <x:v>10800.02</x:v>
      </x:c>
      <x:c r="H40" s="627" t="n">
        <x:v>371.66</x:v>
      </x:c>
      <x:c r="I40" s="627" t="n">
        <x:v>0</x:v>
      </x:c>
      <x:c r="J40" s="627" t="n">
        <x:v>3260.18</x:v>
      </x:c>
      <x:c r="K40" s="627" t="n">
        <x:v>3149.08</x:v>
      </x:c>
      <x:c r="L40" s="627" t="n">
        <x:v>16313.73</x:v>
      </x:c>
      <x:c r="M40" s="627" t="n">
        <x:v>5005.76</x:v>
      </x:c>
      <x:c r="N40" s="627" t="n">
        <x:v>606.39</x:v>
      </x:c>
      <x:c r="O40" s="627">
        <x:v>0</x:v>
      </x:c>
      <x:c r="Z40" s="624"/>
    </x:row>
    <x:row r="41" spans="1:26" x14ac:dyDescent="0.2">
      <x:c r="B41" s="625" t="s">
        <x:v>81</x:v>
      </x:c>
      <x:c r="C41" s="627" t="n">
        <x:v>-616.92</x:v>
      </x:c>
      <x:c r="D41" s="627" t="n">
        <x:v>0</x:v>
      </x:c>
      <x:c r="E41" s="627" t="n">
        <x:v>0</x:v>
      </x:c>
      <x:c r="F41" s="627" t="n">
        <x:v>0</x:v>
      </x:c>
      <x:c r="G41" s="627" t="n">
        <x:v>0</x:v>
      </x:c>
      <x:c r="H41" s="627" t="n">
        <x:v>0</x:v>
      </x:c>
      <x:c r="I41" s="627" t="n">
        <x:v>0</x:v>
      </x:c>
      <x:c r="J41" s="627" t="n">
        <x:v>0</x:v>
      </x:c>
      <x:c r="K41" s="627" t="n">
        <x:v>0</x:v>
      </x:c>
      <x:c r="L41" s="627" t="n">
        <x:v>-616.92</x:v>
      </x:c>
      <x:c r="M41" s="627" t="n">
        <x:v>0</x:v>
      </x:c>
      <x:c r="N41" s="627" t="n">
        <x:v>0</x:v>
      </x:c>
      <x:c r="O41" s="627">
        <x:v>0</x:v>
      </x:c>
      <x:c r="Z41" s="624"/>
    </x:row>
    <x:row r="42" spans="1:26" x14ac:dyDescent="0.2">
      <x:c r="A42" s="636" t="s">
        <x:v>78</x:v>
      </x:c>
      <x:c r="B42" s="636" t="s">
        <x:v>70</x:v>
      </x:c>
      <x:c r="C42" s="637" t="n">
        <x:v>42408.2</x:v>
      </x:c>
      <x:c r="D42" s="637" t="n">
        <x:v>1890.6</x:v>
      </x:c>
      <x:c r="E42" s="637" t="n">
        <x:v>1067.43</x:v>
      </x:c>
      <x:c r="F42" s="637" t="n">
        <x:v>560.27</x:v>
      </x:c>
      <x:c r="G42" s="637" t="n">
        <x:v>10800.02</x:v>
      </x:c>
      <x:c r="H42" s="637" t="n">
        <x:v>371.66</x:v>
      </x:c>
      <x:c r="I42" s="637" t="n">
        <x:v>0</x:v>
      </x:c>
      <x:c r="J42" s="637" t="n">
        <x:v>3260.18</x:v>
      </x:c>
      <x:c r="K42" s="637" t="n">
        <x:v>3149.08</x:v>
      </x:c>
      <x:c r="L42" s="637" t="n">
        <x:v>15696.81</x:v>
      </x:c>
      <x:c r="M42" s="637" t="n">
        <x:v>5005.76</x:v>
      </x:c>
      <x:c r="N42" s="637" t="n">
        <x:v>606.39</x:v>
      </x:c>
      <x:c r="O42" s="637">
        <x:v>0</x:v>
      </x:c>
      <x:c r="P42" s="635"/>
      <x:c r="Z42" s="624"/>
    </x:row>
    <x:row r="43" spans="1:26" x14ac:dyDescent="0.2">
      <x:c r="B43" s="625" t="s">
        <x:v>73</x:v>
      </x:c>
      <x:c r="C43" s="627" t="n">
        <x:v>-6453.76</x:v>
      </x:c>
      <x:c r="D43" s="627" t="n">
        <x:v>-283.59</x:v>
      </x:c>
      <x:c r="E43" s="627" t="n">
        <x:v>-160.11</x:v>
      </x:c>
      <x:c r="F43" s="627" t="n">
        <x:v>-84.04</x:v>
      </x:c>
      <x:c r="G43" s="627" t="n">
        <x:v>-1620</x:v>
      </x:c>
      <x:c r="H43" s="627" t="n">
        <x:v>-55.75</x:v>
      </x:c>
      <x:c r="I43" s="627" t="n">
        <x:v>0</x:v>
      </x:c>
      <x:c r="J43" s="627" t="n">
        <x:v>-489.03</x:v>
      </x:c>
      <x:c r="K43" s="627" t="n">
        <x:v>-472.36</x:v>
      </x:c>
      <x:c r="L43" s="627" t="n">
        <x:v>-2447.06</x:v>
      </x:c>
      <x:c r="M43" s="627" t="n">
        <x:v>-750.86</x:v>
      </x:c>
      <x:c r="N43" s="627" t="n">
        <x:v>-90.96</x:v>
      </x:c>
      <x:c r="O43" s="627">
        <x:v>0</x:v>
      </x:c>
      <x:c r="Z43" s="624"/>
    </x:row>
    <x:row r="44" spans="1:26" x14ac:dyDescent="0.2">
      <x:c r="A44" s="654" t="s">
        <x:v>79</x:v>
      </x:c>
      <x:c r="B44" s="654" t="s">
        <x:v>70</x:v>
      </x:c>
      <x:c r="C44" s="655" t="n">
        <x:v>-6453.76</x:v>
      </x:c>
      <x:c r="D44" s="655" t="n">
        <x:v>-283.59</x:v>
      </x:c>
      <x:c r="E44" s="655" t="n">
        <x:v>-160.11</x:v>
      </x:c>
      <x:c r="F44" s="655" t="n">
        <x:v>-84.04</x:v>
      </x:c>
      <x:c r="G44" s="655" t="n">
        <x:v>-1620</x:v>
      </x:c>
      <x:c r="H44" s="655" t="n">
        <x:v>-55.75</x:v>
      </x:c>
      <x:c r="I44" s="655" t="n">
        <x:v>0</x:v>
      </x:c>
      <x:c r="J44" s="655" t="n">
        <x:v>-489.03</x:v>
      </x:c>
      <x:c r="K44" s="655" t="n">
        <x:v>-472.36</x:v>
      </x:c>
      <x:c r="L44" s="655" t="n">
        <x:v>-2447.06</x:v>
      </x:c>
      <x:c r="M44" s="655" t="n">
        <x:v>-750.86</x:v>
      </x:c>
      <x:c r="N44" s="655" t="n">
        <x:v>-90.96</x:v>
      </x:c>
      <x:c r="O44" s="655">
        <x:v>0</x:v>
      </x:c>
      <x:c r="P44" s="708"/>
      <x:c r="Z44" s="624"/>
    </x:row>
    <x:row r="45" spans="1:26" x14ac:dyDescent="0.2">
      <x:c r="A45" s="625" t="s">
        <x:v>70</x:v>
      </x:c>
      <x:c r="C45" s="627" t="n">
        <x:v>35954.44</x:v>
      </x:c>
      <x:c r="D45" s="627" t="n">
        <x:v>1607.01</x:v>
      </x:c>
      <x:c r="E45" s="627" t="n">
        <x:v>907.32</x:v>
      </x:c>
      <x:c r="F45" s="627" t="n">
        <x:v>476.23</x:v>
      </x:c>
      <x:c r="G45" s="627" t="n">
        <x:v>9180.02</x:v>
      </x:c>
      <x:c r="H45" s="627" t="n">
        <x:v>315.91</x:v>
      </x:c>
      <x:c r="I45" s="627" t="n">
        <x:v>0</x:v>
      </x:c>
      <x:c r="J45" s="627" t="n">
        <x:v>2771.15</x:v>
      </x:c>
      <x:c r="K45" s="627" t="n">
        <x:v>2676.72</x:v>
      </x:c>
      <x:c r="L45" s="627" t="n">
        <x:v>13249.75</x:v>
      </x:c>
      <x:c r="M45" s="627" t="n">
        <x:v>4254.9</x:v>
      </x:c>
      <x:c r="N45" s="627" t="n">
        <x:v>515.43</x:v>
      </x:c>
      <x:c r="O45" s="627">
        <x:v>0</x:v>
      </x:c>
      <x:c r="Z45" s="624"/>
    </x:row>
    <x:row r="46" spans="1:26" x14ac:dyDescent="0.2">
      <x:c r="A46" s="625"/>
      <x:c r="C46" s="627"/>
      <x:c r="D46" s="627"/>
      <x:c r="E46" s="627"/>
      <x:c r="F46" s="627"/>
      <x:c r="G46" s="627"/>
      <x:c r="H46" s="627"/>
      <x:c r="I46" s="627"/>
      <x:c r="J46" s="627"/>
      <x:c r="K46" s="627"/>
      <x:c r="L46" s="627"/>
      <x:c r="M46" s="627"/>
      <x:c r="N46" s="627"/>
      <x:c r="O46" s="627"/>
      <x:c r="P46" s="627"/>
      <x:c r="Z46" s="624"/>
    </x:row>
    <x:row r="47" spans="1:26" x14ac:dyDescent="0.2">
      <x:c r="B47" s="709" t="s">
        <x:v>70</x:v>
      </x:c>
      <x:c r="C47" s="679">
        <x:f>C45-I45</x:f>
        <x:v>0</x:v>
      </x:c>
      <x:c r="D47" s="679">
        <x:f>D42</x:f>
        <x:v>0</x:v>
      </x:c>
      <x:c r="E47" s="679">
        <x:f t="shared" ref="E47:P47" si="3">E42</x:f>
        <x:v>0</x:v>
      </x:c>
      <x:c r="F47" s="679">
        <x:f t="shared" si="3"/>
        <x:v>0</x:v>
      </x:c>
      <x:c r="G47" s="679">
        <x:f t="shared" si="3"/>
        <x:v>0</x:v>
      </x:c>
      <x:c r="H47" s="679">
        <x:f t="shared" si="3"/>
        <x:v>0</x:v>
      </x:c>
      <x:c r="I47" s="679">
        <x:f t="shared" si="3"/>
        <x:v>0</x:v>
      </x:c>
      <x:c r="J47" s="679">
        <x:f t="shared" si="3"/>
        <x:v>0</x:v>
      </x:c>
      <x:c r="K47" s="679">
        <x:f t="shared" si="3"/>
        <x:v>0</x:v>
      </x:c>
      <x:c r="L47" s="679">
        <x:f t="shared" si="3"/>
        <x:v>0</x:v>
      </x:c>
      <x:c r="M47" s="679">
        <x:f t="shared" si="3"/>
        <x:v>0</x:v>
      </x:c>
      <x:c r="N47" s="679">
        <x:f t="shared" si="3"/>
        <x:v>0</x:v>
      </x:c>
      <x:c r="O47" s="679">
        <x:f>O42</x:f>
        <x:v>0</x:v>
      </x:c>
      <x:c r="P47" s="679">
        <x:f t="shared" si="3"/>
        <x:v>0</x:v>
      </x:c>
      <x:c r="Z47" s="624"/>
    </x:row>
    <x:row r="48" spans="1:26" x14ac:dyDescent="0.2">
      <x:c r="B48" s="709" t="s">
        <x:v>73</x:v>
      </x:c>
      <x:c r="C48" s="679">
        <x:f>C44</x:f>
        <x:v>0</x:v>
      </x:c>
      <x:c r="Z48" s="624"/>
    </x:row>
    <x:row r="49" spans="1:26" x14ac:dyDescent="0.2">
      <x:c r="Z49" s="624"/>
    </x:row>
    <x:row r="50" spans="1:26" x14ac:dyDescent="0.2">
      <x:c r="A50" s="631"/>
      <x:c r="B50" s="631"/>
      <x:c r="C50" s="710"/>
      <x:c r="D50" s="631"/>
      <x:c r="E50" s="631"/>
      <x:c r="F50" s="631"/>
      <x:c r="G50" s="631"/>
      <x:c r="H50" s="631"/>
      <x:c r="I50" s="631"/>
      <x:c r="J50" s="631"/>
      <x:c r="K50" s="631"/>
      <x:c r="L50" s="631"/>
      <x:c r="M50" s="631"/>
      <x:c r="N50" s="631"/>
      <x:c r="O50" s="631"/>
      <x:c r="P50" s="631"/>
      <x:c r="Z50" s="624"/>
    </x:row>
    <x:row r="51" spans="1:26" ht="15" x14ac:dyDescent="0.25">
      <x:c r="B51" s="676" t="s">
        <x:v>93</x:v>
      </x:c>
      <x:c r="Z51" s="624"/>
    </x:row>
    <x:row r="52" spans="1:26" s="50" customFormat="1" ht="15" x14ac:dyDescent="0.25">
      <x:c r="C52" s="669" t="s">
        <x:v>70</x:v>
      </x:c>
      <x:c r="D52" s="669" t="s">
        <x:v>64</x:v>
      </x:c>
      <x:c r="E52" s="669" t="s">
        <x:v>65</x:v>
      </x:c>
      <x:c r="F52" s="674" t="s">
        <x:v>164</x:v>
      </x:c>
      <x:c r="G52" s="669" t="s">
        <x:v>69</x:v>
      </x:c>
      <x:c r="H52" s="669" t="s">
        <x:v>68</x:v>
      </x:c>
      <x:c r="I52" s="669" t="s">
        <x:v>83</x:v>
      </x:c>
      <x:c r="J52" s="669" t="s">
        <x:v>66</x:v>
      </x:c>
      <x:c r="K52" s="669" t="s">
        <x:v>63</x:v>
      </x:c>
      <x:c r="L52" s="669" t="s">
        <x:v>61</x:v>
      </x:c>
      <x:c r="M52" s="669" t="s">
        <x:v>62</x:v>
      </x:c>
      <x:c r="N52" s="669" t="s">
        <x:v>67</x:v>
      </x:c>
      <x:c r="O52" s="669" t="s">
        <x:v>84</x:v>
      </x:c>
      <x:c r="Z52" s="618"/>
    </x:row>
    <x:row r="53" spans="1:26" x14ac:dyDescent="0.2">
      <x:c r="B53" s="625" t="s">
        <x:v>72</x:v>
      </x:c>
      <x:c r="C53" s="627">
        <x:v>0</x:v>
      </x:c>
      <x:c r="D53" s="627">
        <x:v>0</x:v>
      </x:c>
      <x:c r="E53" s="627">
        <x:v>0</x:v>
      </x:c>
      <x:c r="F53" s="627">
        <x:v>0</x:v>
      </x:c>
      <x:c r="G53" s="627">
        <x:v>0</x:v>
      </x:c>
      <x:c r="H53" s="627">
        <x:v>0</x:v>
      </x:c>
      <x:c r="I53" s="653">
        <x:v>0</x:v>
      </x:c>
      <x:c r="J53" s="627">
        <x:v>0</x:v>
      </x:c>
      <x:c r="K53" s="627">
        <x:v>0</x:v>
      </x:c>
      <x:c r="L53" s="627">
        <x:v>0</x:v>
      </x:c>
      <x:c r="M53" s="627">
        <x:v>0</x:v>
      </x:c>
      <x:c r="N53" s="627">
        <x:v>0</x:v>
      </x:c>
      <x:c r="O53" s="627">
        <x:v>0</x:v>
      </x:c>
      <x:c r="Z53" s="624"/>
    </x:row>
    <x:row r="54" spans="1:26" x14ac:dyDescent="0.2">
      <x:c r="B54" s="625" t="s">
        <x:v>81</x:v>
      </x:c>
      <x:c r="C54" s="627">
        <x:v>0</x:v>
      </x:c>
      <x:c r="D54" s="627">
        <x:v>0</x:v>
      </x:c>
      <x:c r="E54" s="627">
        <x:v>0</x:v>
      </x:c>
      <x:c r="F54" s="627">
        <x:v>0</x:v>
      </x:c>
      <x:c r="G54" s="627">
        <x:v>0</x:v>
      </x:c>
      <x:c r="H54" s="627">
        <x:v>0</x:v>
      </x:c>
      <x:c r="I54" s="653">
        <x:v>0</x:v>
      </x:c>
      <x:c r="J54" s="627">
        <x:v>0</x:v>
      </x:c>
      <x:c r="K54" s="627">
        <x:v>0</x:v>
      </x:c>
      <x:c r="L54" s="627">
        <x:v>0</x:v>
      </x:c>
      <x:c r="M54" s="627">
        <x:v>0</x:v>
      </x:c>
      <x:c r="N54" s="627">
        <x:v>0</x:v>
      </x:c>
      <x:c r="O54" s="627">
        <x:v>0</x:v>
      </x:c>
      <x:c r="Z54" s="624"/>
    </x:row>
    <x:row r="55" spans="1:26" x14ac:dyDescent="0.2">
      <x:c r="A55" s="636" t="s">
        <x:v>78</x:v>
      </x:c>
      <x:c r="B55" s="636" t="s">
        <x:v>70</x:v>
      </x:c>
      <x:c r="C55" s="637">
        <x:v>0</x:v>
      </x:c>
      <x:c r="D55" s="637">
        <x:v>0</x:v>
      </x:c>
      <x:c r="E55" s="637">
        <x:v>0</x:v>
      </x:c>
      <x:c r="F55" s="637">
        <x:v>0</x:v>
      </x:c>
      <x:c r="G55" s="637">
        <x:v>0</x:v>
      </x:c>
      <x:c r="H55" s="637">
        <x:v>0</x:v>
      </x:c>
      <x:c r="I55" s="712">
        <x:v>0</x:v>
      </x:c>
      <x:c r="J55" s="637">
        <x:v>0</x:v>
      </x:c>
      <x:c r="K55" s="637">
        <x:v>0</x:v>
      </x:c>
      <x:c r="L55" s="637">
        <x:v>0</x:v>
      </x:c>
      <x:c r="M55" s="637">
        <x:v>0</x:v>
      </x:c>
      <x:c r="N55" s="637">
        <x:v>0</x:v>
      </x:c>
      <x:c r="O55" s="637">
        <x:v>0</x:v>
      </x:c>
      <x:c r="P55" s="635"/>
      <x:c r="Z55" s="624"/>
    </x:row>
    <x:row r="56" spans="1:26" x14ac:dyDescent="0.2">
      <x:c r="B56" s="625" t="s">
        <x:v>73</x:v>
      </x:c>
      <x:c r="C56" s="627">
        <x:v>0</x:v>
      </x:c>
      <x:c r="D56" s="627">
        <x:v>0</x:v>
      </x:c>
      <x:c r="E56" s="627">
        <x:v>0</x:v>
      </x:c>
      <x:c r="F56" s="627">
        <x:v>0</x:v>
      </x:c>
      <x:c r="G56" s="627">
        <x:v>0</x:v>
      </x:c>
      <x:c r="H56" s="627">
        <x:v>0</x:v>
      </x:c>
      <x:c r="I56" s="653">
        <x:v>0</x:v>
      </x:c>
      <x:c r="J56" s="627">
        <x:v>0</x:v>
      </x:c>
      <x:c r="K56" s="627">
        <x:v>0</x:v>
      </x:c>
      <x:c r="L56" s="627">
        <x:v>0</x:v>
      </x:c>
      <x:c r="M56" s="627">
        <x:v>0</x:v>
      </x:c>
      <x:c r="N56" s="627">
        <x:v>0</x:v>
      </x:c>
      <x:c r="O56" s="627">
        <x:v>0</x:v>
      </x:c>
      <x:c r="Z56" s="624"/>
    </x:row>
    <x:row r="57" spans="1:26" x14ac:dyDescent="0.2">
      <x:c r="A57" s="654" t="s">
        <x:v>79</x:v>
      </x:c>
      <x:c r="B57" s="654" t="s">
        <x:v>70</x:v>
      </x:c>
      <x:c r="C57" s="655">
        <x:v>0</x:v>
      </x:c>
      <x:c r="D57" s="655">
        <x:v>0</x:v>
      </x:c>
      <x:c r="E57" s="655">
        <x:v>0</x:v>
      </x:c>
      <x:c r="F57" s="655">
        <x:v>0</x:v>
      </x:c>
      <x:c r="G57" s="655">
        <x:v>0</x:v>
      </x:c>
      <x:c r="H57" s="655">
        <x:v>0</x:v>
      </x:c>
      <x:c r="I57" s="713">
        <x:v>0</x:v>
      </x:c>
      <x:c r="J57" s="655">
        <x:v>0</x:v>
      </x:c>
      <x:c r="K57" s="655">
        <x:v>0</x:v>
      </x:c>
      <x:c r="L57" s="655">
        <x:v>0</x:v>
      </x:c>
      <x:c r="M57" s="655">
        <x:v>0</x:v>
      </x:c>
      <x:c r="N57" s="655">
        <x:v>0</x:v>
      </x:c>
      <x:c r="O57" s="655">
        <x:v>0</x:v>
      </x:c>
      <x:c r="P57" s="708"/>
      <x:c r="Z57" s="624"/>
    </x:row>
    <x:row r="58" spans="1:26" x14ac:dyDescent="0.2">
      <x:c r="A58" s="625" t="s">
        <x:v>70</x:v>
      </x:c>
      <x:c r="C58" s="627">
        <x:v>0</x:v>
      </x:c>
      <x:c r="D58" s="627">
        <x:v>0</x:v>
      </x:c>
      <x:c r="E58" s="627">
        <x:v>0</x:v>
      </x:c>
      <x:c r="F58" s="627">
        <x:v>0</x:v>
      </x:c>
      <x:c r="G58" s="627">
        <x:v>0</x:v>
      </x:c>
      <x:c r="H58" s="627">
        <x:v>0</x:v>
      </x:c>
      <x:c r="I58" s="653">
        <x:v>0</x:v>
      </x:c>
      <x:c r="J58" s="627">
        <x:v>0</x:v>
      </x:c>
      <x:c r="K58" s="627">
        <x:v>0</x:v>
      </x:c>
      <x:c r="L58" s="627">
        <x:v>0</x:v>
      </x:c>
      <x:c r="M58" s="627">
        <x:v>0</x:v>
      </x:c>
      <x:c r="N58" s="627">
        <x:v>0</x:v>
      </x:c>
      <x:c r="O58" s="627">
        <x:v>0</x:v>
      </x:c>
      <x:c r="Z58" s="624"/>
    </x:row>
    <x:row r="59" spans="1:26" x14ac:dyDescent="0.2">
      <x:c r="Z59" s="624"/>
    </x:row>
    <x:row r="60" spans="1:26" x14ac:dyDescent="0.2">
      <x:c r="B60" s="709" t="s">
        <x:v>70</x:v>
      </x:c>
      <x:c r="C60" s="679">
        <x:f>C58-I58</x:f>
        <x:v>0</x:v>
      </x:c>
      <x:c r="D60" s="679">
        <x:f>D55</x:f>
        <x:v>0</x:v>
      </x:c>
      <x:c r="E60" s="679">
        <x:f t="shared" ref="E60:P60" si="4">E55</x:f>
        <x:v>0</x:v>
      </x:c>
      <x:c r="F60" s="679">
        <x:f t="shared" si="4"/>
        <x:v>0</x:v>
      </x:c>
      <x:c r="G60" s="679">
        <x:f t="shared" si="4"/>
        <x:v>0</x:v>
      </x:c>
      <x:c r="H60" s="679">
        <x:f t="shared" si="4"/>
        <x:v>0</x:v>
      </x:c>
      <x:c r="I60" s="679">
        <x:f t="shared" si="4"/>
        <x:v>0</x:v>
      </x:c>
      <x:c r="J60" s="679">
        <x:f t="shared" si="4"/>
        <x:v>0</x:v>
      </x:c>
      <x:c r="K60" s="679">
        <x:f t="shared" si="4"/>
        <x:v>0</x:v>
      </x:c>
      <x:c r="L60" s="679">
        <x:f t="shared" si="4"/>
        <x:v>0</x:v>
      </x:c>
      <x:c r="M60" s="679">
        <x:f t="shared" si="4"/>
        <x:v>0</x:v>
      </x:c>
      <x:c r="N60" s="679">
        <x:f t="shared" si="4"/>
        <x:v>0</x:v>
      </x:c>
      <x:c r="O60" s="679">
        <x:f t="shared" si="4"/>
        <x:v>0</x:v>
      </x:c>
      <x:c r="P60" s="679">
        <x:f t="shared" si="4"/>
        <x:v>0</x:v>
      </x:c>
      <x:c r="Z60" s="624"/>
    </x:row>
    <x:row r="61" spans="1:26" x14ac:dyDescent="0.2">
      <x:c r="B61" s="709" t="s">
        <x:v>73</x:v>
      </x:c>
      <x:c r="C61" s="679">
        <x:f>C57</x:f>
        <x:v>0</x:v>
      </x:c>
      <x:c r="Z61" s="624"/>
    </x:row>
    <x:row r="62" spans="1:26" x14ac:dyDescent="0.2">
      <x:c r="Z62" s="624"/>
    </x:row>
    <x:row r="63" spans="1:26" x14ac:dyDescent="0.2">
      <x:c r="Z63" s="624"/>
    </x:row>
    <x:row r="64" spans="1:26" x14ac:dyDescent="0.2">
      <x:c r="Z64" s="624"/>
    </x:row>
    <x:row r="65" spans="1:26" x14ac:dyDescent="0.2">
      <x:c r="Z65" s="624"/>
    </x:row>
    <x:row r="66" spans="1:26" x14ac:dyDescent="0.2">
      <x:c r="Z66" s="624"/>
    </x:row>
    <x:row r="67" spans="1:26" x14ac:dyDescent="0.2">
      <x:c r="Z67" s="624"/>
    </x:row>
    <x:row r="68" spans="1:26" x14ac:dyDescent="0.2">
      <x:c r="Z68" s="624"/>
    </x:row>
    <x:row r="69" spans="1:26" x14ac:dyDescent="0.2">
      <x:c r="Z69" s="624"/>
    </x:row>
    <x:row r="70" spans="1:26" x14ac:dyDescent="0.2">
      <x:c r="A70" s="624"/>
      <x:c r="B70" s="624"/>
      <x:c r="C70" s="711"/>
      <x:c r="D70" s="624"/>
      <x:c r="E70" s="624"/>
      <x:c r="F70" s="624"/>
      <x:c r="G70" s="624"/>
      <x:c r="H70" s="624"/>
      <x:c r="I70" s="624"/>
      <x:c r="J70" s="624"/>
      <x:c r="K70" s="624"/>
      <x:c r="L70" s="624"/>
      <x:c r="M70" s="624"/>
      <x:c r="N70" s="624"/>
      <x:c r="O70" s="624"/>
      <x:c r="P70" s="624"/>
      <x:c r="Q70" s="624"/>
      <x:c r="R70" s="624"/>
      <x:c r="S70" s="624"/>
      <x:c r="T70" s="624"/>
      <x:c r="U70" s="624"/>
      <x:c r="V70" s="624"/>
      <x:c r="W70" s="624"/>
      <x:c r="X70" s="624"/>
      <x:c r="Y70" s="624"/>
      <x:c r="Z70" s="624"/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Z70"/>
  <x:sheetViews>
    <x:sheetView topLeftCell="I1" zoomScale="79" zoomScaleNormal="79" workbookViewId="0">
      <x:pane ySplit="2" topLeftCell="A3" activePane="bottomLeft" state="frozen"/>
      <x:selection activeCell="C50" sqref="C50"/>
      <x:selection pane="bottomLeft" activeCell="C1" sqref="C1:Y1048576"/>
    </x:sheetView>
  </x:sheetViews>
  <x:sheetFormatPr baseColWidth="10" defaultColWidth="11.5703125" defaultRowHeight="14.25" x14ac:dyDescent="0.2"/>
  <x:cols>
    <x:col min="1" max="1" width="12.7109375" style="25" bestFit="1" customWidth="1"/>
    <x:col min="2" max="2" width="27.5703125" style="25" bestFit="1" customWidth="1"/>
    <x:col min="3" max="3" width="6" style="675" bestFit="1" customWidth="1"/>
    <x:col min="4" max="4" width="18.7109375" style="25" bestFit="1" customWidth="1"/>
    <x:col min="5" max="5" width="18.5703125" style="25" bestFit="1" customWidth="1"/>
    <x:col min="6" max="6" width="20.28515625" style="25" bestFit="1" customWidth="1"/>
    <x:col min="7" max="7" width="18.5703125" style="25" bestFit="1" customWidth="1"/>
    <x:col min="8" max="8" width="19.7109375" style="25" bestFit="1" customWidth="1"/>
    <x:col min="9" max="9" width="11.7109375" style="25" bestFit="1" customWidth="1"/>
    <x:col min="10" max="13" width="18.7109375" style="25" bestFit="1" customWidth="1"/>
    <x:col min="14" max="14" width="23.85546875" style="25" bestFit="1" customWidth="1"/>
    <x:col min="15" max="15" width="10.5703125" style="25" bestFit="1" customWidth="1"/>
    <x:col min="16" max="25" width="11.5703125" style="25"/>
    <x:col min="26" max="26" width="3.5703125" style="25" customWidth="1"/>
    <x:col min="27" max="16384" width="11.5703125" style="25"/>
  </x:cols>
  <x:sheetData>
    <x:row r="1" spans="1:26" ht="15" x14ac:dyDescent="0.25">
      <x:c r="B1" s="676" t="s">
        <x:v>74</x:v>
      </x:c>
      <x:c r="Z1" s="624"/>
    </x:row>
    <x:row r="2" spans="1:26" s="50" customFormat="1" ht="15" x14ac:dyDescent="0.25">
      <x:c r="C2" s="669" t="s">
        <x:v>70</x:v>
      </x:c>
      <x:c r="D2" s="669" t="s">
        <x:v>64</x:v>
      </x:c>
      <x:c r="E2" s="669" t="s">
        <x:v>65</x:v>
      </x:c>
      <x:c r="F2" s="674" t="s">
        <x:v>164</x:v>
      </x:c>
      <x:c r="G2" s="669" t="s">
        <x:v>69</x:v>
      </x:c>
      <x:c r="H2" s="669" t="s">
        <x:v>68</x:v>
      </x:c>
      <x:c r="I2" s="669" t="s">
        <x:v>83</x:v>
      </x:c>
      <x:c r="J2" s="669" t="s">
        <x:v>66</x:v>
      </x:c>
      <x:c r="K2" s="669" t="s">
        <x:v>63</x:v>
      </x:c>
      <x:c r="L2" s="669" t="s">
        <x:v>61</x:v>
      </x:c>
      <x:c r="M2" s="669" t="s">
        <x:v>62</x:v>
      </x:c>
      <x:c r="N2" s="669" t="s">
        <x:v>67</x:v>
      </x:c>
      <x:c r="O2" s="669" t="s">
        <x:v>84</x:v>
      </x:c>
      <x:c r="Z2" s="618"/>
    </x:row>
    <x:row r="3" spans="1:26" x14ac:dyDescent="0.2">
      <x:c r="B3" s="25" t="s">
        <x:v>81</x:v>
      </x:c>
      <x:c r="C3" s="627">
        <x:v>0</x:v>
      </x:c>
      <x:c r="D3" s="627">
        <x:v>0</x:v>
      </x:c>
      <x:c r="E3" s="627">
        <x:v>0</x:v>
      </x:c>
      <x:c r="F3" s="627">
        <x:v>0</x:v>
      </x:c>
      <x:c r="G3" s="627">
        <x:v>0</x:v>
      </x:c>
      <x:c r="H3" s="627">
        <x:v>0</x:v>
      </x:c>
      <x:c r="I3" s="627">
        <x:v>0</x:v>
      </x:c>
      <x:c r="J3" s="627">
        <x:v>0</x:v>
      </x:c>
      <x:c r="K3" s="627">
        <x:v>0</x:v>
      </x:c>
      <x:c r="L3" s="627">
        <x:v>0</x:v>
      </x:c>
      <x:c r="M3" s="627">
        <x:v>0</x:v>
      </x:c>
      <x:c r="N3" s="627">
        <x:v>0</x:v>
      </x:c>
      <x:c r="O3" s="627">
        <x:v>0</x:v>
      </x:c>
      <x:c r="Z3" s="624"/>
    </x:row>
    <x:row r="4" spans="1:26" x14ac:dyDescent="0.2">
      <x:c r="B4" s="625" t="s">
        <x:v>72</x:v>
      </x:c>
      <x:c r="C4" s="627">
        <x:v>0</x:v>
      </x:c>
      <x:c r="D4" s="627">
        <x:v>0</x:v>
      </x:c>
      <x:c r="E4" s="627">
        <x:v>0</x:v>
      </x:c>
      <x:c r="F4" s="627">
        <x:v>0</x:v>
      </x:c>
      <x:c r="G4" s="627">
        <x:v>0</x:v>
      </x:c>
      <x:c r="H4" s="627">
        <x:v>0</x:v>
      </x:c>
      <x:c r="I4" s="627">
        <x:v>0</x:v>
      </x:c>
      <x:c r="J4" s="627">
        <x:v>0</x:v>
      </x:c>
      <x:c r="K4" s="627">
        <x:v>0</x:v>
      </x:c>
      <x:c r="L4" s="627">
        <x:v>0</x:v>
      </x:c>
      <x:c r="M4" s="627">
        <x:v>0</x:v>
      </x:c>
      <x:c r="N4" s="627">
        <x:v>0</x:v>
      </x:c>
      <x:c r="O4" s="627">
        <x:v>0</x:v>
      </x:c>
      <x:c r="Z4" s="624"/>
    </x:row>
    <x:row r="5" spans="1:26" x14ac:dyDescent="0.2">
      <x:c r="A5" s="636" t="s">
        <x:v>78</x:v>
      </x:c>
      <x:c r="B5" s="636" t="s">
        <x:v>70</x:v>
      </x:c>
      <x:c r="C5" s="637">
        <x:v>0</x:v>
      </x:c>
      <x:c r="D5" s="637">
        <x:v>0</x:v>
      </x:c>
      <x:c r="E5" s="637">
        <x:v>0</x:v>
      </x:c>
      <x:c r="F5" s="637">
        <x:v>0</x:v>
      </x:c>
      <x:c r="G5" s="637">
        <x:v>0</x:v>
      </x:c>
      <x:c r="H5" s="637">
        <x:v>0</x:v>
      </x:c>
      <x:c r="I5" s="637">
        <x:v>0</x:v>
      </x:c>
      <x:c r="J5" s="637">
        <x:v>0</x:v>
      </x:c>
      <x:c r="K5" s="637">
        <x:v>0</x:v>
      </x:c>
      <x:c r="L5" s="637">
        <x:v>0</x:v>
      </x:c>
      <x:c r="M5" s="637">
        <x:v>0</x:v>
      </x:c>
      <x:c r="N5" s="637">
        <x:v>0</x:v>
      </x:c>
      <x:c r="O5" s="637">
        <x:v>0</x:v>
      </x:c>
      <x:c r="P5" s="635"/>
      <x:c r="Q5" s="635"/>
      <x:c r="R5" s="635"/>
      <x:c r="S5" s="635"/>
      <x:c r="T5" s="635"/>
      <x:c r="U5" s="635"/>
      <x:c r="V5" s="635"/>
      <x:c r="W5" s="635"/>
      <x:c r="X5" s="635"/>
      <x:c r="Y5" s="635"/>
      <x:c r="Z5" s="624"/>
    </x:row>
    <x:row r="6" spans="1:26" x14ac:dyDescent="0.2">
      <x:c r="B6" s="625" t="s">
        <x:v>73</x:v>
      </x:c>
      <x:c r="C6" s="627">
        <x:v>0</x:v>
      </x:c>
      <x:c r="D6" s="627">
        <x:v>0</x:v>
      </x:c>
      <x:c r="E6" s="627">
        <x:v>0</x:v>
      </x:c>
      <x:c r="F6" s="627">
        <x:v>0</x:v>
      </x:c>
      <x:c r="G6" s="627">
        <x:v>0</x:v>
      </x:c>
      <x:c r="H6" s="627">
        <x:v>0</x:v>
      </x:c>
      <x:c r="I6" s="627">
        <x:v>0</x:v>
      </x:c>
      <x:c r="J6" s="627">
        <x:v>0</x:v>
      </x:c>
      <x:c r="K6" s="627">
        <x:v>0</x:v>
      </x:c>
      <x:c r="L6" s="627">
        <x:v>0</x:v>
      </x:c>
      <x:c r="M6" s="627">
        <x:v>0</x:v>
      </x:c>
      <x:c r="N6" s="627">
        <x:v>0</x:v>
      </x:c>
      <x:c r="O6" s="627">
        <x:v>0</x:v>
      </x:c>
      <x:c r="Z6" s="624"/>
    </x:row>
    <x:row r="7" spans="1:26" x14ac:dyDescent="0.2">
      <x:c r="A7" s="654" t="s">
        <x:v>79</x:v>
      </x:c>
      <x:c r="B7" s="654" t="s">
        <x:v>70</x:v>
      </x:c>
      <x:c r="C7" s="655">
        <x:v>0</x:v>
      </x:c>
      <x:c r="D7" s="655">
        <x:v>0</x:v>
      </x:c>
      <x:c r="E7" s="655">
        <x:v>0</x:v>
      </x:c>
      <x:c r="F7" s="655">
        <x:v>0</x:v>
      </x:c>
      <x:c r="G7" s="655">
        <x:v>0</x:v>
      </x:c>
      <x:c r="H7" s="655">
        <x:v>0</x:v>
      </x:c>
      <x:c r="I7" s="655">
        <x:v>0</x:v>
      </x:c>
      <x:c r="J7" s="655">
        <x:v>0</x:v>
      </x:c>
      <x:c r="K7" s="655">
        <x:v>0</x:v>
      </x:c>
      <x:c r="L7" s="655">
        <x:v>0</x:v>
      </x:c>
      <x:c r="M7" s="655">
        <x:v>0</x:v>
      </x:c>
      <x:c r="N7" s="655">
        <x:v>0</x:v>
      </x:c>
      <x:c r="O7" s="655">
        <x:v>0</x:v>
      </x:c>
      <x:c r="P7" s="708"/>
      <x:c r="Q7" s="708"/>
      <x:c r="R7" s="708"/>
      <x:c r="S7" s="708"/>
      <x:c r="T7" s="708"/>
      <x:c r="U7" s="708"/>
      <x:c r="V7" s="708"/>
      <x:c r="W7" s="708"/>
      <x:c r="X7" s="708"/>
      <x:c r="Y7" s="708"/>
      <x:c r="Z7" s="624"/>
    </x:row>
    <x:row r="8" spans="1:26" x14ac:dyDescent="0.2">
      <x:c r="A8" s="625" t="s">
        <x:v>70</x:v>
      </x:c>
      <x:c r="C8" s="627">
        <x:v>0</x:v>
      </x:c>
      <x:c r="D8" s="627">
        <x:v>0</x:v>
      </x:c>
      <x:c r="E8" s="627">
        <x:v>0</x:v>
      </x:c>
      <x:c r="F8" s="627">
        <x:v>0</x:v>
      </x:c>
      <x:c r="G8" s="627">
        <x:v>0</x:v>
      </x:c>
      <x:c r="H8" s="627">
        <x:v>0</x:v>
      </x:c>
      <x:c r="I8" s="627">
        <x:v>0</x:v>
      </x:c>
      <x:c r="J8" s="627">
        <x:v>0</x:v>
      </x:c>
      <x:c r="K8" s="627">
        <x:v>0</x:v>
      </x:c>
      <x:c r="L8" s="627">
        <x:v>0</x:v>
      </x:c>
      <x:c r="M8" s="627">
        <x:v>0</x:v>
      </x:c>
      <x:c r="N8" s="627">
        <x:v>0</x:v>
      </x:c>
      <x:c r="O8" s="627">
        <x:v>0</x:v>
      </x:c>
      <x:c r="Z8" s="624"/>
    </x:row>
    <x:row r="9" spans="1:26" x14ac:dyDescent="0.2">
      <x:c r="C9" s="627"/>
      <x:c r="D9" s="627"/>
      <x:c r="E9" s="627"/>
      <x:c r="F9" s="627"/>
      <x:c r="G9" s="627"/>
      <x:c r="H9" s="627"/>
      <x:c r="I9" s="627"/>
      <x:c r="J9" s="627"/>
      <x:c r="K9" s="627"/>
      <x:c r="L9" s="627"/>
      <x:c r="M9" s="627"/>
      <x:c r="O9" s="627"/>
      <x:c r="Z9" s="624"/>
    </x:row>
    <x:row r="10" spans="1:26" x14ac:dyDescent="0.2">
      <x:c r="B10" s="709" t="s">
        <x:v>70</x:v>
      </x:c>
      <x:c r="C10" s="679">
        <x:f>C8-I8</x:f>
        <x:v>0</x:v>
      </x:c>
      <x:c r="D10" s="679">
        <x:f>D5</x:f>
        <x:v>0</x:v>
      </x:c>
      <x:c r="E10" s="679">
        <x:f t="shared" ref="E10:O10" si="0">E5</x:f>
        <x:v>0</x:v>
      </x:c>
      <x:c r="F10" s="679">
        <x:f t="shared" si="0"/>
        <x:v>0</x:v>
      </x:c>
      <x:c r="G10" s="679">
        <x:f t="shared" si="0"/>
        <x:v>0</x:v>
      </x:c>
      <x:c r="H10" s="679">
        <x:f t="shared" si="0"/>
        <x:v>0</x:v>
      </x:c>
      <x:c r="I10" s="679">
        <x:f t="shared" si="0"/>
        <x:v>0</x:v>
      </x:c>
      <x:c r="J10" s="679">
        <x:f t="shared" si="0"/>
        <x:v>0</x:v>
      </x:c>
      <x:c r="K10" s="679">
        <x:f t="shared" si="0"/>
        <x:v>0</x:v>
      </x:c>
      <x:c r="L10" s="679">
        <x:f t="shared" si="0"/>
        <x:v>0</x:v>
      </x:c>
      <x:c r="M10" s="679">
        <x:f t="shared" si="0"/>
        <x:v>0</x:v>
      </x:c>
      <x:c r="N10" s="679">
        <x:f t="shared" si="0"/>
        <x:v>0</x:v>
      </x:c>
      <x:c r="O10" s="679">
        <x:f t="shared" si="0"/>
        <x:v>0</x:v>
      </x:c>
      <x:c r="Z10" s="624"/>
    </x:row>
    <x:row r="11" spans="1:26" x14ac:dyDescent="0.2">
      <x:c r="B11" s="709" t="s">
        <x:v>73</x:v>
      </x:c>
      <x:c r="C11" s="679">
        <x:f>C7</x:f>
        <x:v>0</x:v>
      </x:c>
      <x:c r="Z11" s="624"/>
    </x:row>
    <x:row r="12" spans="1:26" x14ac:dyDescent="0.2">
      <x:c r="Z12" s="624"/>
    </x:row>
    <x:row r="13" spans="1:26" x14ac:dyDescent="0.2">
      <x:c r="A13" s="631"/>
      <x:c r="B13" s="631"/>
      <x:c r="C13" s="710"/>
      <x:c r="D13" s="631"/>
      <x:c r="E13" s="631"/>
      <x:c r="F13" s="631"/>
      <x:c r="G13" s="631"/>
      <x:c r="H13" s="631"/>
      <x:c r="I13" s="631"/>
      <x:c r="J13" s="631"/>
      <x:c r="K13" s="631"/>
      <x:c r="L13" s="631"/>
      <x:c r="M13" s="631"/>
      <x:c r="N13" s="631"/>
      <x:c r="O13" s="631"/>
      <x:c r="Z13" s="624"/>
    </x:row>
    <x:row r="14" spans="1:26" ht="15" x14ac:dyDescent="0.25">
      <x:c r="B14" s="676" t="s">
        <x:v>75</x:v>
      </x:c>
      <x:c r="Z14" s="624"/>
    </x:row>
    <x:row r="15" spans="1:26" s="50" customFormat="1" ht="15" x14ac:dyDescent="0.25">
      <x:c r="C15" s="669" t="s">
        <x:v>70</x:v>
      </x:c>
      <x:c r="D15" s="669" t="s">
        <x:v>64</x:v>
      </x:c>
      <x:c r="E15" s="669" t="s">
        <x:v>65</x:v>
      </x:c>
      <x:c r="F15" s="674" t="s">
        <x:v>164</x:v>
      </x:c>
      <x:c r="G15" s="669" t="s">
        <x:v>69</x:v>
      </x:c>
      <x:c r="H15" s="669" t="s">
        <x:v>68</x:v>
      </x:c>
      <x:c r="I15" s="669" t="s">
        <x:v>83</x:v>
      </x:c>
      <x:c r="J15" s="669" t="s">
        <x:v>66</x:v>
      </x:c>
      <x:c r="K15" s="669" t="s">
        <x:v>63</x:v>
      </x:c>
      <x:c r="L15" s="669" t="s">
        <x:v>61</x:v>
      </x:c>
      <x:c r="M15" s="669" t="s">
        <x:v>62</x:v>
      </x:c>
      <x:c r="N15" s="669" t="s">
        <x:v>67</x:v>
      </x:c>
      <x:c r="O15" s="669" t="s">
        <x:v>84</x:v>
      </x:c>
      <x:c r="Z15" s="618"/>
    </x:row>
    <x:row r="16" spans="1:26" x14ac:dyDescent="0.2">
      <x:c r="B16" s="625" t="s">
        <x:v>81</x:v>
      </x:c>
      <x:c r="C16" s="627">
        <x:v>0</x:v>
      </x:c>
      <x:c r="D16" s="627">
        <x:v>0</x:v>
      </x:c>
      <x:c r="E16" s="627">
        <x:v>0</x:v>
      </x:c>
      <x:c r="F16" s="627">
        <x:v>0</x:v>
      </x:c>
      <x:c r="G16" s="627">
        <x:v>0</x:v>
      </x:c>
      <x:c r="H16" s="627">
        <x:v>0</x:v>
      </x:c>
      <x:c r="I16" s="653">
        <x:v>0</x:v>
      </x:c>
      <x:c r="J16" s="627">
        <x:v>0</x:v>
      </x:c>
      <x:c r="K16" s="627">
        <x:v>0</x:v>
      </x:c>
      <x:c r="L16" s="627">
        <x:v>0</x:v>
      </x:c>
      <x:c r="M16" s="627">
        <x:v>0</x:v>
      </x:c>
      <x:c r="N16" s="627">
        <x:v>0</x:v>
      </x:c>
      <x:c r="O16" s="627">
        <x:v>0</x:v>
      </x:c>
      <x:c r="Z16" s="624"/>
    </x:row>
    <x:row r="17" spans="1:26" x14ac:dyDescent="0.2">
      <x:c r="B17" s="625" t="s">
        <x:v>72</x:v>
      </x:c>
      <x:c r="C17" s="627">
        <x:v>0</x:v>
      </x:c>
      <x:c r="D17" s="627">
        <x:v>0</x:v>
      </x:c>
      <x:c r="E17" s="627">
        <x:v>0</x:v>
      </x:c>
      <x:c r="F17" s="627">
        <x:v>0</x:v>
      </x:c>
      <x:c r="G17" s="627">
        <x:v>0</x:v>
      </x:c>
      <x:c r="H17" s="627">
        <x:v>0</x:v>
      </x:c>
      <x:c r="I17" s="653">
        <x:v>0</x:v>
      </x:c>
      <x:c r="J17" s="627">
        <x:v>0</x:v>
      </x:c>
      <x:c r="K17" s="627">
        <x:v>0</x:v>
      </x:c>
      <x:c r="L17" s="627">
        <x:v>0</x:v>
      </x:c>
      <x:c r="M17" s="627">
        <x:v>0</x:v>
      </x:c>
      <x:c r="N17" s="627">
        <x:v>0</x:v>
      </x:c>
      <x:c r="O17" s="627">
        <x:v>0</x:v>
      </x:c>
      <x:c r="Z17" s="624"/>
    </x:row>
    <x:row r="18" spans="1:26" x14ac:dyDescent="0.2">
      <x:c r="A18" s="636" t="s">
        <x:v>78</x:v>
      </x:c>
      <x:c r="B18" s="636" t="s">
        <x:v>70</x:v>
      </x:c>
      <x:c r="C18" s="637">
        <x:v>0</x:v>
      </x:c>
      <x:c r="D18" s="637">
        <x:v>0</x:v>
      </x:c>
      <x:c r="E18" s="637">
        <x:v>0</x:v>
      </x:c>
      <x:c r="F18" s="637">
        <x:v>0</x:v>
      </x:c>
      <x:c r="G18" s="637">
        <x:v>0</x:v>
      </x:c>
      <x:c r="H18" s="637">
        <x:v>0</x:v>
      </x:c>
      <x:c r="I18" s="637">
        <x:v>0</x:v>
      </x:c>
      <x:c r="J18" s="637">
        <x:v>0</x:v>
      </x:c>
      <x:c r="K18" s="637">
        <x:v>0</x:v>
      </x:c>
      <x:c r="L18" s="637">
        <x:v>0</x:v>
      </x:c>
      <x:c r="M18" s="637">
        <x:v>0</x:v>
      </x:c>
      <x:c r="N18" s="637">
        <x:v>0</x:v>
      </x:c>
      <x:c r="O18" s="637">
        <x:v>0</x:v>
      </x:c>
      <x:c r="P18" s="635"/>
      <x:c r="Q18" s="635"/>
      <x:c r="R18" s="635"/>
      <x:c r="S18" s="635"/>
      <x:c r="T18" s="635"/>
      <x:c r="U18" s="635"/>
      <x:c r="V18" s="635"/>
      <x:c r="W18" s="635"/>
      <x:c r="X18" s="635"/>
      <x:c r="Y18" s="635"/>
      <x:c r="Z18" s="624"/>
    </x:row>
    <x:row r="19" spans="1:26" x14ac:dyDescent="0.2">
      <x:c r="B19" s="625" t="s">
        <x:v>73</x:v>
      </x:c>
      <x:c r="C19" s="627">
        <x:v>0</x:v>
      </x:c>
      <x:c r="D19" s="627">
        <x:v>0</x:v>
      </x:c>
      <x:c r="E19" s="627">
        <x:v>0</x:v>
      </x:c>
      <x:c r="F19" s="627">
        <x:v>0</x:v>
      </x:c>
      <x:c r="G19" s="627">
        <x:v>0</x:v>
      </x:c>
      <x:c r="H19" s="627">
        <x:v>0</x:v>
      </x:c>
      <x:c r="I19" s="653">
        <x:v>0</x:v>
      </x:c>
      <x:c r="J19" s="627">
        <x:v>0</x:v>
      </x:c>
      <x:c r="K19" s="627">
        <x:v>0</x:v>
      </x:c>
      <x:c r="L19" s="627">
        <x:v>0</x:v>
      </x:c>
      <x:c r="M19" s="627">
        <x:v>0</x:v>
      </x:c>
      <x:c r="N19" s="627">
        <x:v>0</x:v>
      </x:c>
      <x:c r="O19" s="627">
        <x:v>0</x:v>
      </x:c>
      <x:c r="Z19" s="624"/>
    </x:row>
    <x:row r="20" spans="1:26" x14ac:dyDescent="0.2">
      <x:c r="A20" s="654" t="s">
        <x:v>79</x:v>
      </x:c>
      <x:c r="B20" s="654" t="s">
        <x:v>70</x:v>
      </x:c>
      <x:c r="C20" s="655">
        <x:v>0</x:v>
      </x:c>
      <x:c r="D20" s="655">
        <x:v>0</x:v>
      </x:c>
      <x:c r="E20" s="655">
        <x:v>0</x:v>
      </x:c>
      <x:c r="F20" s="655">
        <x:v>0</x:v>
      </x:c>
      <x:c r="G20" s="655">
        <x:v>0</x:v>
      </x:c>
      <x:c r="H20" s="655">
        <x:v>0</x:v>
      </x:c>
      <x:c r="I20" s="655">
        <x:v>0</x:v>
      </x:c>
      <x:c r="J20" s="655">
        <x:v>0</x:v>
      </x:c>
      <x:c r="K20" s="655">
        <x:v>0</x:v>
      </x:c>
      <x:c r="L20" s="655">
        <x:v>0</x:v>
      </x:c>
      <x:c r="M20" s="655">
        <x:v>0</x:v>
      </x:c>
      <x:c r="N20" s="655">
        <x:v>0</x:v>
      </x:c>
      <x:c r="O20" s="655">
        <x:v>0</x:v>
      </x:c>
      <x:c r="P20" s="708"/>
      <x:c r="Q20" s="708"/>
      <x:c r="R20" s="708"/>
      <x:c r="S20" s="708"/>
      <x:c r="T20" s="708"/>
      <x:c r="U20" s="708"/>
      <x:c r="V20" s="708"/>
      <x:c r="W20" s="708"/>
      <x:c r="X20" s="708"/>
      <x:c r="Y20" s="708"/>
      <x:c r="Z20" s="624"/>
    </x:row>
    <x:row r="21" spans="1:26" x14ac:dyDescent="0.2">
      <x:c r="A21" s="625" t="s">
        <x:v>70</x:v>
      </x:c>
      <x:c r="C21" s="627">
        <x:v>0</x:v>
      </x:c>
      <x:c r="D21" s="627">
        <x:v>0</x:v>
      </x:c>
      <x:c r="E21" s="627">
        <x:v>0</x:v>
      </x:c>
      <x:c r="F21" s="627">
        <x:v>0</x:v>
      </x:c>
      <x:c r="G21" s="627">
        <x:v>0</x:v>
      </x:c>
      <x:c r="H21" s="627">
        <x:v>0</x:v>
      </x:c>
      <x:c r="I21" s="653">
        <x:v>0</x:v>
      </x:c>
      <x:c r="J21" s="627">
        <x:v>0</x:v>
      </x:c>
      <x:c r="K21" s="627">
        <x:v>0</x:v>
      </x:c>
      <x:c r="L21" s="627">
        <x:v>0</x:v>
      </x:c>
      <x:c r="M21" s="627">
        <x:v>0</x:v>
      </x:c>
      <x:c r="N21" s="627">
        <x:v>0</x:v>
      </x:c>
      <x:c r="O21" s="627">
        <x:v>0</x:v>
      </x:c>
      <x:c r="Z21" s="624"/>
    </x:row>
    <x:row r="22" spans="1:26" x14ac:dyDescent="0.2">
      <x:c r="A22" s="625"/>
      <x:c r="C22" s="627"/>
      <x:c r="D22" s="627"/>
      <x:c r="E22" s="627"/>
      <x:c r="F22" s="627"/>
      <x:c r="G22" s="627"/>
      <x:c r="H22" s="627"/>
      <x:c r="J22" s="627"/>
      <x:c r="K22" s="627"/>
      <x:c r="L22" s="627"/>
      <x:c r="M22" s="627"/>
      <x:c r="N22" s="627"/>
      <x:c r="Z22" s="624"/>
    </x:row>
    <x:row r="23" spans="1:26" x14ac:dyDescent="0.2">
      <x:c r="B23" s="709" t="s">
        <x:v>70</x:v>
      </x:c>
      <x:c r="C23" s="679">
        <x:f>C21-I21</x:f>
        <x:v>0</x:v>
      </x:c>
      <x:c r="D23" s="679">
        <x:f>D18</x:f>
        <x:v>0</x:v>
      </x:c>
      <x:c r="E23" s="679">
        <x:f t="shared" ref="E23:O23" si="1">E18</x:f>
        <x:v>0</x:v>
      </x:c>
      <x:c r="F23" s="679">
        <x:f t="shared" si="1"/>
        <x:v>0</x:v>
      </x:c>
      <x:c r="G23" s="679">
        <x:f t="shared" si="1"/>
        <x:v>0</x:v>
      </x:c>
      <x:c r="H23" s="679">
        <x:f t="shared" si="1"/>
        <x:v>0</x:v>
      </x:c>
      <x:c r="I23" s="679">
        <x:f t="shared" si="1"/>
        <x:v>0</x:v>
      </x:c>
      <x:c r="J23" s="679">
        <x:f t="shared" si="1"/>
        <x:v>0</x:v>
      </x:c>
      <x:c r="K23" s="679">
        <x:f t="shared" si="1"/>
        <x:v>0</x:v>
      </x:c>
      <x:c r="L23" s="679">
        <x:f t="shared" si="1"/>
        <x:v>0</x:v>
      </x:c>
      <x:c r="M23" s="679">
        <x:f t="shared" si="1"/>
        <x:v>0</x:v>
      </x:c>
      <x:c r="N23" s="679">
        <x:f t="shared" si="1"/>
        <x:v>0</x:v>
      </x:c>
      <x:c r="O23" s="679">
        <x:f t="shared" si="1"/>
        <x:v>0</x:v>
      </x:c>
      <x:c r="Z23" s="624"/>
    </x:row>
    <x:row r="24" spans="1:26" x14ac:dyDescent="0.2">
      <x:c r="B24" s="709" t="s">
        <x:v>73</x:v>
      </x:c>
      <x:c r="C24" s="679">
        <x:f>C20</x:f>
        <x:v>0</x:v>
      </x:c>
      <x:c r="Z24" s="624"/>
    </x:row>
    <x:row r="25" spans="1:26" x14ac:dyDescent="0.2">
      <x:c r="Z25" s="624"/>
    </x:row>
    <x:row r="26" spans="1:26" x14ac:dyDescent="0.2">
      <x:c r="A26" s="631"/>
      <x:c r="B26" s="631"/>
      <x:c r="C26" s="710"/>
      <x:c r="D26" s="631"/>
      <x:c r="E26" s="631"/>
      <x:c r="F26" s="631"/>
      <x:c r="G26" s="631"/>
      <x:c r="H26" s="631"/>
      <x:c r="I26" s="631"/>
      <x:c r="J26" s="631"/>
      <x:c r="K26" s="631"/>
      <x:c r="L26" s="631"/>
      <x:c r="M26" s="631"/>
      <x:c r="N26" s="631"/>
      <x:c r="O26" s="631"/>
      <x:c r="Z26" s="624"/>
    </x:row>
    <x:row r="27" spans="1:26" ht="15" x14ac:dyDescent="0.25">
      <x:c r="B27" s="676" t="s">
        <x:v>76</x:v>
      </x:c>
      <x:c r="Z27" s="624"/>
    </x:row>
    <x:row r="28" spans="1:26" s="50" customFormat="1" ht="15" x14ac:dyDescent="0.25">
      <x:c r="C28" s="669" t="s">
        <x:v>70</x:v>
      </x:c>
      <x:c r="D28" s="669" t="s">
        <x:v>64</x:v>
      </x:c>
      <x:c r="E28" s="669" t="s">
        <x:v>65</x:v>
      </x:c>
      <x:c r="F28" s="674" t="s">
        <x:v>164</x:v>
      </x:c>
      <x:c r="G28" s="669" t="s">
        <x:v>69</x:v>
      </x:c>
      <x:c r="H28" s="669" t="s">
        <x:v>68</x:v>
      </x:c>
      <x:c r="I28" s="669" t="s">
        <x:v>83</x:v>
      </x:c>
      <x:c r="J28" s="669" t="s">
        <x:v>66</x:v>
      </x:c>
      <x:c r="K28" s="669" t="s">
        <x:v>63</x:v>
      </x:c>
      <x:c r="L28" s="669" t="s">
        <x:v>61</x:v>
      </x:c>
      <x:c r="M28" s="669" t="s">
        <x:v>62</x:v>
      </x:c>
      <x:c r="N28" s="669" t="s">
        <x:v>67</x:v>
      </x:c>
      <x:c r="O28" s="669" t="s">
        <x:v>84</x:v>
      </x:c>
      <x:c r="Z28" s="618"/>
    </x:row>
    <x:row r="29" spans="1:26" x14ac:dyDescent="0.2">
      <x:c r="B29" s="25" t="s">
        <x:v>81</x:v>
      </x:c>
      <x:c r="C29" s="627">
        <x:v>0</x:v>
      </x:c>
      <x:c r="D29" s="627">
        <x:v>0</x:v>
      </x:c>
      <x:c r="E29" s="627">
        <x:v>0</x:v>
      </x:c>
      <x:c r="F29" s="627">
        <x:v>0</x:v>
      </x:c>
      <x:c r="G29" s="627">
        <x:v>0</x:v>
      </x:c>
      <x:c r="H29" s="627">
        <x:v>0</x:v>
      </x:c>
      <x:c r="I29" s="627">
        <x:v>0</x:v>
      </x:c>
      <x:c r="J29" s="627">
        <x:v>0</x:v>
      </x:c>
      <x:c r="K29" s="627">
        <x:v>0</x:v>
      </x:c>
      <x:c r="L29" s="627">
        <x:v>0</x:v>
      </x:c>
      <x:c r="M29" s="627">
        <x:v>0</x:v>
      </x:c>
      <x:c r="N29" s="627">
        <x:v>0</x:v>
      </x:c>
      <x:c r="O29" s="627">
        <x:v>0</x:v>
      </x:c>
      <x:c r="Z29" s="624"/>
    </x:row>
    <x:row r="30" spans="1:26" x14ac:dyDescent="0.2">
      <x:c r="B30" s="625" t="s">
        <x:v>72</x:v>
      </x:c>
      <x:c r="C30" s="627">
        <x:v>0</x:v>
      </x:c>
      <x:c r="D30" s="627">
        <x:v>0</x:v>
      </x:c>
      <x:c r="E30" s="627">
        <x:v>0</x:v>
      </x:c>
      <x:c r="F30" s="627">
        <x:v>0</x:v>
      </x:c>
      <x:c r="G30" s="627">
        <x:v>0</x:v>
      </x:c>
      <x:c r="H30" s="627">
        <x:v>0</x:v>
      </x:c>
      <x:c r="I30" s="627">
        <x:v>0</x:v>
      </x:c>
      <x:c r="J30" s="627">
        <x:v>0</x:v>
      </x:c>
      <x:c r="K30" s="627">
        <x:v>0</x:v>
      </x:c>
      <x:c r="L30" s="627">
        <x:v>0</x:v>
      </x:c>
      <x:c r="M30" s="627">
        <x:v>0</x:v>
      </x:c>
      <x:c r="N30" s="627">
        <x:v>0</x:v>
      </x:c>
      <x:c r="O30" s="627">
        <x:v>0</x:v>
      </x:c>
      <x:c r="Z30" s="624"/>
    </x:row>
    <x:row r="31" spans="1:26" x14ac:dyDescent="0.2">
      <x:c r="A31" s="636" t="s">
        <x:v>78</x:v>
      </x:c>
      <x:c r="B31" s="636" t="s">
        <x:v>70</x:v>
      </x:c>
      <x:c r="C31" s="637">
        <x:v>0</x:v>
      </x:c>
      <x:c r="D31" s="637">
        <x:v>0</x:v>
      </x:c>
      <x:c r="E31" s="637">
        <x:v>0</x:v>
      </x:c>
      <x:c r="F31" s="637">
        <x:v>0</x:v>
      </x:c>
      <x:c r="G31" s="637">
        <x:v>0</x:v>
      </x:c>
      <x:c r="H31" s="637">
        <x:v>0</x:v>
      </x:c>
      <x:c r="I31" s="637">
        <x:v>0</x:v>
      </x:c>
      <x:c r="J31" s="637">
        <x:v>0</x:v>
      </x:c>
      <x:c r="K31" s="637">
        <x:v>0</x:v>
      </x:c>
      <x:c r="L31" s="637">
        <x:v>0</x:v>
      </x:c>
      <x:c r="M31" s="637">
        <x:v>0</x:v>
      </x:c>
      <x:c r="N31" s="637">
        <x:v>0</x:v>
      </x:c>
      <x:c r="O31" s="637">
        <x:v>0</x:v>
      </x:c>
      <x:c r="P31" s="635"/>
      <x:c r="Q31" s="635"/>
      <x:c r="R31" s="635"/>
      <x:c r="S31" s="635"/>
      <x:c r="T31" s="635"/>
      <x:c r="U31" s="635"/>
      <x:c r="V31" s="635"/>
      <x:c r="W31" s="635"/>
      <x:c r="X31" s="635"/>
      <x:c r="Y31" s="635"/>
      <x:c r="Z31" s="624"/>
    </x:row>
    <x:row r="32" spans="1:26" x14ac:dyDescent="0.2">
      <x:c r="B32" s="625" t="s">
        <x:v>73</x:v>
      </x:c>
      <x:c r="C32" s="627">
        <x:v>0</x:v>
      </x:c>
      <x:c r="D32" s="627">
        <x:v>0</x:v>
      </x:c>
      <x:c r="E32" s="627">
        <x:v>0</x:v>
      </x:c>
      <x:c r="F32" s="627">
        <x:v>0</x:v>
      </x:c>
      <x:c r="G32" s="627">
        <x:v>0</x:v>
      </x:c>
      <x:c r="H32" s="627">
        <x:v>0</x:v>
      </x:c>
      <x:c r="I32" s="627">
        <x:v>0</x:v>
      </x:c>
      <x:c r="J32" s="627">
        <x:v>0</x:v>
      </x:c>
      <x:c r="K32" s="627">
        <x:v>0</x:v>
      </x:c>
      <x:c r="L32" s="627">
        <x:v>0</x:v>
      </x:c>
      <x:c r="M32" s="627">
        <x:v>0</x:v>
      </x:c>
      <x:c r="N32" s="627">
        <x:v>0</x:v>
      </x:c>
      <x:c r="O32" s="627">
        <x:v>0</x:v>
      </x:c>
      <x:c r="Z32" s="624"/>
    </x:row>
    <x:row r="33" spans="1:26" x14ac:dyDescent="0.2">
      <x:c r="A33" s="654" t="s">
        <x:v>79</x:v>
      </x:c>
      <x:c r="B33" s="654" t="s">
        <x:v>70</x:v>
      </x:c>
      <x:c r="C33" s="655">
        <x:v>0</x:v>
      </x:c>
      <x:c r="D33" s="655">
        <x:v>0</x:v>
      </x:c>
      <x:c r="E33" s="655">
        <x:v>0</x:v>
      </x:c>
      <x:c r="F33" s="655">
        <x:v>0</x:v>
      </x:c>
      <x:c r="G33" s="655">
        <x:v>0</x:v>
      </x:c>
      <x:c r="H33" s="655">
        <x:v>0</x:v>
      </x:c>
      <x:c r="I33" s="655">
        <x:v>0</x:v>
      </x:c>
      <x:c r="J33" s="655">
        <x:v>0</x:v>
      </x:c>
      <x:c r="K33" s="655">
        <x:v>0</x:v>
      </x:c>
      <x:c r="L33" s="655">
        <x:v>0</x:v>
      </x:c>
      <x:c r="M33" s="655">
        <x:v>0</x:v>
      </x:c>
      <x:c r="N33" s="655">
        <x:v>0</x:v>
      </x:c>
      <x:c r="O33" s="655">
        <x:v>0</x:v>
      </x:c>
      <x:c r="P33" s="708"/>
      <x:c r="Q33" s="708"/>
      <x:c r="R33" s="708"/>
      <x:c r="S33" s="708"/>
      <x:c r="T33" s="708"/>
      <x:c r="U33" s="708"/>
      <x:c r="V33" s="708"/>
      <x:c r="W33" s="708"/>
      <x:c r="X33" s="708"/>
      <x:c r="Y33" s="708"/>
      <x:c r="Z33" s="624"/>
    </x:row>
    <x:row r="34" spans="1:26" x14ac:dyDescent="0.2">
      <x:c r="A34" s="625" t="s">
        <x:v>70</x:v>
      </x:c>
      <x:c r="C34" s="627">
        <x:v>0</x:v>
      </x:c>
      <x:c r="D34" s="627">
        <x:v>0</x:v>
      </x:c>
      <x:c r="E34" s="627">
        <x:v>0</x:v>
      </x:c>
      <x:c r="F34" s="627">
        <x:v>0</x:v>
      </x:c>
      <x:c r="G34" s="627">
        <x:v>0</x:v>
      </x:c>
      <x:c r="H34" s="627">
        <x:v>0</x:v>
      </x:c>
      <x:c r="I34" s="627">
        <x:v>0</x:v>
      </x:c>
      <x:c r="J34" s="627">
        <x:v>0</x:v>
      </x:c>
      <x:c r="K34" s="627">
        <x:v>0</x:v>
      </x:c>
      <x:c r="L34" s="627">
        <x:v>0</x:v>
      </x:c>
      <x:c r="M34" s="627">
        <x:v>0</x:v>
      </x:c>
      <x:c r="N34" s="627">
        <x:v>0</x:v>
      </x:c>
      <x:c r="O34" s="627">
        <x:v>0</x:v>
      </x:c>
      <x:c r="Z34" s="624"/>
    </x:row>
    <x:row r="35" spans="1:26" x14ac:dyDescent="0.2">
      <x:c r="A35" s="625"/>
      <x:c r="C35" s="627"/>
      <x:c r="D35" s="627"/>
      <x:c r="E35" s="627"/>
      <x:c r="F35" s="627"/>
      <x:c r="G35" s="627"/>
      <x:c r="H35" s="627"/>
      <x:c r="I35" s="627"/>
      <x:c r="J35" s="627"/>
      <x:c r="K35" s="627"/>
      <x:c r="L35" s="627"/>
      <x:c r="M35" s="627"/>
      <x:c r="O35" s="627"/>
      <x:c r="Z35" s="624"/>
    </x:row>
    <x:row r="36" spans="1:26" x14ac:dyDescent="0.2">
      <x:c r="B36" s="709" t="s">
        <x:v>70</x:v>
      </x:c>
      <x:c r="C36" s="679">
        <x:f>C34-I34</x:f>
        <x:v>0</x:v>
      </x:c>
      <x:c r="D36" s="679">
        <x:f>D31</x:f>
        <x:v>0</x:v>
      </x:c>
      <x:c r="E36" s="679">
        <x:f t="shared" ref="E36:O36" si="2">E31</x:f>
        <x:v>0</x:v>
      </x:c>
      <x:c r="F36" s="679">
        <x:f t="shared" si="2"/>
        <x:v>0</x:v>
      </x:c>
      <x:c r="G36" s="679">
        <x:f t="shared" si="2"/>
        <x:v>0</x:v>
      </x:c>
      <x:c r="H36" s="679">
        <x:f t="shared" si="2"/>
        <x:v>0</x:v>
      </x:c>
      <x:c r="I36" s="679">
        <x:f t="shared" si="2"/>
        <x:v>0</x:v>
      </x:c>
      <x:c r="J36" s="679">
        <x:f t="shared" si="2"/>
        <x:v>0</x:v>
      </x:c>
      <x:c r="K36" s="679">
        <x:f t="shared" si="2"/>
        <x:v>0</x:v>
      </x:c>
      <x:c r="L36" s="679">
        <x:f t="shared" si="2"/>
        <x:v>0</x:v>
      </x:c>
      <x:c r="M36" s="679">
        <x:f t="shared" si="2"/>
        <x:v>0</x:v>
      </x:c>
      <x:c r="N36" s="679">
        <x:f t="shared" si="2"/>
        <x:v>0</x:v>
      </x:c>
      <x:c r="O36" s="679">
        <x:f t="shared" si="2"/>
        <x:v>0</x:v>
      </x:c>
      <x:c r="Z36" s="624"/>
    </x:row>
    <x:row r="37" spans="1:26" x14ac:dyDescent="0.2">
      <x:c r="B37" s="709" t="s">
        <x:v>73</x:v>
      </x:c>
      <x:c r="C37" s="679">
        <x:f>C33</x:f>
        <x:v>0</x:v>
      </x:c>
      <x:c r="Z37" s="624"/>
    </x:row>
    <x:row r="38" spans="1:26" x14ac:dyDescent="0.2">
      <x:c r="Z38" s="624"/>
    </x:row>
    <x:row r="39" spans="1:26" x14ac:dyDescent="0.2">
      <x:c r="A39" s="631"/>
      <x:c r="B39" s="631"/>
      <x:c r="C39" s="710"/>
      <x:c r="D39" s="631"/>
      <x:c r="E39" s="631"/>
      <x:c r="F39" s="631"/>
      <x:c r="G39" s="631"/>
      <x:c r="H39" s="631"/>
      <x:c r="I39" s="631"/>
      <x:c r="J39" s="631"/>
      <x:c r="K39" s="631"/>
      <x:c r="L39" s="631"/>
      <x:c r="M39" s="631"/>
      <x:c r="N39" s="631"/>
      <x:c r="O39" s="631"/>
      <x:c r="Z39" s="624"/>
    </x:row>
    <x:row r="40" spans="1:26" ht="15" x14ac:dyDescent="0.25">
      <x:c r="B40" s="676" t="s">
        <x:v>88</x:v>
      </x:c>
      <x:c r="Z40" s="624"/>
    </x:row>
    <x:row r="41" spans="1:26" s="50" customFormat="1" ht="15" x14ac:dyDescent="0.25">
      <x:c r="C41" s="669" t="s">
        <x:v>70</x:v>
      </x:c>
      <x:c r="D41" s="669" t="s">
        <x:v>64</x:v>
      </x:c>
      <x:c r="E41" s="669" t="s">
        <x:v>65</x:v>
      </x:c>
      <x:c r="F41" s="674" t="s">
        <x:v>164</x:v>
      </x:c>
      <x:c r="G41" s="669" t="s">
        <x:v>69</x:v>
      </x:c>
      <x:c r="H41" s="669" t="s">
        <x:v>68</x:v>
      </x:c>
      <x:c r="I41" s="669" t="s">
        <x:v>83</x:v>
      </x:c>
      <x:c r="J41" s="669" t="s">
        <x:v>66</x:v>
      </x:c>
      <x:c r="K41" s="669" t="s">
        <x:v>63</x:v>
      </x:c>
      <x:c r="L41" s="669" t="s">
        <x:v>61</x:v>
      </x:c>
      <x:c r="M41" s="669" t="s">
        <x:v>62</x:v>
      </x:c>
      <x:c r="N41" s="669" t="s">
        <x:v>67</x:v>
      </x:c>
      <x:c r="O41" s="669" t="s">
        <x:v>84</x:v>
      </x:c>
      <x:c r="Z41" s="618"/>
    </x:row>
    <x:row r="42" spans="1:26" x14ac:dyDescent="0.2">
      <x:c r="B42" s="25" t="s">
        <x:v>81</x:v>
      </x:c>
      <x:c r="C42" s="627">
        <x:v>0</x:v>
      </x:c>
      <x:c r="D42" s="627">
        <x:v>0</x:v>
      </x:c>
      <x:c r="E42" s="627">
        <x:v>0</x:v>
      </x:c>
      <x:c r="F42" s="627">
        <x:v>0</x:v>
      </x:c>
      <x:c r="G42" s="627">
        <x:v>0</x:v>
      </x:c>
      <x:c r="H42" s="627">
        <x:v>0</x:v>
      </x:c>
      <x:c r="I42" s="627">
        <x:v>0</x:v>
      </x:c>
      <x:c r="J42" s="627">
        <x:v>0</x:v>
      </x:c>
      <x:c r="K42" s="627">
        <x:v>0</x:v>
      </x:c>
      <x:c r="L42" s="627">
        <x:v>0</x:v>
      </x:c>
      <x:c r="M42" s="627">
        <x:v>0</x:v>
      </x:c>
      <x:c r="N42" s="627">
        <x:v>0</x:v>
      </x:c>
      <x:c r="O42" s="627">
        <x:v>0</x:v>
      </x:c>
      <x:c r="Z42" s="624"/>
    </x:row>
    <x:row r="43" spans="1:26" x14ac:dyDescent="0.2">
      <x:c r="A43" s="625"/>
      <x:c r="B43" s="625" t="s">
        <x:v>72</x:v>
      </x:c>
      <x:c r="C43" s="627">
        <x:v>0</x:v>
      </x:c>
      <x:c r="D43" s="627">
        <x:v>0</x:v>
      </x:c>
      <x:c r="E43" s="627">
        <x:v>0</x:v>
      </x:c>
      <x:c r="F43" s="627">
        <x:v>0</x:v>
      </x:c>
      <x:c r="G43" s="627">
        <x:v>0</x:v>
      </x:c>
      <x:c r="H43" s="627">
        <x:v>0</x:v>
      </x:c>
      <x:c r="I43" s="627">
        <x:v>0</x:v>
      </x:c>
      <x:c r="J43" s="627">
        <x:v>0</x:v>
      </x:c>
      <x:c r="K43" s="627">
        <x:v>0</x:v>
      </x:c>
      <x:c r="L43" s="627">
        <x:v>0</x:v>
      </x:c>
      <x:c r="M43" s="627">
        <x:v>0</x:v>
      </x:c>
      <x:c r="N43" s="627">
        <x:v>0</x:v>
      </x:c>
      <x:c r="O43" s="627">
        <x:v>0</x:v>
      </x:c>
      <x:c r="Z43" s="624"/>
    </x:row>
    <x:row r="44" spans="1:26" x14ac:dyDescent="0.2">
      <x:c r="A44" s="636" t="s">
        <x:v>78</x:v>
      </x:c>
      <x:c r="B44" s="636" t="s">
        <x:v>70</x:v>
      </x:c>
      <x:c r="C44" s="637">
        <x:v>0</x:v>
      </x:c>
      <x:c r="D44" s="637">
        <x:v>0</x:v>
      </x:c>
      <x:c r="E44" s="637">
        <x:v>0</x:v>
      </x:c>
      <x:c r="F44" s="637">
        <x:v>0</x:v>
      </x:c>
      <x:c r="G44" s="637">
        <x:v>0</x:v>
      </x:c>
      <x:c r="H44" s="637">
        <x:v>0</x:v>
      </x:c>
      <x:c r="I44" s="637">
        <x:v>0</x:v>
      </x:c>
      <x:c r="J44" s="637">
        <x:v>0</x:v>
      </x:c>
      <x:c r="K44" s="637">
        <x:v>0</x:v>
      </x:c>
      <x:c r="L44" s="637">
        <x:v>0</x:v>
      </x:c>
      <x:c r="M44" s="637">
        <x:v>0</x:v>
      </x:c>
      <x:c r="N44" s="637">
        <x:v>0</x:v>
      </x:c>
      <x:c r="O44" s="637">
        <x:v>0</x:v>
      </x:c>
      <x:c r="P44" s="635"/>
      <x:c r="Q44" s="635"/>
      <x:c r="R44" s="635"/>
      <x:c r="S44" s="635"/>
      <x:c r="T44" s="635"/>
      <x:c r="U44" s="635"/>
      <x:c r="V44" s="635"/>
      <x:c r="W44" s="635"/>
      <x:c r="X44" s="635"/>
      <x:c r="Y44" s="635"/>
      <x:c r="Z44" s="624"/>
    </x:row>
    <x:row r="45" spans="1:26" x14ac:dyDescent="0.2">
      <x:c r="A45" s="625"/>
      <x:c r="B45" s="625" t="s">
        <x:v>73</x:v>
      </x:c>
      <x:c r="C45" s="627">
        <x:v>0</x:v>
      </x:c>
      <x:c r="D45" s="627">
        <x:v>0</x:v>
      </x:c>
      <x:c r="E45" s="627">
        <x:v>0</x:v>
      </x:c>
      <x:c r="F45" s="627">
        <x:v>0</x:v>
      </x:c>
      <x:c r="G45" s="627">
        <x:v>0</x:v>
      </x:c>
      <x:c r="H45" s="627">
        <x:v>0</x:v>
      </x:c>
      <x:c r="I45" s="627">
        <x:v>0</x:v>
      </x:c>
      <x:c r="J45" s="627">
        <x:v>0</x:v>
      </x:c>
      <x:c r="K45" s="627">
        <x:v>0</x:v>
      </x:c>
      <x:c r="L45" s="627">
        <x:v>0</x:v>
      </x:c>
      <x:c r="M45" s="627">
        <x:v>0</x:v>
      </x:c>
      <x:c r="N45" s="627">
        <x:v>0</x:v>
      </x:c>
      <x:c r="O45" s="627">
        <x:v>0</x:v>
      </x:c>
      <x:c r="Z45" s="624"/>
    </x:row>
    <x:row r="46" spans="1:26" x14ac:dyDescent="0.2">
      <x:c r="A46" s="654" t="s">
        <x:v>79</x:v>
      </x:c>
      <x:c r="B46" s="654" t="s">
        <x:v>70</x:v>
      </x:c>
      <x:c r="C46" s="655">
        <x:v>0</x:v>
      </x:c>
      <x:c r="D46" s="655">
        <x:v>0</x:v>
      </x:c>
      <x:c r="E46" s="655">
        <x:v>0</x:v>
      </x:c>
      <x:c r="F46" s="655">
        <x:v>0</x:v>
      </x:c>
      <x:c r="G46" s="655">
        <x:v>0</x:v>
      </x:c>
      <x:c r="H46" s="655">
        <x:v>0</x:v>
      </x:c>
      <x:c r="I46" s="655">
        <x:v>0</x:v>
      </x:c>
      <x:c r="J46" s="655">
        <x:v>0</x:v>
      </x:c>
      <x:c r="K46" s="655">
        <x:v>0</x:v>
      </x:c>
      <x:c r="L46" s="655">
        <x:v>0</x:v>
      </x:c>
      <x:c r="M46" s="655">
        <x:v>0</x:v>
      </x:c>
      <x:c r="N46" s="655">
        <x:v>0</x:v>
      </x:c>
      <x:c r="O46" s="655">
        <x:v>0</x:v>
      </x:c>
      <x:c r="P46" s="708"/>
      <x:c r="Q46" s="708"/>
      <x:c r="R46" s="708"/>
      <x:c r="S46" s="708"/>
      <x:c r="T46" s="708"/>
      <x:c r="U46" s="708"/>
      <x:c r="V46" s="708"/>
      <x:c r="W46" s="708"/>
      <x:c r="X46" s="708"/>
      <x:c r="Y46" s="708"/>
      <x:c r="Z46" s="624"/>
    </x:row>
    <x:row r="47" spans="1:26" x14ac:dyDescent="0.2">
      <x:c r="A47" s="625" t="s">
        <x:v>70</x:v>
      </x:c>
      <x:c r="C47" s="627">
        <x:v>0</x:v>
      </x:c>
      <x:c r="D47" s="627">
        <x:v>0</x:v>
      </x:c>
      <x:c r="E47" s="627">
        <x:v>0</x:v>
      </x:c>
      <x:c r="F47" s="627">
        <x:v>0</x:v>
      </x:c>
      <x:c r="G47" s="627">
        <x:v>0</x:v>
      </x:c>
      <x:c r="H47" s="627">
        <x:v>0</x:v>
      </x:c>
      <x:c r="I47" s="627">
        <x:v>0</x:v>
      </x:c>
      <x:c r="J47" s="627">
        <x:v>0</x:v>
      </x:c>
      <x:c r="K47" s="627">
        <x:v>0</x:v>
      </x:c>
      <x:c r="L47" s="627">
        <x:v>0</x:v>
      </x:c>
      <x:c r="M47" s="627">
        <x:v>0</x:v>
      </x:c>
      <x:c r="N47" s="627">
        <x:v>0</x:v>
      </x:c>
      <x:c r="O47" s="627">
        <x:v>0</x:v>
      </x:c>
      <x:c r="Z47" s="624"/>
    </x:row>
    <x:row r="48" spans="1:26" x14ac:dyDescent="0.2">
      <x:c r="A48" s="625"/>
      <x:c r="C48" s="627"/>
      <x:c r="D48" s="627"/>
      <x:c r="E48" s="627"/>
      <x:c r="F48" s="627"/>
      <x:c r="G48" s="627"/>
      <x:c r="H48" s="627"/>
      <x:c r="I48" s="627"/>
      <x:c r="J48" s="627"/>
      <x:c r="K48" s="627"/>
      <x:c r="L48" s="627"/>
      <x:c r="M48" s="627"/>
      <x:c r="N48" s="627"/>
      <x:c r="O48" s="627"/>
      <x:c r="Z48" s="624"/>
    </x:row>
    <x:row r="49" spans="1:26" x14ac:dyDescent="0.2">
      <x:c r="B49" s="709" t="s">
        <x:v>70</x:v>
      </x:c>
      <x:c r="C49" s="679">
        <x:f>C47-I47</x:f>
        <x:v>0</x:v>
      </x:c>
      <x:c r="D49" s="679">
        <x:f>D44</x:f>
        <x:v>0</x:v>
      </x:c>
      <x:c r="E49" s="679">
        <x:f t="shared" ref="E49:O49" si="3">E44</x:f>
        <x:v>0</x:v>
      </x:c>
      <x:c r="F49" s="679">
        <x:f t="shared" si="3"/>
        <x:v>0</x:v>
      </x:c>
      <x:c r="G49" s="679">
        <x:f t="shared" si="3"/>
        <x:v>0</x:v>
      </x:c>
      <x:c r="H49" s="679">
        <x:f t="shared" si="3"/>
        <x:v>0</x:v>
      </x:c>
      <x:c r="I49" s="679">
        <x:f t="shared" si="3"/>
        <x:v>0</x:v>
      </x:c>
      <x:c r="J49" s="679">
        <x:f t="shared" si="3"/>
        <x:v>0</x:v>
      </x:c>
      <x:c r="K49" s="679">
        <x:f t="shared" si="3"/>
        <x:v>0</x:v>
      </x:c>
      <x:c r="L49" s="679">
        <x:f t="shared" si="3"/>
        <x:v>0</x:v>
      </x:c>
      <x:c r="M49" s="679">
        <x:f t="shared" si="3"/>
        <x:v>0</x:v>
      </x:c>
      <x:c r="N49" s="679">
        <x:f t="shared" si="3"/>
        <x:v>0</x:v>
      </x:c>
      <x:c r="O49" s="679">
        <x:f t="shared" si="3"/>
        <x:v>0</x:v>
      </x:c>
      <x:c r="Z49" s="624"/>
    </x:row>
    <x:row r="50" spans="1:26" x14ac:dyDescent="0.2">
      <x:c r="B50" s="709" t="s">
        <x:v>73</x:v>
      </x:c>
      <x:c r="C50" s="679">
        <x:f>C46</x:f>
        <x:v>0</x:v>
      </x:c>
      <x:c r="Z50" s="624"/>
    </x:row>
    <x:row r="51" spans="1:26" x14ac:dyDescent="0.2">
      <x:c r="Z51" s="624"/>
    </x:row>
    <x:row r="52" spans="1:26" x14ac:dyDescent="0.2">
      <x:c r="A52" s="631"/>
      <x:c r="B52" s="631"/>
      <x:c r="C52" s="710"/>
      <x:c r="D52" s="631"/>
      <x:c r="E52" s="631"/>
      <x:c r="F52" s="631"/>
      <x:c r="G52" s="631"/>
      <x:c r="H52" s="631"/>
      <x:c r="I52" s="631"/>
      <x:c r="J52" s="631"/>
      <x:c r="K52" s="631"/>
      <x:c r="L52" s="631"/>
      <x:c r="M52" s="631"/>
      <x:c r="N52" s="631"/>
      <x:c r="O52" s="631"/>
      <x:c r="Z52" s="624"/>
    </x:row>
    <x:row r="53" spans="1:26" ht="15" x14ac:dyDescent="0.25">
      <x:c r="B53" s="676" t="s">
        <x:v>93</x:v>
      </x:c>
      <x:c r="Z53" s="624"/>
    </x:row>
    <x:row r="54" spans="1:26" s="50" customFormat="1" ht="15" x14ac:dyDescent="0.25">
      <x:c r="C54" s="669" t="s">
        <x:v>70</x:v>
      </x:c>
      <x:c r="D54" s="669" t="s">
        <x:v>64</x:v>
      </x:c>
      <x:c r="E54" s="669" t="s">
        <x:v>65</x:v>
      </x:c>
      <x:c r="F54" s="674" t="s">
        <x:v>164</x:v>
      </x:c>
      <x:c r="G54" s="669" t="s">
        <x:v>69</x:v>
      </x:c>
      <x:c r="H54" s="669" t="s">
        <x:v>68</x:v>
      </x:c>
      <x:c r="I54" s="669" t="s">
        <x:v>83</x:v>
      </x:c>
      <x:c r="J54" s="669" t="s">
        <x:v>66</x:v>
      </x:c>
      <x:c r="K54" s="669" t="s">
        <x:v>63</x:v>
      </x:c>
      <x:c r="L54" s="669" t="s">
        <x:v>61</x:v>
      </x:c>
      <x:c r="M54" s="669" t="s">
        <x:v>62</x:v>
      </x:c>
      <x:c r="N54" s="669" t="s">
        <x:v>67</x:v>
      </x:c>
      <x:c r="O54" s="669" t="s">
        <x:v>84</x:v>
      </x:c>
      <x:c r="Z54" s="618"/>
    </x:row>
    <x:row r="55" spans="1:26" x14ac:dyDescent="0.2">
      <x:c r="B55" s="625" t="s">
        <x:v>72</x:v>
      </x:c>
      <x:c r="C55" s="627">
        <x:v>0</x:v>
      </x:c>
      <x:c r="D55" s="627">
        <x:v>0</x:v>
      </x:c>
      <x:c r="E55" s="627">
        <x:v>0</x:v>
      </x:c>
      <x:c r="F55" s="627">
        <x:v>0</x:v>
      </x:c>
      <x:c r="G55" s="627">
        <x:v>0</x:v>
      </x:c>
      <x:c r="H55" s="627">
        <x:v>0</x:v>
      </x:c>
      <x:c r="I55" s="653">
        <x:v>0</x:v>
      </x:c>
      <x:c r="J55" s="627">
        <x:v>0</x:v>
      </x:c>
      <x:c r="K55" s="627">
        <x:v>0</x:v>
      </x:c>
      <x:c r="L55" s="627">
        <x:v>0</x:v>
      </x:c>
      <x:c r="M55" s="627">
        <x:v>0</x:v>
      </x:c>
      <x:c r="N55" s="627">
        <x:v>0</x:v>
      </x:c>
      <x:c r="O55" s="627">
        <x:v>0</x:v>
      </x:c>
      <x:c r="Z55" s="624"/>
    </x:row>
    <x:row r="56" spans="1:26" x14ac:dyDescent="0.2">
      <x:c r="A56" s="636" t="s">
        <x:v>78</x:v>
      </x:c>
      <x:c r="B56" s="636" t="s">
        <x:v>70</x:v>
      </x:c>
      <x:c r="C56" s="637">
        <x:v>0</x:v>
      </x:c>
      <x:c r="D56" s="637">
        <x:v>0</x:v>
      </x:c>
      <x:c r="E56" s="637">
        <x:v>0</x:v>
      </x:c>
      <x:c r="F56" s="637">
        <x:v>0</x:v>
      </x:c>
      <x:c r="G56" s="637">
        <x:v>0</x:v>
      </x:c>
      <x:c r="H56" s="637">
        <x:v>0</x:v>
      </x:c>
      <x:c r="I56" s="637">
        <x:v>0</x:v>
      </x:c>
      <x:c r="J56" s="637">
        <x:v>0</x:v>
      </x:c>
      <x:c r="K56" s="637">
        <x:v>0</x:v>
      </x:c>
      <x:c r="L56" s="637">
        <x:v>0</x:v>
      </x:c>
      <x:c r="M56" s="637">
        <x:v>0</x:v>
      </x:c>
      <x:c r="N56" s="637">
        <x:v>0</x:v>
      </x:c>
      <x:c r="O56" s="637">
        <x:v>0</x:v>
      </x:c>
      <x:c r="P56" s="635"/>
      <x:c r="Q56" s="635"/>
      <x:c r="R56" s="635"/>
      <x:c r="S56" s="635"/>
      <x:c r="T56" s="635"/>
      <x:c r="U56" s="635"/>
      <x:c r="V56" s="635"/>
      <x:c r="W56" s="635"/>
      <x:c r="X56" s="635"/>
      <x:c r="Y56" s="635"/>
      <x:c r="Z56" s="624"/>
    </x:row>
    <x:row r="57" spans="1:26" x14ac:dyDescent="0.2">
      <x:c r="B57" s="625" t="s">
        <x:v>73</x:v>
      </x:c>
      <x:c r="C57" s="627">
        <x:v>0</x:v>
      </x:c>
      <x:c r="D57" s="627">
        <x:v>0</x:v>
      </x:c>
      <x:c r="E57" s="627">
        <x:v>0</x:v>
      </x:c>
      <x:c r="F57" s="627">
        <x:v>0</x:v>
      </x:c>
      <x:c r="G57" s="627">
        <x:v>0</x:v>
      </x:c>
      <x:c r="H57" s="627">
        <x:v>0</x:v>
      </x:c>
      <x:c r="I57" s="653">
        <x:v>0</x:v>
      </x:c>
      <x:c r="J57" s="627">
        <x:v>0</x:v>
      </x:c>
      <x:c r="K57" s="627">
        <x:v>0</x:v>
      </x:c>
      <x:c r="L57" s="627">
        <x:v>0</x:v>
      </x:c>
      <x:c r="M57" s="627">
        <x:v>0</x:v>
      </x:c>
      <x:c r="N57" s="627">
        <x:v>0</x:v>
      </x:c>
      <x:c r="O57" s="627">
        <x:v>0</x:v>
      </x:c>
      <x:c r="Z57" s="624"/>
    </x:row>
    <x:row r="58" spans="1:26" x14ac:dyDescent="0.2">
      <x:c r="A58" s="654" t="s">
        <x:v>79</x:v>
      </x:c>
      <x:c r="B58" s="654" t="s">
        <x:v>70</x:v>
      </x:c>
      <x:c r="C58" s="655">
        <x:v>0</x:v>
      </x:c>
      <x:c r="D58" s="655">
        <x:v>0</x:v>
      </x:c>
      <x:c r="E58" s="655">
        <x:v>0</x:v>
      </x:c>
      <x:c r="F58" s="655">
        <x:v>0</x:v>
      </x:c>
      <x:c r="G58" s="655">
        <x:v>0</x:v>
      </x:c>
      <x:c r="H58" s="655">
        <x:v>0</x:v>
      </x:c>
      <x:c r="I58" s="655">
        <x:v>0</x:v>
      </x:c>
      <x:c r="J58" s="655">
        <x:v>0</x:v>
      </x:c>
      <x:c r="K58" s="655">
        <x:v>0</x:v>
      </x:c>
      <x:c r="L58" s="655">
        <x:v>0</x:v>
      </x:c>
      <x:c r="M58" s="655">
        <x:v>0</x:v>
      </x:c>
      <x:c r="N58" s="655">
        <x:v>0</x:v>
      </x:c>
      <x:c r="O58" s="655">
        <x:v>0</x:v>
      </x:c>
      <x:c r="P58" s="708"/>
      <x:c r="Q58" s="708"/>
      <x:c r="R58" s="708"/>
      <x:c r="S58" s="708"/>
      <x:c r="T58" s="708"/>
      <x:c r="U58" s="708"/>
      <x:c r="V58" s="708"/>
      <x:c r="W58" s="708"/>
      <x:c r="X58" s="708"/>
      <x:c r="Y58" s="708"/>
      <x:c r="Z58" s="624"/>
    </x:row>
    <x:row r="59" spans="1:26" x14ac:dyDescent="0.2">
      <x:c r="A59" s="625" t="s">
        <x:v>70</x:v>
      </x:c>
      <x:c r="C59" s="627">
        <x:v>0</x:v>
      </x:c>
      <x:c r="D59" s="627">
        <x:v>0</x:v>
      </x:c>
      <x:c r="E59" s="627">
        <x:v>0</x:v>
      </x:c>
      <x:c r="F59" s="627">
        <x:v>0</x:v>
      </x:c>
      <x:c r="G59" s="627">
        <x:v>0</x:v>
      </x:c>
      <x:c r="H59" s="627">
        <x:v>0</x:v>
      </x:c>
      <x:c r="I59" s="653">
        <x:v>0</x:v>
      </x:c>
      <x:c r="J59" s="627">
        <x:v>0</x:v>
      </x:c>
      <x:c r="K59" s="627">
        <x:v>0</x:v>
      </x:c>
      <x:c r="L59" s="627">
        <x:v>0</x:v>
      </x:c>
      <x:c r="M59" s="627">
        <x:v>0</x:v>
      </x:c>
      <x:c r="N59" s="627">
        <x:v>0</x:v>
      </x:c>
      <x:c r="O59" s="627">
        <x:v>0</x:v>
      </x:c>
      <x:c r="Z59" s="624"/>
    </x:row>
    <x:row r="60" spans="1:26" x14ac:dyDescent="0.2">
      <x:c r="Z60" s="624"/>
    </x:row>
    <x:row r="61" spans="1:26" x14ac:dyDescent="0.2">
      <x:c r="B61" s="709" t="s">
        <x:v>70</x:v>
      </x:c>
      <x:c r="C61" s="679">
        <x:f>C59-I59</x:f>
        <x:v>0</x:v>
      </x:c>
      <x:c r="D61" s="679">
        <x:f>D56</x:f>
        <x:v>0</x:v>
      </x:c>
      <x:c r="E61" s="679">
        <x:f t="shared" ref="E61:O61" si="4">E56</x:f>
        <x:v>0</x:v>
      </x:c>
      <x:c r="F61" s="679">
        <x:f t="shared" si="4"/>
        <x:v>0</x:v>
      </x:c>
      <x:c r="G61" s="679">
        <x:f t="shared" si="4"/>
        <x:v>0</x:v>
      </x:c>
      <x:c r="H61" s="679">
        <x:f t="shared" si="4"/>
        <x:v>0</x:v>
      </x:c>
      <x:c r="I61" s="679">
        <x:f t="shared" si="4"/>
        <x:v>0</x:v>
      </x:c>
      <x:c r="J61" s="679">
        <x:f t="shared" si="4"/>
        <x:v>0</x:v>
      </x:c>
      <x:c r="K61" s="679">
        <x:f t="shared" si="4"/>
        <x:v>0</x:v>
      </x:c>
      <x:c r="L61" s="679">
        <x:f t="shared" si="4"/>
        <x:v>0</x:v>
      </x:c>
      <x:c r="M61" s="679">
        <x:f t="shared" si="4"/>
        <x:v>0</x:v>
      </x:c>
      <x:c r="N61" s="679">
        <x:f t="shared" si="4"/>
        <x:v>0</x:v>
      </x:c>
      <x:c r="O61" s="679">
        <x:f t="shared" si="4"/>
        <x:v>0</x:v>
      </x:c>
      <x:c r="Z61" s="624"/>
    </x:row>
    <x:row r="62" spans="1:26" x14ac:dyDescent="0.2">
      <x:c r="B62" s="709" t="s">
        <x:v>73</x:v>
      </x:c>
      <x:c r="C62" s="679">
        <x:f>C58</x:f>
        <x:v>0</x:v>
      </x:c>
      <x:c r="Z62" s="624"/>
    </x:row>
    <x:row r="63" spans="1:26" x14ac:dyDescent="0.2">
      <x:c r="Z63" s="624"/>
    </x:row>
    <x:row r="64" spans="1:26" x14ac:dyDescent="0.2">
      <x:c r="Z64" s="624"/>
    </x:row>
    <x:row r="65" spans="1:26" x14ac:dyDescent="0.2">
      <x:c r="Z65" s="624"/>
    </x:row>
    <x:row r="66" spans="1:26" x14ac:dyDescent="0.2">
      <x:c r="Z66" s="624"/>
    </x:row>
    <x:row r="67" spans="1:26" x14ac:dyDescent="0.2">
      <x:c r="Z67" s="624"/>
    </x:row>
    <x:row r="68" spans="1:26" x14ac:dyDescent="0.2">
      <x:c r="Z68" s="624"/>
    </x:row>
    <x:row r="69" spans="1:26" x14ac:dyDescent="0.2">
      <x:c r="Z69" s="624"/>
    </x:row>
    <x:row r="70" spans="1:26" x14ac:dyDescent="0.2">
      <x:c r="A70" s="624"/>
      <x:c r="B70" s="624"/>
      <x:c r="C70" s="711"/>
      <x:c r="D70" s="624"/>
      <x:c r="E70" s="624"/>
      <x:c r="F70" s="624"/>
      <x:c r="G70" s="624"/>
      <x:c r="H70" s="624"/>
      <x:c r="I70" s="624"/>
      <x:c r="J70" s="624"/>
      <x:c r="K70" s="624"/>
      <x:c r="L70" s="624"/>
      <x:c r="M70" s="624"/>
      <x:c r="N70" s="624"/>
      <x:c r="O70" s="624"/>
      <x:c r="P70" s="624"/>
      <x:c r="Q70" s="624"/>
      <x:c r="R70" s="624"/>
      <x:c r="S70" s="624"/>
      <x:c r="T70" s="624"/>
      <x:c r="U70" s="624"/>
      <x:c r="V70" s="624"/>
      <x:c r="W70" s="624"/>
      <x:c r="X70" s="624"/>
      <x:c r="Y70" s="624"/>
      <x:c r="Z70" s="624"/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A36" zoomScaleNormal="100" workbookViewId="0">
      <x:selection activeCell="E54" sqref="E5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7109375" style="1" customWidth="1"/>
    <x:col min="14" max="14" width="19.28515625" style="1" bestFit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8" width="16.7109375" style="1" customWidth="1"/>
    <x:col min="29" max="30" width="15.7109375" style="1" bestFit="1" customWidth="1"/>
    <x:col min="31" max="31" width="16.28515625" style="1" customWidth="1"/>
    <x:col min="32" max="32" width="18.28515625" style="1" customWidth="1"/>
    <x:col min="33" max="33" width="13.7109375" style="1" customWidth="1"/>
    <x:col min="34" max="34" width="3.42578125" style="1" customWidth="1"/>
    <x:col min="35" max="35" width="13.7109375" style="1" bestFit="1" customWidth="1"/>
    <x:col min="36" max="16384" width="11.42578125" style="1"/>
  </x:cols>
  <x:sheetData>
    <x:row r="1" spans="1:34" ht="12.75" thickBot="1" x14ac:dyDescent="0.25">
      <x:c r="A1" s="1" t="s">
        <x:v>1</x:v>
      </x:c>
      <x:c r="Q1" s="4"/>
      <x:c r="AH1" s="4"/>
    </x:row>
    <x:row r="2" spans="1:34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2026072</x:v>
      </x:c>
      <x:c r="AD3" s="84"/>
      <x:c r="AE3" s="48"/>
      <x:c r="AF3" s="2"/>
      <x:c r="AH3" s="4"/>
    </x:row>
    <x:row r="4" spans="1:34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75" x14ac:dyDescent="0.25">
      <x:c r="B6" s="8"/>
      <x:c r="C6" s="2" t="s">
        <x:v>17</x:v>
      </x:c>
      <x:c r="D6" s="9">
        <x:f>'CONSOLIDADO_TOTAL RECAUDO'!D6</x:f>
        <x:v>46238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75" thickBot="1" x14ac:dyDescent="0.25">
      <x:c r="B7" s="8"/>
      <x:c r="C7" s="2" t="s">
        <x:v>0</x:v>
      </x:c>
      <x:c r="D7" s="198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08" t="s">
        <x:v>46</x:v>
      </x:c>
      <x:c r="AB8" s="65" t="s">
        <x:v>7</x:v>
      </x:c>
      <x:c r="AC8" s="114" t="s">
        <x:v>107</x:v>
      </x:c>
      <x:c r="AD8" s="114" t="s">
        <x:v>106</x:v>
      </x:c>
      <x:c r="AE8" s="39" t="s">
        <x:v>23</x:v>
      </x:c>
      <x:c r="AF8" s="13"/>
      <x:c r="AH8" s="4"/>
    </x:row>
    <x:row r="9" spans="1:34" x14ac:dyDescent="0.2">
      <x:c r="B9" s="14">
        <x:v>1</x:v>
      </x:c>
      <x:c r="C9" s="61" t="s">
        <x:v>10</x:v>
      </x:c>
      <x:c r="D9" s="66">
        <x:f>'SALDOS POR NOTA'!C9</x:f>
        <x:v>0</x:v>
      </x:c>
      <x:c r="E9" s="66">
        <x:f>'SALDOS POR NOTA'!D9</x:f>
        <x:v>0</x:v>
      </x:c>
      <x:c r="F9" s="66">
        <x:f>'SALDOS POR NOTA'!E9</x:f>
        <x:v>0</x:v>
      </x:c>
      <x:c r="G9" s="66">
        <x:f>'SALDOS POR NOTA'!F9</x:f>
        <x:v>0</x:v>
      </x:c>
      <x:c r="H9" s="66">
        <x:f>'SALDOS POR NOTA'!G9</x:f>
        <x:v>0</x:v>
      </x:c>
      <x:c r="I9" s="66">
        <x:f>'SALDOS POR NOTA'!H9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NOTA'!I9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NOTA'!J9</x:f>
        <x:v>0</x:v>
      </x:c>
      <x:c r="V9" s="66">
        <x:f>'SALDOS POR NOTA'!K9</x:f>
        <x:v>0</x:v>
      </x:c>
      <x:c r="W9" s="66">
        <x:f>'SALDOS POR NOTA'!L9</x:f>
        <x:v>0</x:v>
      </x:c>
      <x:c r="X9" s="66">
        <x:f>'SALDOS POR NOTA'!M9</x:f>
        <x:v>0</x:v>
      </x:c>
      <x:c r="Y9" s="66">
        <x:f>'SALDOS POR NOTA'!N9</x:f>
        <x:v>0</x:v>
      </x:c>
      <x:c r="Z9" s="307">
        <x:f>L9*-1</x:f>
        <x:v>0</x:v>
      </x:c>
      <x:c r="AA9" s="75">
        <x:f>'SALDOS POR NOTA'!O9</x:f>
        <x:v>0</x:v>
      </x:c>
      <x:c r="AB9" s="37">
        <x:f>N9</x:f>
        <x:v>0</x:v>
      </x:c>
      <x:c r="AC9" s="66">
        <x:f>-J9+AD9</x:f>
        <x:v>0</x:v>
      </x:c>
      <x:c r="AD9" s="66">
        <x:f>'SALDOS POR NOTA'!C10</x:f>
        <x:v>0</x:v>
      </x:c>
      <x:c r="AE9" s="108">
        <x:f>SUM(U9:AC9)</x:f>
        <x:v>0</x:v>
      </x:c>
      <x:c r="AF9" s="110">
        <x:f>(AE9-O9)</x:f>
        <x:v>0</x:v>
      </x:c>
      <x:c r="AG9" s="1" t="b">
        <x:f>AF9=0</x:f>
        <x:v>1</x:v>
      </x:c>
      <x:c r="AH9" s="4"/>
    </x:row>
    <x:row r="10" spans="1:34" x14ac:dyDescent="0.2">
      <x:c r="B10" s="16">
        <x:v>2</x:v>
      </x:c>
      <x:c r="C10" s="62" t="s">
        <x:v>11</x:v>
      </x:c>
      <x:c r="D10" s="66">
        <x:f>'SALDOS POR NOTA'!C22</x:f>
        <x:v>0</x:v>
      </x:c>
      <x:c r="E10" s="66">
        <x:f>'SALDOS POR NOTA'!D22</x:f>
        <x:v>0</x:v>
      </x:c>
      <x:c r="F10" s="66">
        <x:f>'SALDOS POR NOTA'!E22</x:f>
        <x:v>0</x:v>
      </x:c>
      <x:c r="G10" s="66">
        <x:f>'SALDOS POR NOTA'!F22</x:f>
        <x:v>0</x:v>
      </x:c>
      <x:c r="H10" s="66">
        <x:f>'SALDOS POR NOTA'!G22</x:f>
        <x:v>0</x:v>
      </x:c>
      <x:c r="I10" s="66">
        <x:f>'SALDOS POR NOTA'!H22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NOTA'!I22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NOTA'!J22</x:f>
        <x:v>0</x:v>
      </x:c>
      <x:c r="V10" s="66">
        <x:f>'SALDOS POR NOTA'!K22</x:f>
        <x:v>0</x:v>
      </x:c>
      <x:c r="W10" s="66">
        <x:f>'SALDOS POR NOTA'!L22</x:f>
        <x:v>0</x:v>
      </x:c>
      <x:c r="X10" s="66">
        <x:f>'SALDOS POR NOTA'!M22</x:f>
        <x:v>0</x:v>
      </x:c>
      <x:c r="Y10" s="66">
        <x:f>'SALDOS POR NOTA'!N22</x:f>
        <x:v>0</x:v>
      </x:c>
      <x:c r="Z10" s="38">
        <x:f>L10*-1</x:f>
        <x:v>0</x:v>
      </x:c>
      <x:c r="AA10" s="310">
        <x:f>'SALDOS POR NOTA'!O22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NOTA'!C23</x:f>
        <x:v>0</x:v>
      </x:c>
      <x:c r="AE10" s="109">
        <x:f>SUM(U10:AC10)</x:f>
        <x:v>0</x:v>
      </x:c>
      <x:c r="AF10" s="111">
        <x:f>(AE10-O10)</x:f>
        <x:v>0</x:v>
      </x:c>
      <x:c r="AG10" s="1" t="b">
        <x:f t="shared" ref="AG10:AG14" si="3">AF10=0</x:f>
        <x:v>1</x:v>
      </x:c>
      <x:c r="AH10" s="4"/>
    </x:row>
    <x:row r="11" spans="1:34" x14ac:dyDescent="0.2">
      <x:c r="B11" s="16">
        <x:v>3</x:v>
      </x:c>
      <x:c r="C11" s="62" t="s">
        <x:v>12</x:v>
      </x:c>
      <x:c r="D11" s="66">
        <x:f>'SALDOS POR NOTA'!C34</x:f>
        <x:v>0</x:v>
      </x:c>
      <x:c r="E11" s="66">
        <x:f>'SALDOS POR NOTA'!D34</x:f>
        <x:v>0</x:v>
      </x:c>
      <x:c r="F11" s="66">
        <x:f>'SALDOS POR NOTA'!E34</x:f>
        <x:v>0</x:v>
      </x:c>
      <x:c r="G11" s="66">
        <x:f>'SALDOS POR NOTA'!F34</x:f>
        <x:v>0</x:v>
      </x:c>
      <x:c r="H11" s="66">
        <x:f>'SALDOS POR NOTA'!G34</x:f>
        <x:v>0</x:v>
      </x:c>
      <x:c r="I11" s="66">
        <x:f>'SALDOS POR NOTA'!H34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NOTA'!I34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NOTA'!J34</x:f>
        <x:v>0</x:v>
      </x:c>
      <x:c r="V11" s="66">
        <x:f>'SALDOS POR NOTA'!K34</x:f>
        <x:v>0</x:v>
      </x:c>
      <x:c r="W11" s="66">
        <x:f>'SALDOS POR NOTA'!L34</x:f>
        <x:v>0</x:v>
      </x:c>
      <x:c r="X11" s="66">
        <x:f>'SALDOS POR NOTA'!M34</x:f>
        <x:v>0</x:v>
      </x:c>
      <x:c r="Y11" s="66">
        <x:f>'SALDOS POR NOTA'!N34</x:f>
        <x:v>0</x:v>
      </x:c>
      <x:c r="Z11" s="38">
        <x:f>L11*-1</x:f>
        <x:v>0</x:v>
      </x:c>
      <x:c r="AA11" s="310">
        <x:f>'SALDOS POR NOTA'!O34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NOTA'!C35</x:f>
        <x:v>0</x:v>
      </x:c>
      <x:c r="AE11" s="109">
        <x:f>SUM(U11:AC11)</x:f>
        <x:v>0</x:v>
      </x:c>
      <x:c r="AF11" s="111">
        <x:f>(AE11-O11)</x:f>
        <x:v>0</x:v>
      </x:c>
      <x:c r="AG11" s="1" t="b">
        <x:f t="shared" si="3"/>
        <x:v>1</x:v>
      </x:c>
      <x:c r="AH11" s="4"/>
    </x:row>
    <x:row r="12" spans="1:34" x14ac:dyDescent="0.2">
      <x:c r="B12" s="16">
        <x:v>4</x:v>
      </x:c>
      <x:c r="C12" s="62" t="s">
        <x:v>13</x:v>
      </x:c>
      <x:c r="D12" s="66">
        <x:f>'SALDOS POR NOTA'!C47</x:f>
        <x:v>0</x:v>
      </x:c>
      <x:c r="E12" s="66">
        <x:f>'SALDOS POR NOTA'!D47</x:f>
        <x:v>0</x:v>
      </x:c>
      <x:c r="F12" s="66">
        <x:f>'SALDOS POR NOTA'!E47</x:f>
        <x:v>0</x:v>
      </x:c>
      <x:c r="G12" s="66">
        <x:f>'SALDOS POR NOTA'!F47</x:f>
        <x:v>0</x:v>
      </x:c>
      <x:c r="H12" s="66">
        <x:f>'SALDOS POR NOTA'!G47</x:f>
        <x:v>0</x:v>
      </x:c>
      <x:c r="I12" s="66">
        <x:f>'SALDOS POR NOTA'!H47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NOTA'!J47</x:f>
        <x:v>0</x:v>
      </x:c>
      <x:c r="V12" s="66">
        <x:f>'SALDOS POR NOTA'!K47</x:f>
        <x:v>0</x:v>
      </x:c>
      <x:c r="W12" s="66">
        <x:f>'SALDOS POR NOTA'!L47</x:f>
        <x:v>0</x:v>
      </x:c>
      <x:c r="X12" s="66">
        <x:f>'SALDOS POR NOTA'!M47</x:f>
        <x:v>0</x:v>
      </x:c>
      <x:c r="Y12" s="66">
        <x:f>'SALDOS POR NOTA'!N47</x:f>
        <x:v>0</x:v>
      </x:c>
      <x:c r="Z12" s="38">
        <x:f>L12*-1</x:f>
        <x:v>0</x:v>
      </x:c>
      <x:c r="AA12" s="310">
        <x:f>'SALDOS POR NOTA'!O47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NOTA'!C48</x:f>
        <x:v>0</x:v>
      </x:c>
      <x:c r="AE12" s="109">
        <x:f>SUM(U12:AC12)</x:f>
        <x:v>0</x:v>
      </x:c>
      <x:c r="AF12" s="111">
        <x:f>(AE12-O12)</x:f>
        <x:v>0</x:v>
      </x:c>
      <x:c r="AG12" s="1" t="b">
        <x:f t="shared" si="3"/>
        <x:v>1</x:v>
      </x:c>
      <x:c r="AH12" s="4"/>
    </x:row>
    <x:row r="13" spans="1:34" ht="12.75" thickBot="1" x14ac:dyDescent="0.25">
      <x:c r="B13" s="19">
        <x:v>5</x:v>
      </x:c>
      <x:c r="C13" s="63" t="s">
        <x:v>14</x:v>
      </x:c>
      <x:c r="D13" s="66">
        <x:f>'SALDOS POR NOTA'!C60</x:f>
        <x:v>0</x:v>
      </x:c>
      <x:c r="E13" s="66">
        <x:f>'SALDOS POR NOTA'!D60</x:f>
        <x:v>0</x:v>
      </x:c>
      <x:c r="F13" s="66">
        <x:f>'SALDOS POR NOTA'!E60</x:f>
        <x:v>0</x:v>
      </x:c>
      <x:c r="G13" s="66">
        <x:f>'SALDOS POR NOTA'!F60</x:f>
        <x:v>0</x:v>
      </x:c>
      <x:c r="H13" s="66">
        <x:f>'SALDOS POR NOTA'!G60</x:f>
        <x:v>0</x:v>
      </x:c>
      <x:c r="I13" s="66">
        <x:f>'SALDOS POR NOTA'!H60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NOTA'!I60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NOTA'!J60</x:f>
        <x:v>0</x:v>
      </x:c>
      <x:c r="V13" s="66">
        <x:f>'SALDOS POR NOTA'!K60</x:f>
        <x:v>0</x:v>
      </x:c>
      <x:c r="W13" s="66">
        <x:f>'SALDOS POR NOTA'!L60</x:f>
        <x:v>0</x:v>
      </x:c>
      <x:c r="X13" s="66">
        <x:f>'SALDOS POR NOTA'!M60</x:f>
        <x:v>0</x:v>
      </x:c>
      <x:c r="Y13" s="66">
        <x:f>'SALDOS POR NOTA'!N60</x:f>
        <x:v>0</x:v>
      </x:c>
      <x:c r="Z13" s="38">
        <x:f>L13*-1</x:f>
        <x:v>0</x:v>
      </x:c>
      <x:c r="AA13" s="311">
        <x:f>'SALDOS POR NOTA'!O60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NOTA'!C61</x:f>
        <x:v>0</x:v>
      </x:c>
      <x:c r="AE13" s="109">
        <x:f>SUM(U13:AC13)</x:f>
        <x:v>0</x:v>
      </x:c>
      <x:c r="AF13" s="112">
        <x:f>(AE13-O13)</x:f>
        <x:v>0</x:v>
      </x:c>
      <x:c r="AG13" s="1" t="b">
        <x:f t="shared" si="3"/>
        <x:v>1</x:v>
      </x:c>
      <x:c r="AH13" s="4"/>
    </x:row>
    <x:row r="14" spans="1:34" ht="13.5" thickBot="1" x14ac:dyDescent="0.25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09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13">
        <x:f>SUM(AF9:AF13)</x:f>
        <x:v>0</x:v>
      </x:c>
      <x:c r="AG14" s="1" t="b">
        <x:f t="shared" si="3"/>
        <x:v>1</x:v>
      </x:c>
      <x:c r="AH14" s="4"/>
    </x:row>
    <x:row r="15" spans="1:34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.75" thickBot="1" x14ac:dyDescent="0.25">
      <x:c r="Q20" s="4"/>
      <x:c r="AH20" s="4"/>
    </x:row>
    <x:row r="21" spans="1:34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2026072</x:v>
      </x:c>
      <x:c r="AD22" s="84"/>
      <x:c r="AE22" s="48"/>
      <x:c r="AF22" s="2"/>
      <x:c r="AH22" s="4"/>
    </x:row>
    <x:row r="23" spans="1:34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75" x14ac:dyDescent="0.25">
      <x:c r="B25" s="8"/>
      <x:c r="C25" s="2" t="s">
        <x:v>17</x:v>
      </x:c>
      <x:c r="D25" s="9">
        <x:f>D6</x:f>
        <x:v>46238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75" thickBot="1" x14ac:dyDescent="0.25">
      <x:c r="B26" s="8"/>
      <x:c r="C26" s="2" t="s">
        <x:v>0</x:v>
      </x:c>
      <x:c r="D26" s="198">
        <x:f>D7</x:f>
        <x:v>0.58333333333333337</x:v>
      </x:c>
      <x:c r="F26" s="2" t="s">
        <x:v>27</x:v>
      </x:c>
      <x:c r="G26" s="2"/>
      <x:c r="H26" s="9">
        <x:f>H7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14" t="s">
        <x:v>107</x:v>
      </x:c>
      <x:c r="AD27" s="114" t="s">
        <x:v>106</x:v>
      </x:c>
      <x:c r="AE27" s="39" t="s">
        <x:v>23</x:v>
      </x:c>
      <x:c r="AF27" s="13"/>
      <x:c r="AH27" s="4"/>
    </x:row>
    <x:row r="28" spans="1:34" s="241" customFormat="1" x14ac:dyDescent="0.2">
      <x:c r="B28" s="239">
        <x:v>1</x:v>
      </x:c>
      <x:c r="C28" s="240" t="s">
        <x:v>10</x:v>
      </x:c>
      <x:c r="D28" s="227">
        <x:f>'RETRIBUCION NEGATIVA'!C10</x:f>
        <x:v>0</x:v>
      </x:c>
      <x:c r="E28" s="228">
        <x:f>'RETRIBUCION NEGATIVA'!D10</x:f>
        <x:v>0</x:v>
      </x:c>
      <x:c r="F28" s="228">
        <x:f>'RETRIBUCION NEGATIVA'!E10</x:f>
        <x:v>0</x:v>
      </x:c>
      <x:c r="G28" s="228">
        <x:f>'RETRIBUCION NEGATIVA'!F10</x:f>
        <x:v>0</x:v>
      </x:c>
      <x:c r="H28" s="228">
        <x:f>'RETRIBUCION NEGATIVA'!G10</x:f>
        <x:v>0</x:v>
      </x:c>
      <x:c r="I28" s="228">
        <x:f>'RETRIBUCION NEGATIVA'!H10</x:f>
        <x:v>0</x:v>
      </x:c>
      <x:c r="J28" s="224">
        <x:v>0</x:v>
      </x:c>
      <x:c r="K28" s="229">
        <x:f>D28-E28-F28-H28-I28-J28-G28</x:f>
        <x:v>0</x:v>
      </x:c>
      <x:c r="L28" s="230">
        <x:v>0</x:v>
      </x:c>
      <x:c r="M28" s="229">
        <x:f>K28-L28</x:f>
        <x:v>0</x:v>
      </x:c>
      <x:c r="N28" s="230">
        <x:f>'RETRIBUCION NEGATIVA'!I10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27">
        <x:f>'RETRIBUCION NEGATIVA'!J10</x:f>
        <x:v>0</x:v>
      </x:c>
      <x:c r="V28" s="227">
        <x:f>'RETRIBUCION NEGATIVA'!K10</x:f>
        <x:v>0</x:v>
      </x:c>
      <x:c r="W28" s="227">
        <x:f>'RETRIBUCION NEGATIVA'!L10</x:f>
        <x:v>0</x:v>
      </x:c>
      <x:c r="X28" s="227">
        <x:f>'RETRIBUCION NEGATIVA'!M10</x:f>
        <x:v>0</x:v>
      </x:c>
      <x:c r="Y28" s="227">
        <x:f>'RETRIBUCION NEGATIVA'!N10</x:f>
        <x:v>0</x:v>
      </x:c>
      <x:c r="Z28" s="246">
        <x:f>L28*-1</x:f>
        <x:v>0</x:v>
      </x:c>
      <x:c r="AA28" s="248">
        <x:f>'RETRIBUCION NEGATIVA'!O10</x:f>
        <x:v>0</x:v>
      </x:c>
      <x:c r="AB28" s="230">
        <x:f>N28</x:f>
        <x:v>0</x:v>
      </x:c>
      <x:c r="AC28" s="227">
        <x:f>-J28+AD28</x:f>
        <x:v>0</x:v>
      </x:c>
      <x:c r="AD28" s="227">
        <x:f>'RETRIBUCION NEGATIVA'!C11</x:f>
        <x:v>0</x:v>
      </x:c>
      <x:c r="AE28" s="299">
        <x:f>SUM(U28:AC28)</x:f>
        <x:v>0</x:v>
      </x:c>
      <x:c r="AF28" s="247">
        <x:f>(AE28-O28)</x:f>
        <x:v>0</x:v>
      </x:c>
      <x:c r="AG28" s="241" t="b">
        <x:f>AF28=0</x:f>
        <x:v>1</x:v>
      </x:c>
      <x:c r="AH28" s="242"/>
    </x:row>
    <x:row r="29" spans="1:34" s="241" customFormat="1" x14ac:dyDescent="0.2">
      <x:c r="B29" s="250">
        <x:v>2</x:v>
      </x:c>
      <x:c r="C29" s="251" t="s">
        <x:v>11</x:v>
      </x:c>
      <x:c r="D29" s="227">
        <x:f>'RETRIBUCION NEGATIVA'!C23</x:f>
        <x:v>0</x:v>
      </x:c>
      <x:c r="E29" s="228">
        <x:f>'RETRIBUCION NEGATIVA'!D23</x:f>
        <x:v>0</x:v>
      </x:c>
      <x:c r="F29" s="228">
        <x:f>'RETRIBUCION NEGATIVA'!E23</x:f>
        <x:v>0</x:v>
      </x:c>
      <x:c r="G29" s="228">
        <x:f>'RETRIBUCION NEGATIVA'!F23</x:f>
        <x:v>0</x:v>
      </x:c>
      <x:c r="H29" s="228">
        <x:f>'RETRIBUCION NEGATIVA'!G23</x:f>
        <x:v>0</x:v>
      </x:c>
      <x:c r="I29" s="228">
        <x:f>'RETRIBUCION NEGATIVA'!H23</x:f>
        <x:v>0</x:v>
      </x:c>
      <x:c r="J29" s="224">
        <x:v>0</x:v>
      </x:c>
      <x:c r="K29" s="231">
        <x:f t="shared" ref="K29:K32" si="6">D29-E29-F29-H29-I29-J29-G29</x:f>
        <x:v>0</x:v>
      </x:c>
      <x:c r="L29" s="235">
        <x:v>0</x:v>
      </x:c>
      <x:c r="M29" s="231">
        <x:f>K29-L29</x:f>
        <x:v>0</x:v>
      </x:c>
      <x:c r="N29" s="230">
        <x:f>'RETRIBUCION NEGATIVA'!I23</x:f>
        <x:v>0</x:v>
      </x:c>
      <x:c r="O29" s="231">
        <x:f t="shared" ref="O29:O32" si="7">M29+N29</x:f>
        <x:v>0</x:v>
      </x:c>
      <x:c r="Q29" s="242"/>
      <x:c r="S29" s="250">
        <x:v>2</x:v>
      </x:c>
      <x:c r="T29" s="251" t="s">
        <x:v>11</x:v>
      </x:c>
      <x:c r="U29" s="252">
        <x:f>'RETRIBUCION NEGATIVA'!J23</x:f>
        <x:v>0</x:v>
      </x:c>
      <x:c r="V29" s="252">
        <x:f>'RETRIBUCION NEGATIVA'!K23</x:f>
        <x:v>0</x:v>
      </x:c>
      <x:c r="W29" s="252">
        <x:f>'RETRIBUCION NEGATIVA'!L23</x:f>
        <x:v>0</x:v>
      </x:c>
      <x:c r="X29" s="252">
        <x:f>'RETRIBUCION NEGATIVA'!M23</x:f>
        <x:v>0</x:v>
      </x:c>
      <x:c r="Y29" s="252">
        <x:f>'RETRIBUCION NEGATIVA'!N23</x:f>
        <x:v>0</x:v>
      </x:c>
      <x:c r="Z29" s="255">
        <x:f>L29*-1</x:f>
        <x:v>0</x:v>
      </x:c>
      <x:c r="AA29" s="256">
        <x:f>'RETRIBUCION NEGATIVA'!O23</x:f>
        <x:v>0</x:v>
      </x:c>
      <x:c r="AB29" s="230">
        <x:f>N29</x:f>
        <x:v>0</x:v>
      </x:c>
      <x:c r="AC29" s="227">
        <x:f>-J29+AD29</x:f>
        <x:v>0</x:v>
      </x:c>
      <x:c r="AD29" s="227">
        <x:f>'RETRIBUCION NEGATIVA'!C24</x:f>
        <x:v>0</x:v>
      </x:c>
      <x:c r="AE29" s="301">
        <x:f>SUM(U29:AC29)</x:f>
        <x:v>0</x:v>
      </x:c>
      <x:c r="AF29" s="259">
        <x:f>(AE29-O29)</x:f>
        <x:v>0</x:v>
      </x:c>
      <x:c r="AG29" s="241" t="b">
        <x:f t="shared" ref="AG29:AG33" si="8">AF29=0</x:f>
        <x:v>1</x:v>
      </x:c>
      <x:c r="AH29" s="242"/>
    </x:row>
    <x:row r="30" spans="1:34" s="241" customFormat="1" x14ac:dyDescent="0.2">
      <x:c r="B30" s="250">
        <x:v>3</x:v>
      </x:c>
      <x:c r="C30" s="251" t="s">
        <x:v>12</x:v>
      </x:c>
      <x:c r="D30" s="227">
        <x:f>'RETRIBUCION NEGATIVA'!C36</x:f>
        <x:v>0</x:v>
      </x:c>
      <x:c r="E30" s="228">
        <x:f>'RETRIBUCION NEGATIVA'!D36</x:f>
        <x:v>0</x:v>
      </x:c>
      <x:c r="F30" s="228">
        <x:f>'RETRIBUCION NEGATIVA'!E36</x:f>
        <x:v>0</x:v>
      </x:c>
      <x:c r="G30" s="228">
        <x:f>'RETRIBUCION NEGATIVA'!F36</x:f>
        <x:v>0</x:v>
      </x:c>
      <x:c r="H30" s="228">
        <x:f>'RETRIBUCION NEGATIVA'!G36</x:f>
        <x:v>0</x:v>
      </x:c>
      <x:c r="I30" s="228">
        <x:f>'RETRIBUCION NEGATIVA'!H36</x:f>
        <x:v>0</x:v>
      </x:c>
      <x:c r="J30" s="224">
        <x:v>0</x:v>
      </x:c>
      <x:c r="K30" s="231">
        <x:f t="shared" si="6"/>
        <x:v>0</x:v>
      </x:c>
      <x:c r="L30" s="235">
        <x:v>0</x:v>
      </x:c>
      <x:c r="M30" s="231">
        <x:f>K30-L30</x:f>
        <x:v>0</x:v>
      </x:c>
      <x:c r="N30" s="230">
        <x:f>'RETRIBUCION NEGATIVA'!I36</x:f>
        <x:v>0</x:v>
      </x:c>
      <x:c r="O30" s="231">
        <x:f t="shared" si="7"/>
        <x:v>0</x:v>
      </x:c>
      <x:c r="Q30" s="242"/>
      <x:c r="S30" s="250">
        <x:v>3</x:v>
      </x:c>
      <x:c r="T30" s="251" t="s">
        <x:v>12</x:v>
      </x:c>
      <x:c r="U30" s="252">
        <x:f>'RETRIBUCION NEGATIVA'!J36</x:f>
        <x:v>0</x:v>
      </x:c>
      <x:c r="V30" s="252">
        <x:f>'RETRIBUCION NEGATIVA'!K36</x:f>
        <x:v>0</x:v>
      </x:c>
      <x:c r="W30" s="252">
        <x:f>'RETRIBUCION NEGATIVA'!L36</x:f>
        <x:v>0</x:v>
      </x:c>
      <x:c r="X30" s="252">
        <x:f>'RETRIBUCION NEGATIVA'!M36</x:f>
        <x:v>0</x:v>
      </x:c>
      <x:c r="Y30" s="252">
        <x:f>'RETRIBUCION NEGATIVA'!N36</x:f>
        <x:v>0</x:v>
      </x:c>
      <x:c r="Z30" s="255">
        <x:f>L30*-1</x:f>
        <x:v>0</x:v>
      </x:c>
      <x:c r="AA30" s="256">
        <x:f>'RETRIBUCION NEGATIVA'!O36</x:f>
        <x:v>0</x:v>
      </x:c>
      <x:c r="AB30" s="230">
        <x:f>N30</x:f>
        <x:v>0</x:v>
      </x:c>
      <x:c r="AC30" s="227">
        <x:f t="shared" ref="AC30:AC32" si="9">-J30+AD30</x:f>
        <x:v>0</x:v>
      </x:c>
      <x:c r="AD30" s="227">
        <x:f>'RETRIBUCION NEGATIVA'!C37</x:f>
        <x:v>0</x:v>
      </x:c>
      <x:c r="AE30" s="301">
        <x:f>SUM(U30:AC30)</x:f>
        <x:v>0</x:v>
      </x:c>
      <x:c r="AF30" s="259">
        <x:f t="shared" ref="AF30:AF31" si="10">(AE30-O30)</x:f>
        <x:v>0</x:v>
      </x:c>
      <x:c r="AG30" s="241" t="b">
        <x:f t="shared" si="8"/>
        <x:v>1</x:v>
      </x:c>
      <x:c r="AH30" s="242"/>
    </x:row>
    <x:row r="31" spans="1:34" s="241" customFormat="1" x14ac:dyDescent="0.2">
      <x:c r="B31" s="250">
        <x:v>4</x:v>
      </x:c>
      <x:c r="C31" s="251" t="s">
        <x:v>13</x:v>
      </x:c>
      <x:c r="D31" s="227">
        <x:f>'RETRIBUCION NEGATIVA'!C49</x:f>
        <x:v>0</x:v>
      </x:c>
      <x:c r="E31" s="228">
        <x:f>'RETRIBUCION NEGATIVA'!D49</x:f>
        <x:v>0</x:v>
      </x:c>
      <x:c r="F31" s="228">
        <x:f>'RETRIBUCION NEGATIVA'!E49</x:f>
        <x:v>0</x:v>
      </x:c>
      <x:c r="G31" s="228">
        <x:f>'RETRIBUCION NEGATIVA'!F49</x:f>
        <x:v>0</x:v>
      </x:c>
      <x:c r="H31" s="228">
        <x:f>'RETRIBUCION NEGATIVA'!G49</x:f>
        <x:v>0</x:v>
      </x:c>
      <x:c r="I31" s="228">
        <x:f>'RETRIBUCION NEGATIVA'!H49</x:f>
        <x:v>0</x:v>
      </x:c>
      <x:c r="J31" s="224">
        <x:v>0</x:v>
      </x:c>
      <x:c r="K31" s="231">
        <x:f t="shared" si="6"/>
        <x:v>0</x:v>
      </x:c>
      <x:c r="L31" s="235">
        <x:v>0</x:v>
      </x:c>
      <x:c r="M31" s="231">
        <x:f>K31-L31</x:f>
        <x:v>0</x:v>
      </x:c>
      <x:c r="N31" s="230">
        <x:f>'RETRIBUCION NEGATIVA'!I49</x:f>
        <x:v>0</x:v>
      </x:c>
      <x:c r="O31" s="231">
        <x:f t="shared" si="7"/>
        <x:v>0</x:v>
      </x:c>
      <x:c r="Q31" s="242"/>
      <x:c r="S31" s="250">
        <x:v>4</x:v>
      </x:c>
      <x:c r="T31" s="251" t="s">
        <x:v>13</x:v>
      </x:c>
      <x:c r="U31" s="252">
        <x:f>'RETRIBUCION NEGATIVA'!J49</x:f>
        <x:v>0</x:v>
      </x:c>
      <x:c r="V31" s="252">
        <x:f>'RETRIBUCION NEGATIVA'!K49</x:f>
        <x:v>0</x:v>
      </x:c>
      <x:c r="W31" s="252">
        <x:f>'RETRIBUCION NEGATIVA'!L49</x:f>
        <x:v>0</x:v>
      </x:c>
      <x:c r="X31" s="252">
        <x:f>'RETRIBUCION NEGATIVA'!M49</x:f>
        <x:v>0</x:v>
      </x:c>
      <x:c r="Y31" s="252">
        <x:f>'RETRIBUCION NEGATIVA'!N49</x:f>
        <x:v>0</x:v>
      </x:c>
      <x:c r="Z31" s="255">
        <x:f>L31*-1</x:f>
        <x:v>0</x:v>
      </x:c>
      <x:c r="AA31" s="256">
        <x:f>'RETRIBUCION NEGATIVA'!O49</x:f>
        <x:v>0</x:v>
      </x:c>
      <x:c r="AB31" s="230">
        <x:f>N31</x:f>
        <x:v>0</x:v>
      </x:c>
      <x:c r="AC31" s="227">
        <x:f t="shared" si="9"/>
        <x:v>0</x:v>
      </x:c>
      <x:c r="AD31" s="227">
        <x:f>'RETRIBUCION NEGATIVA'!C50</x:f>
        <x:v>0</x:v>
      </x:c>
      <x:c r="AE31" s="301">
        <x:f>SUM(U31:AC31)</x:f>
        <x:v>0</x:v>
      </x:c>
      <x:c r="AF31" s="259">
        <x:f t="shared" si="10"/>
        <x:v>0</x:v>
      </x:c>
      <x:c r="AG31" s="241" t="b">
        <x:f t="shared" si="8"/>
        <x:v>1</x:v>
      </x:c>
      <x:c r="AH31" s="242"/>
    </x:row>
    <x:row r="32" spans="1:34" s="241" customFormat="1" ht="12.75" thickBot="1" x14ac:dyDescent="0.25">
      <x:c r="B32" s="260">
        <x:v>5</x:v>
      </x:c>
      <x:c r="C32" s="261" t="s">
        <x:v>14</x:v>
      </x:c>
      <x:c r="D32" s="232">
        <x:f>'RETRIBUCION NEGATIVA'!C61</x:f>
        <x:v>0</x:v>
      </x:c>
      <x:c r="E32" s="233">
        <x:f>'RETRIBUCION NEGATIVA'!D61</x:f>
        <x:v>0</x:v>
      </x:c>
      <x:c r="F32" s="233">
        <x:f>'RETRIBUCION NEGATIVA'!E61</x:f>
        <x:v>0</x:v>
      </x:c>
      <x:c r="G32" s="233">
        <x:f>'RETRIBUCION NEGATIVA'!F61</x:f>
        <x:v>0</x:v>
      </x:c>
      <x:c r="H32" s="233">
        <x:f>'RETRIBUCION NEGATIVA'!G61</x:f>
        <x:v>0</x:v>
      </x:c>
      <x:c r="I32" s="233">
        <x:f>'RETRIBUCION NEGATIVA'!H61</x:f>
        <x:v>0</x:v>
      </x:c>
      <x:c r="J32" s="225">
        <x:v>0</x:v>
      </x:c>
      <x:c r="K32" s="231">
        <x:f t="shared" si="6"/>
        <x:v>0</x:v>
      </x:c>
      <x:c r="L32" s="235">
        <x:v>0</x:v>
      </x:c>
      <x:c r="M32" s="234">
        <x:f>K32-L32</x:f>
        <x:v>0</x:v>
      </x:c>
      <x:c r="N32" s="235">
        <x:f>'RETRIBUCION NEGATIVA'!I61</x:f>
        <x:v>0</x:v>
      </x:c>
      <x:c r="O32" s="234">
        <x:f t="shared" si="7"/>
        <x:v>0</x:v>
      </x:c>
      <x:c r="Q32" s="242"/>
      <x:c r="S32" s="260">
        <x:v>5</x:v>
      </x:c>
      <x:c r="T32" s="261" t="s">
        <x:v>14</x:v>
      </x:c>
      <x:c r="U32" s="232">
        <x:f>'RETRIBUCION NEGATIVA'!J61</x:f>
        <x:v>0</x:v>
      </x:c>
      <x:c r="V32" s="232">
        <x:f>'RETRIBUCION NEGATIVA'!K61</x:f>
        <x:v>0</x:v>
      </x:c>
      <x:c r="W32" s="232">
        <x:f>'RETRIBUCION NEGATIVA'!L61</x:f>
        <x:v>0</x:v>
      </x:c>
      <x:c r="X32" s="232">
        <x:f>'RETRIBUCION NEGATIVA'!M61</x:f>
        <x:v>0</x:v>
      </x:c>
      <x:c r="Y32" s="232">
        <x:f>'RETRIBUCION NEGATIVA'!N61</x:f>
        <x:v>0</x:v>
      </x:c>
      <x:c r="Z32" s="255">
        <x:f>L32*-1</x:f>
        <x:v>0</x:v>
      </x:c>
      <x:c r="AA32" s="256">
        <x:f>'RETRIBUCION NEGATIVA'!O61</x:f>
        <x:v>0</x:v>
      </x:c>
      <x:c r="AB32" s="230">
        <x:f>N32</x:f>
        <x:v>0</x:v>
      </x:c>
      <x:c r="AC32" s="227">
        <x:f t="shared" si="9"/>
        <x:v>0</x:v>
      </x:c>
      <x:c r="AD32" s="227">
        <x:f>'RETRIBUCION NEGATIVA'!C62</x:f>
        <x:v>0</x:v>
      </x:c>
      <x:c r="AE32" s="301">
        <x:f>SUM(U32:AC32)</x:f>
        <x:v>0</x:v>
      </x:c>
      <x:c r="AF32" s="262">
        <x:f>(AE32-O32)</x:f>
        <x:v>0</x:v>
      </x:c>
      <x:c r="AG32" s="241" t="b">
        <x:f t="shared" si="8"/>
        <x:v>1</x:v>
      </x:c>
      <x:c r="AH32" s="242"/>
    </x:row>
    <x:row r="33" spans="1:34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 t="shared" ref="E33:O33" si="11">SUM(E28:E32)</x:f>
        <x:v>0</x:v>
      </x:c>
      <x:c r="F33" s="226">
        <x:f t="shared" si="11"/>
        <x:v>0</x:v>
      </x:c>
      <x:c r="G33" s="226">
        <x:f>SUM(G28:G32)</x:f>
        <x:v>0</x:v>
      </x:c>
      <x:c r="H33" s="226">
        <x:f t="shared" si="11"/>
        <x:v>0</x:v>
      </x:c>
      <x:c r="I33" s="226">
        <x:f t="shared" si="11"/>
        <x:v>0</x:v>
      </x:c>
      <x:c r="J33" s="226">
        <x:f t="shared" si="11"/>
        <x:v>0</x:v>
      </x:c>
      <x:c r="K33" s="236">
        <x:f t="shared" si="11"/>
        <x:v>0</x:v>
      </x:c>
      <x:c r="L33" s="237">
        <x:f t="shared" si="11"/>
        <x:v>0</x:v>
      </x:c>
      <x:c r="M33" s="238">
        <x:f t="shared" si="11"/>
        <x:v>0</x:v>
      </x:c>
      <x:c r="N33" s="237">
        <x:f t="shared" si="11"/>
        <x:v>0</x:v>
      </x:c>
      <x:c r="O33" s="238">
        <x:f t="shared" si="11"/>
        <x:v>0</x:v>
      </x:c>
      <x:c r="P33" s="265"/>
      <x:c r="Q33" s="242"/>
      <x:c r="S33" s="263"/>
      <x:c r="T33" s="264" t="s">
        <x:v>2</x:v>
      </x:c>
      <x:c r="U33" s="226">
        <x:f>SUM(U28:U32)</x:f>
        <x:v>0</x:v>
      </x:c>
      <x:c r="V33" s="226">
        <x:f t="shared" ref="V33:AF33" si="12">SUM(V28:V32)</x:f>
        <x:v>0</x:v>
      </x:c>
      <x:c r="W33" s="226">
        <x:f t="shared" si="12"/>
        <x:v>0</x:v>
      </x:c>
      <x:c r="X33" s="226">
        <x:f t="shared" si="12"/>
        <x:v>0</x:v>
      </x:c>
      <x:c r="Y33" s="226">
        <x:f t="shared" si="12"/>
        <x:v>0</x:v>
      </x:c>
      <x:c r="Z33" s="226">
        <x:f t="shared" si="12"/>
        <x:v>0</x:v>
      </x:c>
      <x:c r="AA33" s="226">
        <x:f t="shared" si="12"/>
        <x:v>0</x:v>
      </x:c>
      <x:c r="AB33" s="226">
        <x:f t="shared" si="12"/>
        <x:v>0</x:v>
      </x:c>
      <x:c r="AC33" s="226">
        <x:f>SUM(AC28:AC32)</x:f>
        <x:v>0</x:v>
      </x:c>
      <x:c r="AD33" s="226">
        <x:f>SUM(AD28:AD32)</x:f>
        <x:v>0</x:v>
      </x:c>
      <x:c r="AE33" s="267">
        <x:f t="shared" si="12"/>
        <x:v>0</x:v>
      </x:c>
      <x:c r="AF33" s="268">
        <x:f t="shared" si="12"/>
        <x:v>0</x:v>
      </x:c>
      <x:c r="AG33" s="241" t="b">
        <x:f t="shared" si="8"/>
        <x:v>1</x:v>
      </x:c>
      <x:c r="AH33" s="242"/>
    </x:row>
    <x:row r="34" spans="1:34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266</x:v>
      </x:c>
      <x:c r="M35" s="523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.75" thickBot="1" x14ac:dyDescent="0.25">
      <x:c r="Q39" s="4"/>
      <x:c r="AH39" s="4"/>
    </x:row>
    <x:row r="40" spans="1:34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2026072</x:v>
      </x:c>
      <x:c r="AD41" s="84"/>
      <x:c r="AE41" s="48"/>
      <x:c r="AF41" s="2"/>
      <x:c r="AH41" s="4"/>
    </x:row>
    <x:row r="42" spans="1:34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75" x14ac:dyDescent="0.25">
      <x:c r="B44" s="8"/>
      <x:c r="C44" s="2" t="s">
        <x:v>17</x:v>
      </x:c>
      <x:c r="D44" s="9">
        <x:f>D6</x:f>
        <x:v>46238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75" thickBot="1" x14ac:dyDescent="0.25">
      <x:c r="B45" s="8"/>
      <x:c r="C45" s="2" t="s">
        <x:v>0</x:v>
      </x:c>
      <x:c r="D45" s="198">
        <x:f>D7</x:f>
        <x:v>0.58333333333333337</x:v>
      </x:c>
      <x:c r="F45" s="2" t="s">
        <x:v>27</x:v>
      </x:c>
      <x:c r="G45" s="2"/>
      <x:c r="H45" s="9">
        <x:f>H7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14" t="s">
        <x:v>107</x:v>
      </x:c>
      <x:c r="AD46" s="114" t="s">
        <x:v>106</x:v>
      </x:c>
      <x:c r="AE46" s="39" t="s">
        <x:v>23</x:v>
      </x:c>
      <x:c r="AF46" s="13"/>
      <x:c r="AH46" s="4"/>
    </x:row>
    <x:row r="47" spans="1:34" x14ac:dyDescent="0.2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29">
        <x:f t="shared" ref="U47:Y51" si="16">U9+U28</x:f>
        <x:v>0</x:v>
      </x:c>
      <x:c r="V47" s="129">
        <x:f t="shared" si="16"/>
        <x:v>0</x:v>
      </x:c>
      <x:c r="W47" s="129">
        <x:f t="shared" si="16"/>
        <x:v>0</x:v>
      </x:c>
      <x:c r="X47" s="129">
        <x:f t="shared" si="16"/>
        <x:v>0</x:v>
      </x:c>
      <x:c r="Y47" s="129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0">
        <x:f>(AE47-O47)</x:f>
        <x:v>0</x:v>
      </x:c>
      <x:c r="AG47" s="1" t="b">
        <x:f>AF47=0</x:f>
        <x:v>1</x:v>
      </x:c>
      <x:c r="AH47" s="4"/>
    </x:row>
    <x:row r="48" spans="1:34" x14ac:dyDescent="0.2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1">
        <x:f>(AE48-O48)</x:f>
        <x:v>0</x:v>
      </x:c>
      <x:c r="AG48" s="1" t="b">
        <x:f t="shared" ref="AG48:AG52" si="21">AF48=0</x:f>
        <x:v>1</x:v>
      </x:c>
      <x:c r="AH48" s="4"/>
    </x:row>
    <x:row r="49" spans="1:34" x14ac:dyDescent="0.2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1">
        <x:f>(AE49-O49)</x:f>
        <x:v>0</x:v>
      </x:c>
      <x:c r="AG49" s="1" t="b">
        <x:f t="shared" si="21"/>
        <x:v>1</x:v>
      </x:c>
      <x:c r="AH49" s="4"/>
    </x:row>
    <x:row r="50" spans="1:34" x14ac:dyDescent="0.2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1">
        <x:f>(AE50-O50)</x:f>
        <x:v>0</x:v>
      </x:c>
      <x:c r="AG50" s="1" t="b">
        <x:f t="shared" si="21"/>
        <x:v>1</x:v>
      </x:c>
      <x:c r="AH50" s="4"/>
    </x:row>
    <x:row r="51" spans="1:34" ht="12.75" thickBot="1" x14ac:dyDescent="0.25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2">
        <x:f>(AE51-O51)</x:f>
        <x:v>0</x:v>
      </x:c>
      <x:c r="AG51" s="1" t="b">
        <x:f t="shared" si="21"/>
        <x:v>1</x:v>
      </x:c>
      <x:c r="AH51" s="4"/>
    </x:row>
    <x:row r="52" spans="1:34" ht="13.5" thickBot="1" x14ac:dyDescent="0.25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13">
        <x:f>SUM(AF47:AF51)</x:f>
        <x:v>0</x:v>
      </x:c>
      <x:c r="AG52" s="1" t="b">
        <x:f t="shared" si="21"/>
        <x:v>1</x:v>
      </x:c>
      <x:c r="AH52" s="4"/>
    </x:row>
    <x:row r="53" spans="1:34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G8" zoomScaleNormal="100" workbookViewId="0">
      <x:selection activeCell="M34" sqref="M34"/>
    </x:sheetView>
  </x:sheetViews>
  <x:sheetFormatPr baseColWidth="10" defaultRowHeight="12.75" x14ac:dyDescent="0.2"/>
  <x:cols>
    <x:col min="1" max="1" width="2.7109375" customWidth="1"/>
    <x:col min="2" max="2" width="17.42578125" bestFit="1" customWidth="1"/>
    <x:col min="3" max="3" width="4.7109375" style="135" bestFit="1" customWidth="1"/>
    <x:col min="4" max="4" width="42.7109375" style="135" bestFit="1" customWidth="1"/>
    <x:col min="5" max="5" width="9" customWidth="1"/>
    <x:col min="6" max="6" width="15.7109375" customWidth="1"/>
    <x:col min="7" max="7" width="17.42578125" bestFit="1" customWidth="1"/>
    <x:col min="8" max="8" width="14.28515625" customWidth="1"/>
    <x:col min="9" max="9" width="16.28515625" bestFit="1" customWidth="1"/>
    <x:col min="10" max="10" width="16.7109375" customWidth="1"/>
    <x:col min="11" max="11" width="17.5703125" customWidth="1"/>
    <x:col min="12" max="12" width="15.5703125" bestFit="1" customWidth="1"/>
    <x:col min="13" max="13" width="15.7109375" bestFit="1" customWidth="1"/>
    <x:col min="14" max="14" width="17" customWidth="1"/>
    <x:col min="15" max="15" width="17.7109375" customWidth="1"/>
    <x:col min="16" max="16" width="16.7109375" customWidth="1"/>
    <x:col min="17" max="17" width="18" customWidth="1"/>
    <x:col min="18" max="18" width="14.28515625" bestFit="1" customWidth="1"/>
    <x:col min="19" max="19" width="15.7109375" bestFit="1" customWidth="1"/>
    <x:col min="20" max="20" width="14.28515625" bestFit="1" customWidth="1"/>
  </x:cols>
  <x:sheetData>
    <x:row r="1" spans="2:19" ht="13.5" thickBot="1" x14ac:dyDescent="0.25"/>
    <x:row r="2" spans="2:19" s="135" customFormat="1" ht="13.5" thickBot="1" x14ac:dyDescent="0.25">
      <x:c r="B2" s="544"/>
      <x:c r="E2" s="135" t="s">
        <x:v>1</x:v>
      </x:c>
      <x:c r="F2" s="498" t="s">
        <x:v>276</x:v>
      </x:c>
      <x:c r="G2" s="499" t="s">
        <x:v>277</x:v>
      </x:c>
      <x:c r="H2" s="500" t="s">
        <x:v>278</x:v>
      </x:c>
      <x:c r="I2" s="500" t="s">
        <x:v>279</x:v>
      </x:c>
      <x:c r="J2" s="500" t="s">
        <x:v>280</x:v>
      </x:c>
      <x:c r="K2" s="499" t="s">
        <x:v>281</x:v>
      </x:c>
      <x:c r="L2" s="499" t="s">
        <x:v>282</x:v>
      </x:c>
      <x:c r="M2" s="500" t="s">
        <x:v>283</x:v>
      </x:c>
      <x:c r="N2" s="500" t="s">
        <x:v>284</x:v>
      </x:c>
      <x:c r="O2" s="500" t="s">
        <x:v>285</x:v>
      </x:c>
      <x:c r="P2" s="607" t="s">
        <x:v>286</x:v>
      </x:c>
      <x:c r="Q2" s="500" t="s">
        <x:v>287</x:v>
      </x:c>
    </x:row>
    <x:row r="3" spans="2:19" s="135" customFormat="1" ht="26.25" thickBot="1" x14ac:dyDescent="0.25">
      <x:c r="B3" s="545" t="s">
        <x:v>134</x:v>
      </x:c>
      <x:c r="C3" s="136" t="s">
        <x:v>3</x:v>
      </x:c>
      <x:c r="D3" s="137" t="s">
        <x:v>9</x:v>
      </x:c>
      <x:c r="E3" s="478" t="s">
        <x:v>108</x:v>
      </x:c>
      <x:c r="F3" s="501" t="s">
        <x:v>288</x:v>
      </x:c>
      <x:c r="G3" s="502" t="s">
        <x:v>289</x:v>
      </x:c>
      <x:c r="H3" s="503" t="s">
        <x:v>290</x:v>
      </x:c>
      <x:c r="I3" s="504" t="s">
        <x:v>291</x:v>
      </x:c>
      <x:c r="J3" s="501" t="s">
        <x:v>292</x:v>
      </x:c>
      <x:c r="K3" s="502" t="s">
        <x:v>293</x:v>
      </x:c>
      <x:c r="L3" s="503" t="s">
        <x:v>294</x:v>
      </x:c>
      <x:c r="M3" s="504" t="s">
        <x:v>295</x:v>
      </x:c>
      <x:c r="N3" s="501" t="s">
        <x:v>296</x:v>
      </x:c>
      <x:c r="O3" s="502" t="s">
        <x:v>297</x:v>
      </x:c>
      <x:c r="P3" s="503" t="s">
        <x:v>298</x:v>
      </x:c>
      <x:c r="Q3" s="504" t="s">
        <x:v>299</x:v>
      </x:c>
    </x:row>
    <x:row r="4" spans="2:19" s="135" customFormat="1" x14ac:dyDescent="0.2">
      <x:c r="B4" s="546">
        <x:v>378371975</x:v>
      </x:c>
      <x:c r="C4" s="479">
        <x:v>1</x:v>
      </x:c>
      <x:c r="D4" s="145" t="s">
        <x:v>10</x:v>
      </x:c>
      <x:c r="E4" s="547">
        <x:v>0.22</x:v>
      </x:c>
      <x:c r="F4" s="548">
        <x:v>189185988</x:v>
      </x:c>
      <x:c r="G4" s="549">
        <x:v>189185987</x:v>
      </x:c>
      <x:c r="H4" s="550">
        <x:v>189185988</x:v>
      </x:c>
      <x:c r="I4" s="551">
        <x:v>189185987</x:v>
      </x:c>
      <x:c r="J4" s="548">
        <x:v>189185988</x:v>
      </x:c>
      <x:c r="K4" s="549">
        <x:v>189185987</x:v>
      </x:c>
      <x:c r="L4" s="550">
        <x:v>189185988</x:v>
      </x:c>
      <x:c r="M4" s="551">
        <x:v>189185987</x:v>
      </x:c>
      <x:c r="N4" s="548">
        <x:v>189185988</x:v>
      </x:c>
      <x:c r="O4" s="549">
        <x:v>189185987</x:v>
      </x:c>
      <x:c r="P4" s="550">
        <x:v>189185988</x:v>
      </x:c>
      <x:c r="Q4" s="551">
        <x:v>189185987</x:v>
      </x:c>
      <x:c r="S4" s="608"/>
    </x:row>
    <x:row r="5" spans="2:19" s="135" customFormat="1" x14ac:dyDescent="0.2">
      <x:c r="B5" s="546">
        <x:v>533160511</x:v>
      </x:c>
      <x:c r="C5" s="480">
        <x:v>2</x:v>
      </x:c>
      <x:c r="D5" s="140" t="s">
        <x:v>11</x:v>
      </x:c>
      <x:c r="E5" s="552">
        <x:v>0.31</x:v>
      </x:c>
      <x:c r="F5" s="553">
        <x:v>266580256</x:v>
      </x:c>
      <x:c r="G5" s="554">
        <x:v>266580255</x:v>
      </x:c>
      <x:c r="H5" s="555">
        <x:v>266580256</x:v>
      </x:c>
      <x:c r="I5" s="551">
        <x:v>266580255</x:v>
      </x:c>
      <x:c r="J5" s="553">
        <x:v>266580256</x:v>
      </x:c>
      <x:c r="K5" s="554">
        <x:v>266580255</x:v>
      </x:c>
      <x:c r="L5" s="555">
        <x:v>266580256</x:v>
      </x:c>
      <x:c r="M5" s="551">
        <x:v>266580255</x:v>
      </x:c>
      <x:c r="N5" s="553">
        <x:v>266580256</x:v>
      </x:c>
      <x:c r="O5" s="554">
        <x:v>266580255</x:v>
      </x:c>
      <x:c r="P5" s="555">
        <x:v>266580256</x:v>
      </x:c>
      <x:c r="Q5" s="551">
        <x:v>266580255</x:v>
      </x:c>
      <x:c r="S5" s="608"/>
    </x:row>
    <x:row r="6" spans="2:19" s="135" customFormat="1" x14ac:dyDescent="0.2">
      <x:c r="B6" s="546">
        <x:v>309577071</x:v>
      </x:c>
      <x:c r="C6" s="480">
        <x:v>3</x:v>
      </x:c>
      <x:c r="D6" s="140" t="s">
        <x:v>12</x:v>
      </x:c>
      <x:c r="E6" s="552">
        <x:v>0.18</x:v>
      </x:c>
      <x:c r="F6" s="553">
        <x:v>154788536</x:v>
      </x:c>
      <x:c r="G6" s="554">
        <x:v>154788535</x:v>
      </x:c>
      <x:c r="H6" s="555">
        <x:v>154788536</x:v>
      </x:c>
      <x:c r="I6" s="551">
        <x:v>154788535</x:v>
      </x:c>
      <x:c r="J6" s="553">
        <x:v>154788536</x:v>
      </x:c>
      <x:c r="K6" s="554">
        <x:v>154788535</x:v>
      </x:c>
      <x:c r="L6" s="555">
        <x:v>154788536</x:v>
      </x:c>
      <x:c r="M6" s="551">
        <x:v>154788535</x:v>
      </x:c>
      <x:c r="N6" s="553">
        <x:v>154788536</x:v>
      </x:c>
      <x:c r="O6" s="554">
        <x:v>154788535</x:v>
      </x:c>
      <x:c r="P6" s="555">
        <x:v>154788536</x:v>
      </x:c>
      <x:c r="Q6" s="551">
        <x:v>154788535</x:v>
      </x:c>
      <x:c r="S6" s="608"/>
    </x:row>
    <x:row r="7" spans="2:19" s="135" customFormat="1" x14ac:dyDescent="0.2">
      <x:c r="B7" s="546">
        <x:v>240782166</x:v>
      </x:c>
      <x:c r="C7" s="480">
        <x:v>4</x:v>
      </x:c>
      <x:c r="D7" s="140" t="s">
        <x:v>13</x:v>
      </x:c>
      <x:c r="E7" s="552">
        <x:v>0.14000000000000001</x:v>
      </x:c>
      <x:c r="F7" s="553">
        <x:v>120391083</x:v>
      </x:c>
      <x:c r="G7" s="554">
        <x:v>120391083</x:v>
      </x:c>
      <x:c r="H7" s="555">
        <x:v>120391083</x:v>
      </x:c>
      <x:c r="I7" s="551">
        <x:v>120391083</x:v>
      </x:c>
      <x:c r="J7" s="553">
        <x:v>120391083</x:v>
      </x:c>
      <x:c r="K7" s="554">
        <x:v>120391083</x:v>
      </x:c>
      <x:c r="L7" s="555">
        <x:v>120391083</x:v>
      </x:c>
      <x:c r="M7" s="551">
        <x:v>120391083</x:v>
      </x:c>
      <x:c r="N7" s="553">
        <x:v>120391083</x:v>
      </x:c>
      <x:c r="O7" s="554">
        <x:v>120391083</x:v>
      </x:c>
      <x:c r="P7" s="555">
        <x:v>120391083</x:v>
      </x:c>
      <x:c r="Q7" s="551">
        <x:v>120391083</x:v>
      </x:c>
      <x:c r="S7" s="608"/>
    </x:row>
    <x:row r="8" spans="2:19" s="135" customFormat="1" ht="13.5" thickBot="1" x14ac:dyDescent="0.25">
      <x:c r="B8" s="546">
        <x:v>257980891</x:v>
      </x:c>
      <x:c r="C8" s="481">
        <x:v>5</x:v>
      </x:c>
      <x:c r="D8" s="142" t="s">
        <x:v>14</x:v>
      </x:c>
      <x:c r="E8" s="556">
        <x:v>0.15</x:v>
      </x:c>
      <x:c r="F8" s="557">
        <x:v>128990446</x:v>
      </x:c>
      <x:c r="G8" s="558">
        <x:v>128990445</x:v>
      </x:c>
      <x:c r="H8" s="559">
        <x:v>128990446</x:v>
      </x:c>
      <x:c r="I8" s="560">
        <x:v>128990445</x:v>
      </x:c>
      <x:c r="J8" s="557">
        <x:v>128990446</x:v>
      </x:c>
      <x:c r="K8" s="558">
        <x:v>128990445</x:v>
      </x:c>
      <x:c r="L8" s="559">
        <x:v>128990446</x:v>
      </x:c>
      <x:c r="M8" s="560">
        <x:v>128990445</x:v>
      </x:c>
      <x:c r="N8" s="557">
        <x:v>128990446</x:v>
      </x:c>
      <x:c r="O8" s="558">
        <x:v>128990445</x:v>
      </x:c>
      <x:c r="P8" s="559">
        <x:v>128990446</x:v>
      </x:c>
      <x:c r="Q8" s="560">
        <x:v>128990445</x:v>
      </x:c>
      <x:c r="S8" s="608"/>
    </x:row>
    <x:row r="9" spans="2:19" s="135" customFormat="1" ht="13.5" thickBot="1" x14ac:dyDescent="0.25">
      <x:c r="B9" s="561">
        <x:v>1719872614</x:v>
      </x:c>
      <x:c r="C9" s="143"/>
      <x:c r="D9" s="144" t="s">
        <x:v>2</x:v>
      </x:c>
      <x:c r="E9" s="482">
        <x:v>1</x:v>
      </x:c>
      <x:c r="F9" s="562">
        <x:v>859936309</x:v>
      </x:c>
      <x:c r="G9" s="562">
        <x:v>859936305</x:v>
      </x:c>
      <x:c r="H9" s="563">
        <x:v>859936309</x:v>
      </x:c>
      <x:c r="I9" s="563">
        <x:v>859936305</x:v>
      </x:c>
      <x:c r="J9" s="562">
        <x:v>859936309</x:v>
      </x:c>
      <x:c r="K9" s="562">
        <x:v>859936305</x:v>
      </x:c>
      <x:c r="L9" s="563">
        <x:v>859936309</x:v>
      </x:c>
      <x:c r="M9" s="563">
        <x:v>859936305</x:v>
      </x:c>
      <x:c r="N9" s="562">
        <x:v>859936309</x:v>
      </x:c>
      <x:c r="O9" s="562">
        <x:v>859936305</x:v>
      </x:c>
      <x:c r="P9" s="563">
        <x:v>859936309</x:v>
      </x:c>
      <x:c r="Q9" s="563">
        <x:v>859936305</x:v>
      </x:c>
      <x:c r="S9" s="608"/>
    </x:row>
    <x:row r="10" spans="2:19" s="135" customFormat="1" ht="15.75" customHeight="1" thickBot="1" x14ac:dyDescent="0.25">
      <x:c r="B10" s="544"/>
      <x:c r="F10" s="776">
        <x:f>SUM(F9:G9)</x:f>
        <x:v>1719872614</x:v>
      </x:c>
      <x:c r="G10" s="777"/>
      <x:c r="H10" s="776">
        <x:f>SUM(H9:I9)</x:f>
        <x:v>1719872614</x:v>
      </x:c>
      <x:c r="I10" s="777"/>
      <x:c r="J10" s="776">
        <x:f>SUM(J9:K9)</x:f>
        <x:v>1719872614</x:v>
      </x:c>
      <x:c r="K10" s="777"/>
      <x:c r="L10" s="776">
        <x:f>SUM(L9:M9)</x:f>
        <x:v>1719872614</x:v>
      </x:c>
      <x:c r="M10" s="777"/>
      <x:c r="N10" s="776">
        <x:f>SUM(N9:O9)</x:f>
        <x:v>1719872614</x:v>
      </x:c>
      <x:c r="O10" s="777"/>
      <x:c r="P10" s="776">
        <x:f>SUM(P9:Q9)</x:f>
        <x:v>1719872614</x:v>
      </x:c>
      <x:c r="Q10" s="777"/>
    </x:row>
    <x:row r="12" spans="2:19" ht="13.5" thickBot="1" x14ac:dyDescent="0.25"/>
    <x:row r="13" spans="2:19" s="135" customFormat="1" ht="13.5" thickBot="1" x14ac:dyDescent="0.25">
      <x:c r="B13" s="544"/>
      <x:c r="E13" s="135" t="s">
        <x:v>1</x:v>
      </x:c>
      <x:c r="F13" s="609" t="s">
        <x:v>300</x:v>
      </x:c>
      <x:c r="G13" s="499" t="s">
        <x:v>301</x:v>
      </x:c>
      <x:c r="H13" s="499" t="s">
        <x:v>302</x:v>
      </x:c>
      <x:c r="I13" s="500" t="s">
        <x:v>303</x:v>
      </x:c>
      <x:c r="J13" s="500" t="s">
        <x:v>304</x:v>
      </x:c>
      <x:c r="K13" s="499" t="s">
        <x:v>305</x:v>
      </x:c>
      <x:c r="L13" s="499" t="s">
        <x:v>306</x:v>
      </x:c>
      <x:c r="M13" s="500" t="s">
        <x:v>307</x:v>
      </x:c>
      <x:c r="N13" s="500" t="s">
        <x:v>308</x:v>
      </x:c>
      <x:c r="O13" s="499" t="s">
        <x:v>309</x:v>
      </x:c>
      <x:c r="P13" s="499" t="s">
        <x:v>310</x:v>
      </x:c>
      <x:c r="Q13" s="500" t="s">
        <x:v>311</x:v>
      </x:c>
    </x:row>
    <x:row r="14" spans="2:19" s="135" customFormat="1" ht="26.25" thickBot="1" x14ac:dyDescent="0.25">
      <x:c r="B14" s="544"/>
      <x:c r="C14" s="136" t="s">
        <x:v>3</x:v>
      </x:c>
      <x:c r="D14" s="137" t="s">
        <x:v>9</x:v>
      </x:c>
      <x:c r="E14" s="478" t="s">
        <x:v>108</x:v>
      </x:c>
      <x:c r="F14" s="501" t="s">
        <x:v>312</x:v>
      </x:c>
      <x:c r="G14" s="502" t="s">
        <x:v>313</x:v>
      </x:c>
      <x:c r="H14" s="503" t="s">
        <x:v>314</x:v>
      </x:c>
      <x:c r="I14" s="504" t="s">
        <x:v>315</x:v>
      </x:c>
      <x:c r="J14" s="501" t="s">
        <x:v>316</x:v>
      </x:c>
      <x:c r="K14" s="502" t="s">
        <x:v>317</x:v>
      </x:c>
      <x:c r="L14" s="503" t="s">
        <x:v>318</x:v>
      </x:c>
      <x:c r="M14" s="504" t="s">
        <x:v>319</x:v>
      </x:c>
      <x:c r="N14" s="501" t="s">
        <x:v>320</x:v>
      </x:c>
      <x:c r="O14" s="502" t="s">
        <x:v>321</x:v>
      </x:c>
      <x:c r="P14" s="503" t="s">
        <x:v>322</x:v>
      </x:c>
      <x:c r="Q14" s="504" t="s">
        <x:v>323</x:v>
      </x:c>
    </x:row>
    <x:row r="15" spans="2:19" s="135" customFormat="1" x14ac:dyDescent="0.2">
      <x:c r="B15" s="544"/>
      <x:c r="C15" s="138">
        <x:v>1</x:v>
      </x:c>
      <x:c r="D15" s="145" t="s">
        <x:v>10</x:v>
      </x:c>
      <x:c r="E15" s="564">
        <x:v>0.22</x:v>
      </x:c>
      <x:c r="F15" s="548">
        <x:v>189185988</x:v>
      </x:c>
      <x:c r="G15" s="549">
        <x:v>189185987</x:v>
      </x:c>
      <x:c r="H15" s="550">
        <x:v>189185988</x:v>
      </x:c>
      <x:c r="I15" s="551">
        <x:v>189185987</x:v>
      </x:c>
      <x:c r="J15" s="548">
        <x:v>189185988</x:v>
      </x:c>
      <x:c r="K15" s="549">
        <x:v>189185987</x:v>
      </x:c>
      <x:c r="L15" s="550">
        <x:v>189185988</x:v>
      </x:c>
      <x:c r="M15" s="551">
        <x:v>189185987</x:v>
      </x:c>
      <x:c r="N15" s="548">
        <x:v>189185988</x:v>
      </x:c>
      <x:c r="O15" s="549">
        <x:v>189185987</x:v>
      </x:c>
      <x:c r="P15" s="550">
        <x:v>189185988</x:v>
      </x:c>
      <x:c r="Q15" s="551">
        <x:v>189185987</x:v>
      </x:c>
    </x:row>
    <x:row r="16" spans="2:19" s="135" customFormat="1" x14ac:dyDescent="0.2">
      <x:c r="B16" s="544"/>
      <x:c r="C16" s="139">
        <x:v>2</x:v>
      </x:c>
      <x:c r="D16" s="140" t="s">
        <x:v>11</x:v>
      </x:c>
      <x:c r="E16" s="565">
        <x:v>0.31</x:v>
      </x:c>
      <x:c r="F16" s="553">
        <x:v>266580256</x:v>
      </x:c>
      <x:c r="G16" s="554">
        <x:v>266580255</x:v>
      </x:c>
      <x:c r="H16" s="555">
        <x:v>266580256</x:v>
      </x:c>
      <x:c r="I16" s="551">
        <x:v>266580255</x:v>
      </x:c>
      <x:c r="J16" s="553">
        <x:v>266580256</x:v>
      </x:c>
      <x:c r="K16" s="554">
        <x:v>266580255</x:v>
      </x:c>
      <x:c r="L16" s="555">
        <x:v>266580256</x:v>
      </x:c>
      <x:c r="M16" s="551">
        <x:v>266580255</x:v>
      </x:c>
      <x:c r="N16" s="553">
        <x:v>266580256</x:v>
      </x:c>
      <x:c r="O16" s="554">
        <x:v>266580255</x:v>
      </x:c>
      <x:c r="P16" s="555">
        <x:v>266580256</x:v>
      </x:c>
      <x:c r="Q16" s="551">
        <x:v>266580255</x:v>
      </x:c>
    </x:row>
    <x:row r="17" spans="2:19" s="135" customFormat="1" x14ac:dyDescent="0.2">
      <x:c r="B17" s="544"/>
      <x:c r="C17" s="139">
        <x:v>3</x:v>
      </x:c>
      <x:c r="D17" s="140" t="s">
        <x:v>12</x:v>
      </x:c>
      <x:c r="E17" s="565">
        <x:v>0.18</x:v>
      </x:c>
      <x:c r="F17" s="553">
        <x:v>154788536</x:v>
      </x:c>
      <x:c r="G17" s="554">
        <x:v>154788535</x:v>
      </x:c>
      <x:c r="H17" s="555">
        <x:v>154788536</x:v>
      </x:c>
      <x:c r="I17" s="551">
        <x:v>154788535</x:v>
      </x:c>
      <x:c r="J17" s="553">
        <x:v>154788536</x:v>
      </x:c>
      <x:c r="K17" s="554">
        <x:v>154788535</x:v>
      </x:c>
      <x:c r="L17" s="555">
        <x:v>154788536</x:v>
      </x:c>
      <x:c r="M17" s="551">
        <x:v>154788535</x:v>
      </x:c>
      <x:c r="N17" s="553">
        <x:v>154788536</x:v>
      </x:c>
      <x:c r="O17" s="554">
        <x:v>154788535</x:v>
      </x:c>
      <x:c r="P17" s="555">
        <x:v>154788536</x:v>
      </x:c>
      <x:c r="Q17" s="551">
        <x:v>154788535</x:v>
      </x:c>
    </x:row>
    <x:row r="18" spans="2:19" s="135" customFormat="1" x14ac:dyDescent="0.2">
      <x:c r="B18" s="544"/>
      <x:c r="C18" s="139">
        <x:v>4</x:v>
      </x:c>
      <x:c r="D18" s="140" t="s">
        <x:v>13</x:v>
      </x:c>
      <x:c r="E18" s="565">
        <x:v>0.14000000000000001</x:v>
      </x:c>
      <x:c r="F18" s="553">
        <x:v>120391083</x:v>
      </x:c>
      <x:c r="G18" s="554">
        <x:v>120391083</x:v>
      </x:c>
      <x:c r="H18" s="555">
        <x:v>120391083</x:v>
      </x:c>
      <x:c r="I18" s="551">
        <x:v>120391083</x:v>
      </x:c>
      <x:c r="J18" s="553">
        <x:v>120391083</x:v>
      </x:c>
      <x:c r="K18" s="554">
        <x:v>120391083</x:v>
      </x:c>
      <x:c r="L18" s="555">
        <x:v>120391083</x:v>
      </x:c>
      <x:c r="M18" s="551">
        <x:v>120391083</x:v>
      </x:c>
      <x:c r="N18" s="553">
        <x:v>120391083</x:v>
      </x:c>
      <x:c r="O18" s="554">
        <x:v>120391083</x:v>
      </x:c>
      <x:c r="P18" s="555">
        <x:v>120391083</x:v>
      </x:c>
      <x:c r="Q18" s="551">
        <x:v>120391083</x:v>
      </x:c>
    </x:row>
    <x:row r="19" spans="2:19" s="135" customFormat="1" ht="13.5" thickBot="1" x14ac:dyDescent="0.25">
      <x:c r="B19" s="544"/>
      <x:c r="C19" s="141">
        <x:v>5</x:v>
      </x:c>
      <x:c r="D19" s="142" t="s">
        <x:v>14</x:v>
      </x:c>
      <x:c r="E19" s="566">
        <x:v>0.15</x:v>
      </x:c>
      <x:c r="F19" s="557">
        <x:v>128990446</x:v>
      </x:c>
      <x:c r="G19" s="558">
        <x:v>128990445</x:v>
      </x:c>
      <x:c r="H19" s="559">
        <x:v>128990446</x:v>
      </x:c>
      <x:c r="I19" s="560">
        <x:v>128990445</x:v>
      </x:c>
      <x:c r="J19" s="557">
        <x:v>128990446</x:v>
      </x:c>
      <x:c r="K19" s="558">
        <x:v>128990445</x:v>
      </x:c>
      <x:c r="L19" s="559">
        <x:v>128990446</x:v>
      </x:c>
      <x:c r="M19" s="560">
        <x:v>128990445</x:v>
      </x:c>
      <x:c r="N19" s="557">
        <x:v>128990446</x:v>
      </x:c>
      <x:c r="O19" s="558">
        <x:v>128990445</x:v>
      </x:c>
      <x:c r="P19" s="559">
        <x:v>128990446</x:v>
      </x:c>
      <x:c r="Q19" s="560">
        <x:v>128990445</x:v>
      </x:c>
    </x:row>
    <x:row r="20" spans="2:19" s="135" customFormat="1" ht="13.5" thickBot="1" x14ac:dyDescent="0.25">
      <x:c r="B20" s="544"/>
      <x:c r="C20" s="143"/>
      <x:c r="D20" s="144" t="s">
        <x:v>2</x:v>
      </x:c>
      <x:c r="E20" s="483">
        <x:v>1</x:v>
      </x:c>
      <x:c r="F20" s="562">
        <x:v>859936309</x:v>
      </x:c>
      <x:c r="G20" s="562">
        <x:v>859936305</x:v>
      </x:c>
      <x:c r="H20" s="563">
        <x:v>859936309</x:v>
      </x:c>
      <x:c r="I20" s="563">
        <x:v>859936305</x:v>
      </x:c>
      <x:c r="J20" s="562">
        <x:v>859936309</x:v>
      </x:c>
      <x:c r="K20" s="562">
        <x:v>859936305</x:v>
      </x:c>
      <x:c r="L20" s="563">
        <x:v>859936309</x:v>
      </x:c>
      <x:c r="M20" s="563">
        <x:v>859936305</x:v>
      </x:c>
      <x:c r="N20" s="562">
        <x:v>859936309</x:v>
      </x:c>
      <x:c r="O20" s="562">
        <x:v>859936305</x:v>
      </x:c>
      <x:c r="P20" s="563">
        <x:v>859936309</x:v>
      </x:c>
      <x:c r="Q20" s="563">
        <x:v>859936305</x:v>
      </x:c>
    </x:row>
    <x:row r="21" spans="2:19" s="135" customFormat="1" ht="13.5" thickBot="1" x14ac:dyDescent="0.25">
      <x:c r="B21" s="544"/>
      <x:c r="F21" s="776">
        <x:f>SUM(F20:G20)</x:f>
        <x:v>1719872614</x:v>
      </x:c>
      <x:c r="G21" s="777">
        <x:v>1191383498</x:v>
      </x:c>
      <x:c r="H21" s="776">
        <x:f>SUM(H20:I20)</x:f>
        <x:v>1719872614</x:v>
      </x:c>
      <x:c r="I21" s="777">
        <x:v>1191383498</x:v>
      </x:c>
      <x:c r="J21" s="776">
        <x:f>SUM(J20:K20)</x:f>
        <x:v>1719872614</x:v>
      </x:c>
      <x:c r="K21" s="777">
        <x:v>1191383498</x:v>
      </x:c>
      <x:c r="L21" s="776">
        <x:f>SUM(L20:M20)</x:f>
        <x:v>1719872614</x:v>
      </x:c>
      <x:c r="M21" s="777">
        <x:v>1191383498</x:v>
      </x:c>
      <x:c r="N21" s="776">
        <x:f>SUM(N20:O20)</x:f>
        <x:v>1719872614</x:v>
      </x:c>
      <x:c r="O21" s="777">
        <x:v>1191383498</x:v>
      </x:c>
      <x:c r="P21" s="776">
        <x:f>SUM(P20:Q20)</x:f>
        <x:v>1719872614</x:v>
      </x:c>
      <x:c r="Q21" s="777">
        <x:v>1191383498</x:v>
      </x:c>
    </x:row>
    <x:row r="24" spans="2:19" ht="13.5" thickBot="1" x14ac:dyDescent="0.25">
      <x:c r="B24" s="197"/>
      <x:c r="C24" s="437"/>
      <x:c r="D24" s="437"/>
      <x:c r="E24" s="197"/>
      <x:c r="F24" s="197"/>
      <x:c r="G24" s="197"/>
      <x:c r="H24" s="197"/>
      <x:c r="I24" s="197"/>
      <x:c r="J24" s="197"/>
      <x:c r="K24" s="197"/>
      <x:c r="L24" s="197"/>
      <x:c r="M24" s="197"/>
      <x:c r="N24" s="197"/>
      <x:c r="O24" s="197"/>
      <x:c r="P24" s="197"/>
      <x:c r="Q24" s="197"/>
      <x:c r="R24" s="197"/>
    </x:row>
    <x:row r="25" spans="2:19" ht="24.75" customHeight="1" thickBot="1" x14ac:dyDescent="0.25">
      <x:c r="K25" s="588" t="s">
        <x:v>269</x:v>
      </x:c>
      <x:c r="L25" s="136" t="s">
        <x:v>3</x:v>
      </x:c>
      <x:c r="M25" s="527" t="s">
        <x:v>267</x:v>
      </x:c>
      <x:c r="N25" s="527" t="s">
        <x:v>268</x:v>
      </x:c>
      <x:c r="Q25" s="438" t="s">
        <x:v>1</x:v>
      </x:c>
      <x:c r="R25" s="29" t="s">
        <x:v>200</x:v>
      </x:c>
    </x:row>
    <x:row r="26" spans="2:19" x14ac:dyDescent="0.2">
      <x:c r="G26" s="191"/>
      <x:c r="H26" s="191"/>
      <x:c r="I26" s="191"/>
      <x:c r="J26" s="526"/>
      <x:c r="K26" s="567">
        <x:v>378371975</x:v>
      </x:c>
      <x:c r="L26" s="138">
        <x:v>1</x:v>
      </x:c>
      <x:c r="M26" s="586">
        <x:v>189185988</x:v>
      </x:c>
      <x:c r="N26" s="164">
        <x:v>189185987</x:v>
      </x:c>
      <x:c r="O26" s="151" t="b">
        <x:f>M26=R26</x:f>
        <x:v>1</x:v>
      </x:c>
      <x:c r="P26" s="151"/>
      <x:c r="Q26" s="587">
        <x:f>'CONSOLIDADO_TOTAL RECAUDO'!L104</x:f>
        <x:v>189185988</x:v>
      </x:c>
      <x:c r="R26" s="575">
        <x:f>F15</x:f>
        <x:v>189185988</x:v>
      </x:c>
      <x:c r="S26" t="b">
        <x:f>Q26=R26</x:f>
        <x:v>1</x:v>
      </x:c>
    </x:row>
    <x:row r="27" spans="2:19" x14ac:dyDescent="0.2">
      <x:c r="G27" s="191"/>
      <x:c r="H27" s="191"/>
      <x:c r="I27" s="191"/>
      <x:c r="J27" s="526"/>
      <x:c r="K27" s="568">
        <x:v>533160511</x:v>
      </x:c>
      <x:c r="L27" s="139">
        <x:v>2</x:v>
      </x:c>
      <x:c r="M27" s="586">
        <x:v>266580256</x:v>
      </x:c>
      <x:c r="N27" s="164">
        <x:v>266580255</x:v>
      </x:c>
      <x:c r="O27" s="151" t="b">
        <x:f t="shared" ref="O27:O31" si="0">M27=R27</x:f>
        <x:v>1</x:v>
      </x:c>
      <x:c r="P27" s="151"/>
      <x:c r="Q27" s="587">
        <x:f>'CONSOLIDADO_TOTAL RECAUDO'!L105</x:f>
        <x:v>266580256</x:v>
      </x:c>
      <x:c r="R27" s="575">
        <x:f t="shared" ref="R27:R31" si="1">F16</x:f>
        <x:v>266580256</x:v>
      </x:c>
      <x:c r="S27" t="b">
        <x:f>Q27=R27</x:f>
        <x:v>1</x:v>
      </x:c>
    </x:row>
    <x:row r="28" spans="2:19" x14ac:dyDescent="0.2">
      <x:c r="G28" s="151"/>
      <x:c r="H28" s="191"/>
      <x:c r="I28" s="191"/>
      <x:c r="J28" s="526"/>
      <x:c r="K28" s="568">
        <x:v>309577071</x:v>
      </x:c>
      <x:c r="L28" s="139">
        <x:v>3</x:v>
      </x:c>
      <x:c r="M28" s="586">
        <x:v>154788536</x:v>
      </x:c>
      <x:c r="N28" s="164">
        <x:v>154788535</x:v>
      </x:c>
      <x:c r="O28" s="151" t="b">
        <x:f t="shared" si="0"/>
        <x:v>1</x:v>
      </x:c>
      <x:c r="P28" s="151"/>
      <x:c r="Q28" s="587">
        <x:f>'CONSOLIDADO_TOTAL RECAUDO'!L106</x:f>
        <x:v>154788536</x:v>
      </x:c>
      <x:c r="R28" s="575">
        <x:f t="shared" si="1"/>
        <x:v>154788536</x:v>
      </x:c>
      <x:c r="S28" t="b">
        <x:f t="shared" ref="S28:S31" si="2">Q28=R28</x:f>
        <x:v>1</x:v>
      </x:c>
    </x:row>
    <x:row r="29" spans="2:19" x14ac:dyDescent="0.2">
      <x:c r="G29" s="514"/>
      <x:c r="H29" s="191"/>
      <x:c r="I29" s="191"/>
      <x:c r="J29" s="526"/>
      <x:c r="K29" s="568">
        <x:v>240782166</x:v>
      </x:c>
      <x:c r="L29" s="139">
        <x:v>4</x:v>
      </x:c>
      <x:c r="M29" s="586">
        <x:v>120391083</x:v>
      </x:c>
      <x:c r="N29" s="569">
        <x:v>120391083</x:v>
      </x:c>
      <x:c r="O29" s="151" t="b">
        <x:f t="shared" si="0"/>
        <x:v>1</x:v>
      </x:c>
      <x:c r="P29" s="151"/>
      <x:c r="Q29" s="587">
        <x:f>'CONSOLIDADO_TOTAL RECAUDO'!L107</x:f>
        <x:v>120391083</x:v>
      </x:c>
      <x:c r="R29" s="575">
        <x:f t="shared" si="1"/>
        <x:v>120391083</x:v>
      </x:c>
      <x:c r="S29" t="b">
        <x:f t="shared" si="2"/>
        <x:v>1</x:v>
      </x:c>
    </x:row>
    <x:row r="30" spans="2:19" ht="13.5" thickBot="1" x14ac:dyDescent="0.25">
      <x:c r="G30" s="514"/>
      <x:c r="H30" s="191"/>
      <x:c r="I30" s="191"/>
      <x:c r="J30" s="526"/>
      <x:c r="K30" s="570">
        <x:v>257980891</x:v>
      </x:c>
      <x:c r="L30" s="141">
        <x:v>5</x:v>
      </x:c>
      <x:c r="M30" s="586">
        <x:v>128990446</x:v>
      </x:c>
      <x:c r="N30" s="571">
        <x:v>128990445</x:v>
      </x:c>
      <x:c r="O30" s="151" t="b">
        <x:f t="shared" si="0"/>
        <x:v>1</x:v>
      </x:c>
      <x:c r="P30" s="151"/>
      <x:c r="Q30" s="587">
        <x:f>'CONSOLIDADO_TOTAL RECAUDO'!L108</x:f>
        <x:v>128990446</x:v>
      </x:c>
      <x:c r="R30" s="575">
        <x:f t="shared" si="1"/>
        <x:v>128990446</x:v>
      </x:c>
      <x:c r="S30" t="b">
        <x:f t="shared" si="2"/>
        <x:v>1</x:v>
      </x:c>
    </x:row>
    <x:row r="31" spans="2:19" ht="13.5" thickBot="1" x14ac:dyDescent="0.25">
      <x:c r="G31" s="514"/>
      <x:c r="H31" s="151"/>
      <x:c r="I31" s="151"/>
      <x:c r="J31" s="211"/>
      <x:c r="K31" s="572">
        <x:f>SUM(K26:K30)</x:f>
        <x:v>1719872614</x:v>
      </x:c>
      <x:c r="L31" s="143"/>
      <x:c r="M31" s="573">
        <x:f>SUM(M26:M30)</x:f>
        <x:v>859936309</x:v>
      </x:c>
      <x:c r="N31" s="573">
        <x:f>SUM(N26:N30)</x:f>
        <x:v>859936305</x:v>
      </x:c>
      <x:c r="O31" s="151" t="b">
        <x:f t="shared" si="0"/>
        <x:v>1</x:v>
      </x:c>
      <x:c r="P31" s="151"/>
      <x:c r="Q31" s="587">
        <x:f>'CONSOLIDADO_TOTAL RECAUDO'!L109</x:f>
        <x:v>859936309</x:v>
      </x:c>
      <x:c r="R31" s="575">
        <x:f t="shared" si="1"/>
        <x:v>859936309</x:v>
      </x:c>
      <x:c r="S31" t="b">
        <x:f t="shared" si="2"/>
        <x:v>1</x:v>
      </x:c>
    </x:row>
    <x:row r="32" spans="2:19" x14ac:dyDescent="0.2">
      <x:c r="G32" s="514"/>
      <x:c r="H32" s="151"/>
      <x:c r="I32" s="151"/>
      <x:c r="K32" s="528">
        <x:f>SUM(M31:N31)</x:f>
        <x:v>1719872614</x:v>
      </x:c>
      <x:c r="L32" s="211"/>
    </x:row>
    <x:row r="33" spans="7:17" x14ac:dyDescent="0.2">
      <x:c r="G33" s="514"/>
      <x:c r="H33" s="151"/>
      <x:c r="J33" s="211"/>
      <x:c r="K33" s="211"/>
      <x:c r="Q33" s="191"/>
    </x:row>
    <x:row r="34" spans="7:17" x14ac:dyDescent="0.2">
      <x:c r="G34" s="514"/>
      <x:c r="H34" s="151"/>
      <x:c r="Q34" s="191"/>
    </x:row>
    <x:row r="35" spans="7:17" x14ac:dyDescent="0.2">
      <x:c r="H35" s="151"/>
      <x:c r="K35" s="574"/>
      <x:c r="Q35" s="191"/>
    </x:row>
    <x:row r="36" spans="7:17" x14ac:dyDescent="0.2">
      <x:c r="H36" s="151"/>
      <x:c r="K36" s="574"/>
      <x:c r="Q36" s="191"/>
    </x:row>
    <x:row r="37" spans="7:17" x14ac:dyDescent="0.2">
      <x:c r="H37" s="151"/>
      <x:c r="K37" s="574"/>
      <x:c r="Q37" s="191"/>
    </x:row>
    <x:row r="38" spans="7:17" x14ac:dyDescent="0.2">
      <x:c r="H38" s="151"/>
      <x:c r="K38" s="574"/>
      <x:c r="Q38" s="191"/>
    </x:row>
    <x:row r="39" spans="7:17" x14ac:dyDescent="0.2">
      <x:c r="H39" s="151"/>
      <x:c r="K39" s="574"/>
    </x:row>
    <x:row r="40" spans="7:17" x14ac:dyDescent="0.2">
      <x:c r="H40" s="151"/>
      <x:c r="K40" s="574"/>
    </x:row>
    <x:row r="41" spans="7:17" x14ac:dyDescent="0.2">
      <x:c r="H41" s="151"/>
    </x:row>
    <x:row r="42" spans="7:17" x14ac:dyDescent="0.2">
      <x:c r="H42" s="151"/>
    </x:row>
    <x:row r="43" spans="7:17" x14ac:dyDescent="0.2">
      <x:c r="H43" s="151"/>
    </x:row>
    <x:row r="44" spans="7:17" x14ac:dyDescent="0.2">
      <x:c r="H44" s="151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A19" sqref="A19"/>
    </sheetView>
  </sheetViews>
  <sheetFormatPr baseColWidth="10" defaultColWidth="11.42578125" defaultRowHeight="12" x14ac:dyDescent="0.2"/>
  <cols>
    <col min="1" max="1" width="3" style="315" customWidth="1"/>
    <col min="2" max="2" width="4.42578125" style="315" bestFit="1" customWidth="1"/>
    <col min="3" max="3" width="38.28515625" style="315" customWidth="1"/>
    <col min="4" max="4" width="15.28515625" style="315" customWidth="1"/>
    <col min="5" max="5" width="16" style="315" customWidth="1"/>
    <col min="6" max="7" width="14.7109375" style="315" customWidth="1"/>
    <col min="8" max="9" width="16" style="315" customWidth="1"/>
    <col min="10" max="10" width="17.5703125" style="315" customWidth="1"/>
    <col min="11" max="11" width="3.7109375" style="315" customWidth="1"/>
    <col min="12" max="12" width="2.7109375" style="315" customWidth="1"/>
    <col min="13" max="13" width="4.5703125" style="315" customWidth="1"/>
    <col min="14" max="14" width="11.28515625" style="315" customWidth="1"/>
    <col min="15" max="15" width="37.5703125" style="315" bestFit="1" customWidth="1"/>
    <col min="16" max="16" width="19.28515625" style="315" customWidth="1"/>
    <col min="17" max="17" width="17.7109375" style="315" customWidth="1"/>
    <col min="18" max="18" width="16.42578125" style="315" customWidth="1"/>
    <col min="19" max="19" width="17.28515625" style="315" customWidth="1"/>
    <col min="20" max="20" width="15.7109375" style="315" customWidth="1"/>
    <col min="21" max="21" width="16.28515625" style="315" customWidth="1"/>
    <col min="22" max="22" width="13.28515625" style="317" customWidth="1"/>
    <col min="23" max="23" width="13.7109375" style="315" customWidth="1"/>
    <col min="24" max="24" width="3.42578125" style="315" customWidth="1"/>
    <col min="25" max="25" width="13.7109375" style="315" bestFit="1" customWidth="1"/>
    <col min="26" max="27" width="11.42578125" style="315"/>
    <col min="28" max="28" width="15.7109375" style="315" bestFit="1" customWidth="1"/>
    <col min="29" max="16384" width="11.42578125" style="315"/>
  </cols>
  <sheetData>
    <row r="1" spans="2:28" x14ac:dyDescent="0.2">
      <c r="L1" s="316"/>
      <c r="X1" s="316"/>
    </row>
    <row r="2" spans="2:28" x14ac:dyDescent="0.2">
      <c r="L2" s="316"/>
      <c r="X2" s="316"/>
    </row>
    <row r="3" spans="2:28" ht="12.75" thickBot="1" x14ac:dyDescent="0.25">
      <c r="L3" s="316"/>
      <c r="X3" s="316"/>
    </row>
    <row r="4" spans="2:28" x14ac:dyDescent="0.2">
      <c r="B4" s="318"/>
      <c r="C4" s="319" t="s">
        <v>1</v>
      </c>
      <c r="D4" s="320" t="s">
        <v>1</v>
      </c>
      <c r="E4" s="319"/>
      <c r="F4" s="321"/>
      <c r="G4" s="319"/>
      <c r="H4" s="319" t="s">
        <v>1</v>
      </c>
      <c r="I4" s="319"/>
      <c r="J4" s="322"/>
      <c r="K4" s="323"/>
      <c r="L4" s="316"/>
      <c r="N4" s="318"/>
      <c r="O4" s="319" t="s">
        <v>1</v>
      </c>
      <c r="P4" s="320" t="s">
        <v>1</v>
      </c>
      <c r="Q4" s="319"/>
      <c r="R4" s="319"/>
      <c r="S4" s="319" t="s">
        <v>1</v>
      </c>
      <c r="T4" s="319"/>
      <c r="U4" s="322"/>
      <c r="V4" s="324"/>
      <c r="X4" s="316"/>
    </row>
    <row r="5" spans="2:28" ht="15.75" x14ac:dyDescent="0.25">
      <c r="B5" s="325"/>
      <c r="D5" s="326" t="s">
        <v>8</v>
      </c>
      <c r="E5" s="327"/>
      <c r="G5" s="327"/>
      <c r="I5" s="327" t="s">
        <v>16</v>
      </c>
      <c r="J5" s="328"/>
      <c r="K5" s="323"/>
      <c r="L5" s="316"/>
      <c r="N5" s="325"/>
      <c r="P5" s="326" t="s">
        <v>8</v>
      </c>
      <c r="R5" s="327"/>
      <c r="T5" s="327" t="s">
        <v>16</v>
      </c>
      <c r="U5" s="329"/>
      <c r="V5" s="324"/>
      <c r="X5" s="316"/>
    </row>
    <row r="6" spans="2:28" ht="15.75" x14ac:dyDescent="0.25">
      <c r="B6" s="325"/>
      <c r="D6" s="330" t="s">
        <v>184</v>
      </c>
      <c r="E6" s="331"/>
      <c r="G6" s="331"/>
      <c r="J6" s="328"/>
      <c r="K6" s="323"/>
      <c r="L6" s="316"/>
      <c r="N6" s="325"/>
      <c r="O6" s="327" t="s">
        <v>1</v>
      </c>
      <c r="P6" s="330" t="s">
        <v>173</v>
      </c>
      <c r="R6" s="331"/>
      <c r="U6" s="332" t="s">
        <v>1</v>
      </c>
      <c r="V6" s="324"/>
      <c r="X6" s="316"/>
    </row>
    <row r="7" spans="2:28" ht="15.75" x14ac:dyDescent="0.25">
      <c r="B7" s="325"/>
      <c r="D7" s="330" t="s">
        <v>174</v>
      </c>
      <c r="E7" s="331"/>
      <c r="G7" s="331"/>
      <c r="J7" s="328"/>
      <c r="K7" s="323"/>
      <c r="L7" s="316"/>
      <c r="N7" s="325"/>
      <c r="O7" s="327"/>
      <c r="P7" s="330" t="s">
        <v>174</v>
      </c>
      <c r="R7" s="331"/>
      <c r="U7" s="332"/>
      <c r="V7" s="324"/>
      <c r="X7" s="316"/>
    </row>
    <row r="8" spans="2:28" ht="15.75" x14ac:dyDescent="0.25">
      <c r="B8" s="325"/>
      <c r="D8" s="330" t="s">
        <v>175</v>
      </c>
      <c r="E8" s="331"/>
      <c r="G8" s="323"/>
      <c r="J8" s="328"/>
      <c r="K8" s="323"/>
      <c r="L8" s="316"/>
      <c r="N8" s="325"/>
      <c r="O8" s="333" t="s">
        <v>1</v>
      </c>
      <c r="P8" s="330" t="s">
        <v>175</v>
      </c>
      <c r="R8" s="323"/>
      <c r="U8" s="328"/>
      <c r="V8" s="324"/>
      <c r="X8" s="316"/>
    </row>
    <row r="9" spans="2:28" ht="15.75" x14ac:dyDescent="0.25">
      <c r="B9" s="325"/>
      <c r="C9" s="323"/>
      <c r="D9" s="334"/>
      <c r="E9" s="335"/>
      <c r="G9" s="335"/>
      <c r="H9" s="323"/>
      <c r="J9" s="328"/>
      <c r="K9" s="323"/>
      <c r="L9" s="316"/>
      <c r="N9" s="325"/>
      <c r="O9" s="335" t="s">
        <v>1</v>
      </c>
      <c r="P9" s="335"/>
      <c r="R9" s="335"/>
      <c r="S9" s="323"/>
      <c r="U9" s="329"/>
      <c r="V9" s="324"/>
      <c r="X9" s="316"/>
    </row>
    <row r="10" spans="2:28" ht="18" thickBot="1" x14ac:dyDescent="0.35">
      <c r="B10" s="325"/>
      <c r="C10" s="323"/>
      <c r="D10" s="336"/>
      <c r="E10" s="323" t="s">
        <v>27</v>
      </c>
      <c r="F10" s="383">
        <f>'CONSOLIDADO_TOTAL RECAUDO'!G102</f>
        <v>46219</v>
      </c>
      <c r="G10" s="334"/>
      <c r="H10" s="323" t="s">
        <v>28</v>
      </c>
      <c r="I10" s="383">
        <f>'CONSOLIDADO_TOTAL RECAUDO'!K102</f>
        <v>46234</v>
      </c>
      <c r="J10" s="329"/>
      <c r="K10" s="323"/>
      <c r="L10" s="316"/>
      <c r="N10" s="325"/>
      <c r="Q10" s="334"/>
      <c r="R10" s="315" t="s">
        <v>1</v>
      </c>
      <c r="T10" s="334"/>
      <c r="U10" s="329"/>
      <c r="V10" s="324"/>
      <c r="X10" s="316"/>
      <c r="Y10" s="337" t="s">
        <v>1</v>
      </c>
    </row>
    <row r="11" spans="2:28" ht="72.75" thickBot="1" x14ac:dyDescent="0.25">
      <c r="B11" s="338" t="s">
        <v>3</v>
      </c>
      <c r="C11" s="339" t="s">
        <v>9</v>
      </c>
      <c r="D11" s="338" t="s">
        <v>176</v>
      </c>
      <c r="E11" s="340" t="s">
        <v>177</v>
      </c>
      <c r="F11" s="339" t="s">
        <v>178</v>
      </c>
      <c r="G11" s="341" t="s">
        <v>179</v>
      </c>
      <c r="H11" s="339" t="s">
        <v>180</v>
      </c>
      <c r="I11" s="340" t="s">
        <v>181</v>
      </c>
      <c r="J11" s="342" t="s">
        <v>182</v>
      </c>
      <c r="K11" s="343"/>
      <c r="L11" s="316"/>
      <c r="N11" s="338" t="s">
        <v>3</v>
      </c>
      <c r="O11" s="339" t="s">
        <v>9</v>
      </c>
      <c r="P11" s="344" t="s">
        <v>39</v>
      </c>
      <c r="Q11" s="345" t="s">
        <v>40</v>
      </c>
      <c r="R11" s="345" t="s">
        <v>41</v>
      </c>
      <c r="S11" s="345" t="s">
        <v>42</v>
      </c>
      <c r="T11" s="346" t="s">
        <v>183</v>
      </c>
      <c r="U11" s="384" t="s">
        <v>182</v>
      </c>
      <c r="V11" s="347"/>
      <c r="X11" s="316"/>
    </row>
    <row r="12" spans="2:28" s="353" customFormat="1" x14ac:dyDescent="0.2">
      <c r="B12" s="348">
        <v>1</v>
      </c>
      <c r="C12" s="349" t="s">
        <v>10</v>
      </c>
      <c r="D12" s="350">
        <f>'Reporte Componentes R1'!F83*$D$24</f>
        <v>0</v>
      </c>
      <c r="E12" s="350">
        <f>'Reporte Componentes R1'!G83*$D$24</f>
        <v>0</v>
      </c>
      <c r="F12" s="351">
        <f>'Reporte Componentes R1'!H83*$D$24</f>
        <v>0</v>
      </c>
      <c r="G12" s="351">
        <f>'Reporte Componentes R1'!I83*$D$24</f>
        <v>0</v>
      </c>
      <c r="H12" s="351">
        <f>'Reporte Componentes R1'!J83*$D$24</f>
        <v>0</v>
      </c>
      <c r="I12" s="351">
        <f>'Reporte Componentes R1'!K83*$D$24</f>
        <v>0</v>
      </c>
      <c r="J12" s="352">
        <f t="shared" ref="J12:J16" si="0">D12-E12-F12-G12-H12-I12</f>
        <v>0</v>
      </c>
      <c r="L12" s="354"/>
      <c r="N12" s="348">
        <v>1</v>
      </c>
      <c r="O12" s="349" t="s">
        <v>10</v>
      </c>
      <c r="P12" s="355">
        <f>'Reporte Componentes R1'!M83*$P$24</f>
        <v>0</v>
      </c>
      <c r="Q12" s="356">
        <f>'Reporte Componentes R1'!N83*$P$24</f>
        <v>0</v>
      </c>
      <c r="R12" s="356">
        <f>'Reporte Componentes R1'!O83*$P$24</f>
        <v>0</v>
      </c>
      <c r="S12" s="356">
        <f>'Reporte Componentes R1'!P83*$P$24</f>
        <v>0</v>
      </c>
      <c r="T12" s="356">
        <f>'Reporte Componentes R1'!Q83*$P$24</f>
        <v>0</v>
      </c>
      <c r="U12" s="387">
        <f>SUM(P12:T12)</f>
        <v>0</v>
      </c>
      <c r="V12" s="388">
        <f>J12-U12</f>
        <v>0</v>
      </c>
      <c r="W12" s="353" t="b">
        <f t="shared" ref="W12:W17" si="1">V12=0</f>
        <v>1</v>
      </c>
      <c r="X12" s="354"/>
      <c r="AB12" s="357"/>
    </row>
    <row r="13" spans="2:28" s="353" customFormat="1" x14ac:dyDescent="0.2">
      <c r="B13" s="358">
        <v>2</v>
      </c>
      <c r="C13" s="359" t="s">
        <v>11</v>
      </c>
      <c r="D13" s="350">
        <f>'Reporte Componentes R1'!F236*$D$24</f>
        <v>0</v>
      </c>
      <c r="E13" s="351">
        <f>'Reporte Componentes R1'!G236*$D$24</f>
        <v>0</v>
      </c>
      <c r="F13" s="351">
        <f>'Reporte Componentes R1'!H236*$D$24</f>
        <v>0</v>
      </c>
      <c r="G13" s="351">
        <f>'Reporte Componentes R1'!I236*$D$24</f>
        <v>0</v>
      </c>
      <c r="H13" s="351">
        <f>'Reporte Componentes R1'!J236*$D$24</f>
        <v>0</v>
      </c>
      <c r="I13" s="351">
        <f>'Reporte Componentes R1'!K236*$D$24</f>
        <v>0</v>
      </c>
      <c r="J13" s="352">
        <f t="shared" si="0"/>
        <v>0</v>
      </c>
      <c r="L13" s="354"/>
      <c r="N13" s="358">
        <v>2</v>
      </c>
      <c r="O13" s="359" t="s">
        <v>11</v>
      </c>
      <c r="P13" s="360">
        <f>'Reporte Componentes R1'!M236*$P$24</f>
        <v>0</v>
      </c>
      <c r="Q13" s="361">
        <f>'Reporte Componentes R1'!N236*$P$24</f>
        <v>0</v>
      </c>
      <c r="R13" s="361">
        <f>'Reporte Componentes R1'!O236*$P$24</f>
        <v>0</v>
      </c>
      <c r="S13" s="361">
        <f>'Reporte Componentes R1'!P236*$P$24</f>
        <v>0</v>
      </c>
      <c r="T13" s="361">
        <f>'Reporte Componentes R1'!Q236*$P$24</f>
        <v>0</v>
      </c>
      <c r="U13" s="386">
        <f>SUM(P13:T13)</f>
        <v>0</v>
      </c>
      <c r="V13" s="389">
        <f t="shared" ref="V13:V16" si="2">J13-U13</f>
        <v>0</v>
      </c>
      <c r="W13" s="353" t="b">
        <f t="shared" si="1"/>
        <v>1</v>
      </c>
      <c r="X13" s="354"/>
      <c r="AB13" s="357"/>
    </row>
    <row r="14" spans="2:28" s="353" customFormat="1" x14ac:dyDescent="0.2">
      <c r="B14" s="358">
        <v>3</v>
      </c>
      <c r="C14" s="359" t="s">
        <v>12</v>
      </c>
      <c r="D14" s="350">
        <f>'Reporte Componentes R1'!F373*$D$24</f>
        <v>0</v>
      </c>
      <c r="E14" s="350">
        <f>'Reporte Componentes R1'!G373*$D$24</f>
        <v>0</v>
      </c>
      <c r="F14" s="350">
        <f>'Reporte Componentes R1'!H373*$D$24</f>
        <v>0</v>
      </c>
      <c r="G14" s="350">
        <f>'Reporte Componentes R1'!I373*$D$24</f>
        <v>0</v>
      </c>
      <c r="H14" s="350">
        <f>'Reporte Componentes R1'!J373*$D$24</f>
        <v>0</v>
      </c>
      <c r="I14" s="350">
        <f>'Reporte Componentes R1'!K373*$D$24</f>
        <v>0</v>
      </c>
      <c r="J14" s="352">
        <f t="shared" si="0"/>
        <v>0</v>
      </c>
      <c r="L14" s="354"/>
      <c r="N14" s="358">
        <v>3</v>
      </c>
      <c r="O14" s="359" t="s">
        <v>12</v>
      </c>
      <c r="P14" s="360">
        <f>'Reporte Componentes R1'!M373*$P$24</f>
        <v>0</v>
      </c>
      <c r="Q14" s="361">
        <f>'Reporte Componentes R1'!N373*$P$24</f>
        <v>0</v>
      </c>
      <c r="R14" s="361">
        <f>'Reporte Componentes R1'!O373*$P$24</f>
        <v>0</v>
      </c>
      <c r="S14" s="361">
        <f>'Reporte Componentes R1'!P373*$P$24</f>
        <v>0</v>
      </c>
      <c r="T14" s="361">
        <f>'Reporte Componentes R1'!Q373*$P$24</f>
        <v>0</v>
      </c>
      <c r="U14" s="386">
        <f>SUM(P14:T14)</f>
        <v>0</v>
      </c>
      <c r="V14" s="389">
        <f t="shared" si="2"/>
        <v>0</v>
      </c>
      <c r="W14" s="353" t="b">
        <f t="shared" si="1"/>
        <v>1</v>
      </c>
      <c r="X14" s="354"/>
      <c r="AB14" s="357"/>
    </row>
    <row r="15" spans="2:28" s="353" customFormat="1" x14ac:dyDescent="0.2">
      <c r="B15" s="358">
        <v>4</v>
      </c>
      <c r="C15" s="359" t="s">
        <v>13</v>
      </c>
      <c r="D15" s="350">
        <f>'Reporte Componentes R1'!F498*$D$24</f>
        <v>0</v>
      </c>
      <c r="E15" s="351">
        <f>'Reporte Componentes R1'!G498*$D$24</f>
        <v>0</v>
      </c>
      <c r="F15" s="351">
        <f>'Reporte Componentes R1'!H498*$D$24</f>
        <v>0</v>
      </c>
      <c r="G15" s="351">
        <f>'Reporte Componentes R1'!I498*$D$24</f>
        <v>0</v>
      </c>
      <c r="H15" s="351">
        <f>'Reporte Componentes R1'!J498*$D$24</f>
        <v>0</v>
      </c>
      <c r="I15" s="351">
        <f>'Reporte Componentes R1'!K498*$D$24</f>
        <v>0</v>
      </c>
      <c r="J15" s="352">
        <f t="shared" si="0"/>
        <v>0</v>
      </c>
      <c r="L15" s="354"/>
      <c r="N15" s="358">
        <v>4</v>
      </c>
      <c r="O15" s="359" t="s">
        <v>13</v>
      </c>
      <c r="P15" s="360">
        <f>'Reporte Componentes R1'!M498*$P$24</f>
        <v>0</v>
      </c>
      <c r="Q15" s="361">
        <f>'Reporte Componentes R1'!N498*$P$24</f>
        <v>0</v>
      </c>
      <c r="R15" s="361">
        <f>'Reporte Componentes R1'!O498*$P$24</f>
        <v>0</v>
      </c>
      <c r="S15" s="361">
        <f>'Reporte Componentes R1'!P498*$P$24</f>
        <v>0</v>
      </c>
      <c r="T15" s="361">
        <f>'Reporte Componentes R1'!Q498*$P$24</f>
        <v>0</v>
      </c>
      <c r="U15" s="386">
        <f>SUM(P15:T15)</f>
        <v>0</v>
      </c>
      <c r="V15" s="389">
        <f t="shared" si="2"/>
        <v>0</v>
      </c>
      <c r="W15" s="353" t="b">
        <f t="shared" si="1"/>
        <v>1</v>
      </c>
      <c r="X15" s="354"/>
      <c r="AB15" s="357"/>
    </row>
    <row r="16" spans="2:28" s="353" customFormat="1" ht="12.75" thickBot="1" x14ac:dyDescent="0.25">
      <c r="B16" s="362">
        <v>5</v>
      </c>
      <c r="C16" s="363" t="s">
        <v>14</v>
      </c>
      <c r="D16" s="364">
        <f>'Reporte Componentes R1'!F588*$D$24</f>
        <v>0</v>
      </c>
      <c r="E16" s="365">
        <f>'Reporte Componentes R1'!G588*$D$24</f>
        <v>0</v>
      </c>
      <c r="F16" s="365">
        <f>'Reporte Componentes R1'!H588*$D$24</f>
        <v>0</v>
      </c>
      <c r="G16" s="365">
        <f>'Reporte Componentes R1'!I588*$D$24</f>
        <v>0</v>
      </c>
      <c r="H16" s="365">
        <f>'Reporte Componentes R1'!J588*$D$24</f>
        <v>0</v>
      </c>
      <c r="I16" s="365">
        <f>'Reporte Componentes R1'!K588*$D$24</f>
        <v>0</v>
      </c>
      <c r="J16" s="352">
        <f t="shared" si="0"/>
        <v>0</v>
      </c>
      <c r="L16" s="354"/>
      <c r="N16" s="362">
        <v>5</v>
      </c>
      <c r="O16" s="363" t="s">
        <v>14</v>
      </c>
      <c r="P16" s="364">
        <f>'Reporte Componentes R1'!M588*$P$24</f>
        <v>0</v>
      </c>
      <c r="Q16" s="365">
        <f>'Reporte Componentes R1'!N588*$P$24</f>
        <v>0</v>
      </c>
      <c r="R16" s="365">
        <f>'Reporte Componentes R1'!O588*$P$24</f>
        <v>0</v>
      </c>
      <c r="S16" s="365">
        <f>'Reporte Componentes R1'!P588*$P$24</f>
        <v>0</v>
      </c>
      <c r="T16" s="365">
        <f>'Reporte Componentes R1'!Q588*$P$24</f>
        <v>0</v>
      </c>
      <c r="U16" s="390">
        <f>SUM(P16:T16)</f>
        <v>0</v>
      </c>
      <c r="V16" s="391">
        <f t="shared" si="2"/>
        <v>0</v>
      </c>
      <c r="W16" s="353" t="b">
        <f t="shared" si="1"/>
        <v>1</v>
      </c>
      <c r="X16" s="354"/>
      <c r="AB16" s="357"/>
    </row>
    <row r="17" spans="1:28" s="353" customFormat="1" ht="12.75" thickBot="1" x14ac:dyDescent="0.25">
      <c r="B17" s="366"/>
      <c r="C17" s="367" t="s">
        <v>2</v>
      </c>
      <c r="D17" s="368">
        <f t="shared" ref="D17:J17" si="3">SUM(D12:D16)</f>
        <v>0</v>
      </c>
      <c r="E17" s="368">
        <f t="shared" si="3"/>
        <v>0</v>
      </c>
      <c r="F17" s="368">
        <f t="shared" si="3"/>
        <v>0</v>
      </c>
      <c r="G17" s="368">
        <f t="shared" si="3"/>
        <v>0</v>
      </c>
      <c r="H17" s="368">
        <f t="shared" si="3"/>
        <v>0</v>
      </c>
      <c r="I17" s="368">
        <f t="shared" si="3"/>
        <v>0</v>
      </c>
      <c r="J17" s="369">
        <f t="shared" si="3"/>
        <v>0</v>
      </c>
      <c r="K17" s="370"/>
      <c r="L17" s="354"/>
      <c r="N17" s="366"/>
      <c r="O17" s="367" t="s">
        <v>2</v>
      </c>
      <c r="P17" s="371">
        <f>SUM(P12:P16)</f>
        <v>0</v>
      </c>
      <c r="Q17" s="371">
        <f t="shared" ref="Q17:U17" si="4">SUM(Q12:Q16)</f>
        <v>0</v>
      </c>
      <c r="R17" s="371">
        <f t="shared" si="4"/>
        <v>0</v>
      </c>
      <c r="S17" s="371">
        <f t="shared" si="4"/>
        <v>0</v>
      </c>
      <c r="T17" s="371">
        <f t="shared" si="4"/>
        <v>0</v>
      </c>
      <c r="U17" s="385">
        <f t="shared" si="4"/>
        <v>0</v>
      </c>
      <c r="V17" s="372">
        <f>SUM(V12:V16)</f>
        <v>0</v>
      </c>
      <c r="W17" s="353" t="b">
        <f t="shared" si="1"/>
        <v>1</v>
      </c>
      <c r="X17" s="354"/>
      <c r="AB17" s="357"/>
    </row>
    <row r="18" spans="1:28" ht="12.75" thickBot="1" x14ac:dyDescent="0.25">
      <c r="B18" s="323"/>
      <c r="C18" s="323"/>
      <c r="D18" s="373"/>
      <c r="E18" s="374"/>
      <c r="F18" s="374"/>
      <c r="G18" s="374"/>
      <c r="H18" s="374"/>
      <c r="I18" s="374"/>
      <c r="J18" s="374"/>
      <c r="L18" s="316"/>
      <c r="N18" s="323"/>
      <c r="O18" s="323"/>
      <c r="P18" s="374"/>
      <c r="Q18" s="374"/>
      <c r="R18" s="374"/>
      <c r="S18" s="374"/>
      <c r="T18" s="374"/>
      <c r="U18" s="374"/>
      <c r="X18" s="316"/>
    </row>
    <row r="19" spans="1:28" ht="12.75" thickBot="1" x14ac:dyDescent="0.25">
      <c r="B19" s="323"/>
      <c r="C19" s="323"/>
      <c r="D19" s="374"/>
      <c r="E19" s="374"/>
      <c r="F19" s="374"/>
      <c r="G19" s="374"/>
      <c r="H19" s="374"/>
      <c r="I19" s="374"/>
      <c r="J19" s="374"/>
      <c r="L19" s="316"/>
      <c r="T19" s="375">
        <f>SUM(P17:T17)</f>
        <v>0</v>
      </c>
      <c r="U19" s="315" t="s">
        <v>1</v>
      </c>
      <c r="X19" s="316"/>
    </row>
    <row r="20" spans="1:28" ht="12.75" thickBot="1" x14ac:dyDescent="0.25">
      <c r="B20" s="323"/>
      <c r="C20" s="323"/>
      <c r="D20" s="374" t="s">
        <v>1</v>
      </c>
      <c r="E20" s="376"/>
      <c r="F20" s="376"/>
      <c r="G20" s="376"/>
      <c r="H20" s="376"/>
      <c r="I20" s="374"/>
      <c r="J20" s="524" t="b">
        <f>+IF(MAX(J12:J17)&gt;500000,"VALIDAR",TRUE)</f>
        <v>1</v>
      </c>
      <c r="L20" s="316"/>
      <c r="U20" s="377"/>
      <c r="X20" s="316"/>
    </row>
    <row r="21" spans="1:28" x14ac:dyDescent="0.2">
      <c r="B21" s="323"/>
      <c r="C21" s="323"/>
      <c r="D21" s="374" t="s">
        <v>1</v>
      </c>
      <c r="E21" s="374" t="s">
        <v>1</v>
      </c>
      <c r="F21" s="374" t="s">
        <v>25</v>
      </c>
      <c r="G21" s="374"/>
      <c r="H21" s="374"/>
      <c r="I21" s="374"/>
      <c r="J21" s="374"/>
      <c r="L21" s="316"/>
      <c r="X21" s="316"/>
    </row>
    <row r="22" spans="1:28" x14ac:dyDescent="0.2">
      <c r="A22" s="378"/>
      <c r="B22" s="379"/>
      <c r="C22" s="379"/>
      <c r="D22" s="380"/>
      <c r="E22" s="380"/>
      <c r="F22" s="380"/>
      <c r="G22" s="380"/>
      <c r="H22" s="380"/>
      <c r="I22" s="380"/>
      <c r="J22" s="380"/>
      <c r="K22" s="378"/>
      <c r="L22" s="378"/>
      <c r="M22" s="378"/>
      <c r="N22" s="378"/>
      <c r="O22" s="378"/>
      <c r="P22" s="378"/>
      <c r="Q22" s="378"/>
      <c r="R22" s="378"/>
      <c r="S22" s="378"/>
      <c r="T22" s="378"/>
      <c r="U22" s="378"/>
      <c r="V22" s="381"/>
      <c r="W22" s="378"/>
      <c r="X22" s="378"/>
    </row>
    <row r="24" spans="1:28" x14ac:dyDescent="0.2">
      <c r="D24" s="382">
        <v>-1</v>
      </c>
      <c r="P24" s="382">
        <v>-1</v>
      </c>
    </row>
    <row r="25" spans="1:28" ht="15.75" x14ac:dyDescent="0.25">
      <c r="E25" s="331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abSelected="1" zoomScaleNormal="100" workbookViewId="0">
      <x:selection activeCell="A16" sqref="A1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7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7109375" style="1" customWidth="1"/>
    <x:col min="13" max="13" width="20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4.7109375" style="212" bestFit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38" width="11.42578125" style="1"/>
    <x:col min="39" max="39" width="15.7109375" style="1" bestFit="1" customWidth="1"/>
    <x:col min="40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13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13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13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13"/>
      <x:c r="AI5" s="4"/>
    </x:row>
    <x:row r="6" spans="2:35" ht="15.75" x14ac:dyDescent="0.25">
      <x:c r="B6" s="8"/>
      <x:c r="C6" s="511" t="s">
        <x:v>17</x:v>
      </x:c>
      <x:c r="D6" s="9"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13"/>
      <x:c r="AI6" s="4"/>
    </x:row>
    <x:row r="7" spans="2:35" ht="12.75" thickBot="1" x14ac:dyDescent="0.25">
      <x:c r="B7" s="8"/>
      <x:c r="C7" s="511" t="s">
        <x:v>0</x:v>
      </x:c>
      <x:c r="D7" s="198">
        <x:v>0.58333333333333337</x:v>
      </x:c>
      <x:c r="F7" s="2" t="s">
        <x:v>27</x:v>
      </x:c>
      <x:c r="G7" s="9" t="n">
        <x:v>46219</x:v>
      </x:c>
      <x:c r="J7" s="2" t="s">
        <x:v>28</x:v>
      </x:c>
      <x:c r="K7" s="9" t="n"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13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214"/>
      <x:c r="AI8" s="4"/>
    </x:row>
    <x:row r="9" spans="2:35" s="241" customFormat="1" x14ac:dyDescent="0.2">
      <x:c r="B9" s="239">
        <x:v>1</x:v>
      </x:c>
      <x:c r="C9" s="240" t="s">
        <x:v>10</x:v>
      </x:c>
      <x:c r="D9" s="313">
        <x:f>'Reporte Componentes R1'!F53</x:f>
        <x:v>0</x:v>
      </x:c>
      <x:c r="E9" s="228">
        <x:f>'Reporte Componentes R1'!G53</x:f>
        <x:v>0</x:v>
      </x:c>
      <x:c r="F9" s="228">
        <x:f>'Reporte Componentes R1'!H53</x:f>
        <x:v>0</x:v>
      </x:c>
      <x:c r="G9" s="228">
        <x:f>'Reporte Componentes R1'!I53</x:f>
        <x:v>0</x:v>
      </x:c>
      <x:c r="H9" s="228">
        <x:f>'Reporte Componentes R1'!J53</x:f>
        <x:v>0</x:v>
      </x:c>
      <x:c r="I9" s="228">
        <x:f>'Reporte Componentes R1'!K53</x:f>
        <x:v>0</x:v>
      </x:c>
      <x:c r="J9" s="224">
        <x:f>'BCE SC POR FACT.'!F3</x:f>
        <x:v>0</x:v>
      </x:c>
      <x:c r="K9" s="229">
        <x:f>D9-E9-F9-G9-H9-I9-J9</x:f>
        <x:v>0</x:v>
      </x:c>
      <x:c r="L9" s="230">
        <x:f>INTERVENTORIA!F15</x:f>
        <x:v>189185988</x:v>
      </x:c>
      <x:c r="M9" s="229">
        <x:f>K9-L9</x:f>
        <x:v>-189185988</x:v>
      </x:c>
      <x:c r="N9" s="314">
        <x:f>'Reporte Componentes R1'!L53</x:f>
        <x:v>0</x:v>
      </x:c>
      <x:c r="O9" s="229">
        <x:f>M9+N9</x:f>
        <x:v>-189185988</x:v>
      </x:c>
      <x:c r="Q9" s="242"/>
      <x:c r="S9" s="239">
        <x:v>1</x:v>
      </x:c>
      <x:c r="T9" s="240" t="s">
        <x:v>10</x:v>
      </x:c>
      <x:c r="U9" s="243">
        <x:f>'Reporte Componentes R1'!M53</x:f>
        <x:v>0</x:v>
      </x:c>
      <x:c r="V9" s="244">
        <x:f>'Reporte Componentes R1'!N53</x:f>
        <x:v>0</x:v>
      </x:c>
      <x:c r="W9" s="244">
        <x:f>'Reporte Componentes R1'!O53</x:f>
        <x:v>0</x:v>
      </x:c>
      <x:c r="X9" s="244">
        <x:f>'Reporte Componentes R1'!P53</x:f>
        <x:v>0</x:v>
      </x:c>
      <x:c r="Y9" s="245">
        <x:f>'Reporte Componentes R1'!Q53</x:f>
        <x:v>0</x:v>
      </x:c>
      <x:c r="Z9" s="246">
        <x:f>L9*-1</x:f>
        <x:v>-189185988</x:v>
      </x:c>
      <x:c r="AA9" s="247">
        <x:f>'Reporte Componentes R1'!R53+'Reporte Componentes R1'!U53+'Reporte Componentes R1'!V53</x:f>
        <x:v>0</x:v>
      </x:c>
      <x:c r="AB9" s="248">
        <x:f>N9</x:f>
        <x:v>0</x:v>
      </x:c>
      <x:c r="AC9" s="256">
        <x:f>'Reporte Componentes R1'!T53+'Reporte Componentes R1'!W53+'Reporte Componentes R1'!X53+'Reporte Componentes R1'!Y53+'Reporte Componentes R1'!Z53+'Reporte Componentes R1'!S53</x:f>
        <x:v>0</x:v>
      </x:c>
      <x:c r="AD9" s="227">
        <x:f>-J9+AE9</x:f>
        <x:v>0</x:v>
      </x:c>
      <x:c r="AE9" s="227">
        <x:f>'Reporte Componentes R1'!F54</x:f>
        <x:v>0</x:v>
      </x:c>
      <x:c r="AF9" s="249">
        <x:f>SUM(U9:AD9)</x:f>
        <x:v>-189185988</x:v>
      </x:c>
      <x:c r="AG9" s="439">
        <x:f>(AF9-O9)</x:f>
        <x:v>0</x:v>
      </x:c>
      <x:c r="AH9" s="24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'Reporte Componentes R1'!F206</x:f>
        <x:v>0</x:v>
      </x:c>
      <x:c r="E10" s="228">
        <x:f>'Reporte Componentes R1'!G206</x:f>
        <x:v>0</x:v>
      </x:c>
      <x:c r="F10" s="228">
        <x:f>'Reporte Componentes R1'!H206</x:f>
        <x:v>0</x:v>
      </x:c>
      <x:c r="G10" s="228">
        <x:f>'Reporte Componentes R1'!I206</x:f>
        <x:v>0</x:v>
      </x:c>
      <x:c r="H10" s="228">
        <x:f>'Reporte Componentes R1'!J206</x:f>
        <x:v>0</x:v>
      </x:c>
      <x:c r="I10" s="228">
        <x:f>'Reporte Componentes R1'!K206</x:f>
        <x:v>0</x:v>
      </x:c>
      <x:c r="J10" s="224">
        <x:f>'BCE SC POR FACT.'!F4</x:f>
        <x:v>0</x:v>
      </x:c>
      <x:c r="K10" s="231">
        <x:f>D10-E10-F10-G10-H10-I10-J10</x:f>
        <x:v>0</x:v>
      </x:c>
      <x:c r="L10" s="230">
        <x:f>INTERVENTORIA!F16</x:f>
        <x:v>266580256</x:v>
      </x:c>
      <x:c r="M10" s="231">
        <x:f>K10-L10</x:f>
        <x:v>-266580256</x:v>
      </x:c>
      <x:c r="N10" s="230">
        <x:f>'Reporte Componentes R1'!L206</x:f>
        <x:v>0</x:v>
      </x:c>
      <x:c r="O10" s="231">
        <x:f>M10+N10</x:f>
        <x:v>-266580256</x:v>
      </x:c>
      <x:c r="Q10" s="242"/>
      <x:c r="S10" s="250">
        <x:v>2</x:v>
      </x:c>
      <x:c r="T10" s="251" t="s">
        <x:v>11</x:v>
      </x:c>
      <x:c r="U10" s="252">
        <x:f>'Reporte Componentes R1'!M206</x:f>
        <x:v>0</x:v>
      </x:c>
      <x:c r="V10" s="253">
        <x:f>'Reporte Componentes R1'!N206</x:f>
        <x:v>0</x:v>
      </x:c>
      <x:c r="W10" s="253">
        <x:f>'Reporte Componentes R1'!O206</x:f>
        <x:v>0</x:v>
      </x:c>
      <x:c r="X10" s="253">
        <x:f>'Reporte Componentes R1'!P206</x:f>
        <x:v>0</x:v>
      </x:c>
      <x:c r="Y10" s="254">
        <x:f>'Reporte Componentes R1'!Q206</x:f>
        <x:v>0</x:v>
      </x:c>
      <x:c r="Z10" s="255">
        <x:f>L10*-1</x:f>
        <x:v>-266580256</x:v>
      </x:c>
      <x:c r="AA10" s="256">
        <x:f>'Reporte Componentes R1'!R206+'Reporte Componentes R1'!U206+'Reporte Componentes R1'!V206</x:f>
        <x:v>0</x:v>
      </x:c>
      <x:c r="AB10" s="257">
        <x:f>N10</x:f>
        <x:v>0</x:v>
      </x:c>
      <x:c r="AC10" s="256">
        <x:f>'Reporte Componentes R1'!T206+'Reporte Componentes R1'!W206+'Reporte Componentes R1'!X206+'Reporte Componentes R1'!Y206+'Reporte Componentes R1'!Z206+'Reporte Componentes R1'!S206</x:f>
        <x:v>0</x:v>
      </x:c>
      <x:c r="AD10" s="227">
        <x:f t="shared" ref="AD10:AD13" si="0">-J10+AE10</x:f>
        <x:v>0</x:v>
      </x:c>
      <x:c r="AE10" s="227">
        <x:f>'Reporte Componentes R1'!F207</x:f>
        <x:v>0</x:v>
      </x:c>
      <x:c r="AF10" s="258">
        <x:f>SUM(U10:AD10)</x:f>
        <x:v>-266580256</x:v>
      </x:c>
      <x:c r="AG10" s="440">
        <x:f>(AF10-O10)</x:f>
        <x:v>0</x:v>
      </x:c>
      <x:c r="AH10" s="241" t="b">
        <x:f t="shared" ref="AH10:AH13" si="1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'Reporte Componentes R1'!F343</x:f>
        <x:v>0</x:v>
      </x:c>
      <x:c r="E11" s="228">
        <x:f>'Reporte Componentes R1'!G343</x:f>
        <x:v>0</x:v>
      </x:c>
      <x:c r="F11" s="228">
        <x:f>'Reporte Componentes R1'!H343</x:f>
        <x:v>0</x:v>
      </x:c>
      <x:c r="G11" s="228">
        <x:f>'Reporte Componentes R1'!I343</x:f>
        <x:v>0</x:v>
      </x:c>
      <x:c r="H11" s="228">
        <x:f>'Reporte Componentes R1'!J343</x:f>
        <x:v>0</x:v>
      </x:c>
      <x:c r="I11" s="228">
        <x:f>'Reporte Componentes R1'!K343</x:f>
        <x:v>0</x:v>
      </x:c>
      <x:c r="J11" s="224">
        <x:f>'BCE SC POR FACT.'!F5</x:f>
        <x:v>0</x:v>
      </x:c>
      <x:c r="K11" s="231">
        <x:f>D11-E11-F11-G11-H11-I11-J11</x:f>
        <x:v>0</x:v>
      </x:c>
      <x:c r="L11" s="230">
        <x:f>INTERVENTORIA!F17</x:f>
        <x:v>154788536</x:v>
      </x:c>
      <x:c r="M11" s="231">
        <x:f>K11-L11</x:f>
        <x:v>-154788536</x:v>
      </x:c>
      <x:c r="N11" s="230">
        <x:f>'Reporte Componentes R1'!L343</x:f>
        <x:v>0</x:v>
      </x:c>
      <x:c r="O11" s="231">
        <x:f>M11+N11</x:f>
        <x:v>-154788536</x:v>
      </x:c>
      <x:c r="Q11" s="242"/>
      <x:c r="S11" s="250">
        <x:v>3</x:v>
      </x:c>
      <x:c r="T11" s="251" t="s">
        <x:v>12</x:v>
      </x:c>
      <x:c r="U11" s="252">
        <x:f>'Reporte Componentes R1'!M343</x:f>
        <x:v>0</x:v>
      </x:c>
      <x:c r="V11" s="253">
        <x:f>'Reporte Componentes R1'!N343</x:f>
        <x:v>0</x:v>
      </x:c>
      <x:c r="W11" s="253">
        <x:f>'Reporte Componentes R1'!O343</x:f>
        <x:v>0</x:v>
      </x:c>
      <x:c r="X11" s="253">
        <x:f>'Reporte Componentes R1'!P343</x:f>
        <x:v>0</x:v>
      </x:c>
      <x:c r="Y11" s="254">
        <x:f>'Reporte Componentes R1'!Q343</x:f>
        <x:v>0</x:v>
      </x:c>
      <x:c r="Z11" s="255">
        <x:f>L11*-1</x:f>
        <x:v>-154788536</x:v>
      </x:c>
      <x:c r="AA11" s="256">
        <x:f>'Reporte Componentes R1'!R343+'Reporte Componentes R1'!U343+'Reporte Componentes R1'!V343</x:f>
        <x:v>0</x:v>
      </x:c>
      <x:c r="AB11" s="257">
        <x:f>N11</x:f>
        <x:v>0</x:v>
      </x:c>
      <x:c r="AC11" s="256">
        <x:f>'Reporte Componentes R1'!T343+'Reporte Componentes R1'!W343+'Reporte Componentes R1'!X343+'Reporte Componentes R1'!Y343+'Reporte Componentes R1'!Z343+'Reporte Componentes R1'!S343</x:f>
        <x:v>0</x:v>
      </x:c>
      <x:c r="AD11" s="227">
        <x:f t="shared" si="0"/>
        <x:v>0</x:v>
      </x:c>
      <x:c r="AE11" s="227">
        <x:f>'Reporte Componentes R1'!F344</x:f>
        <x:v>0</x:v>
      </x:c>
      <x:c r="AF11" s="258">
        <x:f t="shared" ref="AF11:AF13" si="2">SUM(U11:AD11)</x:f>
        <x:v>-154788536</x:v>
      </x:c>
      <x:c r="AG11" s="440">
        <x:f>(AF11-O11)</x:f>
        <x:v>0</x:v>
      </x:c>
      <x:c r="AH11" s="241" t="b">
        <x:f t="shared" si="1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'Reporte Componentes R1'!F468</x:f>
        <x:v>0</x:v>
      </x:c>
      <x:c r="E12" s="228">
        <x:f>'Reporte Componentes R1'!G468</x:f>
        <x:v>0</x:v>
      </x:c>
      <x:c r="F12" s="228">
        <x:f>'Reporte Componentes R1'!H468</x:f>
        <x:v>0</x:v>
      </x:c>
      <x:c r="G12" s="228">
        <x:f>'Reporte Componentes R1'!I468</x:f>
        <x:v>0</x:v>
      </x:c>
      <x:c r="H12" s="228">
        <x:f>'Reporte Componentes R1'!J468</x:f>
        <x:v>0</x:v>
      </x:c>
      <x:c r="I12" s="228">
        <x:f>'Reporte Componentes R1'!K468</x:f>
        <x:v>0</x:v>
      </x:c>
      <x:c r="J12" s="224">
        <x:f>'BCE SC POR FACT.'!F6</x:f>
        <x:v>0</x:v>
      </x:c>
      <x:c r="K12" s="231">
        <x:f>D12-E12-F12-G12-H12-I12-J12</x:f>
        <x:v>0</x:v>
      </x:c>
      <x:c r="L12" s="230">
        <x:f>INTERVENTORIA!F18</x:f>
        <x:v>120391083</x:v>
      </x:c>
      <x:c r="M12" s="231">
        <x:f>K12-L12</x:f>
        <x:v>-120391083</x:v>
      </x:c>
      <x:c r="N12" s="230">
        <x:f>'Reporte Componentes R1'!L468</x:f>
        <x:v>0</x:v>
      </x:c>
      <x:c r="O12" s="231">
        <x:f>M12+N12</x:f>
        <x:v>-120391083</x:v>
      </x:c>
      <x:c r="Q12" s="242"/>
      <x:c r="S12" s="250">
        <x:v>4</x:v>
      </x:c>
      <x:c r="T12" s="251" t="s">
        <x:v>13</x:v>
      </x:c>
      <x:c r="U12" s="252">
        <x:f>'Reporte Componentes R1'!M468</x:f>
        <x:v>0</x:v>
      </x:c>
      <x:c r="V12" s="253">
        <x:f>'Reporte Componentes R1'!N468</x:f>
        <x:v>0</x:v>
      </x:c>
      <x:c r="W12" s="253">
        <x:f>'Reporte Componentes R1'!O468</x:f>
        <x:v>0</x:v>
      </x:c>
      <x:c r="X12" s="253">
        <x:f>'Reporte Componentes R1'!P468</x:f>
        <x:v>0</x:v>
      </x:c>
      <x:c r="Y12" s="254">
        <x:f>'Reporte Componentes R1'!Q468</x:f>
        <x:v>0</x:v>
      </x:c>
      <x:c r="Z12" s="255">
        <x:f>L12*-1</x:f>
        <x:v>-120391083</x:v>
      </x:c>
      <x:c r="AA12" s="256">
        <x:f>'Reporte Componentes R1'!R468+'Reporte Componentes R1'!U468+'Reporte Componentes R1'!V468</x:f>
        <x:v>0</x:v>
      </x:c>
      <x:c r="AB12" s="257">
        <x:f>N12</x:f>
        <x:v>0</x:v>
      </x:c>
      <x:c r="AC12" s="256">
        <x:f>'Reporte Componentes R1'!T468+'Reporte Componentes R1'!W468+'Reporte Componentes R1'!X468+'Reporte Componentes R1'!Y468+'Reporte Componentes R1'!Z468+'Reporte Componentes R1'!S468</x:f>
        <x:v>0</x:v>
      </x:c>
      <x:c r="AD12" s="227">
        <x:f t="shared" si="0"/>
        <x:v>0</x:v>
      </x:c>
      <x:c r="AE12" s="227">
        <x:f>'Reporte Componentes R1'!F469</x:f>
        <x:v>0</x:v>
      </x:c>
      <x:c r="AF12" s="258">
        <x:f t="shared" si="2"/>
        <x:v>-120391083</x:v>
      </x:c>
      <x:c r="AG12" s="440">
        <x:f>(AF12-O12)</x:f>
        <x:v>0</x:v>
      </x:c>
      <x:c r="AH12" s="241" t="b">
        <x:f t="shared" si="1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32">
        <x:f>'Reporte Componentes R1'!F558</x:f>
        <x:v>0</x:v>
      </x:c>
      <x:c r="E13" s="233">
        <x:f>'Reporte Componentes R1'!G558</x:f>
        <x:v>0</x:v>
      </x:c>
      <x:c r="F13" s="233">
        <x:f>'Reporte Componentes R1'!H558</x:f>
        <x:v>0</x:v>
      </x:c>
      <x:c r="G13" s="233">
        <x:f>'Reporte Componentes R1'!I558</x:f>
        <x:v>0</x:v>
      </x:c>
      <x:c r="H13" s="233">
        <x:f>'Reporte Componentes R1'!J558</x:f>
        <x:v>0</x:v>
      </x:c>
      <x:c r="I13" s="233">
        <x:f>'Reporte Componentes R1'!K558</x:f>
        <x:v>0</x:v>
      </x:c>
      <x:c r="J13" s="225">
        <x:f>'BCE SC POR FACT.'!F7</x:f>
        <x:v>0</x:v>
      </x:c>
      <x:c r="K13" s="231">
        <x:f>D13-E13-F13-G13-H13-I13-J13</x:f>
        <x:v>0</x:v>
      </x:c>
      <x:c r="L13" s="230">
        <x:f>INTERVENTORIA!F19</x:f>
        <x:v>128990446</x:v>
      </x:c>
      <x:c r="M13" s="234">
        <x:f>K13-L13</x:f>
        <x:v>-128990446</x:v>
      </x:c>
      <x:c r="N13" s="235">
        <x:f>'Reporte Componentes R1'!L558</x:f>
        <x:v>0</x:v>
      </x:c>
      <x:c r="O13" s="234">
        <x:f>M13+N13</x:f>
        <x:v>-128990446</x:v>
      </x:c>
      <x:c r="Q13" s="242"/>
      <x:c r="S13" s="260">
        <x:v>5</x:v>
      </x:c>
      <x:c r="T13" s="261" t="s">
        <x:v>14</x:v>
      </x:c>
      <x:c r="U13" s="232">
        <x:f>'Reporte Componentes R1'!M558</x:f>
        <x:v>0</x:v>
      </x:c>
      <x:c r="V13" s="233">
        <x:f>'Reporte Componentes R1'!N558</x:f>
        <x:v>0</x:v>
      </x:c>
      <x:c r="W13" s="233">
        <x:f>'Reporte Componentes R1'!O558</x:f>
        <x:v>0</x:v>
      </x:c>
      <x:c r="X13" s="233">
        <x:f>'Reporte Componentes R1'!P558</x:f>
        <x:v>0</x:v>
      </x:c>
      <x:c r="Y13" s="225">
        <x:f>'Reporte Componentes R1'!Q558</x:f>
        <x:v>0</x:v>
      </x:c>
      <x:c r="Z13" s="255">
        <x:f>L13*-1</x:f>
        <x:v>-128990446</x:v>
      </x:c>
      <x:c r="AA13" s="256">
        <x:f>'Reporte Componentes R1'!R558+'Reporte Componentes R1'!U558+'Reporte Componentes R1'!V558</x:f>
        <x:v>0</x:v>
      </x:c>
      <x:c r="AB13" s="257">
        <x:f>N13</x:f>
        <x:v>0</x:v>
      </x:c>
      <x:c r="AC13" s="256">
        <x:f>'Reporte Componentes R1'!T558+'Reporte Componentes R1'!W558+'Reporte Componentes R1'!X558+'Reporte Componentes R1'!Y558+'Reporte Componentes R1'!Z558+'Reporte Componentes R1'!S558</x:f>
        <x:v>0</x:v>
      </x:c>
      <x:c r="AD13" s="227">
        <x:f t="shared" si="0"/>
        <x:v>0</x:v>
      </x:c>
      <x:c r="AE13" s="227">
        <x:f>'Reporte Componentes R1'!F559</x:f>
        <x:v>0</x:v>
      </x:c>
      <x:c r="AF13" s="258">
        <x:f t="shared" si="2"/>
        <x:v>-128990446</x:v>
      </x:c>
      <x:c r="AG13" s="441">
        <x:f>(AF13-O13)</x:f>
        <x:v>0</x:v>
      </x:c>
      <x:c r="AH13" s="241" t="b">
        <x:f t="shared" si="1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3">SUM(E9:E13)</x:f>
        <x:v>0</x:v>
      </x:c>
      <x:c r="F14" s="226">
        <x:f t="shared" si="3"/>
        <x:v>0</x:v>
      </x:c>
      <x:c r="G14" s="226">
        <x:f t="shared" ref="G14" si="4">SUM(G9:G13)</x:f>
        <x:v>0</x:v>
      </x:c>
      <x:c r="H14" s="226">
        <x:f t="shared" si="3"/>
        <x:v>0</x:v>
      </x:c>
      <x:c r="I14" s="226">
        <x:f t="shared" si="3"/>
        <x:v>0</x:v>
      </x:c>
      <x:c r="J14" s="226">
        <x:f t="shared" si="3"/>
        <x:v>0</x:v>
      </x:c>
      <x:c r="K14" s="236">
        <x:f>SUM(K9:K13)</x:f>
        <x:v>0</x:v>
      </x:c>
      <x:c r="L14" s="237">
        <x:f>SUM(L9:L13)</x:f>
        <x:v>859936309</x:v>
      </x:c>
      <x:c r="M14" s="238">
        <x:f t="shared" si="3"/>
        <x:v>-859936309</x:v>
      </x:c>
      <x:c r="N14" s="237">
        <x:f t="shared" si="3"/>
        <x:v>0</x:v>
      </x:c>
      <x:c r="O14" s="238">
        <x:f t="shared" si="3"/>
        <x:v>-859936309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5">SUM(V9:V13)</x:f>
        <x:v>0</x:v>
      </x:c>
      <x:c r="W14" s="266">
        <x:f t="shared" si="5"/>
        <x:v>0</x:v>
      </x:c>
      <x:c r="X14" s="266">
        <x:f t="shared" si="5"/>
        <x:v>0</x:v>
      </x:c>
      <x:c r="Y14" s="266">
        <x:f t="shared" si="5"/>
        <x:v>0</x:v>
      </x:c>
      <x:c r="Z14" s="226">
        <x:f t="shared" si="5"/>
        <x:v>-859936309</x:v>
      </x:c>
      <x:c r="AA14" s="226">
        <x:f t="shared" si="5"/>
        <x:v>0</x:v>
      </x:c>
      <x:c r="AB14" s="226">
        <x:f t="shared" si="5"/>
        <x:v>0</x:v>
      </x:c>
      <x:c r="AC14" s="226">
        <x:f>SUM(AC9:AC13)</x:f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5"/>
        <x:v>-859936309</x:v>
      </x:c>
      <x:c r="AG14" s="442">
        <x:f>SUM(AG9:AG13)</x:f>
        <x:v>0</x:v>
      </x:c>
      <x:c r="AH14" s="241" t="b">
        <x:f>INT(AG14)=0</x:f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58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15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13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13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13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13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13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13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214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R2'!E43</x:f>
        <x:v>0</x:v>
      </x:c>
      <x:c r="E28" s="228">
        <x:f>'Rem. Anticipos R2'!F43</x:f>
        <x:v>0</x:v>
      </x:c>
      <x:c r="F28" s="228">
        <x:f>'Rem. Anticipos R2'!G43</x:f>
        <x:v>0</x:v>
      </x:c>
      <x:c r="G28" s="228">
        <x:f>'Rem. Anticipos R2'!H43</x:f>
        <x:v>0</x:v>
      </x:c>
      <x:c r="H28" s="228">
        <x:f>'Rem. Anticipos R2'!I43</x:f>
        <x:v>0</x:v>
      </x:c>
      <x:c r="I28" s="228">
        <x:f>'Rem. Anticipos R2'!J43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R2'!K43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R2'!L43</x:f>
        <x:v>0</x:v>
      </x:c>
      <x:c r="V28" s="244">
        <x:f>'Rem. Anticipos R2'!M43</x:f>
        <x:v>0</x:v>
      </x:c>
      <x:c r="W28" s="244">
        <x:f>'Rem. Anticipos R2'!N43</x:f>
        <x:v>0</x:v>
      </x:c>
      <x:c r="X28" s="244">
        <x:f>'Rem. Anticipos R2'!O43</x:f>
        <x:v>0</x:v>
      </x:c>
      <x:c r="Y28" s="244">
        <x:f>'Rem. Anticipos R2'!P43</x:f>
        <x:v>0</x:v>
      </x:c>
      <x:c r="Z28" s="246">
        <x:f>L28*-1</x:f>
        <x:v>0</x:v>
      </x:c>
      <x:c r="AA28" s="247">
        <x:f>'Rem. Anticipos R2'!Q43</x:f>
        <x:v>0</x:v>
      </x:c>
      <x:c r="AB28" s="230">
        <x:f>N28</x:f>
        <x:v>0</x:v>
      </x:c>
      <x:c r="AC28" s="247">
        <x:f>'Rem. Anticipos R2'!R43</x:f>
        <x:v>0</x:v>
      </x:c>
      <x:c r="AD28" s="227">
        <x:f>-J28+AE28</x:f>
        <x:v>0</x:v>
      </x:c>
      <x:c r="AE28" s="227">
        <x:f>'Rem. Anticipos R2'!E44</x:f>
        <x:v>0</x:v>
      </x:c>
      <x:c r="AF28" s="249">
        <x:f>SUM(U28:AD28)</x:f>
        <x:v>0</x:v>
      </x:c>
      <x:c r="AG28" s="439">
        <x:f>(AF28-O28)</x:f>
        <x:v>0</x:v>
      </x:c>
      <x:c r="AH28" s="24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R2'!E139</x:f>
        <x:v>0</x:v>
      </x:c>
      <x:c r="E29" s="228">
        <x:f>'Rem. Anticipos R2'!F139</x:f>
        <x:v>0</x:v>
      </x:c>
      <x:c r="F29" s="228">
        <x:f>'Rem. Anticipos R2'!G139</x:f>
        <x:v>0</x:v>
      </x:c>
      <x:c r="G29" s="228">
        <x:f>'Rem. Anticipos R2'!H139</x:f>
        <x:v>0</x:v>
      </x:c>
      <x:c r="H29" s="228">
        <x:f>'Rem. Anticipos R2'!I139</x:f>
        <x:v>0</x:v>
      </x:c>
      <x:c r="I29" s="228">
        <x:f>'Rem. Anticipos R2'!J139</x:f>
        <x:v>0</x:v>
      </x:c>
      <x:c r="J29" s="224">
        <x:v>0</x:v>
      </x:c>
      <x:c r="K29" s="231">
        <x:f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R2'!K139</x:f>
        <x:v>0</x:v>
      </x:c>
      <x:c r="O29" s="231">
        <x:f t="shared" ref="O29:O32" si="6">M29+N29</x:f>
        <x:v>0</x:v>
      </x:c>
      <x:c r="Q29" s="242"/>
      <x:c r="S29" s="250">
        <x:v>2</x:v>
      </x:c>
      <x:c r="T29" s="251" t="s">
        <x:v>11</x:v>
      </x:c>
      <x:c r="U29" s="252">
        <x:f>'Rem. Anticipos R2'!L139</x:f>
        <x:v>0</x:v>
      </x:c>
      <x:c r="V29" s="253">
        <x:f>'Rem. Anticipos R2'!M139</x:f>
        <x:v>0</x:v>
      </x:c>
      <x:c r="W29" s="253">
        <x:f>'Rem. Anticipos R2'!N139</x:f>
        <x:v>0</x:v>
      </x:c>
      <x:c r="X29" s="253">
        <x:f>'Rem. Anticipos R2'!O139</x:f>
        <x:v>0</x:v>
      </x:c>
      <x:c r="Y29" s="254">
        <x:f>'Rem. Anticipos R2'!P139</x:f>
        <x:v>0</x:v>
      </x:c>
      <x:c r="Z29" s="255">
        <x:f>L29*-1</x:f>
        <x:v>0</x:v>
      </x:c>
      <x:c r="AA29" s="256">
        <x:f>'Rem. Anticipos R2'!Q139</x:f>
        <x:v>0</x:v>
      </x:c>
      <x:c r="AB29" s="230">
        <x:f>N29</x:f>
        <x:v>0</x:v>
      </x:c>
      <x:c r="AC29" s="256">
        <x:f>'Rem. Anticipos R2'!R139</x:f>
        <x:v>0</x:v>
      </x:c>
      <x:c r="AD29" s="227">
        <x:f>-J29+AE29</x:f>
        <x:v>0</x:v>
      </x:c>
      <x:c r="AE29" s="227">
        <x:f>'Rem. Anticipos R2'!E140</x:f>
        <x:v>0</x:v>
      </x:c>
      <x:c r="AF29" s="258">
        <x:f>SUM(U29:AD29)</x:f>
        <x:v>0</x:v>
      </x:c>
      <x:c r="AG29" s="440">
        <x:f>(AF29-O29)</x:f>
        <x:v>0</x:v>
      </x:c>
      <x:c r="AH29" s="241" t="b">
        <x:f t="shared" ref="AH29:AH32" si="7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R2'!E256</x:f>
        <x:v>0</x:v>
      </x:c>
      <x:c r="E30" s="228">
        <x:f>'Rem. Anticipos R2'!F256</x:f>
        <x:v>0</x:v>
      </x:c>
      <x:c r="F30" s="228">
        <x:f>'Rem. Anticipos R2'!G256</x:f>
        <x:v>0</x:v>
      </x:c>
      <x:c r="G30" s="228">
        <x:f>'Rem. Anticipos R2'!H256</x:f>
        <x:v>0</x:v>
      </x:c>
      <x:c r="H30" s="228">
        <x:f>'Rem. Anticipos R2'!I256</x:f>
        <x:v>0</x:v>
      </x:c>
      <x:c r="I30" s="228">
        <x:f>'Rem. Anticipos R2'!J256</x:f>
        <x:v>0</x:v>
      </x:c>
      <x:c r="J30" s="224">
        <x:v>0</x:v>
      </x:c>
      <x:c r="K30" s="231">
        <x:f t="shared" ref="K30:K31" si="8">D30-E30-F30-G30-H30-I30-J30</x:f>
        <x:v>0</x:v>
      </x:c>
      <x:c r="L30" s="230">
        <x:v>0</x:v>
      </x:c>
      <x:c r="M30" s="231">
        <x:f>K30-L30</x:f>
        <x:v>0</x:v>
      </x:c>
      <x:c r="N30" s="230">
        <x:f>'Rem. Anticipos R2'!K256</x:f>
        <x:v>0</x:v>
      </x:c>
      <x:c r="O30" s="231">
        <x:f t="shared" si="6"/>
        <x:v>0</x:v>
      </x:c>
      <x:c r="Q30" s="242"/>
      <x:c r="S30" s="250">
        <x:v>3</x:v>
      </x:c>
      <x:c r="T30" s="251" t="s">
        <x:v>12</x:v>
      </x:c>
      <x:c r="U30" s="252">
        <x:f>'Rem. Anticipos R2'!L256</x:f>
        <x:v>0</x:v>
      </x:c>
      <x:c r="V30" s="253">
        <x:f>'Rem. Anticipos R2'!M256</x:f>
        <x:v>0</x:v>
      </x:c>
      <x:c r="W30" s="253">
        <x:f>'Rem. Anticipos R2'!N256</x:f>
        <x:v>0</x:v>
      </x:c>
      <x:c r="X30" s="253">
        <x:f>'Rem. Anticipos R2'!O256</x:f>
        <x:v>0</x:v>
      </x:c>
      <x:c r="Y30" s="254">
        <x:f>'Rem. Anticipos R2'!P256</x:f>
        <x:v>0</x:v>
      </x:c>
      <x:c r="Z30" s="255">
        <x:f>L30*-1</x:f>
        <x:v>0</x:v>
      </x:c>
      <x:c r="AA30" s="256">
        <x:f>'Rem. Anticipos R2'!Q256</x:f>
        <x:v>0</x:v>
      </x:c>
      <x:c r="AB30" s="230">
        <x:f>N30</x:f>
        <x:v>0</x:v>
      </x:c>
      <x:c r="AC30" s="256">
        <x:f>'Rem. Anticipos R2'!R256</x:f>
        <x:v>0</x:v>
      </x:c>
      <x:c r="AD30" s="227">
        <x:f t="shared" ref="AD30:AD32" si="9">-J30+AE30</x:f>
        <x:v>0</x:v>
      </x:c>
      <x:c r="AE30" s="227">
        <x:f>'Rem. Anticipos R2'!E257</x:f>
        <x:v>0</x:v>
      </x:c>
      <x:c r="AF30" s="258">
        <x:f>SUM(U30:AD30)</x:f>
        <x:v>0</x:v>
      </x:c>
      <x:c r="AG30" s="440">
        <x:f t="shared" ref="AG30:AG31" si="10">(AF30-O30)</x:f>
        <x:v>0</x:v>
      </x:c>
      <x:c r="AH30" s="241" t="b">
        <x:f t="shared" si="7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R2'!E358</x:f>
        <x:v>0</x:v>
      </x:c>
      <x:c r="E31" s="228">
        <x:f>'Rem. Anticipos R2'!F358</x:f>
        <x:v>0</x:v>
      </x:c>
      <x:c r="F31" s="228">
        <x:f>'Rem. Anticipos R2'!G358</x:f>
        <x:v>0</x:v>
      </x:c>
      <x:c r="G31" s="228">
        <x:f>'Rem. Anticipos R2'!H358</x:f>
        <x:v>0</x:v>
      </x:c>
      <x:c r="H31" s="228">
        <x:f>'Rem. Anticipos R2'!I358</x:f>
        <x:v>0</x:v>
      </x:c>
      <x:c r="I31" s="228">
        <x:f>'Rem. Anticipos R2'!J358</x:f>
        <x:v>0</x:v>
      </x:c>
      <x:c r="J31" s="224">
        <x:v>0</x:v>
      </x:c>
      <x:c r="K31" s="231">
        <x:f t="shared" si="8"/>
        <x:v>0</x:v>
      </x:c>
      <x:c r="L31" s="230">
        <x:v>0</x:v>
      </x:c>
      <x:c r="M31" s="231">
        <x:f>K31-L31</x:f>
        <x:v>0</x:v>
      </x:c>
      <x:c r="N31" s="230">
        <x:f>'Rem. Anticipos R2'!K358</x:f>
        <x:v>0</x:v>
      </x:c>
      <x:c r="O31" s="231">
        <x:f t="shared" si="6"/>
        <x:v>0</x:v>
      </x:c>
      <x:c r="Q31" s="242"/>
      <x:c r="S31" s="250">
        <x:v>4</x:v>
      </x:c>
      <x:c r="T31" s="251" t="s">
        <x:v>13</x:v>
      </x:c>
      <x:c r="U31" s="252">
        <x:f>'Rem. Anticipos R2'!L358</x:f>
        <x:v>0</x:v>
      </x:c>
      <x:c r="V31" s="253">
        <x:f>'Rem. Anticipos R2'!M358</x:f>
        <x:v>0</x:v>
      </x:c>
      <x:c r="W31" s="253">
        <x:f>'Rem. Anticipos R2'!N358</x:f>
        <x:v>0</x:v>
      </x:c>
      <x:c r="X31" s="253">
        <x:f>'Rem. Anticipos R2'!O358</x:f>
        <x:v>0</x:v>
      </x:c>
      <x:c r="Y31" s="254">
        <x:f>'Rem. Anticipos R2'!P358</x:f>
        <x:v>0</x:v>
      </x:c>
      <x:c r="Z31" s="255">
        <x:f>L31*-1</x:f>
        <x:v>0</x:v>
      </x:c>
      <x:c r="AA31" s="256">
        <x:f>'Rem. Anticipos R2'!Q358</x:f>
        <x:v>0</x:v>
      </x:c>
      <x:c r="AB31" s="230">
        <x:f>N31</x:f>
        <x:v>0</x:v>
      </x:c>
      <x:c r="AC31" s="256">
        <x:f>'Rem. Anticipos R2'!R358</x:f>
        <x:v>0</x:v>
      </x:c>
      <x:c r="AD31" s="227">
        <x:f t="shared" si="9"/>
        <x:v>0</x:v>
      </x:c>
      <x:c r="AE31" s="227">
        <x:f>'Rem. Anticipos R2'!E359</x:f>
        <x:v>0</x:v>
      </x:c>
      <x:c r="AF31" s="258">
        <x:f>SUM(U31:AD31)</x:f>
        <x:v>0</x:v>
      </x:c>
      <x:c r="AG31" s="440">
        <x:f t="shared" si="10"/>
        <x:v>0</x:v>
      </x:c>
      <x:c r="AH31" s="241" t="b">
        <x:f t="shared" si="7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R2'!E438</x:f>
        <x:v>0</x:v>
      </x:c>
      <x:c r="E32" s="233">
        <x:f>'Rem. Anticipos R2'!F438</x:f>
        <x:v>0</x:v>
      </x:c>
      <x:c r="F32" s="233">
        <x:f>'Rem. Anticipos R2'!G438</x:f>
        <x:v>0</x:v>
      </x:c>
      <x:c r="G32" s="233">
        <x:f>'Rem. Anticipos R2'!H438</x:f>
        <x:v>0</x:v>
      </x:c>
      <x:c r="H32" s="233">
        <x:f>'Rem. Anticipos R2'!I438</x:f>
        <x:v>0</x:v>
      </x:c>
      <x:c r="I32" s="233">
        <x:f>'Rem. Anticipos R2'!J438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R2'!K438</x:f>
        <x:v>0</x:v>
      </x:c>
      <x:c r="O32" s="234">
        <x:f t="shared" si="6"/>
        <x:v>0</x:v>
      </x:c>
      <x:c r="Q32" s="242"/>
      <x:c r="S32" s="260">
        <x:v>5</x:v>
      </x:c>
      <x:c r="T32" s="261" t="s">
        <x:v>14</x:v>
      </x:c>
      <x:c r="U32" s="232">
        <x:f>'Rem. Anticipos R2'!L438</x:f>
        <x:v>0</x:v>
      </x:c>
      <x:c r="V32" s="233">
        <x:f>'Rem. Anticipos R2'!M438</x:f>
        <x:v>0</x:v>
      </x:c>
      <x:c r="W32" s="233">
        <x:f>'Rem. Anticipos R2'!N438</x:f>
        <x:v>0</x:v>
      </x:c>
      <x:c r="X32" s="233">
        <x:f>'Rem. Anticipos R2'!O438</x:f>
        <x:v>0</x:v>
      </x:c>
      <x:c r="Y32" s="225">
        <x:f>'Rem. Anticipos R2'!P438</x:f>
        <x:v>0</x:v>
      </x:c>
      <x:c r="Z32" s="255">
        <x:f>L32*-1</x:f>
        <x:v>0</x:v>
      </x:c>
      <x:c r="AA32" s="256">
        <x:f>'Rem. Anticipos R2'!Q438</x:f>
        <x:v>0</x:v>
      </x:c>
      <x:c r="AB32" s="230">
        <x:f>N32</x:f>
        <x:v>0</x:v>
      </x:c>
      <x:c r="AC32" s="256">
        <x:f>'Rem. Anticipos R2'!R438</x:f>
        <x:v>0</x:v>
      </x:c>
      <x:c r="AD32" s="227">
        <x:f t="shared" si="9"/>
        <x:v>0</x:v>
      </x:c>
      <x:c r="AE32" s="227">
        <x:f>'Rem. Anticipos R2'!E439</x:f>
        <x:v>0</x:v>
      </x:c>
      <x:c r="AF32" s="258">
        <x:f>SUM(U32:AD32)</x:f>
        <x:v>0</x:v>
      </x:c>
      <x:c r="AG32" s="441">
        <x:f>(AF32-O32)</x:f>
        <x:v>0</x:v>
      </x:c>
      <x:c r="AH32" s="241" t="b">
        <x:f t="shared" si="7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1">SUM(F28:F32)</x:f>
        <x:v>0</x:v>
      </x:c>
      <x:c r="G33" s="226">
        <x:f t="shared" ref="G33" si="12">SUM(G28:G32)</x:f>
        <x:v>0</x:v>
      </x:c>
      <x:c r="H33" s="226">
        <x:f t="shared" si="11"/>
        <x:v>0</x:v>
      </x:c>
      <x:c r="I33" s="226">
        <x:f t="shared" si="11"/>
        <x:v>0</x:v>
      </x:c>
      <x:c r="J33" s="226">
        <x:f t="shared" si="11"/>
        <x:v>0</x:v>
      </x:c>
      <x:c r="K33" s="236">
        <x:f t="shared" si="11"/>
        <x:v>0</x:v>
      </x:c>
      <x:c r="L33" s="237">
        <x:f t="shared" si="11"/>
        <x:v>0</x:v>
      </x:c>
      <x:c r="M33" s="238">
        <x:f t="shared" si="11"/>
        <x:v>0</x:v>
      </x:c>
      <x:c r="N33" s="237">
        <x:f t="shared" si="11"/>
        <x:v>0</x:v>
      </x:c>
      <x:c r="O33" s="238">
        <x:f t="shared" si="11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F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442">
        <x:f t="shared" ref="AG33" si="15">SUM(AG28:AG32)</x:f>
        <x:v>0</x:v>
      </x:c>
      <x:c r="AH33" s="241" t="b">
        <x:f>INT(AG33)=0</x:f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15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13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13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13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13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13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13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214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R1'!F55</x:f>
        <x:v>0</x:v>
      </x:c>
      <x:c r="E47" s="228">
        <x:f>'Reporte Componentes R1'!G55</x:f>
        <x:v>0</x:v>
      </x:c>
      <x:c r="F47" s="228">
        <x:f>'Reporte Componentes R1'!H55</x:f>
        <x:v>0</x:v>
      </x:c>
      <x:c r="G47" s="228">
        <x:f>'Reporte Componentes R1'!I55</x:f>
        <x:v>0</x:v>
      </x:c>
      <x:c r="H47" s="228">
        <x:f>'Reporte Componentes R1'!J55</x:f>
        <x:v>0</x:v>
      </x:c>
      <x:c r="I47" s="228">
        <x:f>'Reporte Componentes R1'!K55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R1'!L55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R1'!M55</x:f>
        <x:v>0</x:v>
      </x:c>
      <x:c r="V47" s="244">
        <x:f>'Reporte Componentes R1'!N55</x:f>
        <x:v>0</x:v>
      </x:c>
      <x:c r="W47" s="244">
        <x:f>'Reporte Componentes R1'!O55</x:f>
        <x:v>0</x:v>
      </x:c>
      <x:c r="X47" s="244">
        <x:f>'Reporte Componentes R1'!P55</x:f>
        <x:v>0</x:v>
      </x:c>
      <x:c r="Y47" s="245">
        <x:f>'Reporte Componentes R1'!Q55</x:f>
        <x:v>0</x:v>
      </x:c>
      <x:c r="Z47" s="246">
        <x:f>-L47</x:f>
        <x:v>0</x:v>
      </x:c>
      <x:c r="AA47" s="256">
        <x:f>'Reporte Componentes R1'!R55+'Reporte Componentes R1'!V55+'Reporte Componentes R1'!U55</x:f>
        <x:v>0</x:v>
      </x:c>
      <x:c r="AB47" s="230">
        <x:f>N47</x:f>
        <x:v>0</x:v>
      </x:c>
      <x:c r="AC47" s="247">
        <x:f>'Reporte Componentes R1'!T55+'Reporte Componentes R1'!W55+'Reporte Componentes R1'!X55+'Reporte Componentes R1'!Y55+'Reporte Componentes R1'!Z55+'Reporte Componentes R1'!S55</x:f>
        <x:v>0</x:v>
      </x:c>
      <x:c r="AD47" s="227">
        <x:f>-J47+AE47</x:f>
        <x:v>0</x:v>
      </x:c>
      <x:c r="AE47" s="227">
        <x:f>'Reporte Componentes R1'!F56</x:f>
        <x:v>0</x:v>
      </x:c>
      <x:c r="AF47" s="249">
        <x:f>SUM(U47:AD47)</x:f>
        <x:v>0</x:v>
      </x:c>
      <x:c r="AG47" s="439">
        <x:f>(AF47-O47)</x:f>
        <x:v>0</x:v>
      </x:c>
      <x:c r="AH47" s="24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R1'!F208</x:f>
        <x:v>0</x:v>
      </x:c>
      <x:c r="E48" s="228">
        <x:f>'Reporte Componentes R1'!G208</x:f>
        <x:v>0</x:v>
      </x:c>
      <x:c r="F48" s="228">
        <x:f>'Reporte Componentes R1'!H208</x:f>
        <x:v>0</x:v>
      </x:c>
      <x:c r="G48" s="228">
        <x:f>'Reporte Componentes R1'!I208</x:f>
        <x:v>0</x:v>
      </x:c>
      <x:c r="H48" s="228">
        <x:f>'Reporte Componentes R1'!J208</x:f>
        <x:v>0</x:v>
      </x:c>
      <x:c r="I48" s="228">
        <x:f>'Reporte Componentes R1'!K208</x:f>
        <x:v>0</x:v>
      </x:c>
      <x:c r="J48" s="224">
        <x:v>0</x:v>
      </x:c>
      <x:c r="K48" s="231">
        <x:f t="shared" ref="K48:K51" si="16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R1'!L208</x:f>
        <x:v>0</x:v>
      </x:c>
      <x:c r="O48" s="231">
        <x:f t="shared" ref="O48:O51" si="17">M48+N48</x:f>
        <x:v>0</x:v>
      </x:c>
      <x:c r="Q48" s="242"/>
      <x:c r="S48" s="250">
        <x:v>2</x:v>
      </x:c>
      <x:c r="T48" s="251" t="s">
        <x:v>11</x:v>
      </x:c>
      <x:c r="U48" s="252">
        <x:f>'Reporte Componentes R1'!M208</x:f>
        <x:v>0</x:v>
      </x:c>
      <x:c r="V48" s="253">
        <x:f>'Reporte Componentes R1'!N208</x:f>
        <x:v>0</x:v>
      </x:c>
      <x:c r="W48" s="253">
        <x:f>'Reporte Componentes R1'!O208</x:f>
        <x:v>0</x:v>
      </x:c>
      <x:c r="X48" s="253">
        <x:f>'Reporte Componentes R1'!P208</x:f>
        <x:v>0</x:v>
      </x:c>
      <x:c r="Y48" s="254">
        <x:f>'Reporte Componentes R1'!Q208</x:f>
        <x:v>0</x:v>
      </x:c>
      <x:c r="Z48" s="255">
        <x:f>-L48</x:f>
        <x:v>0</x:v>
      </x:c>
      <x:c r="AA48" s="256">
        <x:f>'Reporte Componentes R1'!R208+'Reporte Componentes R1'!V208+'Reporte Componentes R1'!U208</x:f>
        <x:v>0</x:v>
      </x:c>
      <x:c r="AB48" s="230">
        <x:f>N48</x:f>
        <x:v>0</x:v>
      </x:c>
      <x:c r="AC48" s="256">
        <x:f>'Reporte Componentes R1'!T208+'Reporte Componentes R1'!W208+'Reporte Componentes R1'!X208+'Reporte Componentes R1'!Y208+'Reporte Componentes R1'!Z208+'Reporte Componentes R1'!S208</x:f>
        <x:v>0</x:v>
      </x:c>
      <x:c r="AD48" s="227">
        <x:f t="shared" ref="AD48:AD51" si="18">-J48+AE48</x:f>
        <x:v>0</x:v>
      </x:c>
      <x:c r="AE48" s="227">
        <x:f>'Reporte Componentes R1'!F209</x:f>
        <x:v>0</x:v>
      </x:c>
      <x:c r="AF48" s="258">
        <x:f>SUM(U48:AD48)</x:f>
        <x:v>0</x:v>
      </x:c>
      <x:c r="AG48" s="440">
        <x:f>(AF48-O48)</x:f>
        <x:v>0</x:v>
      </x:c>
      <x:c r="AH48" s="241" t="b">
        <x:f t="shared" ref="AH48:AH51" si="19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R1'!F345</x:f>
        <x:v>0</x:v>
      </x:c>
      <x:c r="E49" s="228">
        <x:f>'Reporte Componentes R1'!G345</x:f>
        <x:v>0</x:v>
      </x:c>
      <x:c r="F49" s="228">
        <x:f>'Reporte Componentes R1'!H345</x:f>
        <x:v>0</x:v>
      </x:c>
      <x:c r="G49" s="228">
        <x:f>'Reporte Componentes R1'!I345</x:f>
        <x:v>0</x:v>
      </x:c>
      <x:c r="H49" s="228">
        <x:f>'Reporte Componentes R1'!J345</x:f>
        <x:v>0</x:v>
      </x:c>
      <x:c r="I49" s="228">
        <x:f>'Reporte Componentes R1'!K345</x:f>
        <x:v>0</x:v>
      </x:c>
      <x:c r="J49" s="224">
        <x:v>0</x:v>
      </x:c>
      <x:c r="K49" s="231">
        <x:f t="shared" si="16"/>
        <x:v>0</x:v>
      </x:c>
      <x:c r="L49" s="230">
        <x:v>0</x:v>
      </x:c>
      <x:c r="M49" s="231">
        <x:f>K49-L49</x:f>
        <x:v>0</x:v>
      </x:c>
      <x:c r="N49" s="230">
        <x:f>'Reporte Componentes R1'!L345</x:f>
        <x:v>0</x:v>
      </x:c>
      <x:c r="O49" s="231">
        <x:f t="shared" si="17"/>
        <x:v>0</x:v>
      </x:c>
      <x:c r="Q49" s="242"/>
      <x:c r="S49" s="250">
        <x:v>3</x:v>
      </x:c>
      <x:c r="T49" s="251" t="s">
        <x:v>12</x:v>
      </x:c>
      <x:c r="U49" s="252">
        <x:f>'Reporte Componentes R1'!M345</x:f>
        <x:v>0</x:v>
      </x:c>
      <x:c r="V49" s="253">
        <x:f>'Reporte Componentes R1'!N345</x:f>
        <x:v>0</x:v>
      </x:c>
      <x:c r="W49" s="253">
        <x:f>'Reporte Componentes R1'!O345</x:f>
        <x:v>0</x:v>
      </x:c>
      <x:c r="X49" s="253">
        <x:f>'Reporte Componentes R1'!P345</x:f>
        <x:v>0</x:v>
      </x:c>
      <x:c r="Y49" s="254">
        <x:f>'Reporte Componentes R1'!Q345</x:f>
        <x:v>0</x:v>
      </x:c>
      <x:c r="Z49" s="255">
        <x:f>-L49</x:f>
        <x:v>0</x:v>
      </x:c>
      <x:c r="AA49" s="256">
        <x:f>'Reporte Componentes R1'!R345+'Reporte Componentes R1'!V345+'Reporte Componentes R1'!U345</x:f>
        <x:v>0</x:v>
      </x:c>
      <x:c r="AB49" s="230">
        <x:f>N49</x:f>
        <x:v>0</x:v>
      </x:c>
      <x:c r="AC49" s="256">
        <x:f>'Reporte Componentes R1'!T345+'Reporte Componentes R1'!W345+'Reporte Componentes R1'!X345+'Reporte Componentes R1'!Y345+'Reporte Componentes R1'!Z345+'Reporte Componentes R1'!S345</x:f>
        <x:v>0</x:v>
      </x:c>
      <x:c r="AD49" s="227">
        <x:f t="shared" si="18"/>
        <x:v>0</x:v>
      </x:c>
      <x:c r="AE49" s="227">
        <x:f>'Reporte Componentes R1'!F346</x:f>
        <x:v>0</x:v>
      </x:c>
      <x:c r="AF49" s="258">
        <x:f t="shared" ref="AF49:AF51" si="20">SUM(U49:AD49)</x:f>
        <x:v>0</x:v>
      </x:c>
      <x:c r="AG49" s="440">
        <x:f t="shared" ref="AG49:AG51" si="21">(AF49-O49)</x:f>
        <x:v>0</x:v>
      </x:c>
      <x:c r="AH49" s="241" t="b">
        <x:f t="shared" si="19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R1'!F470</x:f>
        <x:v>0</x:v>
      </x:c>
      <x:c r="E50" s="228">
        <x:f>'Reporte Componentes R1'!G470</x:f>
        <x:v>0</x:v>
      </x:c>
      <x:c r="F50" s="228">
        <x:f>'Reporte Componentes R1'!H470</x:f>
        <x:v>0</x:v>
      </x:c>
      <x:c r="G50" s="228">
        <x:f>'Reporte Componentes R1'!I470</x:f>
        <x:v>0</x:v>
      </x:c>
      <x:c r="H50" s="228">
        <x:f>'Reporte Componentes R1'!J470</x:f>
        <x:v>0</x:v>
      </x:c>
      <x:c r="I50" s="228">
        <x:f>'Reporte Componentes R1'!K470</x:f>
        <x:v>0</x:v>
      </x:c>
      <x:c r="J50" s="224">
        <x:v>0</x:v>
      </x:c>
      <x:c r="K50" s="231">
        <x:f t="shared" si="16"/>
        <x:v>0</x:v>
      </x:c>
      <x:c r="L50" s="230">
        <x:v>0</x:v>
      </x:c>
      <x:c r="M50" s="231">
        <x:f>K50-L50</x:f>
        <x:v>0</x:v>
      </x:c>
      <x:c r="N50" s="230">
        <x:f>'Reporte Componentes R1'!L470</x:f>
        <x:v>0</x:v>
      </x:c>
      <x:c r="O50" s="231">
        <x:f t="shared" si="17"/>
        <x:v>0</x:v>
      </x:c>
      <x:c r="Q50" s="242"/>
      <x:c r="S50" s="250">
        <x:v>4</x:v>
      </x:c>
      <x:c r="T50" s="251" t="s">
        <x:v>13</x:v>
      </x:c>
      <x:c r="U50" s="252">
        <x:f>'Reporte Componentes R1'!M470</x:f>
        <x:v>0</x:v>
      </x:c>
      <x:c r="V50" s="253">
        <x:f>'Reporte Componentes R1'!N470</x:f>
        <x:v>0</x:v>
      </x:c>
      <x:c r="W50" s="253">
        <x:f>'Reporte Componentes R1'!O470</x:f>
        <x:v>0</x:v>
      </x:c>
      <x:c r="X50" s="253">
        <x:f>'Reporte Componentes R1'!P470</x:f>
        <x:v>0</x:v>
      </x:c>
      <x:c r="Y50" s="254">
        <x:f>'Reporte Componentes R1'!Q470</x:f>
        <x:v>0</x:v>
      </x:c>
      <x:c r="Z50" s="255">
        <x:f>-L50</x:f>
        <x:v>0</x:v>
      </x:c>
      <x:c r="AA50" s="256">
        <x:f>'Reporte Componentes R1'!R470+'Reporte Componentes R1'!V470+'Reporte Componentes R1'!U470</x:f>
        <x:v>0</x:v>
      </x:c>
      <x:c r="AB50" s="230">
        <x:f>N50</x:f>
        <x:v>0</x:v>
      </x:c>
      <x:c r="AC50" s="256">
        <x:f>'Reporte Componentes R1'!T470+'Reporte Componentes R1'!W470+'Reporte Componentes R1'!X470+'Reporte Componentes R1'!Y470+'Reporte Componentes R1'!Z470+'Reporte Componentes R1'!S470</x:f>
        <x:v>0</x:v>
      </x:c>
      <x:c r="AD50" s="227">
        <x:f t="shared" si="18"/>
        <x:v>0</x:v>
      </x:c>
      <x:c r="AE50" s="227">
        <x:f>'Reporte Componentes R1'!F471</x:f>
        <x:v>0</x:v>
      </x:c>
      <x:c r="AF50" s="258">
        <x:f t="shared" si="20"/>
        <x:v>0</x:v>
      </x:c>
      <x:c r="AG50" s="440">
        <x:f t="shared" si="21"/>
        <x:v>0</x:v>
      </x:c>
      <x:c r="AH50" s="241" t="b">
        <x:f t="shared" si="19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R1'!F560</x:f>
        <x:v>0</x:v>
      </x:c>
      <x:c r="E51" s="233">
        <x:f>'Reporte Componentes R1'!G560</x:f>
        <x:v>0</x:v>
      </x:c>
      <x:c r="F51" s="233">
        <x:f>'Reporte Componentes R1'!H560</x:f>
        <x:v>0</x:v>
      </x:c>
      <x:c r="G51" s="233">
        <x:f>'Reporte Componentes R1'!I560</x:f>
        <x:v>0</x:v>
      </x:c>
      <x:c r="H51" s="233">
        <x:f>'Reporte Componentes R1'!J560</x:f>
        <x:v>0</x:v>
      </x:c>
      <x:c r="I51" s="233">
        <x:f>'Reporte Componentes R1'!K560</x:f>
        <x:v>0</x:v>
      </x:c>
      <x:c r="J51" s="225">
        <x:v>0</x:v>
      </x:c>
      <x:c r="K51" s="231">
        <x:f t="shared" si="16"/>
        <x:v>0</x:v>
      </x:c>
      <x:c r="L51" s="230">
        <x:v>0</x:v>
      </x:c>
      <x:c r="M51" s="234">
        <x:f>K51-L51</x:f>
        <x:v>0</x:v>
      </x:c>
      <x:c r="N51" s="235">
        <x:f>'Reporte Componentes R1'!L560</x:f>
        <x:v>0</x:v>
      </x:c>
      <x:c r="O51" s="234">
        <x:f t="shared" si="17"/>
        <x:v>0</x:v>
      </x:c>
      <x:c r="Q51" s="242"/>
      <x:c r="S51" s="260">
        <x:v>5</x:v>
      </x:c>
      <x:c r="T51" s="261" t="s">
        <x:v>14</x:v>
      </x:c>
      <x:c r="U51" s="232">
        <x:f>'Reporte Componentes R1'!M560</x:f>
        <x:v>0</x:v>
      </x:c>
      <x:c r="V51" s="233">
        <x:f>'Reporte Componentes R1'!N560</x:f>
        <x:v>0</x:v>
      </x:c>
      <x:c r="W51" s="233">
        <x:f>'Reporte Componentes R1'!O560</x:f>
        <x:v>0</x:v>
      </x:c>
      <x:c r="X51" s="233">
        <x:f>'Reporte Componentes R1'!P560</x:f>
        <x:v>0</x:v>
      </x:c>
      <x:c r="Y51" s="225">
        <x:f>'Reporte Componentes R1'!Q560</x:f>
        <x:v>0</x:v>
      </x:c>
      <x:c r="Z51" s="255">
        <x:f>-L51</x:f>
        <x:v>0</x:v>
      </x:c>
      <x:c r="AA51" s="256">
        <x:f>'Reporte Componentes R1'!R560+'Reporte Componentes R1'!V560+'Reporte Componentes R1'!U560</x:f>
        <x:v>0</x:v>
      </x:c>
      <x:c r="AB51" s="230">
        <x:f>N51</x:f>
        <x:v>0</x:v>
      </x:c>
      <x:c r="AC51" s="256">
        <x:f>'Reporte Componentes R1'!T560+'Reporte Componentes R1'!W560+'Reporte Componentes R1'!X560+'Reporte Componentes R1'!Y560+'Reporte Componentes R1'!Z560+'Reporte Componentes R1'!S560</x:f>
        <x:v>0</x:v>
      </x:c>
      <x:c r="AD51" s="227">
        <x:f t="shared" si="18"/>
        <x:v>0</x:v>
      </x:c>
      <x:c r="AE51" s="227">
        <x:f>'Reporte Componentes R1'!F561</x:f>
        <x:v>0</x:v>
      </x:c>
      <x:c r="AF51" s="258">
        <x:f t="shared" si="20"/>
        <x:v>0</x:v>
      </x:c>
      <x:c r="AG51" s="441">
        <x:f t="shared" si="21"/>
        <x:v>0</x:v>
      </x:c>
      <x:c r="AH51" s="241" t="b">
        <x:f t="shared" si="19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2">SUM(D47:D51)</x:f>
        <x:v>0</x:v>
      </x:c>
      <x:c r="E52" s="226">
        <x:f t="shared" si="22"/>
        <x:v>0</x:v>
      </x:c>
      <x:c r="F52" s="226">
        <x:f t="shared" si="22"/>
        <x:v>0</x:v>
      </x:c>
      <x:c r="G52" s="226">
        <x:f t="shared" ref="G52" si="23">SUM(G47:G51)</x:f>
        <x:v>0</x:v>
      </x:c>
      <x:c r="H52" s="226">
        <x:f t="shared" si="22"/>
        <x:v>0</x:v>
      </x:c>
      <x:c r="I52" s="226">
        <x:f t="shared" si="22"/>
        <x:v>0</x:v>
      </x:c>
      <x:c r="J52" s="226">
        <x:f t="shared" si="22"/>
        <x:v>0</x:v>
      </x:c>
      <x:c r="K52" s="236">
        <x:f t="shared" si="22"/>
        <x:v>0</x:v>
      </x:c>
      <x:c r="L52" s="237">
        <x:f t="shared" si="22"/>
        <x:v>0</x:v>
      </x:c>
      <x:c r="M52" s="238">
        <x:f t="shared" si="22"/>
        <x:v>0</x:v>
      </x:c>
      <x:c r="N52" s="237">
        <x:f t="shared" si="22"/>
        <x:v>0</x:v>
      </x:c>
      <x:c r="O52" s="238">
        <x:f t="shared" si="22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4">SUM(V47:V51)</x:f>
        <x:v>0</x:v>
      </x:c>
      <x:c r="W52" s="266">
        <x:f t="shared" si="24"/>
        <x:v>0</x:v>
      </x:c>
      <x:c r="X52" s="266">
        <x:f t="shared" si="24"/>
        <x:v>0</x:v>
      </x:c>
      <x:c r="Y52" s="266">
        <x:f t="shared" si="24"/>
        <x:v>0</x:v>
      </x:c>
      <x:c r="Z52" s="226">
        <x:f t="shared" si="24"/>
        <x:v>0</x:v>
      </x:c>
      <x:c r="AA52" s="226">
        <x:f t="shared" si="24"/>
        <x:v>0</x:v>
      </x:c>
      <x:c r="AB52" s="226">
        <x:f t="shared" si="24"/>
        <x:v>0</x:v>
      </x:c>
      <x:c r="AC52" s="226">
        <x:f t="shared" si="24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4"/>
        <x:v>0</x:v>
      </x:c>
      <x:c r="AG52" s="442">
        <x:f t="shared" si="24"/>
        <x:v>0</x:v>
      </x:c>
      <x:c r="AH52" s="241" t="b">
        <x:f>INT(AG52)=0</x:f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15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13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13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13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13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13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13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214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R4'!D73</x:f>
        <x:v>0</x:v>
      </x:c>
      <x:c r="E66" s="228">
        <x:f>'Reversion Pagos R4'!E73</x:f>
        <x:v>0</x:v>
      </x:c>
      <x:c r="F66" s="228">
        <x:f>'Reversion Pagos R4'!F73</x:f>
        <x:v>0</x:v>
      </x:c>
      <x:c r="G66" s="228">
        <x:f>'Reversion Pagos R4'!G73</x:f>
        <x:v>0</x:v>
      </x:c>
      <x:c r="H66" s="228">
        <x:f>'Reversion Pagos R4'!H73</x:f>
        <x:v>0</x:v>
      </x:c>
      <x:c r="I66" s="228">
        <x:f>'Reversion Pagos R4'!I73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R4'!P73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R4'!J73</x:f>
        <x:v>0</x:v>
      </x:c>
      <x:c r="V66" s="244">
        <x:f>'Reversion Pagos R4'!K73</x:f>
        <x:v>0</x:v>
      </x:c>
      <x:c r="W66" s="244">
        <x:f>'Reversion Pagos R4'!L73</x:f>
        <x:v>0</x:v>
      </x:c>
      <x:c r="X66" s="244">
        <x:f>'Reversion Pagos R4'!M73</x:f>
        <x:v>0</x:v>
      </x:c>
      <x:c r="Y66" s="244">
        <x:f>'Reversion Pagos R4'!N73</x:f>
        <x:v>0</x:v>
      </x:c>
      <x:c r="Z66" s="246">
        <x:f>-L66</x:f>
        <x:v>0</x:v>
      </x:c>
      <x:c r="AA66" s="256">
        <x:f>'Reversion Pagos R4'!O73</x:f>
        <x:v>0</x:v>
      </x:c>
      <x:c r="AB66" s="230">
        <x:f>N66</x:f>
        <x:v>0</x:v>
      </x:c>
      <x:c r="AC66" s="256">
        <x:f>+'Reversion Pagos R4'!Q73+'Reversion Pagos R4'!R73</x:f>
        <x:v>0</x:v>
      </x:c>
      <x:c r="AD66" s="227">
        <x:f>-J66+AE66</x:f>
        <x:v>0</x:v>
      </x:c>
      <x:c r="AE66" s="227">
        <x:f>'Reversion Pagos R4'!D74</x:f>
        <x:v>0</x:v>
      </x:c>
      <x:c r="AF66" s="249">
        <x:f>SUM(U66:AD66)</x:f>
        <x:v>0</x:v>
      </x:c>
      <x:c r="AG66" s="439">
        <x:f>(AF66-O66)</x:f>
        <x:v>0</x:v>
      </x:c>
      <x:c r="AH66" s="24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R4'!D168</x:f>
        <x:v>0</x:v>
      </x:c>
      <x:c r="E67" s="228">
        <x:f>'Reversion Pagos R4'!E168</x:f>
        <x:v>0</x:v>
      </x:c>
      <x:c r="F67" s="228">
        <x:f>'Reversion Pagos R4'!F168</x:f>
        <x:v>0</x:v>
      </x:c>
      <x:c r="G67" s="228">
        <x:f>'Reversion Pagos R4'!G168</x:f>
        <x:v>0</x:v>
      </x:c>
      <x:c r="H67" s="228">
        <x:f>'Reversion Pagos R4'!H168</x:f>
        <x:v>0</x:v>
      </x:c>
      <x:c r="I67" s="228">
        <x:f>'Reversion Pagos R4'!I168</x:f>
        <x:v>0</x:v>
      </x:c>
      <x:c r="J67" s="224">
        <x:v>0</x:v>
      </x:c>
      <x:c r="K67" s="231">
        <x:f t="shared" ref="K67:K70" si="25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R4'!P168</x:f>
        <x:v>0</x:v>
      </x:c>
      <x:c r="O67" s="231">
        <x:f t="shared" ref="O67:O70" si="26">M67+N67</x:f>
        <x:v>0</x:v>
      </x:c>
      <x:c r="Q67" s="242"/>
      <x:c r="S67" s="250">
        <x:v>2</x:v>
      </x:c>
      <x:c r="T67" s="251" t="s">
        <x:v>11</x:v>
      </x:c>
      <x:c r="U67" s="252">
        <x:f>'Reversion Pagos R4'!J168</x:f>
        <x:v>0</x:v>
      </x:c>
      <x:c r="V67" s="253">
        <x:f>'Reversion Pagos R4'!K168</x:f>
        <x:v>0</x:v>
      </x:c>
      <x:c r="W67" s="253">
        <x:f>'Reversion Pagos R4'!L168</x:f>
        <x:v>0</x:v>
      </x:c>
      <x:c r="X67" s="253">
        <x:f>'Reversion Pagos R4'!M168</x:f>
        <x:v>0</x:v>
      </x:c>
      <x:c r="Y67" s="254">
        <x:f>'Reversion Pagos R4'!N168</x:f>
        <x:v>0</x:v>
      </x:c>
      <x:c r="Z67" s="255">
        <x:f t="shared" ref="Z67:Z70" si="27">-L67</x:f>
        <x:v>0</x:v>
      </x:c>
      <x:c r="AA67" s="256">
        <x:f>'Reversion Pagos R4'!O168</x:f>
        <x:v>0</x:v>
      </x:c>
      <x:c r="AB67" s="230">
        <x:f t="shared" ref="AB67:AB70" si="28">N67</x:f>
        <x:v>0</x:v>
      </x:c>
      <x:c r="AC67" s="256">
        <x:f>+'Reversion Pagos R4'!Q168+'Reversion Pagos R4'!R168</x:f>
        <x:v>0</x:v>
      </x:c>
      <x:c r="AD67" s="227">
        <x:f>-J67+AE67</x:f>
        <x:v>0</x:v>
      </x:c>
      <x:c r="AE67" s="227">
        <x:f>'Reversion Pagos R4'!D169</x:f>
        <x:v>0</x:v>
      </x:c>
      <x:c r="AF67" s="258">
        <x:f>SUM(U67:AD67)</x:f>
        <x:v>0</x:v>
      </x:c>
      <x:c r="AG67" s="440">
        <x:f>(AF67-O67)</x:f>
        <x:v>0</x:v>
      </x:c>
      <x:c r="AH67" s="241" t="b">
        <x:f t="shared" ref="AH67:AH70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R4'!D205</x:f>
        <x:v>0</x:v>
      </x:c>
      <x:c r="E68" s="228">
        <x:f>'Reversion Pagos R4'!E205</x:f>
        <x:v>0</x:v>
      </x:c>
      <x:c r="F68" s="228">
        <x:f>'Reversion Pagos R4'!F205</x:f>
        <x:v>0</x:v>
      </x:c>
      <x:c r="G68" s="228">
        <x:f>'Reversion Pagos R4'!G205</x:f>
        <x:v>0</x:v>
      </x:c>
      <x:c r="H68" s="228">
        <x:f>'Reversion Pagos R4'!H205</x:f>
        <x:v>0</x:v>
      </x:c>
      <x:c r="I68" s="228">
        <x:f>'Reversion Pagos R4'!I205</x:f>
        <x:v>0</x:v>
      </x:c>
      <x:c r="J68" s="224">
        <x:v>0</x:v>
      </x:c>
      <x:c r="K68" s="231">
        <x:f t="shared" si="25"/>
        <x:v>0</x:v>
      </x:c>
      <x:c r="L68" s="230">
        <x:v>0</x:v>
      </x:c>
      <x:c r="M68" s="231">
        <x:f>K68-L68</x:f>
        <x:v>0</x:v>
      </x:c>
      <x:c r="N68" s="230">
        <x:f>'Reversion Pagos R4'!P205</x:f>
        <x:v>0</x:v>
      </x:c>
      <x:c r="O68" s="231">
        <x:f t="shared" si="26"/>
        <x:v>0</x:v>
      </x:c>
      <x:c r="Q68" s="242"/>
      <x:c r="S68" s="250">
        <x:v>3</x:v>
      </x:c>
      <x:c r="T68" s="251" t="s">
        <x:v>12</x:v>
      </x:c>
      <x:c r="U68" s="252">
        <x:f>'Reversion Pagos R4'!J205</x:f>
        <x:v>0</x:v>
      </x:c>
      <x:c r="V68" s="253">
        <x:f>'Reversion Pagos R4'!K205</x:f>
        <x:v>0</x:v>
      </x:c>
      <x:c r="W68" s="253">
        <x:f>'Reversion Pagos R4'!L205</x:f>
        <x:v>0</x:v>
      </x:c>
      <x:c r="X68" s="253">
        <x:f>'Reversion Pagos R4'!M205</x:f>
        <x:v>0</x:v>
      </x:c>
      <x:c r="Y68" s="254">
        <x:f>'Reversion Pagos R4'!N205</x:f>
        <x:v>0</x:v>
      </x:c>
      <x:c r="Z68" s="255">
        <x:f t="shared" si="27"/>
        <x:v>0</x:v>
      </x:c>
      <x:c r="AA68" s="256">
        <x:f>'Reversion Pagos R4'!O205</x:f>
        <x:v>0</x:v>
      </x:c>
      <x:c r="AB68" s="230">
        <x:f t="shared" si="28"/>
        <x:v>0</x:v>
      </x:c>
      <x:c r="AC68" s="256">
        <x:f>+'Reversion Pagos R4'!Q205+'Reversion Pagos R4'!R205</x:f>
        <x:v>0</x:v>
      </x:c>
      <x:c r="AD68" s="227">
        <x:f t="shared" ref="AD68:AD69" si="30">-J68+AE68</x:f>
        <x:v>0</x:v>
      </x:c>
      <x:c r="AE68" s="227">
        <x:f>'Reversion Pagos R4'!D206</x:f>
        <x:v>0</x:v>
      </x:c>
      <x:c r="AF68" s="258">
        <x:f t="shared" ref="AF68:AF70" si="31">SUM(U68:AD68)</x:f>
        <x:v>0</x:v>
      </x:c>
      <x:c r="AG68" s="440">
        <x:f t="shared" ref="AG68:AG70" si="32">(AF68-O68)</x:f>
        <x:v>0</x:v>
      </x:c>
      <x:c r="AH68" s="24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R4'!D320</x:f>
        <x:v>0</x:v>
      </x:c>
      <x:c r="E69" s="228">
        <x:f>'Reversion Pagos R4'!E320</x:f>
        <x:v>0</x:v>
      </x:c>
      <x:c r="F69" s="228">
        <x:f>'Reversion Pagos R4'!F320</x:f>
        <x:v>0</x:v>
      </x:c>
      <x:c r="G69" s="228">
        <x:f>'Reversion Pagos R4'!G320</x:f>
        <x:v>0</x:v>
      </x:c>
      <x:c r="H69" s="228">
        <x:f>'Reversion Pagos R4'!H320</x:f>
        <x:v>0</x:v>
      </x:c>
      <x:c r="I69" s="228">
        <x:f>'Reversion Pagos R4'!I320</x:f>
        <x:v>0</x:v>
      </x:c>
      <x:c r="J69" s="224">
        <x:v>0</x:v>
      </x:c>
      <x:c r="K69" s="231">
        <x:f t="shared" si="25"/>
        <x:v>0</x:v>
      </x:c>
      <x:c r="L69" s="230">
        <x:v>0</x:v>
      </x:c>
      <x:c r="M69" s="231">
        <x:f>K69-L69</x:f>
        <x:v>0</x:v>
      </x:c>
      <x:c r="N69" s="230">
        <x:f>'Reversion Pagos R4'!P320</x:f>
        <x:v>0</x:v>
      </x:c>
      <x:c r="O69" s="231">
        <x:f t="shared" si="26"/>
        <x:v>0</x:v>
      </x:c>
      <x:c r="Q69" s="242"/>
      <x:c r="S69" s="250">
        <x:v>4</x:v>
      </x:c>
      <x:c r="T69" s="251" t="s">
        <x:v>13</x:v>
      </x:c>
      <x:c r="U69" s="252">
        <x:f>'Reversion Pagos R4'!J320</x:f>
        <x:v>0</x:v>
      </x:c>
      <x:c r="V69" s="253">
        <x:f>'Reversion Pagos R4'!K320</x:f>
        <x:v>0</x:v>
      </x:c>
      <x:c r="W69" s="253">
        <x:f>'Reversion Pagos R4'!L320</x:f>
        <x:v>0</x:v>
      </x:c>
      <x:c r="X69" s="253">
        <x:f>'Reversion Pagos R4'!M320</x:f>
        <x:v>0</x:v>
      </x:c>
      <x:c r="Y69" s="254">
        <x:f>'Reversion Pagos R4'!N320</x:f>
        <x:v>0</x:v>
      </x:c>
      <x:c r="Z69" s="255">
        <x:f t="shared" si="27"/>
        <x:v>0</x:v>
      </x:c>
      <x:c r="AA69" s="256">
        <x:f>'Reversion Pagos R4'!O320</x:f>
        <x:v>0</x:v>
      </x:c>
      <x:c r="AB69" s="230">
        <x:f t="shared" si="28"/>
        <x:v>0</x:v>
      </x:c>
      <x:c r="AC69" s="256">
        <x:f>+'Reversion Pagos R4'!Q320+'Reversion Pagos R4'!R320</x:f>
        <x:v>0</x:v>
      </x:c>
      <x:c r="AD69" s="227">
        <x:f t="shared" si="30"/>
        <x:v>0</x:v>
      </x:c>
      <x:c r="AE69" s="227">
        <x:f>'Reversion Pagos R4'!D321</x:f>
        <x:v>0</x:v>
      </x:c>
      <x:c r="AF69" s="258">
        <x:f>SUM(U69:AD69)</x:f>
        <x:v>0</x:v>
      </x:c>
      <x:c r="AG69" s="440">
        <x:f>(AF69-O69)</x:f>
        <x:v>0</x:v>
      </x:c>
      <x:c r="AH69" s="24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R4'!D355</x:f>
        <x:v>0</x:v>
      </x:c>
      <x:c r="E70" s="233">
        <x:f>'Reversion Pagos R4'!E355</x:f>
        <x:v>0</x:v>
      </x:c>
      <x:c r="F70" s="233">
        <x:f>'Reversion Pagos R4'!F355</x:f>
        <x:v>0</x:v>
      </x:c>
      <x:c r="G70" s="233">
        <x:f>'Reversion Pagos R4'!G355</x:f>
        <x:v>0</x:v>
      </x:c>
      <x:c r="H70" s="233">
        <x:f>'Reversion Pagos R4'!H355</x:f>
        <x:v>0</x:v>
      </x:c>
      <x:c r="I70" s="233">
        <x:f>'Reversion Pagos R4'!I355</x:f>
        <x:v>0</x:v>
      </x:c>
      <x:c r="J70" s="225">
        <x:v>0</x:v>
      </x:c>
      <x:c r="K70" s="231">
        <x:f t="shared" si="25"/>
        <x:v>0</x:v>
      </x:c>
      <x:c r="L70" s="230">
        <x:v>0</x:v>
      </x:c>
      <x:c r="M70" s="234">
        <x:f>K70-L70</x:f>
        <x:v>0</x:v>
      </x:c>
      <x:c r="N70" s="230">
        <x:f>'Reversion Pagos R4'!P355</x:f>
        <x:v>0</x:v>
      </x:c>
      <x:c r="O70" s="234">
        <x:f t="shared" si="26"/>
        <x:v>0</x:v>
      </x:c>
      <x:c r="Q70" s="242"/>
      <x:c r="S70" s="260">
        <x:v>5</x:v>
      </x:c>
      <x:c r="T70" s="261" t="s">
        <x:v>14</x:v>
      </x:c>
      <x:c r="U70" s="232">
        <x:f>'Reversion Pagos R4'!J355</x:f>
        <x:v>0</x:v>
      </x:c>
      <x:c r="V70" s="233">
        <x:f>'Reversion Pagos R4'!K355</x:f>
        <x:v>0</x:v>
      </x:c>
      <x:c r="W70" s="233">
        <x:f>'Reversion Pagos R4'!L355</x:f>
        <x:v>0</x:v>
      </x:c>
      <x:c r="X70" s="233">
        <x:f>'Reversion Pagos R4'!M355</x:f>
        <x:v>0</x:v>
      </x:c>
      <x:c r="Y70" s="225">
        <x:f>'Reversion Pagos R4'!N355</x:f>
        <x:v>0</x:v>
      </x:c>
      <x:c r="Z70" s="255">
        <x:f t="shared" si="27"/>
        <x:v>0</x:v>
      </x:c>
      <x:c r="AA70" s="256">
        <x:f>'Reversion Pagos R4'!O355</x:f>
        <x:v>0</x:v>
      </x:c>
      <x:c r="AB70" s="230">
        <x:f t="shared" si="28"/>
        <x:v>0</x:v>
      </x:c>
      <x:c r="AC70" s="256">
        <x:f>+'Reversion Pagos R4'!Q355+'Reversion Pagos R4'!R355</x:f>
        <x:v>0</x:v>
      </x:c>
      <x:c r="AD70" s="227">
        <x:f>-J70+AE70</x:f>
        <x:v>0</x:v>
      </x:c>
      <x:c r="AE70" s="227">
        <x:f>'Reversion Pagos R4'!D356</x:f>
        <x:v>0</x:v>
      </x:c>
      <x:c r="AF70" s="258">
        <x:f t="shared" si="31"/>
        <x:v>0</x:v>
      </x:c>
      <x:c r="AG70" s="441">
        <x:f t="shared" si="32"/>
        <x:v>0</x:v>
      </x:c>
      <x:c r="AH70" s="24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3">SUM(D66:D70)</x:f>
        <x:v>0</x:v>
      </x:c>
      <x:c r="E71" s="226">
        <x:f t="shared" si="33"/>
        <x:v>0</x:v>
      </x:c>
      <x:c r="F71" s="226">
        <x:f t="shared" si="33"/>
        <x:v>0</x:v>
      </x:c>
      <x:c r="G71" s="226">
        <x:f t="shared" ref="G71" si="34">SUM(G66:G70)</x:f>
        <x:v>0</x:v>
      </x:c>
      <x:c r="H71" s="226">
        <x:f t="shared" si="33"/>
        <x:v>0</x:v>
      </x:c>
      <x:c r="I71" s="226">
        <x:f t="shared" si="33"/>
        <x:v>0</x:v>
      </x:c>
      <x:c r="J71" s="226">
        <x:f t="shared" si="33"/>
        <x:v>0</x:v>
      </x:c>
      <x:c r="K71" s="236">
        <x:f t="shared" si="33"/>
        <x:v>0</x:v>
      </x:c>
      <x:c r="L71" s="237">
        <x:f t="shared" si="33"/>
        <x:v>0</x:v>
      </x:c>
      <x:c r="M71" s="238">
        <x:f t="shared" si="33"/>
        <x:v>0</x:v>
      </x:c>
      <x:c r="N71" s="237">
        <x:f t="shared" si="33"/>
        <x:v>0</x:v>
      </x:c>
      <x:c r="O71" s="238">
        <x:f t="shared" si="33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F71" si="35">SUM(V66:V70)</x:f>
        <x:v>0</x:v>
      </x:c>
      <x:c r="W71" s="266">
        <x:f t="shared" si="35"/>
        <x:v>0</x:v>
      </x:c>
      <x:c r="X71" s="266">
        <x:f t="shared" si="35"/>
        <x:v>0</x:v>
      </x:c>
      <x:c r="Y71" s="266">
        <x:f t="shared" si="35"/>
        <x:v>0</x:v>
      </x:c>
      <x:c r="Z71" s="226">
        <x:f t="shared" si="35"/>
        <x:v>0</x:v>
      </x:c>
      <x:c r="AA71" s="226">
        <x:f>SUM(AA66:AA70)</x:f>
        <x:v>0</x:v>
      </x:c>
      <x:c r="AB71" s="226">
        <x:f t="shared" si="35"/>
        <x:v>0</x:v>
      </x:c>
      <x:c r="AC71" s="226">
        <x:f t="shared" ref="AC71" si="36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5"/>
        <x:v>0</x:v>
      </x:c>
      <x:c r="AG71" s="442">
        <x:f t="shared" ref="AG71" si="37">SUM(AG66:AG70)</x:f>
        <x:v>0</x:v>
      </x:c>
      <x:c r="AH71" s="241" t="b">
        <x:f>INT(AG71)=0</x:f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15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13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13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13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13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13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13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517" t="s">
        <x:v>7</x:v>
      </x:c>
      <x:c r="AC84" s="65" t="s">
        <x:v>167</x:v>
      </x:c>
      <x:c r="AD84" s="490" t="s">
        <x:v>105</x:v>
      </x:c>
      <x:c r="AE84" s="114" t="s">
        <x:v>104</x:v>
      </x:c>
      <x:c r="AF84" s="39" t="s">
        <x:v>23</x:v>
      </x:c>
      <x:c r="AG84" s="214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f>'AJUSTES - SF-T'!D47</x:f>
        <x:v>0</x:v>
      </x:c>
      <x:c r="E85" s="228">
        <x:f>'AJUSTES - SF-T'!E47</x:f>
        <x:v>0</x:v>
      </x:c>
      <x:c r="F85" s="228">
        <x:f>'AJUSTES - SF-T'!F47</x:f>
        <x:v>0</x:v>
      </x:c>
      <x:c r="G85" s="228">
        <x:f>'AJUSTES - SF-T'!G47</x:f>
        <x:v>0</x:v>
      </x:c>
      <x:c r="H85" s="228">
        <x:f>'AJUSTES - SF-T'!H47</x:f>
        <x:v>0</x:v>
      </x:c>
      <x:c r="I85" s="228">
        <x:f>'AJUSTES - SF-T'!I47</x:f>
        <x:v>0</x:v>
      </x:c>
      <x:c r="J85" s="224">
        <x:f>'AJUSTES - SF-T'!J47</x:f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f>'AJUSTES - SF-T'!N47</x:f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f>'AJUSTES - SF-T'!U47</x:f>
        <x:v>0</x:v>
      </x:c>
      <x:c r="V85" s="244">
        <x:f>'AJUSTES - SF-T'!V47</x:f>
        <x:v>0</x:v>
      </x:c>
      <x:c r="W85" s="244">
        <x:f>'AJUSTES - SF-T'!W47</x:f>
        <x:v>0</x:v>
      </x:c>
      <x:c r="X85" s="244">
        <x:f>'AJUSTES - SF-T'!X47</x:f>
        <x:v>0</x:v>
      </x:c>
      <x:c r="Y85" s="245">
        <x:f>'AJUSTES - SF-T'!Y47</x:f>
        <x:v>0</x:v>
      </x:c>
      <x:c r="Z85" s="246">
        <x:f>-L85</x:f>
        <x:v>0</x:v>
      </x:c>
      <x:c r="AA85" s="247">
        <x:f>'AJUSTES - SF-T'!AA47</x:f>
        <x:v>0</x:v>
      </x:c>
      <x:c r="AB85" s="230">
        <x:f>N85</x:f>
        <x:v>0</x:v>
      </x:c>
      <x:c r="AC85" s="247">
        <x:v>0</x:v>
      </x:c>
      <x:c r="AD85" s="515">
        <x:f>-J85+AE85</x:f>
        <x:v>0</x:v>
      </x:c>
      <x:c r="AE85" s="227">
        <x:f>'AJUSTES - SF-T'!AD47</x:f>
        <x:v>0</x:v>
      </x:c>
      <x:c r="AF85" s="249">
        <x:f>SUM(U85:AD85)</x:f>
        <x:v>0</x:v>
      </x:c>
      <x:c r="AG85" s="439">
        <x:f>AF85-O85</x:f>
        <x:v>0</x:v>
      </x:c>
      <x:c r="AH85" s="24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f>'AJUSTES - SF-T'!D48</x:f>
        <x:v>0</x:v>
      </x:c>
      <x:c r="E86" s="228">
        <x:f>'AJUSTES - SF-T'!E48</x:f>
        <x:v>0</x:v>
      </x:c>
      <x:c r="F86" s="228">
        <x:f>'AJUSTES - SF-T'!F48</x:f>
        <x:v>0</x:v>
      </x:c>
      <x:c r="G86" s="228">
        <x:f>'AJUSTES - SF-T'!G48</x:f>
        <x:v>0</x:v>
      </x:c>
      <x:c r="H86" s="228">
        <x:f>'AJUSTES - SF-T'!H48</x:f>
        <x:v>0</x:v>
      </x:c>
      <x:c r="I86" s="228">
        <x:f>'AJUSTES - SF-T'!I48</x:f>
        <x:v>0</x:v>
      </x:c>
      <x:c r="J86" s="224">
        <x:f>'AJUSTES - SF-T'!J48</x:f>
        <x:v>0</x:v>
      </x:c>
      <x:c r="K86" s="231">
        <x:f t="shared" ref="K86:K89" si="38">D86-E86-F86-G86-H86-I86-J86</x:f>
        <x:v>0</x:v>
      </x:c>
      <x:c r="L86" s="230">
        <x:v>0</x:v>
      </x:c>
      <x:c r="M86" s="231">
        <x:f>K86-L86</x:f>
        <x:v>0</x:v>
      </x:c>
      <x:c r="N86" s="230">
        <x:f>'AJUSTES - SF-T'!N48</x:f>
        <x:v>0</x:v>
      </x:c>
      <x:c r="O86" s="231">
        <x:f t="shared" ref="O86:O89" si="39">M86+N86</x:f>
        <x:v>0</x:v>
      </x:c>
      <x:c r="Q86" s="242"/>
      <x:c r="S86" s="250">
        <x:v>2</x:v>
      </x:c>
      <x:c r="T86" s="251" t="s">
        <x:v>11</x:v>
      </x:c>
      <x:c r="U86" s="252">
        <x:f>'AJUSTES - SF-T'!U48</x:f>
        <x:v>0</x:v>
      </x:c>
      <x:c r="V86" s="253">
        <x:f>'AJUSTES - SF-T'!V48</x:f>
        <x:v>0</x:v>
      </x:c>
      <x:c r="W86" s="253">
        <x:f>'AJUSTES - SF-T'!W48</x:f>
        <x:v>0</x:v>
      </x:c>
      <x:c r="X86" s="253">
        <x:f>'AJUSTES - SF-T'!X48</x:f>
        <x:v>0</x:v>
      </x:c>
      <x:c r="Y86" s="254">
        <x:f>'AJUSTES - SF-T'!Y48</x:f>
        <x:v>0</x:v>
      </x:c>
      <x:c r="Z86" s="255">
        <x:f>-L86</x:f>
        <x:v>0</x:v>
      </x:c>
      <x:c r="AA86" s="256">
        <x:f>'AJUSTES - SF-T'!AA48</x:f>
        <x:v>0</x:v>
      </x:c>
      <x:c r="AB86" s="230">
        <x:f>N86</x:f>
        <x:v>0</x:v>
      </x:c>
      <x:c r="AC86" s="516">
        <x:v>0</x:v>
      </x:c>
      <x:c r="AD86" s="515">
        <x:f t="shared" ref="AD86:AD89" si="40">-J86+AE86</x:f>
        <x:v>0</x:v>
      </x:c>
      <x:c r="AE86" s="227">
        <x:f>'AJUSTES - SF-T'!AD48</x:f>
        <x:v>0</x:v>
      </x:c>
      <x:c r="AF86" s="258">
        <x:f>SUM(U86:AD86)</x:f>
        <x:v>0</x:v>
      </x:c>
      <x:c r="AG86" s="440">
        <x:f>AF86-O86</x:f>
        <x:v>0</x:v>
      </x:c>
      <x:c r="AH86" s="241" t="b">
        <x:f t="shared" ref="AH86:AH89" si="41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f>'AJUSTES - SF-T'!D49</x:f>
        <x:v>0</x:v>
      </x:c>
      <x:c r="E87" s="228">
        <x:f>'AJUSTES - SF-T'!E49</x:f>
        <x:v>0</x:v>
      </x:c>
      <x:c r="F87" s="228">
        <x:f>'AJUSTES - SF-T'!F49</x:f>
        <x:v>0</x:v>
      </x:c>
      <x:c r="G87" s="228">
        <x:f>'AJUSTES - SF-T'!G49</x:f>
        <x:v>0</x:v>
      </x:c>
      <x:c r="H87" s="228">
        <x:f>'AJUSTES - SF-T'!H49</x:f>
        <x:v>0</x:v>
      </x:c>
      <x:c r="I87" s="228">
        <x:f>'AJUSTES - SF-T'!I49</x:f>
        <x:v>0</x:v>
      </x:c>
      <x:c r="J87" s="224">
        <x:f>'AJUSTES - SF-T'!J49</x:f>
        <x:v>0</x:v>
      </x:c>
      <x:c r="K87" s="231">
        <x:f t="shared" si="38"/>
        <x:v>0</x:v>
      </x:c>
      <x:c r="L87" s="230">
        <x:v>0</x:v>
      </x:c>
      <x:c r="M87" s="231">
        <x:f>K87-L87</x:f>
        <x:v>0</x:v>
      </x:c>
      <x:c r="N87" s="230">
        <x:f>'AJUSTES - SF-T'!N49</x:f>
        <x:v>0</x:v>
      </x:c>
      <x:c r="O87" s="231">
        <x:f t="shared" si="39"/>
        <x:v>0</x:v>
      </x:c>
      <x:c r="Q87" s="242"/>
      <x:c r="S87" s="250">
        <x:v>3</x:v>
      </x:c>
      <x:c r="T87" s="251" t="s">
        <x:v>12</x:v>
      </x:c>
      <x:c r="U87" s="252">
        <x:f>'AJUSTES - SF-T'!U49</x:f>
        <x:v>0</x:v>
      </x:c>
      <x:c r="V87" s="253">
        <x:f>'AJUSTES - SF-T'!V49</x:f>
        <x:v>0</x:v>
      </x:c>
      <x:c r="W87" s="253">
        <x:f>'AJUSTES - SF-T'!W49</x:f>
        <x:v>0</x:v>
      </x:c>
      <x:c r="X87" s="253">
        <x:f>'AJUSTES - SF-T'!X49</x:f>
        <x:v>0</x:v>
      </x:c>
      <x:c r="Y87" s="254">
        <x:f>'AJUSTES - SF-T'!Y49</x:f>
        <x:v>0</x:v>
      </x:c>
      <x:c r="Z87" s="255">
        <x:f>-L87</x:f>
        <x:v>0</x:v>
      </x:c>
      <x:c r="AA87" s="256">
        <x:f>'AJUSTES - SF-T'!AA49</x:f>
        <x:v>0</x:v>
      </x:c>
      <x:c r="AB87" s="230">
        <x:f>N87</x:f>
        <x:v>0</x:v>
      </x:c>
      <x:c r="AC87" s="259">
        <x:v>0</x:v>
      </x:c>
      <x:c r="AD87" s="515">
        <x:f t="shared" si="40"/>
        <x:v>0</x:v>
      </x:c>
      <x:c r="AE87" s="227">
        <x:f>'AJUSTES - SF-T'!AD49</x:f>
        <x:v>0</x:v>
      </x:c>
      <x:c r="AF87" s="258">
        <x:f t="shared" ref="AF87:AF89" si="42">SUM(U87:AD87)</x:f>
        <x:v>0</x:v>
      </x:c>
      <x:c r="AG87" s="440">
        <x:f>AF87-O87</x:f>
        <x:v>0</x:v>
      </x:c>
      <x:c r="AH87" s="241" t="b">
        <x:f t="shared" si="41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f>'AJUSTES - SF-T'!D50</x:f>
        <x:v>0</x:v>
      </x:c>
      <x:c r="E88" s="228">
        <x:f>'AJUSTES - SF-T'!E50</x:f>
        <x:v>0</x:v>
      </x:c>
      <x:c r="F88" s="228">
        <x:f>'AJUSTES - SF-T'!F50</x:f>
        <x:v>0</x:v>
      </x:c>
      <x:c r="G88" s="228">
        <x:f>'AJUSTES - SF-T'!G50</x:f>
        <x:v>0</x:v>
      </x:c>
      <x:c r="H88" s="228">
        <x:f>'AJUSTES - SF-T'!H50</x:f>
        <x:v>0</x:v>
      </x:c>
      <x:c r="I88" s="228">
        <x:f>'AJUSTES - SF-T'!I50</x:f>
        <x:v>0</x:v>
      </x:c>
      <x:c r="J88" s="224">
        <x:f>'AJUSTES - SF-T'!J50</x:f>
        <x:v>0</x:v>
      </x:c>
      <x:c r="K88" s="231">
        <x:f t="shared" si="38"/>
        <x:v>0</x:v>
      </x:c>
      <x:c r="L88" s="230">
        <x:v>0</x:v>
      </x:c>
      <x:c r="M88" s="231">
        <x:f>K88-L88</x:f>
        <x:v>0</x:v>
      </x:c>
      <x:c r="N88" s="230">
        <x:f>'AJUSTES - SF-T'!N50</x:f>
        <x:v>0</x:v>
      </x:c>
      <x:c r="O88" s="231">
        <x:f t="shared" si="39"/>
        <x:v>0</x:v>
      </x:c>
      <x:c r="Q88" s="242"/>
      <x:c r="S88" s="250">
        <x:v>4</x:v>
      </x:c>
      <x:c r="T88" s="251" t="s">
        <x:v>13</x:v>
      </x:c>
      <x:c r="U88" s="252">
        <x:f>'AJUSTES - SF-T'!U50</x:f>
        <x:v>0</x:v>
      </x:c>
      <x:c r="V88" s="253">
        <x:f>'AJUSTES - SF-T'!V50</x:f>
        <x:v>0</x:v>
      </x:c>
      <x:c r="W88" s="253">
        <x:f>'AJUSTES - SF-T'!W50</x:f>
        <x:v>0</x:v>
      </x:c>
      <x:c r="X88" s="253">
        <x:f>'AJUSTES - SF-T'!X50</x:f>
        <x:v>0</x:v>
      </x:c>
      <x:c r="Y88" s="254">
        <x:f>'AJUSTES - SF-T'!Y50</x:f>
        <x:v>0</x:v>
      </x:c>
      <x:c r="Z88" s="255">
        <x:f>-L88</x:f>
        <x:v>0</x:v>
      </x:c>
      <x:c r="AA88" s="256">
        <x:f>'AJUSTES - SF-T'!AA50</x:f>
        <x:v>0</x:v>
      </x:c>
      <x:c r="AB88" s="230">
        <x:f>N88</x:f>
        <x:v>0</x:v>
      </x:c>
      <x:c r="AC88" s="256">
        <x:v>0</x:v>
      </x:c>
      <x:c r="AD88" s="515">
        <x:f t="shared" si="40"/>
        <x:v>0</x:v>
      </x:c>
      <x:c r="AE88" s="227">
        <x:f>'AJUSTES - SF-T'!AD50</x:f>
        <x:v>0</x:v>
      </x:c>
      <x:c r="AF88" s="258">
        <x:f t="shared" si="42"/>
        <x:v>0</x:v>
      </x:c>
      <x:c r="AG88" s="440">
        <x:f>AF88-O88</x:f>
        <x:v>0</x:v>
      </x:c>
      <x:c r="AH88" s="241" t="b">
        <x:f t="shared" si="41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27">
        <x:f>'AJUSTES - SF-T'!D51</x:f>
        <x:v>0</x:v>
      </x:c>
      <x:c r="E89" s="228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25">
        <x:f>'AJUSTES - SF-T'!J51</x:f>
        <x:v>0</x:v>
      </x:c>
      <x:c r="K89" s="231">
        <x:f t="shared" si="38"/>
        <x:v>0</x:v>
      </x:c>
      <x:c r="L89" s="230">
        <x:v>0</x:v>
      </x:c>
      <x:c r="M89" s="234">
        <x:f>K89-L89</x:f>
        <x:v>0</x:v>
      </x:c>
      <x:c r="N89" s="235">
        <x:f>'AJUSTES - SF-T'!N51</x:f>
        <x:v>0</x:v>
      </x:c>
      <x:c r="O89" s="234">
        <x:f t="shared" si="39"/>
        <x:v>0</x:v>
      </x:c>
      <x:c r="Q89" s="242"/>
      <x:c r="S89" s="260">
        <x:v>5</x:v>
      </x:c>
      <x:c r="T89" s="261" t="s">
        <x:v>14</x:v>
      </x:c>
      <x:c r="U89" s="232">
        <x:f>'AJUSTES - SF-T'!U51</x:f>
        <x:v>0</x:v>
      </x:c>
      <x:c r="V89" s="233">
        <x:f>'AJUSTES - SF-T'!V51</x:f>
        <x:v>0</x:v>
      </x:c>
      <x:c r="W89" s="233">
        <x:f>'AJUSTES - SF-T'!W51</x:f>
        <x:v>0</x:v>
      </x:c>
      <x:c r="X89" s="233">
        <x:f>'AJUSTES - SF-T'!X51</x:f>
        <x:v>0</x:v>
      </x:c>
      <x:c r="Y89" s="225">
        <x:f>'AJUSTES - SF-T'!Y51</x:f>
        <x:v>0</x:v>
      </x:c>
      <x:c r="Z89" s="255">
        <x:f>-L89</x:f>
        <x:v>0</x:v>
      </x:c>
      <x:c r="AA89" s="256">
        <x:f>'AJUSTES - SF-T'!AA51</x:f>
        <x:v>0</x:v>
      </x:c>
      <x:c r="AB89" s="230">
        <x:f>N89</x:f>
        <x:v>0</x:v>
      </x:c>
      <x:c r="AC89" s="259">
        <x:v>0</x:v>
      </x:c>
      <x:c r="AD89" s="515">
        <x:f t="shared" si="40"/>
        <x:v>0</x:v>
      </x:c>
      <x:c r="AE89" s="227">
        <x:f>'AJUSTES - SF-T'!AD51</x:f>
        <x:v>0</x:v>
      </x:c>
      <x:c r="AF89" s="258">
        <x:f t="shared" si="42"/>
        <x:v>0</x:v>
      </x:c>
      <x:c r="AG89" s="441">
        <x:f>AF89-O89</x:f>
        <x:v>0</x:v>
      </x:c>
      <x:c r="AH89" s="241" t="b">
        <x:f t="shared" si="41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>SUM(D85:D89)</x:f>
        <x:v>0</x:v>
      </x:c>
      <x:c r="E90" s="226">
        <x:f t="shared" ref="E90:O90" si="43">SUM(E85:E89)</x:f>
        <x:v>0</x:v>
      </x:c>
      <x:c r="F90" s="226">
        <x:f t="shared" si="43"/>
        <x:v>0</x:v>
      </x:c>
      <x:c r="G90" s="226">
        <x:f t="shared" ref="G90" si="44">SUM(G85:G89)</x:f>
        <x:v>0</x:v>
      </x:c>
      <x:c r="H90" s="226">
        <x:f t="shared" si="43"/>
        <x:v>0</x:v>
      </x:c>
      <x:c r="I90" s="226">
        <x:f t="shared" si="43"/>
        <x:v>0</x:v>
      </x:c>
      <x:c r="J90" s="226">
        <x:f t="shared" si="43"/>
        <x:v>0</x:v>
      </x:c>
      <x:c r="K90" s="236">
        <x:f t="shared" si="43"/>
        <x:v>0</x:v>
      </x:c>
      <x:c r="L90" s="237">
        <x:f t="shared" si="43"/>
        <x:v>0</x:v>
      </x:c>
      <x:c r="M90" s="238">
        <x:f t="shared" si="43"/>
        <x:v>0</x:v>
      </x:c>
      <x:c r="N90" s="237">
        <x:f t="shared" si="43"/>
        <x:v>0</x:v>
      </x:c>
      <x:c r="O90" s="238">
        <x:f t="shared" si="43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5">SUM(V85:V89)</x:f>
        <x:v>0</x:v>
      </x:c>
      <x:c r="W90" s="266">
        <x:f t="shared" si="45"/>
        <x:v>0</x:v>
      </x:c>
      <x:c r="X90" s="266">
        <x:f t="shared" si="45"/>
        <x:v>0</x:v>
      </x:c>
      <x:c r="Y90" s="266">
        <x:f t="shared" si="45"/>
        <x:v>0</x:v>
      </x:c>
      <x:c r="Z90" s="226">
        <x:f t="shared" si="45"/>
        <x:v>0</x:v>
      </x:c>
      <x:c r="AA90" s="226">
        <x:f t="shared" si="45"/>
        <x:v>0</x:v>
      </x:c>
      <x:c r="AB90" s="393">
        <x:f t="shared" si="45"/>
        <x:v>0</x:v>
      </x:c>
      <x:c r="AC90" s="226">
        <x:f t="shared" ref="AC90" si="46">SUM(AC85:AC89)</x:f>
        <x:v>0</x:v>
      </x:c>
      <x:c r="AD90" s="518">
        <x:f t="shared" si="45"/>
        <x:v>0</x:v>
      </x:c>
      <x:c r="AE90" s="226">
        <x:f t="shared" si="45"/>
        <x:v>0</x:v>
      </x:c>
      <x:c r="AF90" s="267">
        <x:f t="shared" si="45"/>
        <x:v>0</x:v>
      </x:c>
      <x:c r="AG90" s="442">
        <x:f t="shared" si="45"/>
        <x:v>0</x:v>
      </x:c>
      <x:c r="AH90" s="241" t="b">
        <x:f>INT(AG90)=0</x:f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15"/>
      <x:c r="AH95" s="4"/>
      <x:c r="AI95" s="4"/>
    </x:row>
    <x:row r="96" spans="1:35" ht="12.75" thickBot="1" x14ac:dyDescent="0.25">
      <x:c r="Q96" s="4"/>
      <x:c r="AI96" s="4"/>
    </x:row>
    <x:row r="97" spans="2:39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13"/>
      <x:c r="AI97" s="4"/>
    </x:row>
    <x:row r="98" spans="2:39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13"/>
      <x:c r="AI98" s="4"/>
    </x:row>
    <x:row r="99" spans="2:39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13"/>
      <x:c r="AI99" s="4"/>
    </x:row>
    <x:row r="100" spans="2:39" ht="15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13"/>
      <x:c r="AI100" s="4"/>
    </x:row>
    <x:row r="101" spans="2:39" ht="15.75" x14ac:dyDescent="0.25">
      <x:c r="B101" s="8"/>
      <x:c r="C101" s="511" t="s">
        <x:v>17</x:v>
      </x:c>
      <x:c r="D101" s="9">
        <x:f>D6</x:f>
        <x:v>46238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13"/>
      <x:c r="AI101" s="4"/>
    </x:row>
    <x:row r="102" spans="2:39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13"/>
      <x:c r="AI102" s="4"/>
      <x:c r="AJ102" s="105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09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497" t="s">
        <x:v>40</x:v>
      </x:c>
      <x:c r="W103" s="49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214"/>
      <x:c r="AI103" s="4"/>
    </x:row>
    <x:row r="104" spans="2:39" s="241" customFormat="1" x14ac:dyDescent="0.2">
      <x:c r="B104" s="239">
        <x:v>1</x:v>
      </x:c>
      <x:c r="C104" s="240" t="s">
        <x:v>10</x:v>
      </x:c>
      <x:c r="D104" s="227">
        <x:f t="shared" ref="D104:F106" si="47">D9+D28+D47+D66+D85</x:f>
        <x:v>0</x:v>
      </x:c>
      <x:c r="E104" s="228">
        <x:f t="shared" si="47"/>
        <x:v>0</x:v>
      </x:c>
      <x:c r="F104" s="228">
        <x:f t="shared" si="47"/>
        <x:v>0</x:v>
      </x:c>
      <x:c r="G104" s="228">
        <x:f t="shared" ref="G104" si="48">G9+G28+G47+G66+G85</x:f>
        <x:v>0</x:v>
      </x:c>
      <x:c r="H104" s="228">
        <x:f t="shared" ref="H104:J108" si="49">H9+H28+H47+H66+H85</x:f>
        <x:v>0</x:v>
      </x:c>
      <x:c r="I104" s="228">
        <x:f t="shared" si="49"/>
        <x:v>0</x:v>
      </x:c>
      <x:c r="J104" s="224">
        <x:f t="shared" si="49"/>
        <x:v>0</x:v>
      </x:c>
      <x:c r="K104" s="229">
        <x:f>D104-E104-F104-G104-H104-I104-J104</x:f>
        <x:v>0</x:v>
      </x:c>
      <x:c r="L104" s="230">
        <x:f>L9+L28+L47+L66+L85</x:f>
        <x:v>189185988</x:v>
      </x:c>
      <x:c r="M104" s="229">
        <x:f>K104-L104</x:f>
        <x:v>-189185988</x:v>
      </x:c>
      <x:c r="N104" s="230">
        <x:f>N9+N28+N47+N66+N85</x:f>
        <x:v>0</x:v>
      </x:c>
      <x:c r="O104" s="229">
        <x:f>M104+N104</x:f>
        <x:v>-189185988</x:v>
      </x:c>
      <x:c r="Q104" s="242"/>
      <x:c r="S104" s="239">
        <x:v>1</x:v>
      </x:c>
      <x:c r="T104" s="240" t="s">
        <x:v>10</x:v>
      </x:c>
      <x:c r="U104" s="243">
        <x:f t="shared" ref="U104:AB108" si="50">U9+U28+U47+U66+U85</x:f>
        <x:v>0</x:v>
      </x:c>
      <x:c r="V104" s="244">
        <x:f t="shared" si="50"/>
        <x:v>0</x:v>
      </x:c>
      <x:c r="W104" s="244">
        <x:f t="shared" si="50"/>
        <x:v>0</x:v>
      </x:c>
      <x:c r="X104" s="244">
        <x:f t="shared" si="50"/>
        <x:v>0</x:v>
      </x:c>
      <x:c r="Y104" s="245">
        <x:f t="shared" si="50"/>
        <x:v>0</x:v>
      </x:c>
      <x:c r="Z104" s="246">
        <x:f t="shared" si="50"/>
        <x:v>-189185988</x:v>
      </x:c>
      <x:c r="AA104" s="247">
        <x:f>AA9+AA28+AA47+AA66+AA85</x:f>
        <x:v>0</x:v>
      </x:c>
      <x:c r="AB104" s="230">
        <x:f t="shared" si="50"/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-189185988</x:v>
      </x:c>
      <x:c r="AG104" s="439">
        <x:f>AF104-O104</x:f>
        <x:v>0</x:v>
      </x:c>
      <x:c r="AH104" s="241" t="b">
        <x:f>INT(AG104)=0</x:f>
        <x:v>1</x:v>
      </x:c>
      <x:c r="AI104" s="242"/>
      <x:c r="AM104" s="269"/>
    </x:row>
    <x:row r="105" spans="2:39" s="241" customFormat="1" x14ac:dyDescent="0.2">
      <x:c r="B105" s="250">
        <x:v>2</x:v>
      </x:c>
      <x:c r="C105" s="251" t="s">
        <x:v>11</x:v>
      </x:c>
      <x:c r="D105" s="227">
        <x:f>D10+D29+D48+D67+D86</x:f>
        <x:v>0</x:v>
      </x:c>
      <x:c r="E105" s="228">
        <x:f>E10+E29+E48+E67+E86</x:f>
        <x:v>0</x:v>
      </x:c>
      <x:c r="F105" s="228">
        <x:f t="shared" si="47"/>
        <x:v>0</x:v>
      </x:c>
      <x:c r="G105" s="228">
        <x:f t="shared" ref="G105" si="51">G10+G29+G48+G67+G86</x:f>
        <x:v>0</x:v>
      </x:c>
      <x:c r="H105" s="228">
        <x:f t="shared" si="49"/>
        <x:v>0</x:v>
      </x:c>
      <x:c r="I105" s="228">
        <x:f t="shared" si="49"/>
        <x:v>0</x:v>
      </x:c>
      <x:c r="J105" s="224">
        <x:f t="shared" si="49"/>
        <x:v>0</x:v>
      </x:c>
      <x:c r="K105" s="231">
        <x:f t="shared" ref="K105:K108" si="52">D105-E105-F105-G105-H105-I105-J105</x:f>
        <x:v>0</x:v>
      </x:c>
      <x:c r="L105" s="230">
        <x:f>L10+L29+L48+L67+L86</x:f>
        <x:v>266580256</x:v>
      </x:c>
      <x:c r="M105" s="231">
        <x:f>K105-L105</x:f>
        <x:v>-266580256</x:v>
      </x:c>
      <x:c r="N105" s="230">
        <x:f>N10+N29+N48+N67+N86</x:f>
        <x:v>0</x:v>
      </x:c>
      <x:c r="O105" s="231">
        <x:f t="shared" ref="O105:O108" si="53">M105+N105</x:f>
        <x:v>-266580256</x:v>
      </x:c>
      <x:c r="Q105" s="242"/>
      <x:c r="S105" s="250">
        <x:v>2</x:v>
      </x:c>
      <x:c r="T105" s="251" t="s">
        <x:v>11</x:v>
      </x:c>
      <x:c r="U105" s="252">
        <x:f t="shared" si="50"/>
        <x:v>0</x:v>
      </x:c>
      <x:c r="V105" s="253">
        <x:f t="shared" si="50"/>
        <x:v>0</x:v>
      </x:c>
      <x:c r="W105" s="253">
        <x:f t="shared" si="50"/>
        <x:v>0</x:v>
      </x:c>
      <x:c r="X105" s="253">
        <x:f t="shared" si="50"/>
        <x:v>0</x:v>
      </x:c>
      <x:c r="Y105" s="254">
        <x:f t="shared" si="50"/>
        <x:v>0</x:v>
      </x:c>
      <x:c r="Z105" s="255">
        <x:f t="shared" si="50"/>
        <x:v>-266580256</x:v>
      </x:c>
      <x:c r="AA105" s="256">
        <x:f>AA10+AA29+AA48+AA67+AA86</x:f>
        <x:v>0</x:v>
      </x:c>
      <x:c r="AB105" s="230">
        <x:f t="shared" si="50"/>
        <x:v>0</x:v>
      </x:c>
      <x:c r="AC105" s="256">
        <x:f>AC10+AC29+AC48+AC67+AC86</x:f>
        <x:v>0</x:v>
      </x:c>
      <x:c r="AD105" s="227">
        <x:f t="shared" ref="AD105:AD107" si="54">-J105+AE105</x:f>
        <x:v>0</x:v>
      </x:c>
      <x:c r="AE105" s="227">
        <x:f>AE10+AE29+AE48+AE67+AE86</x:f>
        <x:v>0</x:v>
      </x:c>
      <x:c r="AF105" s="258">
        <x:f>SUM(U105:AD105)</x:f>
        <x:v>-266580256</x:v>
      </x:c>
      <x:c r="AG105" s="440">
        <x:f>AF105-O105</x:f>
        <x:v>0</x:v>
      </x:c>
      <x:c r="AH105" s="241" t="b">
        <x:f t="shared" ref="AH105:AH108" si="55">INT(AG105)=0</x:f>
        <x:v>1</x:v>
      </x:c>
      <x:c r="AI105" s="242"/>
      <x:c r="AM105" s="269"/>
    </x:row>
    <x:row r="106" spans="2:39" s="241" customFormat="1" x14ac:dyDescent="0.2">
      <x:c r="B106" s="250">
        <x:v>3</x:v>
      </x:c>
      <x:c r="C106" s="251" t="s">
        <x:v>12</x:v>
      </x:c>
      <x:c r="D106" s="227">
        <x:f t="shared" si="47"/>
        <x:v>0</x:v>
      </x:c>
      <x:c r="E106" s="228">
        <x:f t="shared" si="47"/>
        <x:v>0</x:v>
      </x:c>
      <x:c r="F106" s="228">
        <x:f t="shared" si="47"/>
        <x:v>0</x:v>
      </x:c>
      <x:c r="G106" s="228">
        <x:f t="shared" ref="G106" si="56">G11+G30+G49+G68+G87</x:f>
        <x:v>0</x:v>
      </x:c>
      <x:c r="H106" s="228">
        <x:f t="shared" si="49"/>
        <x:v>0</x:v>
      </x:c>
      <x:c r="I106" s="228">
        <x:f t="shared" si="49"/>
        <x:v>0</x:v>
      </x:c>
      <x:c r="J106" s="224">
        <x:f t="shared" si="49"/>
        <x:v>0</x:v>
      </x:c>
      <x:c r="K106" s="231">
        <x:f t="shared" si="52"/>
        <x:v>0</x:v>
      </x:c>
      <x:c r="L106" s="230">
        <x:f>L11+L30+L49+L68+L87</x:f>
        <x:v>154788536</x:v>
      </x:c>
      <x:c r="M106" s="231">
        <x:f>K106-L106</x:f>
        <x:v>-154788536</x:v>
      </x:c>
      <x:c r="N106" s="230">
        <x:f>N11+N30+N49+N68+N87</x:f>
        <x:v>0</x:v>
      </x:c>
      <x:c r="O106" s="231">
        <x:f t="shared" si="53"/>
        <x:v>-154788536</x:v>
      </x:c>
      <x:c r="Q106" s="242"/>
      <x:c r="S106" s="250">
        <x:v>3</x:v>
      </x:c>
      <x:c r="T106" s="251" t="s">
        <x:v>12</x:v>
      </x:c>
      <x:c r="U106" s="252">
        <x:f t="shared" si="50"/>
        <x:v>0</x:v>
      </x:c>
      <x:c r="V106" s="253">
        <x:f t="shared" si="50"/>
        <x:v>0</x:v>
      </x:c>
      <x:c r="W106" s="253">
        <x:f t="shared" si="50"/>
        <x:v>0</x:v>
      </x:c>
      <x:c r="X106" s="253">
        <x:f t="shared" si="50"/>
        <x:v>0</x:v>
      </x:c>
      <x:c r="Y106" s="254">
        <x:f t="shared" si="50"/>
        <x:v>0</x:v>
      </x:c>
      <x:c r="Z106" s="255">
        <x:f t="shared" si="50"/>
        <x:v>-154788536</x:v>
      </x:c>
      <x:c r="AA106" s="256">
        <x:f>AA11+AA30+AA49+AA68+AA87</x:f>
        <x:v>0</x:v>
      </x:c>
      <x:c r="AB106" s="230">
        <x:f t="shared" si="50"/>
        <x:v>0</x:v>
      </x:c>
      <x:c r="AC106" s="256">
        <x:f>AC11+AC30+AC49+AC68+AC87</x:f>
        <x:v>0</x:v>
      </x:c>
      <x:c r="AD106" s="227">
        <x:f t="shared" si="54"/>
        <x:v>0</x:v>
      </x:c>
      <x:c r="AE106" s="227">
        <x:f>AE11+AE30+AE49+AE68+AE87</x:f>
        <x:v>0</x:v>
      </x:c>
      <x:c r="AF106" s="258">
        <x:f>SUM(U106:AD106)</x:f>
        <x:v>-154788536</x:v>
      </x:c>
      <x:c r="AG106" s="440">
        <x:f>AF106-O106</x:f>
        <x:v>0</x:v>
      </x:c>
      <x:c r="AH106" s="241" t="b">
        <x:f t="shared" si="55"/>
        <x:v>1</x:v>
      </x:c>
      <x:c r="AI106" s="242"/>
      <x:c r="AM106" s="269"/>
    </x:row>
    <x:row r="107" spans="2:39" s="241" customFormat="1" x14ac:dyDescent="0.2">
      <x:c r="B107" s="250">
        <x:v>4</x:v>
      </x:c>
      <x:c r="C107" s="251" t="s">
        <x:v>13</x:v>
      </x:c>
      <x:c r="D107" s="227">
        <x:f t="shared" ref="D107" si="57">D12+D31+D50+D69+D88</x:f>
        <x:v>0</x:v>
      </x:c>
      <x:c r="E107" s="228">
        <x:f t="shared" ref="E107:F108" si="58">E12+E31+E50+E69+E88</x:f>
        <x:v>0</x:v>
      </x:c>
      <x:c r="F107" s="228">
        <x:f t="shared" si="58"/>
        <x:v>0</x:v>
      </x:c>
      <x:c r="G107" s="228">
        <x:f t="shared" ref="G107" si="59">G12+G31+G50+G69+G88</x:f>
        <x:v>0</x:v>
      </x:c>
      <x:c r="H107" s="228">
        <x:f t="shared" si="49"/>
        <x:v>0</x:v>
      </x:c>
      <x:c r="I107" s="228">
        <x:f t="shared" si="49"/>
        <x:v>0</x:v>
      </x:c>
      <x:c r="J107" s="224">
        <x:f t="shared" si="49"/>
        <x:v>0</x:v>
      </x:c>
      <x:c r="K107" s="231">
        <x:f t="shared" si="52"/>
        <x:v>0</x:v>
      </x:c>
      <x:c r="L107" s="230">
        <x:f>L12+L31+L50+L69+L88</x:f>
        <x:v>120391083</x:v>
      </x:c>
      <x:c r="M107" s="231">
        <x:f>K107-L107</x:f>
        <x:v>-120391083</x:v>
      </x:c>
      <x:c r="N107" s="230">
        <x:f>N12+N31+N50+N69+N88</x:f>
        <x:v>0</x:v>
      </x:c>
      <x:c r="O107" s="231">
        <x:f>M107+N107</x:f>
        <x:v>-120391083</x:v>
      </x:c>
      <x:c r="Q107" s="242"/>
      <x:c r="S107" s="250">
        <x:v>4</x:v>
      </x:c>
      <x:c r="T107" s="251" t="s">
        <x:v>13</x:v>
      </x:c>
      <x:c r="U107" s="252">
        <x:f t="shared" si="50"/>
        <x:v>0</x:v>
      </x:c>
      <x:c r="V107" s="253">
        <x:f t="shared" si="50"/>
        <x:v>0</x:v>
      </x:c>
      <x:c r="W107" s="253">
        <x:f t="shared" si="50"/>
        <x:v>0</x:v>
      </x:c>
      <x:c r="X107" s="253">
        <x:f t="shared" si="50"/>
        <x:v>0</x:v>
      </x:c>
      <x:c r="Y107" s="254">
        <x:f t="shared" si="50"/>
        <x:v>0</x:v>
      </x:c>
      <x:c r="Z107" s="255">
        <x:f t="shared" si="50"/>
        <x:v>-120391083</x:v>
      </x:c>
      <x:c r="AA107" s="256">
        <x:f>AA12+AA31+AA50+AA69+AA88</x:f>
        <x:v>0</x:v>
      </x:c>
      <x:c r="AB107" s="230">
        <x:f t="shared" si="50"/>
        <x:v>0</x:v>
      </x:c>
      <x:c r="AC107" s="256">
        <x:f>AC12+AC31+AC50+AC69+AC88</x:f>
        <x:v>0</x:v>
      </x:c>
      <x:c r="AD107" s="227">
        <x:f t="shared" si="54"/>
        <x:v>0</x:v>
      </x:c>
      <x:c r="AE107" s="227">
        <x:f>AE12+AE31+AE50+AE69+AE88</x:f>
        <x:v>0</x:v>
      </x:c>
      <x:c r="AF107" s="258">
        <x:f>SUM(U107:AD107)</x:f>
        <x:v>-120391083</x:v>
      </x:c>
      <x:c r="AG107" s="440">
        <x:f>AF107-O107</x:f>
        <x:v>0</x:v>
      </x:c>
      <x:c r="AH107" s="241" t="b">
        <x:f t="shared" si="55"/>
        <x:v>1</x:v>
      </x:c>
      <x:c r="AI107" s="242"/>
      <x:c r="AM107" s="269"/>
    </x:row>
    <x:row r="108" spans="2:39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58"/>
        <x:v>0</x:v>
      </x:c>
      <x:c r="F108" s="233">
        <x:f t="shared" si="58"/>
        <x:v>0</x:v>
      </x:c>
      <x:c r="G108" s="233">
        <x:f t="shared" ref="G108" si="60">G13+G32+G51+G70+G89</x:f>
        <x:v>0</x:v>
      </x:c>
      <x:c r="H108" s="233">
        <x:f t="shared" si="49"/>
        <x:v>0</x:v>
      </x:c>
      <x:c r="I108" s="233">
        <x:f t="shared" si="49"/>
        <x:v>0</x:v>
      </x:c>
      <x:c r="J108" s="225">
        <x:f t="shared" si="49"/>
        <x:v>0</x:v>
      </x:c>
      <x:c r="K108" s="231">
        <x:f t="shared" si="52"/>
        <x:v>0</x:v>
      </x:c>
      <x:c r="L108" s="230">
        <x:f>L13+L32+L51+L70+L89</x:f>
        <x:v>128990446</x:v>
      </x:c>
      <x:c r="M108" s="234">
        <x:f>K108-L108</x:f>
        <x:v>-128990446</x:v>
      </x:c>
      <x:c r="N108" s="235">
        <x:f>N13+N32+N51+N70+N89</x:f>
        <x:v>0</x:v>
      </x:c>
      <x:c r="O108" s="234">
        <x:f t="shared" si="53"/>
        <x:v>-128990446</x:v>
      </x:c>
      <x:c r="Q108" s="242"/>
      <x:c r="S108" s="260">
        <x:v>5</x:v>
      </x:c>
      <x:c r="T108" s="261" t="s">
        <x:v>14</x:v>
      </x:c>
      <x:c r="U108" s="232">
        <x:f t="shared" si="50"/>
        <x:v>0</x:v>
      </x:c>
      <x:c r="V108" s="233">
        <x:f t="shared" si="50"/>
        <x:v>0</x:v>
      </x:c>
      <x:c r="W108" s="233">
        <x:f t="shared" si="50"/>
        <x:v>0</x:v>
      </x:c>
      <x:c r="X108" s="233">
        <x:f t="shared" si="50"/>
        <x:v>0</x:v>
      </x:c>
      <x:c r="Y108" s="225">
        <x:f t="shared" si="50"/>
        <x:v>0</x:v>
      </x:c>
      <x:c r="Z108" s="255">
        <x:f t="shared" si="50"/>
        <x:v>-128990446</x:v>
      </x:c>
      <x:c r="AA108" s="256">
        <x:f>AA13+AA32+AA51+AA70+AA89</x:f>
        <x:v>0</x:v>
      </x:c>
      <x:c r="AB108" s="230">
        <x:f t="shared" si="50"/>
        <x:v>0</x:v>
      </x:c>
      <x:c r="AC108" s="256">
        <x:f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-128990446</x:v>
      </x:c>
      <x:c r="AG108" s="441">
        <x:f>AF108-O108</x:f>
        <x:v>0</x:v>
      </x:c>
      <x:c r="AH108" s="241" t="b">
        <x:f t="shared" si="55"/>
        <x:v>1</x:v>
      </x:c>
      <x:c r="AI108" s="242"/>
      <x:c r="AM108" s="269"/>
    </x:row>
    <x:row r="109" spans="2:39" s="241" customFormat="1" ht="13.5" thickBot="1" x14ac:dyDescent="0.25">
      <x:c r="B109" s="263"/>
      <x:c r="C109" s="264" t="s">
        <x:v>2</x:v>
      </x:c>
      <x:c r="D109" s="226">
        <x:f t="shared" ref="D109:N109" si="61">SUM(D104:D108)</x:f>
        <x:v>0</x:v>
      </x:c>
      <x:c r="E109" s="226">
        <x:f t="shared" si="61"/>
        <x:v>0</x:v>
      </x:c>
      <x:c r="F109" s="226">
        <x:f t="shared" si="61"/>
        <x:v>0</x:v>
      </x:c>
      <x:c r="G109" s="226">
        <x:f t="shared" ref="G109" si="62">SUM(G104:G108)</x:f>
        <x:v>0</x:v>
      </x:c>
      <x:c r="H109" s="226">
        <x:f t="shared" si="61"/>
        <x:v>0</x:v>
      </x:c>
      <x:c r="I109" s="226">
        <x:f t="shared" si="61"/>
        <x:v>0</x:v>
      </x:c>
      <x:c r="J109" s="226">
        <x:f t="shared" si="61"/>
        <x:v>0</x:v>
      </x:c>
      <x:c r="K109" s="236">
        <x:f t="shared" si="61"/>
        <x:v>0</x:v>
      </x:c>
      <x:c r="L109" s="237">
        <x:f t="shared" si="61"/>
        <x:v>859936309</x:v>
      </x:c>
      <x:c r="M109" s="238">
        <x:f t="shared" si="61"/>
        <x:v>-859936309</x:v>
      </x:c>
      <x:c r="N109" s="237">
        <x:f t="shared" si="61"/>
        <x:v>0</x:v>
      </x:c>
      <x:c r="O109" s="238">
        <x:f>SUM(O104:O108)</x:f>
        <x:v>-859936309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63">SUM(V104:V108)</x:f>
        <x:v>0</x:v>
      </x:c>
      <x:c r="W109" s="266">
        <x:f t="shared" si="63"/>
        <x:v>0</x:v>
      </x:c>
      <x:c r="X109" s="266">
        <x:f t="shared" si="63"/>
        <x:v>0</x:v>
      </x:c>
      <x:c r="Y109" s="266">
        <x:f t="shared" si="63"/>
        <x:v>0</x:v>
      </x:c>
      <x:c r="Z109" s="226">
        <x:f t="shared" si="63"/>
        <x:v>-859936309</x:v>
      </x:c>
      <x:c r="AA109" s="226">
        <x:f>SUM(AA104:AA108)</x:f>
        <x:v>0</x:v>
      </x:c>
      <x:c r="AB109" s="226">
        <x:f t="shared" si="63"/>
        <x:v>0</x:v>
      </x:c>
      <x:c r="AC109" s="226">
        <x:f>SUM(AC104:AC108)</x:f>
        <x:v>0</x:v>
      </x:c>
      <x:c r="AD109" s="226">
        <x:f t="shared" si="63"/>
        <x:v>0</x:v>
      </x:c>
      <x:c r="AE109" s="226">
        <x:f>SUM(AE104:AE108)</x:f>
        <x:v>0</x:v>
      </x:c>
      <x:c r="AF109" s="267">
        <x:f t="shared" si="63"/>
        <x:v>-859936309</x:v>
      </x:c>
      <x:c r="AG109" s="442">
        <x:f>SUM(AG104:AG108)</x:f>
        <x:v>0</x:v>
      </x:c>
      <x:c r="AH109" s="241" t="b">
        <x:f>INT(AG109)=0</x:f>
        <x:v>1</x:v>
      </x:c>
      <x:c r="AI109" s="242"/>
      <x:c r="AM109" s="269"/>
    </x:row>
    <x:row r="110" spans="2:39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07"/>
      <x:c r="W111" s="507"/>
      <x:c r="Y111" s="86">
        <x:f>SUM(U109:Y109)</x:f>
        <x:v>0</x:v>
      </x:c>
      <x:c r="AA111" s="1" t="s">
        <x:v>1</x:v>
      </x:c>
      <x:c r="AB111" s="1" t="s">
        <x:v>1</x:v>
      </x:c>
      <x:c r="AD111" s="241"/>
      <x:c r="AF111" s="241"/>
      <x:c r="AI111" s="4"/>
    </x:row>
    <x:row r="112" spans="2:39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241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16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05"/>
      <x:c r="W116" s="505"/>
      <x:c r="AA116" s="241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  <x:c r="AA117" s="241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241"/>
      <x:c r="Y118" s="241"/>
      <x:c r="AA118" s="241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241"/>
      <x:c r="Y119" s="241"/>
      <x:c r="AA119" s="241"/>
    </x:row>
    <x:row r="120" spans="1:35" x14ac:dyDescent="0.2">
      <x:c r="B120" s="8"/>
      <x:c r="I120" s="2"/>
      <x:c r="J120" s="2"/>
      <x:c r="O120" s="10"/>
      <x:c r="P120" s="2"/>
      <x:c r="Q120" s="4"/>
      <x:c r="X120" s="241"/>
      <x:c r="Y120" s="241"/>
      <x:c r="AA120" s="241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241"/>
      <x:c r="Y121" s="241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  <x:c r="X122" s="241"/>
      <x:c r="Y122" s="241"/>
    </x:row>
    <x:row r="123" spans="1:35" ht="12.75" thickBot="1" x14ac:dyDescent="0.25">
      <x:c r="B123" s="8"/>
      <x:c r="C123" s="2" t="s">
        <x:v>1</x:v>
      </x:c>
      <x:c r="D123" s="2" t="s">
        <x:v>1</x:v>
      </x:c>
      <x:c r="O123" s="44"/>
      <x:c r="P123" s="2"/>
      <x:c r="Q123" s="4"/>
      <x:c r="X123" s="241"/>
      <x:c r="Y123" s="241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x14ac:dyDescent="0.2">
      <x:c r="B125" s="270">
        <x:v>1</x:v>
      </x:c>
      <x:c r="C125" s="271" t="s">
        <x:v>10</x:v>
      </x:c>
      <x:c r="D125" s="312">
        <x:f>'ANTICIPOS USUARIOS'!C3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USUARIOS'!C12</x:f>
        <x:v>0</x:v>
      </x:c>
      <x:c r="L125" s="245">
        <x:f>-'ANTICIPOS USUARIOS'!C21</x:f>
        <x:v>0</x:v>
      </x:c>
      <x:c r="O125" s="273"/>
      <x:c r="Q125" s="242"/>
      <x:c r="AG125" s="269"/>
    </x:row>
    <x:row r="126" spans="1:35" s="241" customFormat="1" x14ac:dyDescent="0.2">
      <x:c r="B126" s="250">
        <x:v>2</x:v>
      </x:c>
      <x:c r="C126" s="274" t="s">
        <x:v>11</x:v>
      </x:c>
      <x:c r="D126" s="228">
        <x:f>'ANTICIPOS USUARIOS'!C4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>D67+N67</x:f>
        <x:v>0</x:v>
      </x:c>
      <x:c r="K126" s="224">
        <x:f>'ANTICIPOS USUARIOS'!C13</x:f>
        <x:v>0</x:v>
      </x:c>
      <x:c r="L126" s="224">
        <x:f>-'ANTICIPOS USUARIOS'!C22</x:f>
        <x:v>0</x:v>
      </x:c>
      <x:c r="O126" s="273"/>
      <x:c r="Q126" s="242"/>
      <x:c r="AG126" s="269"/>
    </x:row>
    <x:row r="127" spans="1:35" s="241" customFormat="1" x14ac:dyDescent="0.2">
      <x:c r="B127" s="250">
        <x:v>3</x:v>
      </x:c>
      <x:c r="C127" s="274" t="s">
        <x:v>12</x:v>
      </x:c>
      <x:c r="D127" s="228">
        <x:f>'ANTICIPOS USUARIOS'!C5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ref="J127:J129" si="64">D68+N68</x:f>
        <x:v>0</x:v>
      </x:c>
      <x:c r="K127" s="224">
        <x:f>'ANTICIPOS USUARIOS'!C14</x:f>
        <x:v>0</x:v>
      </x:c>
      <x:c r="L127" s="224">
        <x:f>-'ANTICIPOS USUARIOS'!C23</x:f>
        <x:v>0</x:v>
      </x:c>
      <x:c r="O127" s="273"/>
      <x:c r="Q127" s="242"/>
      <x:c r="AG127" s="269"/>
    </x:row>
    <x:row r="128" spans="1:35" s="241" customFormat="1" x14ac:dyDescent="0.2">
      <x:c r="B128" s="250">
        <x:v>4</x:v>
      </x:c>
      <x:c r="C128" s="274" t="s">
        <x:v>13</x:v>
      </x:c>
      <x:c r="D128" s="228">
        <x:f>'ANTICIPOS USUARIOS'!C6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64"/>
        <x:v>0</x:v>
      </x:c>
      <x:c r="K128" s="224">
        <x:f>'ANTICIPOS USUARIOS'!C15</x:f>
        <x:v>0</x:v>
      </x:c>
      <x:c r="L128" s="224">
        <x:f>-'ANTICIPOS USUARIOS'!C24</x:f>
        <x:v>0</x:v>
      </x:c>
      <x:c r="O128" s="273"/>
      <x:c r="Q128" s="242"/>
      <x:c r="AG128" s="269"/>
    </x:row>
    <x:row r="129" spans="1:33" s="241" customFormat="1" x14ac:dyDescent="0.2">
      <x:c r="B129" s="277">
        <x:v>5</x:v>
      </x:c>
      <x:c r="C129" s="278" t="s">
        <x:v>14</x:v>
      </x:c>
      <x:c r="D129" s="279">
        <x:f>'ANTICIPOS USUARIOS'!C7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64"/>
        <x:v>0</x:v>
      </x:c>
      <x:c r="K129" s="224">
        <x:f>'ANTICIPOS USUARIOS'!C16</x:f>
        <x:v>0</x:v>
      </x:c>
      <x:c r="L129" s="224">
        <x:f>-'ANTICIPOS USUARIOS'!C25</x:f>
        <x:v>0</x:v>
      </x:c>
      <x:c r="O129" s="273"/>
      <x:c r="Q129" s="242"/>
      <x:c r="AG129" s="269"/>
    </x:row>
    <x:row r="130" spans="1:33" s="241" customFormat="1" ht="12.75" thickBot="1" x14ac:dyDescent="0.25">
      <x:c r="B130" s="260" t="s">
        <x:v>89</x:v>
      </x:c>
      <x:c r="C130" s="281" t="s">
        <x:v>113</x:v>
      </x:c>
      <x:c r="D130" s="233"/>
      <x:c r="E130" s="225">
        <x:f>'Recaudo Directa Occidente'!F26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  <x:c r="AG130" s="269"/>
    </x:row>
    <x:row r="131" spans="1:33" s="241" customFormat="1" ht="12.75" thickBot="1" x14ac:dyDescent="0.25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65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  <x:c r="AG131" s="269"/>
    </x:row>
    <x:row r="132" spans="1:33" x14ac:dyDescent="0.2">
      <x:c r="B132" s="2"/>
      <x:c r="C132" s="2"/>
      <x:c r="D132" s="24"/>
      <x:c r="Q132" s="4"/>
    </x:row>
    <x:row r="133" spans="1:33" x14ac:dyDescent="0.2">
      <x:c r="B133" s="2"/>
      <x:c r="C133" s="2"/>
      <x:c r="D133" s="24"/>
      <x:c r="L133" s="1" t="s">
        <x:v>1</x:v>
      </x:c>
      <x:c r="Q133" s="4"/>
    </x:row>
    <x:row r="134" spans="1:33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EAAB Reciprocidad'!F21+'Recaudo EAAB + Ciud Limp'!F21+'Recaudo Directa Occidente'!F21+'Recaudo ENEL'!F21+'Recaudo ENERBIT'!F21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BANCO'!E62+'REPORTE RECAUDO x BANCO'!E63+'REPORTE RECAUDO x BANCO'!E75)</x:f>
        <x:v>0</x:v>
      </x:c>
      <x:c r="J142" s="103">
        <x:f t="shared" ref="J142:K146" si="66">G125</x:f>
        <x:v>0</x:v>
      </x:c>
      <x:c r="K142" s="104">
        <x:f t="shared" si="66"/>
        <x:v>0</x:v>
      </x:c>
      <x:c r="L142" s="510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10">
        <x:f>D143-E143-F143-G143-J143-H143-I143</x:f>
        <x:v>0</x:v>
      </x:c>
      <x:c r="M143" s="1" t="b">
        <x:f t="shared" si="67"/>
        <x:v>1</x:v>
      </x:c>
      <x:c r="O143" s="119"/>
      <x:c r="P143" s="24"/>
      <x:c r="Q143" s="35"/>
      <x:c r="R143" s="24"/>
    </x:row>
    <x:row r="144" spans="1:33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10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10">
        <x:f t="shared" ref="L145:L147" si="68">D145-E145-F145-G145-J145-H145-I145</x:f>
        <x:v>0</x:v>
      </x:c>
      <x:c r="M145" s="1" t="b">
        <x:f t="shared" si="67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BANCO'!E72+'REPORTE RECAUDO x BANCO'!E73+'REPORTE RECAUDO x BANCO'!E79)</x:f>
        <x:v>0</x:v>
      </x:c>
      <x:c r="J146" s="123">
        <x:f t="shared" si="66"/>
        <x:v>0</x:v>
      </x:c>
      <x:c r="K146" s="125">
        <x:f t="shared" si="66"/>
        <x:v>0</x:v>
      </x:c>
      <x:c r="L146" s="510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10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x14ac:dyDescent="0.2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241"/>
      <x:c r="E154" s="93"/>
      <x:c r="F154" s="241"/>
      <x:c r="G154" s="241"/>
      <x:c r="H154" s="241"/>
      <x:c r="K154" s="505"/>
      <x:c r="N154" s="24"/>
      <x:c r="O154" s="24"/>
      <x:c r="Q154" s="24"/>
      <x:c r="T154" s="24"/>
    </x:row>
    <x:row r="155" spans="1:20" x14ac:dyDescent="0.2">
      <x:c r="D155" s="241"/>
      <x:c r="K155" s="506"/>
      <x:c r="N155" s="24"/>
      <x:c r="O155" s="24"/>
      <x:c r="Q155" s="24"/>
      <x:c r="T155" s="24"/>
    </x:row>
    <x:row r="156" spans="1:20" x14ac:dyDescent="0.2">
      <x:c r="D156" s="505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zoomScale="90" zoomScaleNormal="90" workbookViewId="0">
      <x:selection activeCell="C4" sqref="C4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4" width="16.710937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6" bestFit="1" customWidth="1"/>
    <x:col min="16" max="16" width="14.42578125" customWidth="1"/>
    <x:col min="17" max="17" width="17.42578125" bestFit="1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EAAB Reciprocidad'!F21+'Recaudo EAAB + Ciud Limp'!F21+'Recaudo Directa Occidente'!F21+'Recaudo ENEL'!F21+'Recaudo ENERBIT'!F21</x:f>
        <x:v>0</x:v>
      </x:c>
      <x:c r="D3" s="228">
        <x:f>'CONSOLIDADO_TOTAL RECAUDO'!G125</x:f>
        <x:v>0</x:v>
      </x:c>
      <x:c r="E3" s="228">
        <x:f>'CONSOLIDADO_TOTAL RECAUDO'!D28+'CONSOLIDADO_TOTAL RECAUDO'!N28</x:f>
        <x:v>0</x:v>
      </x:c>
      <x:c r="F3" s="228">
        <x:f>'CONSOLIDADO_TOTAL RECAUDO'!I142</x:f>
        <x:v>0</x:v>
      </x:c>
      <x:c r="G3" s="228">
        <x:f>'CONSOLIDADO_TOTAL RECAUDO'!H142</x:f>
        <x:v>0</x:v>
      </x:c>
      <x:c r="H3" s="276">
        <x:f>SUM(C3:G3)</x:f>
        <x:v>0</x:v>
      </x:c>
      <x:c r="I3" s="227">
        <x:f>'CONSOLIDADO_TOTAL RECAUDO'!D104</x:f>
        <x:v>0</x:v>
      </x:c>
      <x:c r="J3" s="228">
        <x:f>'CONSOLIDADO_TOTAL RECAUDO'!N104</x:f>
        <x:v>0</x:v>
      </x:c>
      <x:c r="K3" s="228">
        <x:f>'CONSOLIDADO_TOTAL RECAUDO'!D125</x:f>
        <x:v>0</x:v>
      </x:c>
      <x:c r="L3" s="289">
        <x:f>'CONSOLIDADO_TOTAL RECAUDO'!E125</x:f>
        <x:v>0</x:v>
      </x:c>
      <x:c r="M3" s="228">
        <x:f>-'CONSOLIDADO_TOTAL RECAUDO'!D66-'CONSOLIDADO_TOTAL RECAUDO'!N66</x:f>
        <x:v>0</x:v>
      </x:c>
      <x:c r="N3" s="224">
        <x:f>SUM(I3:M3)</x:f>
        <x:v>0</x:v>
      </x:c>
      <x:c r="O3" s="290">
        <x:f>H3-N3</x:f>
        <x:v>0</x:v>
      </x:c>
      <x:c r="P3" s="1" t="b">
        <x:f t="shared" ref="P3:P9" si="0">INT(O3)=0</x:f>
        <x:v>1</x:v>
      </x:c>
    </x:row>
    <x:row r="4" spans="2:16" s="291" customFormat="1" x14ac:dyDescent="0.2">
      <x:c r="B4" s="250">
        <x:v>2</x:v>
      </x:c>
      <x:c r="C4" s="228">
        <x:f>'Recaudo EAAB Reciprocidad'!F22+'Recaudo EAAB + Ciud Limp'!F22+'Recaudo Directa Occidente'!F22+'Recaudo ENEL'!F22+'Recaudo ENERBIT'!F22</x:f>
        <x:v>0</x:v>
      </x:c>
      <x:c r="D4" s="228">
        <x:f>'CONSOLIDADO_TOTAL RECAUDO'!G126</x:f>
        <x:v>0</x:v>
      </x:c>
      <x:c r="E4" s="228">
        <x:f>'CONSOLIDADO_TOTAL RECAUDO'!D29+'CONSOLIDADO_TOTAL RECAUDO'!N29</x:f>
        <x:v>0</x:v>
      </x:c>
      <x:c r="F4" s="228">
        <x:f>'CONSOLIDADO_TOTAL RECAUDO'!I143</x:f>
        <x:v>0</x:v>
      </x:c>
      <x:c r="G4" s="228">
        <x:f>'CONSOLIDADO_TOTAL RECAUDO'!H143</x:f>
        <x:v>0</x:v>
      </x:c>
      <x:c r="H4" s="276">
        <x:f t="shared" ref="H4:H8" si="1">SUM(C4:G4)</x:f>
        <x:v>0</x:v>
      </x:c>
      <x:c r="I4" s="227">
        <x:f>'CONSOLIDADO_TOTAL RECAUDO'!D105</x:f>
        <x:v>0</x:v>
      </x:c>
      <x:c r="J4" s="228">
        <x:f>'CONSOLIDADO_TOTAL RECAUDO'!N105</x:f>
        <x:v>0</x:v>
      </x:c>
      <x:c r="K4" s="228">
        <x:f>'CONSOLIDADO_TOTAL RECAUDO'!D126</x:f>
        <x:v>0</x:v>
      </x:c>
      <x:c r="L4" s="289">
        <x:f>'CONSOLIDADO_TOTAL RECAUDO'!E126</x:f>
        <x:v>0</x:v>
      </x:c>
      <x:c r="M4" s="228">
        <x:f>-'CONSOLIDADO_TOTAL RECAUDO'!D67-'CONSOLIDADO_TOTAL RECAUDO'!N67</x:f>
        <x:v>0</x:v>
      </x:c>
      <x:c r="N4" s="254">
        <x:f>SUM(I4:M4)</x:f>
        <x:v>0</x:v>
      </x:c>
      <x:c r="O4" s="290">
        <x:f t="shared" ref="O4:O6" si="2">H4-N4</x:f>
        <x:v>0</x:v>
      </x:c>
      <x:c r="P4" s="1" t="b">
        <x:f t="shared" si="0"/>
        <x:v>1</x:v>
      </x:c>
    </x:row>
    <x:row r="5" spans="2:16" s="291" customFormat="1" x14ac:dyDescent="0.2">
      <x:c r="B5" s="250">
        <x:v>3</x:v>
      </x:c>
      <x:c r="C5" s="228">
        <x:f>'Recaudo EAAB Reciprocidad'!F23+'Recaudo EAAB + Ciud Limp'!F23+'Recaudo Directa Occidente'!F23+'Recaudo ENEL'!F23+'Recaudo ENERBIT'!F23</x:f>
        <x:v>0</x:v>
      </x:c>
      <x:c r="D5" s="228">
        <x:f>'CONSOLIDADO_TOTAL RECAUDO'!G127</x:f>
        <x:v>0</x:v>
      </x:c>
      <x:c r="E5" s="228">
        <x:f>'CONSOLIDADO_TOTAL RECAUDO'!D30+'CONSOLIDADO_TOTAL RECAUDO'!N30</x:f>
        <x:v>0</x:v>
      </x:c>
      <x:c r="F5" s="228">
        <x:f>'CONSOLIDADO_TOTAL RECAUDO'!I144</x:f>
        <x:v>0</x:v>
      </x:c>
      <x:c r="G5" s="228">
        <x:f>'CONSOLIDADO_TOTAL RECAUDO'!H144</x:f>
        <x:v>0</x:v>
      </x:c>
      <x:c r="H5" s="276">
        <x:f t="shared" si="1"/>
        <x:v>0</x:v>
      </x:c>
      <x:c r="I5" s="227">
        <x:f>'CONSOLIDADO_TOTAL RECAUDO'!D106</x:f>
        <x:v>0</x:v>
      </x:c>
      <x:c r="J5" s="228">
        <x:f>'CONSOLIDADO_TOTAL RECAUDO'!N106</x:f>
        <x:v>0</x:v>
      </x:c>
      <x:c r="K5" s="228">
        <x:f>'CONSOLIDADO_TOTAL RECAUDO'!D127</x:f>
        <x:v>0</x:v>
      </x:c>
      <x:c r="L5" s="289">
        <x:f>'CONSOLIDADO_TOTAL RECAUDO'!E127</x:f>
        <x:v>0</x:v>
      </x:c>
      <x:c r="M5" s="228">
        <x:f>-'CONSOLIDADO_TOTAL RECAUDO'!D68-'CONSOLIDADO_TOTAL RECAUDO'!N68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0"/>
        <x:v>1</x:v>
      </x:c>
    </x:row>
    <x:row r="6" spans="2:16" s="291" customFormat="1" x14ac:dyDescent="0.2">
      <x:c r="B6" s="250">
        <x:v>4</x:v>
      </x:c>
      <x:c r="C6" s="228">
        <x:f>'Recaudo EAAB Reciprocidad'!F24+'Recaudo EAAB + Ciud Limp'!F24+'Recaudo Directa Occidente'!F24+'Recaudo ENEL'!F24+'Recaudo ENERBIT'!F24</x:f>
        <x:v>0</x:v>
      </x:c>
      <x:c r="D6" s="228">
        <x:f>'CONSOLIDADO_TOTAL RECAUDO'!G128</x:f>
        <x:v>0</x:v>
      </x:c>
      <x:c r="E6" s="228">
        <x:f>'CONSOLIDADO_TOTAL RECAUDO'!D31+'CONSOLIDADO_TOTAL RECAUDO'!N31</x:f>
        <x:v>0</x:v>
      </x:c>
      <x:c r="F6" s="228">
        <x:f>'CONSOLIDADO_TOTAL RECAUDO'!I145</x:f>
        <x:v>0</x:v>
      </x:c>
      <x:c r="G6" s="228">
        <x:f>'CONSOLIDADO_TOTAL RECAUDO'!H145</x:f>
        <x:v>0</x:v>
      </x:c>
      <x:c r="H6" s="276">
        <x:f t="shared" si="1"/>
        <x:v>0</x:v>
      </x:c>
      <x:c r="I6" s="227">
        <x:f>'CONSOLIDADO_TOTAL RECAUDO'!D107</x:f>
        <x:v>0</x:v>
      </x:c>
      <x:c r="J6" s="228">
        <x:f>'CONSOLIDADO_TOTAL RECAUDO'!N107</x:f>
        <x:v>0</x:v>
      </x:c>
      <x:c r="K6" s="228">
        <x:f>'CONSOLIDADO_TOTAL RECAUDO'!D128</x:f>
        <x:v>0</x:v>
      </x:c>
      <x:c r="L6" s="289">
        <x:f>'CONSOLIDADO_TOTAL RECAUDO'!E128</x:f>
        <x:v>0</x:v>
      </x:c>
      <x:c r="M6" s="228">
        <x:f>-'CONSOLIDADO_TOTAL RECAUDO'!D69-'CONSOLIDADO_TOTAL RECAUDO'!N69</x:f>
        <x:v>0</x:v>
      </x:c>
      <x:c r="N6" s="254">
        <x:f t="shared" ref="N6:N7" si="3">SUM(I6:M6)</x:f>
        <x:v>0</x:v>
      </x:c>
      <x:c r="O6" s="290">
        <x:f t="shared" si="2"/>
        <x:v>0</x:v>
      </x:c>
      <x:c r="P6" s="1" t="b">
        <x:f t="shared" si="0"/>
        <x:v>1</x:v>
      </x:c>
    </x:row>
    <x:row r="7" spans="2:16" s="291" customFormat="1" x14ac:dyDescent="0.2">
      <x:c r="B7" s="250">
        <x:v>5</x:v>
      </x:c>
      <x:c r="C7" s="228">
        <x:f>'Recaudo EAAB Reciprocidad'!F25+'Recaudo EAAB + Ciud Limp'!F25+'Recaudo Directa Occidente'!F25+'Recaudo ENEL'!F25+'Recaudo ENERBIT'!F25</x:f>
        <x:v>0</x:v>
      </x:c>
      <x:c r="D7" s="228">
        <x:f>'CONSOLIDADO_TOTAL RECAUDO'!G129</x:f>
        <x:v>0</x:v>
      </x:c>
      <x:c r="E7" s="228">
        <x:f>'CONSOLIDADO_TOTAL RECAUDO'!D32+'CONSOLIDADO_TOTAL RECAUDO'!N32</x:f>
        <x:v>0</x:v>
      </x:c>
      <x:c r="F7" s="228">
        <x:f>'CONSOLIDADO_TOTAL RECAUDO'!I146</x:f>
        <x:v>0</x:v>
      </x:c>
      <x:c r="G7" s="228">
        <x:f>'CONSOLIDADO_TOTAL RECAUDO'!H146</x:f>
        <x:v>0</x:v>
      </x:c>
      <x:c r="H7" s="276">
        <x:f>SUM(C7:G7)</x:f>
        <x:v>0</x:v>
      </x:c>
      <x:c r="I7" s="227">
        <x:f>'CONSOLIDADO_TOTAL RECAUDO'!D108</x:f>
        <x:v>0</x:v>
      </x:c>
      <x:c r="J7" s="228">
        <x:f>'CONSOLIDADO_TOTAL RECAUDO'!N108</x:f>
        <x:v>0</x:v>
      </x:c>
      <x:c r="K7" s="228">
        <x:f>'CONSOLIDADO_TOTAL RECAUDO'!D129</x:f>
        <x:v>0</x:v>
      </x:c>
      <x:c r="L7" s="289">
        <x:f>'CONSOLIDADO_TOTAL RECAUDO'!E129</x:f>
        <x:v>0</x:v>
      </x:c>
      <x:c r="M7" s="228">
        <x:f>-'CONSOLIDADO_TOTAL RECAUDO'!D70-'CONSOLIDADO_TOTAL RECAUDO'!N70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0"/>
        <x:v>1</x:v>
      </x:c>
    </x:row>
    <x:row r="8" spans="2:16" s="291" customFormat="1" ht="13.5" thickBot="1" x14ac:dyDescent="0.25">
      <x:c r="B8" s="277" t="s">
        <x:v>89</x:v>
      </x:c>
      <x:c r="C8" s="292">
        <x:f>'Recaudo EAAB Reciprocidad'!F26+'Recaudo EAAB + Ciud Limp'!F26+'Recaudo Directa Occidente'!F26+'Recaudo ENEL'!F26+'Recaudo ENERBIT'!F26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'CONSOLIDADO_TOTAL RECAUDO'!E130</x:f>
        <x:v>0</x:v>
      </x:c>
      <x:c r="M8" s="292">
        <x:v>0</x:v>
      </x:c>
      <x:c r="N8" s="294">
        <x:f>SUM(I8:L8)-M8</x:f>
        <x:v>0</x:v>
      </x:c>
      <x:c r="O8" s="290">
        <x:f>H8-N8</x:f>
        <x:v>0</x:v>
      </x:c>
      <x:c r="P8" s="1" t="b">
        <x:f t="shared" si="0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L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>SUM(H3:H8)</x:f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>SUM(M3:M8)</x:f>
        <x:v>0</x:v>
      </x:c>
      <x:c r="N9" s="226">
        <x:f>SUM(N3:N8)</x:f>
        <x:v>0</x:v>
      </x:c>
      <x:c r="O9" s="295">
        <x:f>SUM(O3:O8)</x:f>
        <x:v>0</x:v>
      </x:c>
      <x:c r="P9" s="1" t="b">
        <x:f t="shared" si="0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Recaudo'!F10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291"/>
    </x:row>
    <x:row r="18" spans="3:18" ht="13.5" thickBot="1" x14ac:dyDescent="0.25">
      <x:c r="D18" s="580" t="s">
        <x:v>270</x:v>
      </x:c>
      <x:c r="E18" s="580"/>
    </x:row>
    <x:row r="19" spans="3:18" ht="36" x14ac:dyDescent="0.2">
      <x:c r="D19" s="469" t="s">
        <x:v>55</x:v>
      </x:c>
      <x:c r="E19" s="469" t="s">
        <x:v>50</x:v>
      </x:c>
      <x:c r="F19" s="469" t="s">
        <x:v>57</x:v>
      </x:c>
      <x:c r="G19" s="469" t="s">
        <x:v>129</x:v>
      </x:c>
      <x:c r="H19" s="469" t="s">
        <x:v>130</x:v>
      </x:c>
      <x:c r="I19" s="714" t="s">
        <x:v>52</x:v>
      </x:c>
      <x:c r="J19" s="98" t="s">
        <x:v>58</x:v>
      </x:c>
      <x:c r="K19" s="98" t="s">
        <x:v>59</x:v>
      </x:c>
      <x:c r="L19" s="98" t="s">
        <x:v>53</x:v>
      </x:c>
      <x:c r="M19" s="468" t="s">
        <x:v>60</x:v>
      </x:c>
      <x:c r="N19" s="308" t="s">
        <x:v>92</x:v>
      </x:c>
      <x:c r="O19" s="715" t="s">
        <x:v>54</x:v>
      </x:c>
    </x:row>
    <x:row r="20" spans="3:18" x14ac:dyDescent="0.2">
      <x:c r="C20" t="s">
        <x:v>202</x:v>
      </x:c>
      <x:c r="D20" s="716">
        <x:f>VALIDACION_RECIP!C9</x:f>
        <x:v>0</x:v>
      </x:c>
      <x:c r="E20" s="716">
        <x:f>VALIDACION_RECIP!D9</x:f>
        <x:v>0</x:v>
      </x:c>
      <x:c r="F20" s="716">
        <x:f>VALIDACION_RECIP!E9</x:f>
        <x:v>0</x:v>
      </x:c>
      <x:c r="G20" s="716">
        <x:f>VALIDACION_RECIP!F9</x:f>
        <x:v>0</x:v>
      </x:c>
      <x:c r="H20" s="716">
        <x:f>VALIDACION_RECIP!G9</x:f>
        <x:v>0</x:v>
      </x:c>
      <x:c r="I20" s="716">
        <x:f>VALIDACION_RECIP!H9</x:f>
        <x:v>0</x:v>
      </x:c>
      <x:c r="J20" s="716">
        <x:f>VALIDACION_RECIP!I9</x:f>
        <x:v>0</x:v>
      </x:c>
      <x:c r="K20" s="716">
        <x:f>VALIDACION_RECIP!J9</x:f>
        <x:v>0</x:v>
      </x:c>
      <x:c r="L20" s="716">
        <x:f>VALIDACION_RECIP!K9</x:f>
        <x:v>0</x:v>
      </x:c>
      <x:c r="M20" s="716">
        <x:f>VALIDACION_RECIP!L9</x:f>
        <x:v>0</x:v>
      </x:c>
      <x:c r="N20" s="716">
        <x:f>VALIDACION_RECIP!M9</x:f>
        <x:v>0</x:v>
      </x:c>
      <x:c r="O20" s="716">
        <x:f>VALIDACION_RECIP!N9</x:f>
        <x:v>0</x:v>
      </x:c>
    </x:row>
    <x:row r="21" spans="3:18" x14ac:dyDescent="0.2">
      <x:c r="C21" s="151" t="s">
        <x:v>155</x:v>
      </x:c>
      <x:c r="D21" s="716">
        <x:f>VALIDACION_ENEL!C9</x:f>
        <x:v>0</x:v>
      </x:c>
      <x:c r="E21" s="716">
        <x:f>VALIDACION_ENEL!D9</x:f>
        <x:v>0</x:v>
      </x:c>
      <x:c r="F21" s="716">
        <x:f>VALIDACION_ENEL!E9</x:f>
        <x:v>0</x:v>
      </x:c>
      <x:c r="G21" s="716">
        <x:f>VALIDACION_ENEL!F9</x:f>
        <x:v>0</x:v>
      </x:c>
      <x:c r="H21" s="716">
        <x:f>VALIDACION_ENEL!G9</x:f>
        <x:v>0</x:v>
      </x:c>
      <x:c r="I21" s="716">
        <x:f>VALIDACION_ENEL!H9</x:f>
        <x:v>0</x:v>
      </x:c>
      <x:c r="J21" s="716">
        <x:f>VALIDACION_ENEL!I9</x:f>
        <x:v>0</x:v>
      </x:c>
      <x:c r="K21" s="716">
        <x:f>VALIDACION_ENEL!J9</x:f>
        <x:v>0</x:v>
      </x:c>
      <x:c r="L21" s="716">
        <x:f>VALIDACION_ENEL!K9</x:f>
        <x:v>0</x:v>
      </x:c>
      <x:c r="M21" s="716">
        <x:f>VALIDACION_ENEL!L9</x:f>
        <x:v>0</x:v>
      </x:c>
      <x:c r="N21" s="716">
        <x:f>VALIDACION_ENEL!M9</x:f>
        <x:v>0</x:v>
      </x:c>
      <x:c r="O21" s="716">
        <x:f>VALIDACION_ENEL!N9</x:f>
        <x:v>0</x:v>
      </x:c>
    </x:row>
    <x:row r="22" spans="3:18" x14ac:dyDescent="0.2">
      <x:c r="C22" s="605" t="s">
        <x:v>326</x:v>
      </x:c>
      <x:c r="D22" s="716">
        <x:f>VALIDACION_ENERBIT!C9</x:f>
        <x:v>0</x:v>
      </x:c>
      <x:c r="E22" s="716">
        <x:f>VALIDACION_ENERBIT!D9</x:f>
        <x:v>0</x:v>
      </x:c>
      <x:c r="F22" s="716">
        <x:f>VALIDACION_ENERBIT!E9</x:f>
        <x:v>0</x:v>
      </x:c>
      <x:c r="G22" s="716">
        <x:f>VALIDACION_ENERBIT!F9</x:f>
        <x:v>0</x:v>
      </x:c>
      <x:c r="H22" s="716">
        <x:f>VALIDACION_ENERBIT!G9</x:f>
        <x:v>0</x:v>
      </x:c>
      <x:c r="I22" s="716">
        <x:f>VALIDACION_ENERBIT!H9</x:f>
        <x:v>0</x:v>
      </x:c>
      <x:c r="J22" s="716">
        <x:f>VALIDACION_ENERBIT!I9</x:f>
        <x:v>0</x:v>
      </x:c>
      <x:c r="K22" s="716">
        <x:f>VALIDACION_ENERBIT!J9</x:f>
        <x:v>0</x:v>
      </x:c>
      <x:c r="L22" s="716">
        <x:f>VALIDACION_ENERBIT!K9</x:f>
        <x:v>0</x:v>
      </x:c>
      <x:c r="M22" s="716">
        <x:f>VALIDACION_ENERBIT!L9</x:f>
        <x:v>0</x:v>
      </x:c>
      <x:c r="N22" s="716">
        <x:f>VALIDACION_ENERBIT!M9</x:f>
        <x:v>0</x:v>
      </x:c>
      <x:c r="O22" s="716">
        <x:f>VALIDACION_ENERBIT!N9</x:f>
        <x:v>0</x:v>
      </x:c>
    </x:row>
    <x:row r="23" spans="3:18" x14ac:dyDescent="0.2">
      <x:c r="C23" s="191" t="s">
        <x:v>119</x:v>
      </x:c>
      <x:c r="D23" s="716">
        <x:f>VALIDACION_OCCIDENTE!C9</x:f>
        <x:v>0</x:v>
      </x:c>
      <x:c r="E23" s="716">
        <x:f>VALIDACION_OCCIDENTE!D9</x:f>
        <x:v>0</x:v>
      </x:c>
      <x:c r="F23" s="716">
        <x:f>VALIDACION_OCCIDENTE!E9</x:f>
        <x:v>0</x:v>
      </x:c>
      <x:c r="G23" s="716">
        <x:f>VALIDACION_OCCIDENTE!F9</x:f>
        <x:v>0</x:v>
      </x:c>
      <x:c r="H23" s="716">
        <x:f>VALIDACION_OCCIDENTE!G9</x:f>
        <x:v>0</x:v>
      </x:c>
      <x:c r="I23" s="716">
        <x:f>VALIDACION_OCCIDENTE!H9</x:f>
        <x:v>0</x:v>
      </x:c>
      <x:c r="J23" s="716">
        <x:f>VALIDACION_OCCIDENTE!I9</x:f>
        <x:v>0</x:v>
      </x:c>
      <x:c r="K23" s="716">
        <x:f>VALIDACION_OCCIDENTE!J9</x:f>
        <x:v>0</x:v>
      </x:c>
      <x:c r="L23" s="716">
        <x:f>VALIDACION_OCCIDENTE!K9</x:f>
        <x:v>0</x:v>
      </x:c>
      <x:c r="M23" s="716">
        <x:f>VALIDACION_OCCIDENTE!L9</x:f>
        <x:v>0</x:v>
      </x:c>
      <x:c r="N23" s="716">
        <x:f>VALIDACION_OCCIDENTE!M9</x:f>
        <x:v>0</x:v>
      </x:c>
      <x:c r="O23" s="716">
        <x:f>VALIDACION_OCCIDENTE!N9</x:f>
        <x:v>0</x:v>
      </x:c>
    </x:row>
    <x:row r="24" spans="3:18" x14ac:dyDescent="0.2">
      <x:c r="D24" s="717">
        <x:f>SUM(D20:D23)</x:f>
        <x:v>0</x:v>
      </x:c>
      <x:c r="E24" s="717">
        <x:f>SUM(E20:E23)</x:f>
        <x:v>0</x:v>
      </x:c>
      <x:c r="F24" s="717">
        <x:f>SUM(F20:F23)</x:f>
        <x:v>0</x:v>
      </x:c>
      <x:c r="G24" s="717">
        <x:f>SUM(G20:G23)</x:f>
        <x:v>0</x:v>
      </x:c>
      <x:c r="H24" s="717">
        <x:f t="shared" ref="H24:O24" si="5">SUM(H20:H23)</x:f>
        <x:v>0</x:v>
      </x:c>
      <x:c r="I24" s="717">
        <x:f t="shared" si="5"/>
        <x:v>0</x:v>
      </x:c>
      <x:c r="J24" s="717">
        <x:f t="shared" si="5"/>
        <x:v>0</x:v>
      </x:c>
      <x:c r="K24" s="717">
        <x:f t="shared" si="5"/>
        <x:v>0</x:v>
      </x:c>
      <x:c r="L24" s="717">
        <x:f t="shared" si="5"/>
        <x:v>0</x:v>
      </x:c>
      <x:c r="M24" s="717">
        <x:f t="shared" si="5"/>
        <x:v>0</x:v>
      </x:c>
      <x:c r="N24" s="717">
        <x:f t="shared" si="5"/>
        <x:v>0</x:v>
      </x:c>
      <x:c r="O24" s="717">
        <x:f t="shared" si="5"/>
        <x:v>0</x:v>
      </x:c>
    </x:row>
    <x:row r="25" spans="3:18" x14ac:dyDescent="0.2">
      <x:c r="D25" s="428" t="b">
        <x:f>D24=C9</x:f>
        <x:v>1</x:v>
      </x:c>
      <x:c r="E25" s="718" t="b">
        <x:f>E24=D9</x:f>
        <x:v>1</x:v>
      </x:c>
      <x:c r="F25" s="428" t="b">
        <x:f>F24=E9</x:f>
        <x:v>1</x:v>
      </x:c>
      <x:c r="G25" s="428" t="b">
        <x:f t="shared" ref="G25:O25" si="6">G24=F9</x:f>
        <x:v>1</x:v>
      </x:c>
      <x:c r="H25" s="428" t="b">
        <x:f t="shared" si="6"/>
        <x:v>1</x:v>
      </x:c>
      <x:c r="I25" s="428" t="b">
        <x:f>I24=H9</x:f>
        <x:v>1</x:v>
      </x:c>
      <x:c r="J25" s="428" t="b">
        <x:f t="shared" si="6"/>
        <x:v>1</x:v>
      </x:c>
      <x:c r="K25" s="428" t="b">
        <x:f t="shared" si="6"/>
        <x:v>1</x:v>
      </x:c>
      <x:c r="L25" s="428" t="b">
        <x:f t="shared" si="6"/>
        <x:v>1</x:v>
      </x:c>
      <x:c r="M25" s="428" t="b">
        <x:f>M24=L9</x:f>
        <x:v>1</x:v>
      </x:c>
      <x:c r="N25" s="428" t="b">
        <x:f t="shared" si="6"/>
        <x:v>1</x:v>
      </x:c>
      <x:c r="O25" s="428" t="b">
        <x:f t="shared" si="6"/>
        <x:v>1</x:v>
      </x:c>
    </x:row>
    <x:row r="27" spans="3:18" ht="13.5" thickBot="1" x14ac:dyDescent="0.25">
      <x:c r="D27" s="580" t="s">
        <x:v>271</x:v>
      </x:c>
    </x:row>
    <x:row r="28" spans="3:18" ht="57" customHeight="1" thickBot="1" x14ac:dyDescent="0.25">
      <x:c r="D28" s="97" t="s">
        <x:v>4</x:v>
      </x:c>
      <x:c r="E28" s="98" t="s">
        <x:v>7</x:v>
      </x:c>
      <x:c r="F28" s="98" t="s">
        <x:v>275</x:v>
      </x:c>
      <x:c r="G28" s="98" t="s">
        <x:v>190</x:v>
      </x:c>
      <x:c r="I28" s="11" t="s">
        <x:v>38</x:v>
      </x:c>
      <x:c r="J28" s="85" t="s">
        <x:v>273</x:v>
      </x:c>
      <x:c r="K28" s="65" t="s">
        <x:v>47</x:v>
      </x:c>
      <x:c r="L28" s="306" t="s">
        <x:v>56</x:v>
      </x:c>
      <x:c r="M28" s="73" t="s">
        <x:v>274</x:v>
      </x:c>
      <x:c r="N28" s="73" t="s">
        <x:v>171</x:v>
      </x:c>
      <x:c r="O28" s="28" t="s">
        <x:v>129</x:v>
      </x:c>
      <x:c r="P28" s="12" t="s">
        <x:v>190</x:v>
      </x:c>
      <x:c r="Q28" s="73" t="s">
        <x:v>272</x:v>
      </x:c>
    </x:row>
    <x:row r="29" spans="3:18" x14ac:dyDescent="0.2">
      <x:c r="C29" t="s">
        <x:v>202</x:v>
      </x:c>
      <x:c r="D29" s="716">
        <x:f>'REMUNERACION Reciprocidad EAAB'!D109</x:f>
        <x:v>0</x:v>
      </x:c>
      <x:c r="E29" s="716">
        <x:f>'REMUNERACION Reciprocidad EAAB'!N109</x:f>
        <x:v>0</x:v>
      </x:c>
      <x:c r="F29" s="716">
        <x:f>D29+E29</x:f>
        <x:v>0</x:v>
      </x:c>
      <x:c r="G29" s="719">
        <x:f>D20-F29</x:f>
        <x:v>0</x:v>
      </x:c>
      <x:c r="H29" s="574"/>
      <x:c r="I29" s="724">
        <x:f>'REMUNERACION Reciprocidad EAAB'!D131</x:f>
        <x:v>0</x:v>
      </x:c>
      <x:c r="J29" s="724"/>
      <x:c r="K29" s="724">
        <x:f>'REMUNERACION Reciprocidad EAAB'!G131</x:f>
        <x:v>0</x:v>
      </x:c>
      <x:c r="L29" s="724">
        <x:f>'REMUNERACION Reciprocidad EAAB'!H131</x:f>
        <x:v>0</x:v>
      </x:c>
      <x:c r="M29" s="724">
        <x:f>'REMUNERACION Reciprocidad EAAB'!I131</x:f>
        <x:v>0</x:v>
      </x:c>
      <x:c r="N29" s="724">
        <x:f>+'REMUNERACION Reciprocidad EAAB'!J131</x:f>
        <x:v>0</x:v>
      </x:c>
      <x:c r="O29" s="724">
        <x:f>'REMUNERACION Reciprocidad EAAB'!I147</x:f>
        <x:v>0</x:v>
      </x:c>
      <x:c r="P29" s="725">
        <x:f>I29+J29-K29-L29-M29-N29-O29</x:f>
        <x:v>0</x:v>
      </x:c>
      <x:c r="Q29" s="726">
        <x:f>G29-P29</x:f>
        <x:v>0</x:v>
      </x:c>
      <x:c r="R29" s="130"/>
    </x:row>
    <x:row r="30" spans="3:18" x14ac:dyDescent="0.2">
      <x:c r="C30" s="151" t="s">
        <x:v>155</x:v>
      </x:c>
      <x:c r="D30" s="716">
        <x:f>REMUNERACION_ENEL!D109</x:f>
        <x:v>0</x:v>
      </x:c>
      <x:c r="E30" s="716">
        <x:f>REMUNERACION_ENEL!N109</x:f>
        <x:v>0</x:v>
      </x:c>
      <x:c r="F30" s="716">
        <x:f>D30+E30</x:f>
        <x:v>0</x:v>
      </x:c>
      <x:c r="G30" s="720">
        <x:f>D21-F30</x:f>
        <x:v>0</x:v>
      </x:c>
      <x:c r="H30" s="574"/>
      <x:c r="I30" s="716">
        <x:f>REMUNERACION_ENEL!D131</x:f>
        <x:v>0</x:v>
      </x:c>
      <x:c r="J30" s="716"/>
      <x:c r="K30" s="716">
        <x:f>REMUNERACION_ENEL!G131</x:f>
        <x:v>0</x:v>
      </x:c>
      <x:c r="L30" s="716">
        <x:f>REMUNERACION_ENEL!H131</x:f>
        <x:v>0</x:v>
      </x:c>
      <x:c r="M30" s="716">
        <x:f>REMUNERACION_ENEL!I131</x:f>
        <x:v>0</x:v>
      </x:c>
      <x:c r="N30" s="716">
        <x:f>REMUNERACION_ENEL!J131</x:f>
        <x:v>0</x:v>
      </x:c>
      <x:c r="O30" s="716">
        <x:f>REMUNERACION_ENEL!I147</x:f>
        <x:v>0</x:v>
      </x:c>
      <x:c r="P30" s="719">
        <x:f>I30+J30-K30-L30-M30-N30-O30</x:f>
        <x:v>0</x:v>
      </x:c>
      <x:c r="Q30" s="723">
        <x:f>G30-P30</x:f>
        <x:v>0</x:v>
      </x:c>
      <x:c r="R30" s="130"/>
    </x:row>
    <x:row r="31" spans="3:18" x14ac:dyDescent="0.2">
      <x:c r="C31" s="605" t="s">
        <x:v>326</x:v>
      </x:c>
      <x:c r="D31" s="716">
        <x:f>REMUNERACION_ENERBIT!D109</x:f>
        <x:v>0</x:v>
      </x:c>
      <x:c r="E31" s="716">
        <x:f>REMUNERACION_ENERBIT!N109</x:f>
        <x:v>0</x:v>
      </x:c>
      <x:c r="F31" s="716">
        <x:f>D31+E31</x:f>
        <x:v>0</x:v>
      </x:c>
      <x:c r="G31" s="720">
        <x:f>D22-F31</x:f>
        <x:v>0</x:v>
      </x:c>
      <x:c r="H31" s="574"/>
      <x:c r="I31" s="716">
        <x:f>REMUNERACION_ENERBIT!D131</x:f>
        <x:v>0</x:v>
      </x:c>
      <x:c r="J31" s="716"/>
      <x:c r="K31" s="716">
        <x:f>REMUNERACION_ENERBIT!G131</x:f>
        <x:v>0</x:v>
      </x:c>
      <x:c r="L31" s="716">
        <x:f>REMUNERACION_ENERBIT!H131</x:f>
        <x:v>0</x:v>
      </x:c>
      <x:c r="M31" s="716">
        <x:f>REMUNERACION_ENERBIT!I131</x:f>
        <x:v>0</x:v>
      </x:c>
      <x:c r="N31" s="716">
        <x:f>REMUNERACION_ENERBIT!J131</x:f>
        <x:v>0</x:v>
      </x:c>
      <x:c r="O31" s="716">
        <x:f>REMUNERACION_ENERBIT!K131</x:f>
        <x:v>0</x:v>
      </x:c>
      <x:c r="P31" s="719">
        <x:f t="shared" ref="P31" si="7">I31+J31-K31-L31-M31-N31-O31</x:f>
        <x:v>0</x:v>
      </x:c>
      <x:c r="Q31" s="723">
        <x:f t="shared" ref="Q31:Q32" si="8">G31-P31</x:f>
        <x:v>0</x:v>
      </x:c>
      <x:c r="R31" s="130"/>
    </x:row>
    <x:row r="32" spans="3:18" x14ac:dyDescent="0.2">
      <x:c r="C32" s="191" t="s">
        <x:v>119</x:v>
      </x:c>
      <x:c r="D32" s="716">
        <x:f>'REMUNERACION_OCCIDENTE_ Directa'!D109</x:f>
        <x:v>0</x:v>
      </x:c>
      <x:c r="E32" s="716">
        <x:f>'REMUNERACION_OCCIDENTE_ Directa'!N109</x:f>
        <x:v>0</x:v>
      </x:c>
      <x:c r="F32" s="716">
        <x:f t="shared" ref="F32" si="9">D32+E32</x:f>
        <x:v>0</x:v>
      </x:c>
      <x:c r="G32" s="720">
        <x:f>D23-F32</x:f>
        <x:v>0</x:v>
      </x:c>
      <x:c r="H32" s="574"/>
      <x:c r="I32" s="716">
        <x:f>'REMUNERACION_OCCIDENTE_ Directa'!D131</x:f>
        <x:v>0</x:v>
      </x:c>
      <x:c r="J32" s="716">
        <x:f>'CONSOLIDADO_TOTAL RECAUDO'!E131</x:f>
        <x:v>0</x:v>
      </x:c>
      <x:c r="K32" s="716">
        <x:f>'REMUNERACION_OCCIDENTE_ Directa'!G131</x:f>
        <x:v>0</x:v>
      </x:c>
      <x:c r="L32" s="716">
        <x:f>'REMUNERACION_OCCIDENTE_ Directa'!H131</x:f>
        <x:v>0</x:v>
      </x:c>
      <x:c r="M32" s="716">
        <x:f>'REMUNERACION_OCCIDENTE_ Directa'!I131</x:f>
        <x:v>0</x:v>
      </x:c>
      <x:c r="N32" s="716">
        <x:f>'REMUNERACION_OCCIDENTE_ Directa'!J131</x:f>
        <x:v>0</x:v>
      </x:c>
      <x:c r="O32" s="716">
        <x:f>'REMUNERACION_OCCIDENTE_ Directa'!I147</x:f>
        <x:v>0</x:v>
      </x:c>
      <x:c r="P32" s="719">
        <x:f t="shared" ref="P32" si="10">I32+J32-K32-L32-M32-N32-O32</x:f>
        <x:v>0</x:v>
      </x:c>
      <x:c r="Q32" s="723">
        <x:f t="shared" si="8"/>
        <x:v>0</x:v>
      </x:c>
      <x:c r="R32" s="130"/>
    </x:row>
    <x:row r="33" spans="4:17" x14ac:dyDescent="0.2">
      <x:c r="D33" s="721">
        <x:f>SUM(D29:D32)</x:f>
        <x:v>0</x:v>
      </x:c>
      <x:c r="E33" s="721">
        <x:f>SUM(E29:E32)</x:f>
        <x:v>0</x:v>
      </x:c>
      <x:c r="F33" s="721">
        <x:f t="shared" ref="F33" si="11">SUM(F29:F32)</x:f>
        <x:v>0</x:v>
      </x:c>
      <x:c r="G33" s="722">
        <x:f>D24-F33</x:f>
        <x:v>0</x:v>
      </x:c>
      <x:c r="H33" s="574"/>
      <x:c r="I33" s="717">
        <x:f>SUM(I29:I32)</x:f>
        <x:v>0</x:v>
      </x:c>
      <x:c r="J33" s="717">
        <x:f>SUM(J29:J32)</x:f>
        <x:v>0</x:v>
      </x:c>
      <x:c r="K33" s="717">
        <x:f>SUM(K29:K32)</x:f>
        <x:v>0</x:v>
      </x:c>
      <x:c r="L33" s="717">
        <x:f t="shared" ref="L33:N33" si="12">SUM(L29:L32)</x:f>
        <x:v>0</x:v>
      </x:c>
      <x:c r="M33" s="717">
        <x:f t="shared" si="12"/>
        <x:v>0</x:v>
      </x:c>
      <x:c r="N33" s="717">
        <x:f t="shared" si="12"/>
        <x:v>0</x:v>
      </x:c>
      <x:c r="O33" s="717">
        <x:f>SUM(O29:O32)</x:f>
        <x:v>0</x:v>
      </x:c>
      <x:c r="P33" s="717">
        <x:f>SUM(P29:P32)</x:f>
        <x:v>0</x:v>
      </x:c>
      <x:c r="Q33" s="717">
        <x:f>SUM(Q29:Q32)</x:f>
        <x:v>0</x:v>
      </x:c>
    </x:row>
    <x:row r="34" spans="4:17" x14ac:dyDescent="0.2">
      <x:c r="D34" s="574" t="b">
        <x:f>D33='CONSOLIDADO_TOTAL RECAUDO'!D109</x:f>
        <x:v>1</x:v>
      </x:c>
      <x:c r="E34" s="574" t="b">
        <x:f>E33='CONSOLIDADO_TOTAL RECAUDO'!N109</x:f>
        <x:v>1</x:v>
      </x:c>
      <x:c r="F34" s="574" t="b">
        <x:f>F33='CONSOLIDADO_TOTAL RECAUDO'!D109+'CONSOLIDADO_TOTAL RECAUDO'!N109</x:f>
        <x:v>1</x:v>
      </x:c>
      <x:c r="G34" s="574"/>
      <x:c r="H34" s="574"/>
      <x:c r="I34" s="574"/>
      <x:c r="J34" s="574"/>
      <x:c r="K34" s="574"/>
      <x:c r="L34" s="574"/>
      <x:c r="M34" s="574"/>
      <x:c r="N34" s="574"/>
      <x:c r="O34" s="574"/>
    </x:row>
    <x:row r="35" spans="4:17" x14ac:dyDescent="0.2">
      <x:c r="K35" s="130"/>
      <x:c r="P35" s="727">
        <x:f>P33-G33</x:f>
        <x:v>0</x:v>
      </x:c>
    </x:row>
    <x:row r="36" spans="4:17" x14ac:dyDescent="0.2">
      <x:c r="L36" s="130"/>
      <x:c r="P36" s="130"/>
    </x:row>
    <x:row r="37" spans="4:17" x14ac:dyDescent="0.2">
      <x:c r="P37" s="514"/>
    </x:row>
    <x:row r="38" spans="4:17" x14ac:dyDescent="0.2">
      <x:c r="P38" s="130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topLeftCell="V1" zoomScaleNormal="100" workbookViewId="0">
      <selection activeCell="L16" sqref="L1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4.7109375" style="1" bestFit="1" customWidth="1"/>
    <col min="5" max="5" width="15.42578125" style="1" bestFit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1.28515625" style="1" customWidth="1"/>
    <col min="34" max="34" width="12" style="1" bestFit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12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'CONSOLIDADO_TOTAL RECAUDO'!D101</f>
        <v>46238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92"/>
      <c r="C7" s="513" t="s">
        <v>0</v>
      </c>
      <c r="D7" s="474">
        <f>'CONSOLIDADO_TOTAL RECAUDO'!D102</f>
        <v>0.58333333333333337</v>
      </c>
      <c r="E7" s="45"/>
      <c r="F7" s="473" t="s">
        <v>27</v>
      </c>
      <c r="G7" s="475">
        <f>'CONSOLIDADO_TOTAL RECAUDO'!G102</f>
        <v>46219</v>
      </c>
      <c r="H7" s="45"/>
      <c r="I7" s="45"/>
      <c r="J7" s="473" t="s">
        <v>28</v>
      </c>
      <c r="K7" s="475">
        <f>'CONSOLIDADO_TOTAL RECAUDO'!K102</f>
        <v>46234</v>
      </c>
      <c r="L7" s="45"/>
      <c r="M7" s="45"/>
      <c r="N7" s="45"/>
      <c r="O7" s="476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0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167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'CONSOLIDADO_TOTAL RECAUDO'!D104</f>
        <v>0</v>
      </c>
      <c r="E9" s="66">
        <f>'CONSOLIDADO_TOTAL RECAUDO'!E104</f>
        <v>0</v>
      </c>
      <c r="F9" s="66">
        <f>'CONSOLIDADO_TOTAL RECAUDO'!F104</f>
        <v>0</v>
      </c>
      <c r="G9" s="66">
        <f>'CONSOLIDADO_TOTAL RECAUDO'!G104</f>
        <v>0</v>
      </c>
      <c r="H9" s="66">
        <f>'CONSOLIDADO_TOTAL RECAUDO'!H104</f>
        <v>0</v>
      </c>
      <c r="I9" s="66">
        <f>'CONSOLIDADO_TOTAL RECAUDO'!I104</f>
        <v>0</v>
      </c>
      <c r="J9" s="66">
        <f>'CONSOLIDADO_TOTAL RECAUDO'!J104</f>
        <v>0</v>
      </c>
      <c r="K9" s="30">
        <f>D9-E9-F9-G9-H9-I9-J9</f>
        <v>0</v>
      </c>
      <c r="L9" s="66">
        <f>'CONSOLIDADO_TOTAL RECAUDO'!L104</f>
        <v>189185988</v>
      </c>
      <c r="M9" s="30">
        <f>K9-L9</f>
        <v>-189185988</v>
      </c>
      <c r="N9" s="66">
        <f>'CONSOLIDADO_TOTAL RECAUDO'!N104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'CONSOLIDADO_TOTAL RECAUDO'!U104</f>
        <v>0</v>
      </c>
      <c r="V9" s="66">
        <f>'CONSOLIDADO_TOTAL RECAUDO'!V104</f>
        <v>0</v>
      </c>
      <c r="W9" s="66">
        <f>'CONSOLIDADO_TOTAL RECAUDO'!W104</f>
        <v>0</v>
      </c>
      <c r="X9" s="66">
        <f>'CONSOLIDADO_TOTAL RECAUDO'!X104</f>
        <v>0</v>
      </c>
      <c r="Y9" s="66">
        <f>'CONSOLIDADO_TOTAL RECAUDO'!Y104</f>
        <v>0</v>
      </c>
      <c r="Z9" s="66">
        <f>'CONSOLIDADO_TOTAL RECAUDO'!Z104</f>
        <v>-189185988</v>
      </c>
      <c r="AA9" s="66">
        <f>'CONSOLIDADO_TOTAL RECAUDO'!AA104</f>
        <v>0</v>
      </c>
      <c r="AB9" s="66">
        <f>'CONSOLIDADO_TOTAL RECAUDO'!AB104</f>
        <v>0</v>
      </c>
      <c r="AC9" s="66">
        <f>'CONSOLIDADO_TOTAL RECAUDO'!AC104</f>
        <v>0</v>
      </c>
      <c r="AD9" s="66">
        <f>'CONSOLIDADO_TOTAL RECAUDO'!AD104</f>
        <v>0</v>
      </c>
      <c r="AE9" s="66">
        <f>'CONSOLIDADO_TOTAL RECAUDO'!AE104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'CONSOLIDADO_TOTAL RECAUDO'!D105</f>
        <v>0</v>
      </c>
      <c r="E10" s="66">
        <f>'CONSOLIDADO_TOTAL RECAUDO'!E105</f>
        <v>0</v>
      </c>
      <c r="F10" s="66">
        <f>'CONSOLIDADO_TOTAL RECAUDO'!F105</f>
        <v>0</v>
      </c>
      <c r="G10" s="66">
        <f>'CONSOLIDADO_TOTAL RECAUDO'!G105</f>
        <v>0</v>
      </c>
      <c r="H10" s="66">
        <f>'CONSOLIDADO_TOTAL RECAUDO'!H105</f>
        <v>0</v>
      </c>
      <c r="I10" s="66">
        <f>'CONSOLIDADO_TOTAL RECAUDO'!I105</f>
        <v>0</v>
      </c>
      <c r="J10" s="66">
        <f>'CONSOLIDADO_TOTAL RECAUDO'!J105</f>
        <v>0</v>
      </c>
      <c r="K10" s="31">
        <f t="shared" ref="K10:K13" si="0">D10-E10-F10-G10-H10-I10-J10</f>
        <v>0</v>
      </c>
      <c r="L10" s="66">
        <f>'CONSOLIDADO_TOTAL RECAUDO'!L105</f>
        <v>266580256</v>
      </c>
      <c r="M10" s="31">
        <f>K10-L10</f>
        <v>-266580256</v>
      </c>
      <c r="N10" s="66">
        <f>'CONSOLIDADO_TOTAL RECAUDO'!N105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'CONSOLIDADO_TOTAL RECAUDO'!U105</f>
        <v>0</v>
      </c>
      <c r="V10" s="66">
        <f>'CONSOLIDADO_TOTAL RECAUDO'!V105</f>
        <v>0</v>
      </c>
      <c r="W10" s="66">
        <f>'CONSOLIDADO_TOTAL RECAUDO'!W105</f>
        <v>0</v>
      </c>
      <c r="X10" s="66">
        <f>'CONSOLIDADO_TOTAL RECAUDO'!X105</f>
        <v>0</v>
      </c>
      <c r="Y10" s="66">
        <f>'CONSOLIDADO_TOTAL RECAUDO'!Y105</f>
        <v>0</v>
      </c>
      <c r="Z10" s="66">
        <f>'CONSOLIDADO_TOTAL RECAUDO'!Z105</f>
        <v>-266580256</v>
      </c>
      <c r="AA10" s="66">
        <f>'CONSOLIDADO_TOTAL RECAUDO'!AA105</f>
        <v>0</v>
      </c>
      <c r="AB10" s="66">
        <f>'CONSOLIDADO_TOTAL RECAUDO'!AB105</f>
        <v>0</v>
      </c>
      <c r="AC10" s="66">
        <f>'CONSOLIDADO_TOTAL RECAUDO'!AC105</f>
        <v>0</v>
      </c>
      <c r="AD10" s="66">
        <f>'CONSOLIDADO_TOTAL RECAUDO'!AD105</f>
        <v>0</v>
      </c>
      <c r="AE10" s="66">
        <f>'CONSOLIDADO_TOTAL RECAUDO'!AE105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'CONSOLIDADO_TOTAL RECAUDO'!D106</f>
        <v>0</v>
      </c>
      <c r="E11" s="66">
        <f>'CONSOLIDADO_TOTAL RECAUDO'!E106</f>
        <v>0</v>
      </c>
      <c r="F11" s="66">
        <f>'CONSOLIDADO_TOTAL RECAUDO'!F106</f>
        <v>0</v>
      </c>
      <c r="G11" s="66">
        <f>'CONSOLIDADO_TOTAL RECAUDO'!G106</f>
        <v>0</v>
      </c>
      <c r="H11" s="66">
        <f>'CONSOLIDADO_TOTAL RECAUDO'!H106</f>
        <v>0</v>
      </c>
      <c r="I11" s="66">
        <f>'CONSOLIDADO_TOTAL RECAUDO'!I106</f>
        <v>0</v>
      </c>
      <c r="J11" s="66">
        <f>'CONSOLIDADO_TOTAL RECAUDO'!J106</f>
        <v>0</v>
      </c>
      <c r="K11" s="31">
        <f t="shared" si="0"/>
        <v>0</v>
      </c>
      <c r="L11" s="66">
        <f>'CONSOLIDADO_TOTAL RECAUDO'!L106</f>
        <v>154788536</v>
      </c>
      <c r="M11" s="31">
        <f>K11-L11</f>
        <v>-154788536</v>
      </c>
      <c r="N11" s="66">
        <f>'CONSOLIDADO_TOTAL RECAUDO'!N106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'CONSOLIDADO_TOTAL RECAUDO'!U106</f>
        <v>0</v>
      </c>
      <c r="V11" s="66">
        <f>'CONSOLIDADO_TOTAL RECAUDO'!V106</f>
        <v>0</v>
      </c>
      <c r="W11" s="66">
        <f>'CONSOLIDADO_TOTAL RECAUDO'!W106</f>
        <v>0</v>
      </c>
      <c r="X11" s="66">
        <f>'CONSOLIDADO_TOTAL RECAUDO'!X106</f>
        <v>0</v>
      </c>
      <c r="Y11" s="66">
        <f>'CONSOLIDADO_TOTAL RECAUDO'!Y106</f>
        <v>0</v>
      </c>
      <c r="Z11" s="66">
        <f>'CONSOLIDADO_TOTAL RECAUDO'!Z106</f>
        <v>-154788536</v>
      </c>
      <c r="AA11" s="66">
        <f>'CONSOLIDADO_TOTAL RECAUDO'!AA106</f>
        <v>0</v>
      </c>
      <c r="AB11" s="66">
        <f>'CONSOLIDADO_TOTAL RECAUDO'!AB106</f>
        <v>0</v>
      </c>
      <c r="AC11" s="66">
        <f>'CONSOLIDADO_TOTAL RECAUDO'!AC106</f>
        <v>0</v>
      </c>
      <c r="AD11" s="66">
        <f>'CONSOLIDADO_TOTAL RECAUDO'!AD106</f>
        <v>0</v>
      </c>
      <c r="AE11" s="66">
        <f>'CONSOLIDADO_TOTAL RECAUDO'!AE106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'CONSOLIDADO_TOTAL RECAUDO'!D107</f>
        <v>0</v>
      </c>
      <c r="E12" s="66">
        <f>'CONSOLIDADO_TOTAL RECAUDO'!E107</f>
        <v>0</v>
      </c>
      <c r="F12" s="66">
        <f>'CONSOLIDADO_TOTAL RECAUDO'!F107</f>
        <v>0</v>
      </c>
      <c r="G12" s="66">
        <f>'CONSOLIDADO_TOTAL RECAUDO'!G107</f>
        <v>0</v>
      </c>
      <c r="H12" s="66">
        <f>'CONSOLIDADO_TOTAL RECAUDO'!H107</f>
        <v>0</v>
      </c>
      <c r="I12" s="66">
        <f>'CONSOLIDADO_TOTAL RECAUDO'!I107</f>
        <v>0</v>
      </c>
      <c r="J12" s="66">
        <f>'CONSOLIDADO_TOTAL RECAUDO'!J107</f>
        <v>0</v>
      </c>
      <c r="K12" s="31">
        <f t="shared" si="0"/>
        <v>0</v>
      </c>
      <c r="L12" s="66">
        <f>'CONSOLIDADO_TOTAL RECAUDO'!L107</f>
        <v>120391083</v>
      </c>
      <c r="M12" s="31">
        <f>K12-L12</f>
        <v>-120391083</v>
      </c>
      <c r="N12" s="66">
        <f>'CONSOLIDADO_TOTAL RECAUDO'!N107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'CONSOLIDADO_TOTAL RECAUDO'!U107</f>
        <v>0</v>
      </c>
      <c r="V12" s="66">
        <f>'CONSOLIDADO_TOTAL RECAUDO'!V107</f>
        <v>0</v>
      </c>
      <c r="W12" s="66">
        <f>'CONSOLIDADO_TOTAL RECAUDO'!W107</f>
        <v>0</v>
      </c>
      <c r="X12" s="66">
        <f>'CONSOLIDADO_TOTAL RECAUDO'!X107</f>
        <v>0</v>
      </c>
      <c r="Y12" s="66">
        <f>'CONSOLIDADO_TOTAL RECAUDO'!Y107</f>
        <v>0</v>
      </c>
      <c r="Z12" s="66">
        <f>'CONSOLIDADO_TOTAL RECAUDO'!Z107</f>
        <v>-120391083</v>
      </c>
      <c r="AA12" s="66">
        <f>'CONSOLIDADO_TOTAL RECAUDO'!AA107</f>
        <v>0</v>
      </c>
      <c r="AB12" s="66">
        <f>'CONSOLIDADO_TOTAL RECAUDO'!AB107</f>
        <v>0</v>
      </c>
      <c r="AC12" s="66">
        <f>'CONSOLIDADO_TOTAL RECAUDO'!AC107</f>
        <v>0</v>
      </c>
      <c r="AD12" s="66">
        <f>'CONSOLIDADO_TOTAL RECAUDO'!AD107</f>
        <v>0</v>
      </c>
      <c r="AE12" s="66">
        <f>'CONSOLIDADO_TOTAL RECAUDO'!AE107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'CONSOLIDADO_TOTAL RECAUDO'!D108</f>
        <v>0</v>
      </c>
      <c r="E13" s="66">
        <f>'CONSOLIDADO_TOTAL RECAUDO'!E108</f>
        <v>0</v>
      </c>
      <c r="F13" s="66">
        <f>'CONSOLIDADO_TOTAL RECAUDO'!F108</f>
        <v>0</v>
      </c>
      <c r="G13" s="66">
        <f>'CONSOLIDADO_TOTAL RECAUDO'!G108</f>
        <v>0</v>
      </c>
      <c r="H13" s="66">
        <f>'CONSOLIDADO_TOTAL RECAUDO'!H108</f>
        <v>0</v>
      </c>
      <c r="I13" s="66">
        <f>'CONSOLIDADO_TOTAL RECAUDO'!I108</f>
        <v>0</v>
      </c>
      <c r="J13" s="66">
        <f>'CONSOLIDADO_TOTAL RECAUDO'!J108</f>
        <v>0</v>
      </c>
      <c r="K13" s="31">
        <f t="shared" si="0"/>
        <v>0</v>
      </c>
      <c r="L13" s="66">
        <f>'CONSOLIDADO_TOTAL RECAUDO'!L108</f>
        <v>128990446</v>
      </c>
      <c r="M13" s="40">
        <f>K13-L13</f>
        <v>-128990446</v>
      </c>
      <c r="N13" s="66">
        <f>'CONSOLIDADO_TOTAL RECAUDO'!N108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'CONSOLIDADO_TOTAL RECAUDO'!U108</f>
        <v>0</v>
      </c>
      <c r="V13" s="66">
        <f>'CONSOLIDADO_TOTAL RECAUDO'!V108</f>
        <v>0</v>
      </c>
      <c r="W13" s="66">
        <f>'CONSOLIDADO_TOTAL RECAUDO'!W108</f>
        <v>0</v>
      </c>
      <c r="X13" s="66">
        <f>'CONSOLIDADO_TOTAL RECAUDO'!X108</f>
        <v>0</v>
      </c>
      <c r="Y13" s="66">
        <f>'CONSOLIDADO_TOTAL RECAUDO'!Y108</f>
        <v>0</v>
      </c>
      <c r="Z13" s="66">
        <f>'CONSOLIDADO_TOTAL RECAUDO'!Z108</f>
        <v>-128990446</v>
      </c>
      <c r="AA13" s="66">
        <f>'CONSOLIDADO_TOTAL RECAUDO'!AA108</f>
        <v>0</v>
      </c>
      <c r="AB13" s="66">
        <f>'CONSOLIDADO_TOTAL RECAUDO'!AB108</f>
        <v>0</v>
      </c>
      <c r="AC13" s="66">
        <f>'CONSOLIDADO_TOTAL RECAUDO'!AC108</f>
        <v>0</v>
      </c>
      <c r="AD13" s="66">
        <f>'CONSOLIDADO_TOTAL RECAUDO'!AD108</f>
        <v>0</v>
      </c>
      <c r="AE13" s="66">
        <f>'CONSOLIDADO_TOTAL RECAUDO'!AE108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ref="AD14" si="5">SUM(AD9:AD13)</f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98" t="s">
        <v>56</v>
      </c>
      <c r="I29" s="134" t="s">
        <v>130</v>
      </c>
      <c r="J29" s="134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1">
        <v>1</v>
      </c>
      <c r="C30" s="102" t="s">
        <v>10</v>
      </c>
      <c r="D30" s="103">
        <f>'CONSOLIDADO_TOTAL RECAUDO'!D125</f>
        <v>0</v>
      </c>
      <c r="E30" s="104">
        <f>'CONSOLIDADO_TOTAL RECAUDO'!E125</f>
        <v>0</v>
      </c>
      <c r="G30" s="129">
        <f>'CONSOLIDADO_TOTAL RECAUDO'!G125</f>
        <v>0</v>
      </c>
      <c r="H30" s="103">
        <f>'CONSOLIDADO_TOTAL RECAUDO'!H125</f>
        <v>0</v>
      </c>
      <c r="I30" s="104">
        <f>'CONSOLIDADO_TOTAL RECAUDO'!I125</f>
        <v>0</v>
      </c>
      <c r="J30" s="104">
        <f>'CONSOLIDADO_TOTAL RECAUDO'!J125</f>
        <v>0</v>
      </c>
      <c r="K30" s="104">
        <f>'CONSOLIDADO_TOTAL RECAUDO'!K125</f>
        <v>0</v>
      </c>
      <c r="L30" s="104">
        <f>'CONSOLIDADO_TOTAL RECAUDO'!L125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'CONSOLIDADO_TOTAL RECAUDO'!D126</f>
        <v>0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0</v>
      </c>
      <c r="I31" s="83">
        <f>'CONSOLIDADO_TOTAL RECAUDO'!I126</f>
        <v>0</v>
      </c>
      <c r="J31" s="83">
        <f>'CONSOLIDADO_TOTAL RECAUDO'!J126</f>
        <v>0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'CONSOLIDADO_TOTAL RECAUDO'!D127</f>
        <v>0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0</v>
      </c>
      <c r="I32" s="83">
        <f>'CONSOLIDADO_TOTAL RECAUDO'!I127</f>
        <v>0</v>
      </c>
      <c r="J32" s="83">
        <f>'CONSOLIDADO_TOTAL RECAUDO'!J127</f>
        <v>0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'CONSOLIDADO_TOTAL RECAUDO'!D128</f>
        <v>0</v>
      </c>
      <c r="E33" s="74">
        <f>'CONSOLIDADO_TOTAL RECAUDO'!E128</f>
        <v>0</v>
      </c>
      <c r="G33" s="82">
        <f>'CONSOLIDADO_TOTAL RECAUDO'!G128</f>
        <v>0</v>
      </c>
      <c r="H33" s="18">
        <f>'CONSOLIDADO_TOTAL RECAUDO'!H128</f>
        <v>0</v>
      </c>
      <c r="I33" s="83">
        <f>'CONSOLIDADO_TOTAL RECAUDO'!I128</f>
        <v>0</v>
      </c>
      <c r="J33" s="83">
        <f>'CONSOLIDADO_TOTAL RECAUDO'!J128</f>
        <v>0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x14ac:dyDescent="0.2">
      <c r="B34" s="122">
        <v>5</v>
      </c>
      <c r="C34" s="127" t="s">
        <v>14</v>
      </c>
      <c r="D34" s="124">
        <f>'CONSOLIDADO_TOTAL RECAUDO'!D129</f>
        <v>0</v>
      </c>
      <c r="E34" s="128">
        <f>'CONSOLIDADO_TOTAL RECAUDO'!E129</f>
        <v>0</v>
      </c>
      <c r="G34" s="82">
        <f>'CONSOLIDADO_TOTAL RECAUDO'!G129</f>
        <v>0</v>
      </c>
      <c r="H34" s="18">
        <f>'CONSOLIDADO_TOTAL RECAUDO'!H129</f>
        <v>0</v>
      </c>
      <c r="I34" s="83">
        <f>'CONSOLIDADO_TOTAL RECAUDO'!I129</f>
        <v>0</v>
      </c>
      <c r="J34" s="83">
        <f>'CONSOLIDADO_TOTAL RECAUDO'!J129</f>
        <v>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75" thickBot="1" x14ac:dyDescent="0.25">
      <c r="B36" s="92"/>
      <c r="C36" s="99" t="s">
        <v>2</v>
      </c>
      <c r="D36" s="100">
        <f t="shared" ref="D36" si="6">SUM(D30:D34)</f>
        <v>0</v>
      </c>
      <c r="E36" s="100">
        <f>'CONSOLIDADO_TOTAL RECAUDO'!E131</f>
        <v>0</v>
      </c>
      <c r="F36" s="45"/>
      <c r="G36" s="100">
        <f t="shared" ref="G36" si="7">SUM(G30:G34)</f>
        <v>0</v>
      </c>
      <c r="H36" s="100">
        <f t="shared" ref="H36:L36" si="8">SUM(H30:H34)</f>
        <v>0</v>
      </c>
      <c r="I36" s="100">
        <f t="shared" si="8"/>
        <v>0</v>
      </c>
      <c r="J36" s="100">
        <f t="shared" ref="J36" si="9">SUM(J30:J34)</f>
        <v>0</v>
      </c>
      <c r="K36" s="100">
        <f t="shared" si="8"/>
        <v>0</v>
      </c>
      <c r="L36" s="100">
        <f t="shared" si="8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D14='CONSOLIDADO_TOTAL RECAUDO'!D109</f>
        <v>1</v>
      </c>
      <c r="E44" s="208" t="b">
        <f>E14='CONSOLIDADO_TOTAL RECAUDO'!E109</f>
        <v>1</v>
      </c>
      <c r="F44" s="208" t="b">
        <f>F14='CONSOLIDADO_TOTAL RECAUDO'!F109</f>
        <v>1</v>
      </c>
      <c r="G44" s="208" t="b">
        <f>G14='CONSOLIDADO_TOTAL RECAUDO'!G109</f>
        <v>1</v>
      </c>
      <c r="H44" s="208" t="b">
        <f>H14='CONSOLIDADO_TOTAL RECAUDO'!H109</f>
        <v>1</v>
      </c>
      <c r="I44" s="208" t="b">
        <f>I14='CONSOLIDADO_TOTAL RECAUDO'!I109</f>
        <v>1</v>
      </c>
      <c r="J44" s="208" t="b">
        <f>J14='CONSOLIDADO_TOTAL RECAUDO'!J109</f>
        <v>1</v>
      </c>
      <c r="K44" s="208" t="b">
        <f>K14='CONSOLIDADO_TOTAL RECAUDO'!K109</f>
        <v>1</v>
      </c>
      <c r="L44" s="208" t="b">
        <f>L14='CONSOLIDADO_TOTAL RECAUDO'!L109</f>
        <v>1</v>
      </c>
      <c r="M44" s="208" t="b">
        <f>M14='CONSOLIDADO_TOTAL RECAUDO'!M109</f>
        <v>1</v>
      </c>
      <c r="N44" s="208" t="b">
        <f>N14='CONSOLIDADO_TOTAL RECAUDO'!N109</f>
        <v>1</v>
      </c>
      <c r="O44" s="208" t="b">
        <f>O14='CONSOLIDADO_TOTAL RECAUDO'!O109</f>
        <v>1</v>
      </c>
      <c r="Q44" s="24"/>
      <c r="T44" s="24"/>
    </row>
    <row r="45" spans="1:20" x14ac:dyDescent="0.2">
      <c r="D45" s="208" t="b">
        <f>D36='CONSOLIDADO_TOTAL RECAUDO'!D131</f>
        <v>1</v>
      </c>
      <c r="E45" s="208" t="b">
        <f>E36='CONSOLIDADO_TOTAL RECAUDO'!E131</f>
        <v>1</v>
      </c>
      <c r="F45" s="208" t="b">
        <f>F36='CONSOLIDADO_TOTAL RECAUDO'!F131</f>
        <v>1</v>
      </c>
      <c r="G45" s="208" t="b">
        <f>G36='CONSOLIDADO_TOTAL RECAUDO'!G131</f>
        <v>1</v>
      </c>
      <c r="H45" s="208" t="b">
        <f>H36='CONSOLIDADO_TOTAL RECAUDO'!H131</f>
        <v>1</v>
      </c>
      <c r="I45" s="208" t="b">
        <f>I36='CONSOLIDADO_TOTAL RECAUDO'!I131</f>
        <v>1</v>
      </c>
      <c r="J45" s="208" t="b">
        <f>K36='CONSOLIDADO_TOTAL RECAUDO'!K131</f>
        <v>1</v>
      </c>
      <c r="K45" s="208" t="b">
        <f>K36='CONSOLIDADO_TOTAL RECAUDO'!K131</f>
        <v>1</v>
      </c>
      <c r="L45" s="208" t="b">
        <f>L36='CONSOLIDADO_TOTAL RECAUDO'!L131</f>
        <v>1</v>
      </c>
      <c r="M45" s="208" t="b">
        <f>M36='CONSOLIDADO_TOTAL RECAUDO'!M131</f>
        <v>1</v>
      </c>
      <c r="N45" s="208" t="b">
        <f>N36='CONSOLIDADO_TOTAL RECAUDO'!N131</f>
        <v>1</v>
      </c>
      <c r="O45" s="208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X1" zoomScaleNormal="100" workbookViewId="0">
      <x:selection activeCell="AJ1" sqref="AJ1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7109375" style="1" customWidth="1"/>
    <x:col min="13" max="13" width="18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1:35" ht="12.75" thickBot="1" x14ac:dyDescent="0.25">
      <x:c r="A1" s="198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09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x14ac:dyDescent="0.2">
      <x:c r="B9" s="239">
        <x:v>1</x:v>
      </x:c>
      <x:c r="C9" s="240" t="s">
        <x:v>10</x:v>
      </x:c>
      <x:c r="D9" s="227">
        <x:f>'Reporte Componentes R1'!F58</x:f>
        <x:v>0</x:v>
      </x:c>
      <x:c r="E9" s="228">
        <x:f>'Reporte Componentes R1'!G58</x:f>
        <x:v>0</x:v>
      </x:c>
      <x:c r="F9" s="228">
        <x:f>'Reporte Componentes R1'!H58</x:f>
        <x:v>0</x:v>
      </x:c>
      <x:c r="G9" s="228">
        <x:f>'Reporte Componentes R1'!I58</x:f>
        <x:v>0</x:v>
      </x:c>
      <x:c r="H9" s="228">
        <x:f>'Reporte Componentes R1'!J58</x:f>
        <x:v>0</x:v>
      </x:c>
      <x:c r="I9" s="228">
        <x:f>'Reporte Componentes R1'!K58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R1'!L58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R1'!M58</x:f>
        <x:v>0</x:v>
      </x:c>
      <x:c r="V9" s="244">
        <x:f>'Reporte Componentes R1'!N58</x:f>
        <x:v>0</x:v>
      </x:c>
      <x:c r="W9" s="244">
        <x:f>'Reporte Componentes R1'!O58</x:f>
        <x:v>0</x:v>
      </x:c>
      <x:c r="X9" s="244">
        <x:f>'Reporte Componentes R1'!P58</x:f>
        <x:v>0</x:v>
      </x:c>
      <x:c r="Y9" s="245">
        <x:f>'Reporte Componentes R1'!Q58</x:f>
        <x:v>0</x:v>
      </x:c>
      <x:c r="Z9" s="246">
        <x:f>L9*-1</x:f>
        <x:v>0</x:v>
      </x:c>
      <x:c r="AA9" s="247">
        <x:f>'Reporte Componentes R1'!R58+'Reporte Componentes R1'!V58+'Reporte Componentes R1'!U58</x:f>
        <x:v>0</x:v>
      </x:c>
      <x:c r="AB9" s="230">
        <x:f>N9</x:f>
        <x:v>0</x:v>
      </x:c>
      <x:c r="AC9" s="247">
        <x:f>'Reporte Componentes R1'!T58+'Reporte Componentes R1'!W58+'Reporte Componentes R1'!X58+'Reporte Componentes R1'!Y58+'Reporte Componentes R1'!Z58+'Reporte Componentes R1'!S58</x:f>
        <x:v>0</x:v>
      </x:c>
      <x:c r="AD9" s="227">
        <x:f>-J9+AE9</x:f>
        <x:v>0</x:v>
      </x:c>
      <x:c r="AE9" s="227">
        <x:f>'Reporte Componentes R1'!F59</x:f>
        <x:v>0</x:v>
      </x:c>
      <x:c r="AF9" s="249">
        <x:f>SUM(U9:AD9)</x:f>
        <x:v>0</x:v>
      </x:c>
      <x:c r="AG9" s="439">
        <x:f>(AF9-O9)</x:f>
        <x:v>0</x:v>
      </x:c>
      <x:c r="AH9" s="1" t="b">
        <x:f>INT(AG9)=0</x:f>
        <x:v>1</x:v>
      </x:c>
      <x:c r="AI9" s="242"/>
    </x:row>
    <x:row r="10" spans="1:35" s="241" customFormat="1" x14ac:dyDescent="0.2">
      <x:c r="B10" s="250">
        <x:v>2</x:v>
      </x:c>
      <x:c r="C10" s="251" t="s">
        <x:v>11</x:v>
      </x:c>
      <x:c r="D10" s="227">
        <x:f>'Reporte Componentes R1'!F211</x:f>
        <x:v>0</x:v>
      </x:c>
      <x:c r="E10" s="228">
        <x:f>'Reporte Componentes R1'!G211</x:f>
        <x:v>0</x:v>
      </x:c>
      <x:c r="F10" s="228">
        <x:f>'Reporte Componentes R1'!H211</x:f>
        <x:v>0</x:v>
      </x:c>
      <x:c r="G10" s="228">
        <x:f>'Reporte Componentes R1'!I211</x:f>
        <x:v>0</x:v>
      </x:c>
      <x:c r="H10" s="228">
        <x:f>'Reporte Componentes R1'!J211</x:f>
        <x:v>0</x:v>
      </x:c>
      <x:c r="I10" s="228">
        <x:f>'Reporte Componentes R1'!K211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R1'!L211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R1'!M211</x:f>
        <x:v>0</x:v>
      </x:c>
      <x:c r="V10" s="253">
        <x:f>'Reporte Componentes R1'!N211</x:f>
        <x:v>0</x:v>
      </x:c>
      <x:c r="W10" s="253">
        <x:f>'Reporte Componentes R1'!O211</x:f>
        <x:v>0</x:v>
      </x:c>
      <x:c r="X10" s="253">
        <x:f>'Reporte Componentes R1'!P211</x:f>
        <x:v>0</x:v>
      </x:c>
      <x:c r="Y10" s="254">
        <x:f>'Reporte Componentes R1'!Q211</x:f>
        <x:v>0</x:v>
      </x:c>
      <x:c r="Z10" s="255">
        <x:f>L10*-1</x:f>
        <x:v>0</x:v>
      </x:c>
      <x:c r="AA10" s="256">
        <x:f>'Reporte Componentes R1'!R211+'Reporte Componentes R1'!V211+'Reporte Componentes R1'!U211</x:f>
        <x:v>0</x:v>
      </x:c>
      <x:c r="AB10" s="230">
        <x:f>N10</x:f>
        <x:v>0</x:v>
      </x:c>
      <x:c r="AC10" s="256">
        <x:f>'Reporte Componentes R1'!T211+'Reporte Componentes R1'!W211+'Reporte Componentes R1'!X211+'Reporte Componentes R1'!Y211+'Reporte Componentes R1'!Z211++'Reporte Componentes R1'!S211</x:f>
        <x:v>0</x:v>
      </x:c>
      <x:c r="AD10" s="227">
        <x:f t="shared" ref="AD10:AD13" si="2">-J10+AE10</x:f>
        <x:v>0</x:v>
      </x:c>
      <x:c r="AE10" s="227">
        <x:f>'Reporte Componentes R1'!F212</x:f>
        <x:v>0</x:v>
      </x:c>
      <x:c r="AF10" s="258">
        <x:f>SUM(U10:AD10)</x:f>
        <x:v>0</x:v>
      </x:c>
      <x:c r="AG10" s="440">
        <x:f>(AF10-O10)</x:f>
        <x:v>0</x:v>
      </x:c>
      <x:c r="AH10" s="1" t="b">
        <x:f t="shared" ref="AH10:AH14" si="3">INT(AG10)=0</x:f>
        <x:v>1</x:v>
      </x:c>
      <x:c r="AI10" s="242"/>
    </x:row>
    <x:row r="11" spans="1:35" s="241" customFormat="1" x14ac:dyDescent="0.2">
      <x:c r="B11" s="250">
        <x:v>3</x:v>
      </x:c>
      <x:c r="C11" s="251" t="s">
        <x:v>12</x:v>
      </x:c>
      <x:c r="D11" s="227">
        <x:f>'Reporte Componentes R1'!F348</x:f>
        <x:v>0</x:v>
      </x:c>
      <x:c r="E11" s="228">
        <x:f>'Reporte Componentes R1'!G348</x:f>
        <x:v>0</x:v>
      </x:c>
      <x:c r="F11" s="228">
        <x:f>'Reporte Componentes R1'!H348</x:f>
        <x:v>0</x:v>
      </x:c>
      <x:c r="G11" s="228">
        <x:f>'Reporte Componentes R1'!I348</x:f>
        <x:v>0</x:v>
      </x:c>
      <x:c r="H11" s="228">
        <x:f>'Reporte Componentes R1'!J348</x:f>
        <x:v>0</x:v>
      </x:c>
      <x:c r="I11" s="228">
        <x:f>'Reporte Componentes R1'!K348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R1'!L348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R1'!M348</x:f>
        <x:v>0</x:v>
      </x:c>
      <x:c r="V11" s="253">
        <x:f>'Reporte Componentes R1'!N348</x:f>
        <x:v>0</x:v>
      </x:c>
      <x:c r="W11" s="253">
        <x:f>'Reporte Componentes R1'!O348</x:f>
        <x:v>0</x:v>
      </x:c>
      <x:c r="X11" s="253">
        <x:f>'Reporte Componentes R1'!P348</x:f>
        <x:v>0</x:v>
      </x:c>
      <x:c r="Y11" s="254">
        <x:f>'Reporte Componentes R1'!Q348</x:f>
        <x:v>0</x:v>
      </x:c>
      <x:c r="Z11" s="255">
        <x:f>L11*-1</x:f>
        <x:v>0</x:v>
      </x:c>
      <x:c r="AA11" s="256">
        <x:f>'Reporte Componentes R1'!R348+'Reporte Componentes R1'!V348+'Reporte Componentes R1'!U348</x:f>
        <x:v>0</x:v>
      </x:c>
      <x:c r="AB11" s="230">
        <x:f>N11</x:f>
        <x:v>0</x:v>
      </x:c>
      <x:c r="AC11" s="256">
        <x:f>'Reporte Componentes R1'!T348+'Reporte Componentes R1'!W348+'Reporte Componentes R1'!X348+'Reporte Componentes R1'!Y348+'Reporte Componentes R1'!Z348++'Reporte Componentes R1'!S348</x:f>
        <x:v>0</x:v>
      </x:c>
      <x:c r="AD11" s="227">
        <x:f t="shared" si="2"/>
        <x:v>0</x:v>
      </x:c>
      <x:c r="AE11" s="227">
        <x:f>'Reporte Componentes R1'!F349</x:f>
        <x:v>0</x:v>
      </x:c>
      <x:c r="AF11" s="258">
        <x:f t="shared" ref="AF11:AF13" si="4">SUM(U11:AD11)</x:f>
        <x:v>0</x:v>
      </x:c>
      <x:c r="AG11" s="440">
        <x:f>(AF11-O11)</x:f>
        <x:v>0</x:v>
      </x:c>
      <x:c r="AH11" s="1" t="b">
        <x:f t="shared" si="3"/>
        <x:v>1</x:v>
      </x:c>
      <x:c r="AI11" s="242"/>
    </x:row>
    <x:row r="12" spans="1:35" s="241" customFormat="1" x14ac:dyDescent="0.2">
      <x:c r="B12" s="250">
        <x:v>4</x:v>
      </x:c>
      <x:c r="C12" s="251" t="s">
        <x:v>13</x:v>
      </x:c>
      <x:c r="D12" s="227">
        <x:f>'Reporte Componentes R1'!F473</x:f>
        <x:v>0</x:v>
      </x:c>
      <x:c r="E12" s="228">
        <x:f>'Reporte Componentes R1'!G473</x:f>
        <x:v>0</x:v>
      </x:c>
      <x:c r="F12" s="228">
        <x:f>'Reporte Componentes R1'!H473</x:f>
        <x:v>0</x:v>
      </x:c>
      <x:c r="G12" s="228">
        <x:f>'Reporte Componentes R1'!I473</x:f>
        <x:v>0</x:v>
      </x:c>
      <x:c r="H12" s="228">
        <x:f>'Reporte Componentes R1'!J473</x:f>
        <x:v>0</x:v>
      </x:c>
      <x:c r="I12" s="228">
        <x:f>'Reporte Componentes R1'!K473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R1'!L473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R1'!M473</x:f>
        <x:v>0</x:v>
      </x:c>
      <x:c r="V12" s="253">
        <x:f>'Reporte Componentes R1'!N473</x:f>
        <x:v>0</x:v>
      </x:c>
      <x:c r="W12" s="253">
        <x:f>'Reporte Componentes R1'!O473</x:f>
        <x:v>0</x:v>
      </x:c>
      <x:c r="X12" s="253">
        <x:f>'Reporte Componentes R1'!P473</x:f>
        <x:v>0</x:v>
      </x:c>
      <x:c r="Y12" s="254">
        <x:f>'Reporte Componentes R1'!Q473</x:f>
        <x:v>0</x:v>
      </x:c>
      <x:c r="Z12" s="255">
        <x:f>L12*-1</x:f>
        <x:v>0</x:v>
      </x:c>
      <x:c r="AA12" s="256">
        <x:f>'Reporte Componentes R1'!R473+'Reporte Componentes R1'!V473+'Reporte Componentes R1'!U473</x:f>
        <x:v>0</x:v>
      </x:c>
      <x:c r="AB12" s="230">
        <x:f>N12</x:f>
        <x:v>0</x:v>
      </x:c>
      <x:c r="AC12" s="256">
        <x:f>'Reporte Componentes R1'!T473+'Reporte Componentes R1'!W473+'Reporte Componentes R1'!X473+'Reporte Componentes R1'!Y473+'Reporte Componentes R1'!Z473++'Reporte Componentes R1'!S473</x:f>
        <x:v>0</x:v>
      </x:c>
      <x:c r="AD12" s="227">
        <x:f t="shared" si="2"/>
        <x:v>0</x:v>
      </x:c>
      <x:c r="AE12" s="227">
        <x:f>'Reporte Componentes R1'!F474</x:f>
        <x:v>0</x:v>
      </x:c>
      <x:c r="AF12" s="258">
        <x:f t="shared" si="4"/>
        <x:v>0</x:v>
      </x:c>
      <x:c r="AG12" s="440">
        <x:f>(AF12-O12)</x:f>
        <x:v>0</x:v>
      </x:c>
      <x:c r="AH12" s="1" t="b">
        <x:f t="shared" si="3"/>
        <x:v>1</x:v>
      </x:c>
      <x:c r="AI12" s="242"/>
    </x:row>
    <x:row r="13" spans="1:35" s="241" customFormat="1" ht="12.75" thickBot="1" x14ac:dyDescent="0.25">
      <x:c r="B13" s="260">
        <x:v>5</x:v>
      </x:c>
      <x:c r="C13" s="261" t="s">
        <x:v>14</x:v>
      </x:c>
      <x:c r="D13" s="232">
        <x:f>'Reporte Componentes R1'!F563</x:f>
        <x:v>0</x:v>
      </x:c>
      <x:c r="E13" s="233">
        <x:f>'Reporte Componentes R1'!G563</x:f>
        <x:v>0</x:v>
      </x:c>
      <x:c r="F13" s="233">
        <x:f>'Reporte Componentes R1'!H563</x:f>
        <x:v>0</x:v>
      </x:c>
      <x:c r="G13" s="233">
        <x:f>'Reporte Componentes R1'!I563</x:f>
        <x:v>0</x:v>
      </x:c>
      <x:c r="H13" s="233">
        <x:f>'Reporte Componentes R1'!J563</x:f>
        <x:v>0</x:v>
      </x:c>
      <x:c r="I13" s="233">
        <x:f>'Reporte Componentes R1'!K563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R1'!L563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R1'!M563</x:f>
        <x:v>0</x:v>
      </x:c>
      <x:c r="V13" s="233">
        <x:f>'Reporte Componentes R1'!N563</x:f>
        <x:v>0</x:v>
      </x:c>
      <x:c r="W13" s="233">
        <x:f>'Reporte Componentes R1'!O563</x:f>
        <x:v>0</x:v>
      </x:c>
      <x:c r="X13" s="233">
        <x:f>'Reporte Componentes R1'!P563</x:f>
        <x:v>0</x:v>
      </x:c>
      <x:c r="Y13" s="225">
        <x:f>'Reporte Componentes R1'!Q563</x:f>
        <x:v>0</x:v>
      </x:c>
      <x:c r="Z13" s="255">
        <x:f>L13*-1</x:f>
        <x:v>0</x:v>
      </x:c>
      <x:c r="AA13" s="256">
        <x:f>'Reporte Componentes R1'!R563+'Reporte Componentes R1'!V563+'Reporte Componentes R1'!U563</x:f>
        <x:v>0</x:v>
      </x:c>
      <x:c r="AB13" s="230">
        <x:f>N13</x:f>
        <x:v>0</x:v>
      </x:c>
      <x:c r="AC13" s="256">
        <x:f>'Reporte Componentes R1'!T563+'Reporte Componentes R1'!W563+'Reporte Componentes R1'!X563+'Reporte Componentes R1'!Y563+'Reporte Componentes R1'!Z563+'Reporte Componentes R1'!S563</x:f>
        <x:v>0</x:v>
      </x:c>
      <x:c r="AD13" s="227">
        <x:f t="shared" si="2"/>
        <x:v>0</x:v>
      </x:c>
      <x:c r="AE13" s="227">
        <x:f>'Reporte Componentes R1'!F564</x:f>
        <x:v>0</x:v>
      </x:c>
      <x:c r="AF13" s="258">
        <x:f t="shared" si="4"/>
        <x:v>0</x:v>
      </x:c>
      <x:c r="AG13" s="441">
        <x:f>(AF13-O13)</x:f>
        <x:v>0</x:v>
      </x:c>
      <x:c r="AH13" s="1" t="b">
        <x:f t="shared" si="3"/>
        <x:v>1</x:v>
      </x:c>
      <x:c r="AI13" s="242"/>
    </x:row>
    <x:row r="14" spans="1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442">
        <x:f>SUM(AG9:AG13)</x:f>
        <x:v>0</x:v>
      </x:c>
      <x:c r="AH14" s="1" t="b">
        <x:f t="shared" si="3"/>
        <x:v>1</x:v>
      </x:c>
      <x:c r="AI14" s="242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09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R2'!E46</x:f>
        <x:v>0</x:v>
      </x:c>
      <x:c r="E28" s="228">
        <x:f>'Rem. Anticipos R2'!F46</x:f>
        <x:v>0</x:v>
      </x:c>
      <x:c r="F28" s="228">
        <x:f>'Rem. Anticipos R2'!G46</x:f>
        <x:v>0</x:v>
      </x:c>
      <x:c r="G28" s="228">
        <x:f>'Rem. Anticipos R2'!H46</x:f>
        <x:v>0</x:v>
      </x:c>
      <x:c r="H28" s="228">
        <x:f>'Rem. Anticipos R2'!I46</x:f>
        <x:v>0</x:v>
      </x:c>
      <x:c r="I28" s="228">
        <x:f>'Rem. Anticipos R2'!J46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R2'!K46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R2'!L46</x:f>
        <x:v>0</x:v>
      </x:c>
      <x:c r="V28" s="244">
        <x:f>'Rem. Anticipos R2'!M46</x:f>
        <x:v>0</x:v>
      </x:c>
      <x:c r="W28" s="244">
        <x:f>'Rem. Anticipos R2'!N46</x:f>
        <x:v>0</x:v>
      </x:c>
      <x:c r="X28" s="244">
        <x:f>'Rem. Anticipos R2'!O46</x:f>
        <x:v>0</x:v>
      </x:c>
      <x:c r="Y28" s="245">
        <x:f>'Rem. Anticipos R2'!P46</x:f>
        <x:v>0</x:v>
      </x:c>
      <x:c r="Z28" s="246">
        <x:f>L28*-1</x:f>
        <x:v>0</x:v>
      </x:c>
      <x:c r="AA28" s="247">
        <x:f>'Rem. Anticipos R2'!Q46</x:f>
        <x:v>0</x:v>
      </x:c>
      <x:c r="AB28" s="230">
        <x:f>N28</x:f>
        <x:v>0</x:v>
      </x:c>
      <x:c r="AC28" s="247">
        <x:f>'Rem. Anticipos R2'!R46</x:f>
        <x:v>0</x:v>
      </x:c>
      <x:c r="AD28" s="227">
        <x:f>-J28+AE28</x:f>
        <x:v>0</x:v>
      </x:c>
      <x:c r="AE28" s="227">
        <x:f>'Rem. Anticipos R2'!E47</x:f>
        <x:v>0</x:v>
      </x:c>
      <x:c r="AF28" s="249">
        <x:f>SUM(U28:AD28)</x:f>
        <x:v>0</x:v>
      </x:c>
      <x:c r="AG28" s="439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R2'!E142</x:f>
        <x:v>0</x:v>
      </x:c>
      <x:c r="E29" s="228">
        <x:f>'Rem. Anticipos R2'!F142</x:f>
        <x:v>0</x:v>
      </x:c>
      <x:c r="F29" s="228">
        <x:f>'Rem. Anticipos R2'!G142</x:f>
        <x:v>0</x:v>
      </x:c>
      <x:c r="G29" s="228">
        <x:f>'Rem. Anticipos R2'!H142</x:f>
        <x:v>0</x:v>
      </x:c>
      <x:c r="H29" s="228">
        <x:f>'Rem. Anticipos R2'!I142</x:f>
        <x:v>0</x:v>
      </x:c>
      <x:c r="I29" s="228">
        <x:f>'Rem. Anticipos R2'!J142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R2'!K142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R2'!L142</x:f>
        <x:v>0</x:v>
      </x:c>
      <x:c r="V29" s="253">
        <x:f>'Rem. Anticipos R2'!M142</x:f>
        <x:v>0</x:v>
      </x:c>
      <x:c r="W29" s="253">
        <x:f>'Rem. Anticipos R2'!N142</x:f>
        <x:v>0</x:v>
      </x:c>
      <x:c r="X29" s="253">
        <x:f>'Rem. Anticipos R2'!O142</x:f>
        <x:v>0</x:v>
      </x:c>
      <x:c r="Y29" s="254">
        <x:f>'Rem. Anticipos R2'!P142</x:f>
        <x:v>0</x:v>
      </x:c>
      <x:c r="Z29" s="255">
        <x:f>L29*-1</x:f>
        <x:v>0</x:v>
      </x:c>
      <x:c r="AA29" s="256">
        <x:f>'Rem. Anticipos R2'!Q142</x:f>
        <x:v>0</x:v>
      </x:c>
      <x:c r="AB29" s="230">
        <x:f>N29</x:f>
        <x:v>0</x:v>
      </x:c>
      <x:c r="AC29" s="256">
        <x:f>'Rem. Anticipos R2'!R142</x:f>
        <x:v>0</x:v>
      </x:c>
      <x:c r="AD29" s="227">
        <x:f>-J29+AE29</x:f>
        <x:v>0</x:v>
      </x:c>
      <x:c r="AE29" s="227">
        <x:f>'Rem. Anticipos R2'!E143</x:f>
        <x:v>0</x:v>
      </x:c>
      <x:c r="AF29" s="258">
        <x:f>SUM(U29:AD29)</x:f>
        <x:v>0</x:v>
      </x:c>
      <x:c r="AG29" s="440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R2'!E259</x:f>
        <x:v>0</x:v>
      </x:c>
      <x:c r="E30" s="228">
        <x:f>'Rem. Anticipos R2'!F259</x:f>
        <x:v>0</x:v>
      </x:c>
      <x:c r="F30" s="228">
        <x:f>'Rem. Anticipos R2'!G259</x:f>
        <x:v>0</x:v>
      </x:c>
      <x:c r="G30" s="228">
        <x:f>'Rem. Anticipos R2'!H259</x:f>
        <x:v>0</x:v>
      </x:c>
      <x:c r="H30" s="228">
        <x:f>'Rem. Anticipos R2'!I259</x:f>
        <x:v>0</x:v>
      </x:c>
      <x:c r="I30" s="228">
        <x:f>'Rem. Anticipos R2'!J259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R2'!K259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R2'!L259</x:f>
        <x:v>0</x:v>
      </x:c>
      <x:c r="V30" s="253">
        <x:f>'Rem. Anticipos R2'!M259</x:f>
        <x:v>0</x:v>
      </x:c>
      <x:c r="W30" s="253">
        <x:f>'Rem. Anticipos R2'!N259</x:f>
        <x:v>0</x:v>
      </x:c>
      <x:c r="X30" s="253">
        <x:f>'Rem. Anticipos R2'!O259</x:f>
        <x:v>0</x:v>
      </x:c>
      <x:c r="Y30" s="254">
        <x:f>'Rem. Anticipos R2'!P259</x:f>
        <x:v>0</x:v>
      </x:c>
      <x:c r="Z30" s="255">
        <x:f>L30*-1</x:f>
        <x:v>0</x:v>
      </x:c>
      <x:c r="AA30" s="256">
        <x:f>'Rem. Anticipos R2'!Q259</x:f>
        <x:v>0</x:v>
      </x:c>
      <x:c r="AB30" s="230">
        <x:f>N30</x:f>
        <x:v>0</x:v>
      </x:c>
      <x:c r="AC30" s="256">
        <x:f>'Rem. Anticipos R2'!R259</x:f>
        <x:v>0</x:v>
      </x:c>
      <x:c r="AD30" s="227">
        <x:f t="shared" ref="AD30:AD32" si="10">-J30+AE30</x:f>
        <x:v>0</x:v>
      </x:c>
      <x:c r="AE30" s="227">
        <x:f>'Rem. Anticipos R2'!E260</x:f>
        <x:v>0</x:v>
      </x:c>
      <x:c r="AF30" s="258">
        <x:f>SUM(U30:AD30)</x:f>
        <x:v>0</x:v>
      </x:c>
      <x:c r="AG30" s="440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R2'!E361</x:f>
        <x:v>0</x:v>
      </x:c>
      <x:c r="E31" s="228">
        <x:f>'Rem. Anticipos R2'!F361</x:f>
        <x:v>0</x:v>
      </x:c>
      <x:c r="F31" s="228">
        <x:f>'Rem. Anticipos R2'!G361</x:f>
        <x:v>0</x:v>
      </x:c>
      <x:c r="G31" s="228">
        <x:f>'Rem. Anticipos R2'!H361</x:f>
        <x:v>0</x:v>
      </x:c>
      <x:c r="H31" s="228">
        <x:f>'Rem. Anticipos R2'!I361</x:f>
        <x:v>0</x:v>
      </x:c>
      <x:c r="I31" s="228">
        <x:f>'Rem. Anticipos R2'!J361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R2'!K361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R2'!L361</x:f>
        <x:v>0</x:v>
      </x:c>
      <x:c r="V31" s="253">
        <x:f>'Rem. Anticipos R2'!M361</x:f>
        <x:v>0</x:v>
      </x:c>
      <x:c r="W31" s="253">
        <x:f>'Rem. Anticipos R2'!N361</x:f>
        <x:v>0</x:v>
      </x:c>
      <x:c r="X31" s="253">
        <x:f>'Rem. Anticipos R2'!O361</x:f>
        <x:v>0</x:v>
      </x:c>
      <x:c r="Y31" s="254">
        <x:f>'Rem. Anticipos R2'!P361</x:f>
        <x:v>0</x:v>
      </x:c>
      <x:c r="Z31" s="255">
        <x:f>L31*-1</x:f>
        <x:v>0</x:v>
      </x:c>
      <x:c r="AA31" s="256">
        <x:f>'Rem. Anticipos R2'!Q361</x:f>
        <x:v>0</x:v>
      </x:c>
      <x:c r="AB31" s="230">
        <x:f>N31</x:f>
        <x:v>0</x:v>
      </x:c>
      <x:c r="AC31" s="256">
        <x:f>'Rem. Anticipos R2'!R361</x:f>
        <x:v>0</x:v>
      </x:c>
      <x:c r="AD31" s="227">
        <x:f t="shared" si="10"/>
        <x:v>0</x:v>
      </x:c>
      <x:c r="AE31" s="227">
        <x:f>'Rem. Anticipos R2'!E362</x:f>
        <x:v>0</x:v>
      </x:c>
      <x:c r="AF31" s="258">
        <x:f>SUM(U31:AD31)</x:f>
        <x:v>0</x:v>
      </x:c>
      <x:c r="AG31" s="440">
        <x:f t="shared" si="11"/>
        <x:v>0</x:v>
      </x:c>
      <x:c r="AH31" s="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R2'!E441</x:f>
        <x:v>0</x:v>
      </x:c>
      <x:c r="E32" s="233">
        <x:f>'Rem. Anticipos R2'!F441</x:f>
        <x:v>0</x:v>
      </x:c>
      <x:c r="F32" s="233">
        <x:f>'Rem. Anticipos R2'!G441</x:f>
        <x:v>0</x:v>
      </x:c>
      <x:c r="G32" s="233">
        <x:f>'Rem. Anticipos R2'!H441</x:f>
        <x:v>0</x:v>
      </x:c>
      <x:c r="H32" s="233">
        <x:f>'Rem. Anticipos R2'!I441</x:f>
        <x:v>0</x:v>
      </x:c>
      <x:c r="I32" s="233">
        <x:f>'Rem. Anticipos R2'!J441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R2'!K441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R2'!L441</x:f>
        <x:v>0</x:v>
      </x:c>
      <x:c r="V32" s="233">
        <x:f>'Rem. Anticipos R2'!M441</x:f>
        <x:v>0</x:v>
      </x:c>
      <x:c r="W32" s="233">
        <x:f>'Rem. Anticipos R2'!N441</x:f>
        <x:v>0</x:v>
      </x:c>
      <x:c r="X32" s="233">
        <x:f>'Rem. Anticipos R2'!O441</x:f>
        <x:v>0</x:v>
      </x:c>
      <x:c r="Y32" s="225">
        <x:f>'Rem. Anticipos R2'!P441</x:f>
        <x:v>0</x:v>
      </x:c>
      <x:c r="Z32" s="255">
        <x:f>L32*-1</x:f>
        <x:v>0</x:v>
      </x:c>
      <x:c r="AA32" s="256">
        <x:f>'Rem. Anticipos R2'!Q441</x:f>
        <x:v>0</x:v>
      </x:c>
      <x:c r="AB32" s="230">
        <x:f>N32</x:f>
        <x:v>0</x:v>
      </x:c>
      <x:c r="AC32" s="256">
        <x:f>'Rem. Anticipos R2'!R441</x:f>
        <x:v>0</x:v>
      </x:c>
      <x:c r="AD32" s="227">
        <x:f t="shared" si="10"/>
        <x:v>0</x:v>
      </x:c>
      <x:c r="AE32" s="227">
        <x:f>'Rem. Anticipos R2'!E442</x:f>
        <x:v>0</x:v>
      </x:c>
      <x:c r="AF32" s="258">
        <x:f>SUM(U32:AD32)</x:f>
        <x:v>0</x:v>
      </x:c>
      <x:c r="AG32" s="441">
        <x:f>(AF32-O32)</x:f>
        <x:v>0</x:v>
      </x:c>
      <x:c r="AH32" s="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442">
        <x:f t="shared" si="13"/>
        <x:v>0</x:v>
      </x:c>
      <x:c r="AH33" s="1" t="b">
        <x:f t="shared" si="9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09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R1'!F60</x:f>
        <x:v>0</x:v>
      </x:c>
      <x:c r="E47" s="228">
        <x:f>'Reporte Componentes R1'!G60</x:f>
        <x:v>0</x:v>
      </x:c>
      <x:c r="F47" s="228">
        <x:f>'Reporte Componentes R1'!H60</x:f>
        <x:v>0</x:v>
      </x:c>
      <x:c r="G47" s="228">
        <x:f>'Reporte Componentes R1'!I60</x:f>
        <x:v>0</x:v>
      </x:c>
      <x:c r="H47" s="228">
        <x:f>'Reporte Componentes R1'!J60</x:f>
        <x:v>0</x:v>
      </x:c>
      <x:c r="I47" s="228">
        <x:f>'Reporte Componentes R1'!K60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R1'!L60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R1'!M60</x:f>
        <x:v>0</x:v>
      </x:c>
      <x:c r="V47" s="244">
        <x:f>'Reporte Componentes R1'!N60</x:f>
        <x:v>0</x:v>
      </x:c>
      <x:c r="W47" s="244">
        <x:f>'Reporte Componentes R1'!O60</x:f>
        <x:v>0</x:v>
      </x:c>
      <x:c r="X47" s="244">
        <x:f>'Reporte Componentes R1'!P60</x:f>
        <x:v>0</x:v>
      </x:c>
      <x:c r="Y47" s="245">
        <x:f>'Reporte Componentes R1'!Q60</x:f>
        <x:v>0</x:v>
      </x:c>
      <x:c r="Z47" s="246">
        <x:f>-L47</x:f>
        <x:v>0</x:v>
      </x:c>
      <x:c r="AA47" s="247">
        <x:f>'Reporte Componentes R1'!R60+'Reporte Componentes R1'!V60+'Reporte Componentes R1'!U60</x:f>
        <x:v>0</x:v>
      </x:c>
      <x:c r="AB47" s="230">
        <x:f>N47</x:f>
        <x:v>0</x:v>
      </x:c>
      <x:c r="AC47" s="247">
        <x:f>'Reporte Componentes R1'!T60+'Reporte Componentes R1'!W60+'Reporte Componentes R1'!X60+'Reporte Componentes R1'!Y60+'Reporte Componentes R1'!Z60+'Reporte Componentes R1'!S60</x:f>
        <x:v>0</x:v>
      </x:c>
      <x:c r="AD47" s="227">
        <x:f>-J47+AE47</x:f>
        <x:v>0</x:v>
      </x:c>
      <x:c r="AE47" s="227">
        <x:f>'Reporte Componentes R1'!F61</x:f>
        <x:v>0</x:v>
      </x:c>
      <x:c r="AF47" s="249">
        <x:f>SUM(U47:AD47)</x:f>
        <x:v>0</x:v>
      </x:c>
      <x:c r="AG47" s="439">
        <x:f>(AF47-O47)</x:f>
        <x:v>0</x:v>
      </x:c>
      <x:c r="AH47" s="1" t="b">
        <x:f t="shared" ref="AH47:AH52" si="15"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R1'!F213</x:f>
        <x:v>0</x:v>
      </x:c>
      <x:c r="E48" s="228">
        <x:f>'Reporte Componentes R1'!G213</x:f>
        <x:v>0</x:v>
      </x:c>
      <x:c r="F48" s="228">
        <x:f>'Reporte Componentes R1'!H213</x:f>
        <x:v>0</x:v>
      </x:c>
      <x:c r="G48" s="228">
        <x:f>'Reporte Componentes R1'!I213</x:f>
        <x:v>0</x:v>
      </x:c>
      <x:c r="H48" s="228">
        <x:f>'Reporte Componentes R1'!J213</x:f>
        <x:v>0</x:v>
      </x:c>
      <x:c r="I48" s="228">
        <x:f>'Reporte Componentes R1'!K213</x:f>
        <x:v>0</x:v>
      </x:c>
      <x:c r="J48" s="224">
        <x:v>0</x:v>
      </x:c>
      <x:c r="K48" s="231">
        <x:f t="shared" ref="K48:K51" si="16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R1'!L213</x:f>
        <x:v>0</x:v>
      </x:c>
      <x:c r="O48" s="231">
        <x:f t="shared" ref="O48:O51" si="17">M48+N48</x:f>
        <x:v>0</x:v>
      </x:c>
      <x:c r="Q48" s="242"/>
      <x:c r="S48" s="250">
        <x:v>2</x:v>
      </x:c>
      <x:c r="T48" s="251" t="s">
        <x:v>11</x:v>
      </x:c>
      <x:c r="U48" s="252">
        <x:f>'Reporte Componentes R1'!M213</x:f>
        <x:v>0</x:v>
      </x:c>
      <x:c r="V48" s="253">
        <x:f>'Reporte Componentes R1'!N213</x:f>
        <x:v>0</x:v>
      </x:c>
      <x:c r="W48" s="253">
        <x:f>'Reporte Componentes R1'!O213</x:f>
        <x:v>0</x:v>
      </x:c>
      <x:c r="X48" s="253">
        <x:f>'Reporte Componentes R1'!P213</x:f>
        <x:v>0</x:v>
      </x:c>
      <x:c r="Y48" s="254">
        <x:f>'Reporte Componentes R1'!Q213</x:f>
        <x:v>0</x:v>
      </x:c>
      <x:c r="Z48" s="255">
        <x:f>-L48</x:f>
        <x:v>0</x:v>
      </x:c>
      <x:c r="AA48" s="256">
        <x:f>'Reporte Componentes R1'!R213+'Reporte Componentes R1'!V213+'Reporte Componentes R1'!U213</x:f>
        <x:v>0</x:v>
      </x:c>
      <x:c r="AB48" s="230">
        <x:f>N48</x:f>
        <x:v>0</x:v>
      </x:c>
      <x:c r="AC48" s="256">
        <x:f>'Reporte Componentes R1'!T213+'Reporte Componentes R1'!W213+'Reporte Componentes R1'!X213+'Reporte Componentes R1'!Y213+'Reporte Componentes R1'!Z213+'Reporte Componentes R1'!S213</x:f>
        <x:v>0</x:v>
      </x:c>
      <x:c r="AD48" s="227">
        <x:f t="shared" ref="AD48:AD51" si="18">-J48+AE48</x:f>
        <x:v>0</x:v>
      </x:c>
      <x:c r="AE48" s="227">
        <x:f>'Reporte Componentes R1'!F214</x:f>
        <x:v>0</x:v>
      </x:c>
      <x:c r="AF48" s="258">
        <x:f>SUM(U48:AD48)</x:f>
        <x:v>0</x:v>
      </x:c>
      <x:c r="AG48" s="440">
        <x:f>(AF48-O48)</x:f>
        <x:v>0</x:v>
      </x:c>
      <x:c r="AH48" s="1" t="b">
        <x:f t="shared" si="15"/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R1'!F350</x:f>
        <x:v>0</x:v>
      </x:c>
      <x:c r="E49" s="228">
        <x:f>'Reporte Componentes R1'!G350</x:f>
        <x:v>0</x:v>
      </x:c>
      <x:c r="F49" s="228">
        <x:f>'Reporte Componentes R1'!H350</x:f>
        <x:v>0</x:v>
      </x:c>
      <x:c r="G49" s="228">
        <x:f>'Reporte Componentes R1'!I350</x:f>
        <x:v>0</x:v>
      </x:c>
      <x:c r="H49" s="228">
        <x:f>'Reporte Componentes R1'!J350</x:f>
        <x:v>0</x:v>
      </x:c>
      <x:c r="I49" s="228">
        <x:f>'Reporte Componentes R1'!K350</x:f>
        <x:v>0</x:v>
      </x:c>
      <x:c r="J49" s="224">
        <x:v>0</x:v>
      </x:c>
      <x:c r="K49" s="231">
        <x:f t="shared" si="16"/>
        <x:v>0</x:v>
      </x:c>
      <x:c r="L49" s="230">
        <x:v>0</x:v>
      </x:c>
      <x:c r="M49" s="231">
        <x:f>K49-L49</x:f>
        <x:v>0</x:v>
      </x:c>
      <x:c r="N49" s="230">
        <x:f>'Reporte Componentes R1'!L350</x:f>
        <x:v>0</x:v>
      </x:c>
      <x:c r="O49" s="231">
        <x:f t="shared" si="17"/>
        <x:v>0</x:v>
      </x:c>
      <x:c r="Q49" s="242"/>
      <x:c r="S49" s="250">
        <x:v>3</x:v>
      </x:c>
      <x:c r="T49" s="251" t="s">
        <x:v>12</x:v>
      </x:c>
      <x:c r="U49" s="252">
        <x:f>'Reporte Componentes R1'!M350</x:f>
        <x:v>0</x:v>
      </x:c>
      <x:c r="V49" s="253">
        <x:f>'Reporte Componentes R1'!N350</x:f>
        <x:v>0</x:v>
      </x:c>
      <x:c r="W49" s="253">
        <x:f>'Reporte Componentes R1'!O350</x:f>
        <x:v>0</x:v>
      </x:c>
      <x:c r="X49" s="253">
        <x:f>'Reporte Componentes R1'!P350</x:f>
        <x:v>0</x:v>
      </x:c>
      <x:c r="Y49" s="254">
        <x:f>'Reporte Componentes R1'!Q350</x:f>
        <x:v>0</x:v>
      </x:c>
      <x:c r="Z49" s="255">
        <x:f>-L49</x:f>
        <x:v>0</x:v>
      </x:c>
      <x:c r="AA49" s="256">
        <x:f>'Reporte Componentes R1'!R350+'Reporte Componentes R1'!V350+'Reporte Componentes R1'!U350</x:f>
        <x:v>0</x:v>
      </x:c>
      <x:c r="AB49" s="230">
        <x:f>N49</x:f>
        <x:v>0</x:v>
      </x:c>
      <x:c r="AC49" s="256">
        <x:f>'Reporte Componentes R1'!T350+'Reporte Componentes R1'!W350+'Reporte Componentes R1'!X350+'Reporte Componentes R1'!Y350+'Reporte Componentes R1'!Z350+'Reporte Componentes R1'!S350</x:f>
        <x:v>0</x:v>
      </x:c>
      <x:c r="AD49" s="227">
        <x:f t="shared" si="18"/>
        <x:v>0</x:v>
      </x:c>
      <x:c r="AE49" s="227">
        <x:f>'Reporte Componentes R1'!F351</x:f>
        <x:v>0</x:v>
      </x:c>
      <x:c r="AF49" s="258">
        <x:f t="shared" ref="AF49:AF51" si="19">SUM(U49:AD49)</x:f>
        <x:v>0</x:v>
      </x:c>
      <x:c r="AG49" s="440">
        <x:f t="shared" ref="AG49:AG51" si="20">(AF49-O49)</x:f>
        <x:v>0</x:v>
      </x:c>
      <x:c r="AH49" s="1" t="b">
        <x:f t="shared" si="15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R1'!F475</x:f>
        <x:v>0</x:v>
      </x:c>
      <x:c r="E50" s="228">
        <x:f>'Reporte Componentes R1'!G475</x:f>
        <x:v>0</x:v>
      </x:c>
      <x:c r="F50" s="228">
        <x:f>'Reporte Componentes R1'!H475</x:f>
        <x:v>0</x:v>
      </x:c>
      <x:c r="G50" s="228">
        <x:f>'Reporte Componentes R1'!I475</x:f>
        <x:v>0</x:v>
      </x:c>
      <x:c r="H50" s="228">
        <x:f>'Reporte Componentes R1'!J475</x:f>
        <x:v>0</x:v>
      </x:c>
      <x:c r="I50" s="228">
        <x:f>'Reporte Componentes R1'!K475</x:f>
        <x:v>0</x:v>
      </x:c>
      <x:c r="J50" s="224">
        <x:v>0</x:v>
      </x:c>
      <x:c r="K50" s="231">
        <x:f t="shared" si="16"/>
        <x:v>0</x:v>
      </x:c>
      <x:c r="L50" s="230">
        <x:v>0</x:v>
      </x:c>
      <x:c r="M50" s="231">
        <x:f>K50-L50</x:f>
        <x:v>0</x:v>
      </x:c>
      <x:c r="N50" s="230">
        <x:f>'Reporte Componentes R1'!L475</x:f>
        <x:v>0</x:v>
      </x:c>
      <x:c r="O50" s="231">
        <x:f t="shared" si="17"/>
        <x:v>0</x:v>
      </x:c>
      <x:c r="Q50" s="242"/>
      <x:c r="S50" s="250">
        <x:v>4</x:v>
      </x:c>
      <x:c r="T50" s="251" t="s">
        <x:v>13</x:v>
      </x:c>
      <x:c r="U50" s="252">
        <x:f>'Reporte Componentes R1'!M475</x:f>
        <x:v>0</x:v>
      </x:c>
      <x:c r="V50" s="253">
        <x:f>'Reporte Componentes R1'!N475</x:f>
        <x:v>0</x:v>
      </x:c>
      <x:c r="W50" s="253">
        <x:f>'Reporte Componentes R1'!O475</x:f>
        <x:v>0</x:v>
      </x:c>
      <x:c r="X50" s="253">
        <x:f>'Reporte Componentes R1'!P475</x:f>
        <x:v>0</x:v>
      </x:c>
      <x:c r="Y50" s="254">
        <x:f>'Reporte Componentes R1'!Q475</x:f>
        <x:v>0</x:v>
      </x:c>
      <x:c r="Z50" s="255">
        <x:f>-L50</x:f>
        <x:v>0</x:v>
      </x:c>
      <x:c r="AA50" s="256">
        <x:f>'Reporte Componentes R1'!R475+'Reporte Componentes R1'!V475+'Reporte Componentes R1'!U475</x:f>
        <x:v>0</x:v>
      </x:c>
      <x:c r="AB50" s="230">
        <x:f>N50</x:f>
        <x:v>0</x:v>
      </x:c>
      <x:c r="AC50" s="256">
        <x:f>'Reporte Componentes R1'!T475+'Reporte Componentes R1'!W475+'Reporte Componentes R1'!X475+'Reporte Componentes R1'!Y475+'Reporte Componentes R1'!Z475+'Reporte Componentes R1'!S475</x:f>
        <x:v>0</x:v>
      </x:c>
      <x:c r="AD50" s="227">
        <x:f t="shared" si="18"/>
        <x:v>0</x:v>
      </x:c>
      <x:c r="AE50" s="227">
        <x:f>'Reporte Componentes R1'!F476</x:f>
        <x:v>0</x:v>
      </x:c>
      <x:c r="AF50" s="258">
        <x:f t="shared" si="19"/>
        <x:v>0</x:v>
      </x:c>
      <x:c r="AG50" s="440">
        <x:f t="shared" si="20"/>
        <x:v>0</x:v>
      </x:c>
      <x:c r="AH50" s="1" t="b">
        <x:f t="shared" si="15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R1'!F565</x:f>
        <x:v>0</x:v>
      </x:c>
      <x:c r="E51" s="233">
        <x:f>'Reporte Componentes R1'!G565</x:f>
        <x:v>0</x:v>
      </x:c>
      <x:c r="F51" s="233">
        <x:f>'Reporte Componentes R1'!H565</x:f>
        <x:v>0</x:v>
      </x:c>
      <x:c r="G51" s="233">
        <x:f>'Reporte Componentes R1'!I565</x:f>
        <x:v>0</x:v>
      </x:c>
      <x:c r="H51" s="233">
        <x:f>'Reporte Componentes R1'!J565</x:f>
        <x:v>0</x:v>
      </x:c>
      <x:c r="I51" s="233">
        <x:f>'Reporte Componentes R1'!K565</x:f>
        <x:v>0</x:v>
      </x:c>
      <x:c r="J51" s="225">
        <x:v>0</x:v>
      </x:c>
      <x:c r="K51" s="231">
        <x:f t="shared" si="16"/>
        <x:v>0</x:v>
      </x:c>
      <x:c r="L51" s="230">
        <x:v>0</x:v>
      </x:c>
      <x:c r="M51" s="234">
        <x:f>K51-L51</x:f>
        <x:v>0</x:v>
      </x:c>
      <x:c r="N51" s="235">
        <x:f>'Reporte Componentes R1'!L565</x:f>
        <x:v>0</x:v>
      </x:c>
      <x:c r="O51" s="234">
        <x:f t="shared" si="17"/>
        <x:v>0</x:v>
      </x:c>
      <x:c r="Q51" s="242"/>
      <x:c r="S51" s="260">
        <x:v>5</x:v>
      </x:c>
      <x:c r="T51" s="261" t="s">
        <x:v>14</x:v>
      </x:c>
      <x:c r="U51" s="232">
        <x:f>'Reporte Componentes R1'!M565</x:f>
        <x:v>0</x:v>
      </x:c>
      <x:c r="V51" s="233">
        <x:f>'Reporte Componentes R1'!N565</x:f>
        <x:v>0</x:v>
      </x:c>
      <x:c r="W51" s="233">
        <x:f>'Reporte Componentes R1'!O565</x:f>
        <x:v>0</x:v>
      </x:c>
      <x:c r="X51" s="233">
        <x:f>'Reporte Componentes R1'!P565</x:f>
        <x:v>0</x:v>
      </x:c>
      <x:c r="Y51" s="225">
        <x:f>'Reporte Componentes R1'!Q565</x:f>
        <x:v>0</x:v>
      </x:c>
      <x:c r="Z51" s="255">
        <x:f>-L51</x:f>
        <x:v>0</x:v>
      </x:c>
      <x:c r="AA51" s="256">
        <x:f>'Reporte Componentes R1'!R565+'Reporte Componentes R1'!V565+'Reporte Componentes R1'!U565</x:f>
        <x:v>0</x:v>
      </x:c>
      <x:c r="AB51" s="230">
        <x:f>N51</x:f>
        <x:v>0</x:v>
      </x:c>
      <x:c r="AC51" s="256">
        <x:f>'Reporte Componentes R1'!T565+'Reporte Componentes R1'!W565+'Reporte Componentes R1'!X565+'Reporte Componentes R1'!Y565+'Reporte Componentes R1'!Z565+'Reporte Componentes R1'!S565</x:f>
        <x:v>0</x:v>
      </x:c>
      <x:c r="AD51" s="227">
        <x:f t="shared" si="18"/>
        <x:v>0</x:v>
      </x:c>
      <x:c r="AE51" s="227">
        <x:f>'Reporte Componentes R1'!F566</x:f>
        <x:v>0</x:v>
      </x:c>
      <x:c r="AF51" s="258">
        <x:f t="shared" si="19"/>
        <x:v>0</x:v>
      </x:c>
      <x:c r="AG51" s="441">
        <x:f t="shared" si="20"/>
        <x:v>0</x:v>
      </x:c>
      <x:c r="AH51" s="1" t="b">
        <x:f t="shared" si="15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1">SUM(D47:D51)</x:f>
        <x:v>0</x:v>
      </x:c>
      <x:c r="E52" s="226">
        <x:f t="shared" si="21"/>
        <x:v>0</x:v>
      </x:c>
      <x:c r="F52" s="226">
        <x:f t="shared" si="21"/>
        <x:v>0</x:v>
      </x:c>
      <x:c r="G52" s="226">
        <x:f t="shared" ref="G52" si="22">SUM(G47:G51)</x:f>
        <x:v>0</x:v>
      </x:c>
      <x:c r="H52" s="226">
        <x:f t="shared" si="21"/>
        <x:v>0</x:v>
      </x:c>
      <x:c r="I52" s="226">
        <x:f t="shared" si="21"/>
        <x:v>0</x:v>
      </x:c>
      <x:c r="J52" s="226">
        <x:f t="shared" si="21"/>
        <x:v>0</x:v>
      </x:c>
      <x:c r="K52" s="236">
        <x:f t="shared" si="21"/>
        <x:v>0</x:v>
      </x:c>
      <x:c r="L52" s="237">
        <x:f t="shared" si="21"/>
        <x:v>0</x:v>
      </x:c>
      <x:c r="M52" s="238">
        <x:f t="shared" si="21"/>
        <x:v>0</x:v>
      </x:c>
      <x:c r="N52" s="237">
        <x:f t="shared" si="21"/>
        <x:v>0</x:v>
      </x:c>
      <x:c r="O52" s="238">
        <x:f t="shared" si="21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3">SUM(V47:V51)</x:f>
        <x:v>0</x:v>
      </x:c>
      <x:c r="W52" s="266">
        <x:f t="shared" si="23"/>
        <x:v>0</x:v>
      </x:c>
      <x:c r="X52" s="266">
        <x:f t="shared" si="23"/>
        <x:v>0</x:v>
      </x:c>
      <x:c r="Y52" s="266">
        <x:f t="shared" si="23"/>
        <x:v>0</x:v>
      </x:c>
      <x:c r="Z52" s="226">
        <x:f t="shared" si="23"/>
        <x:v>0</x:v>
      </x:c>
      <x:c r="AA52" s="226">
        <x:f t="shared" si="23"/>
        <x:v>0</x:v>
      </x:c>
      <x:c r="AB52" s="226">
        <x:f t="shared" si="23"/>
        <x:v>0</x:v>
      </x:c>
      <x:c r="AC52" s="226">
        <x:f t="shared" si="23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3"/>
        <x:v>0</x:v>
      </x:c>
      <x:c r="AG52" s="442">
        <x:f t="shared" si="23"/>
        <x:v>0</x:v>
      </x:c>
      <x:c r="AH52" s="1" t="b">
        <x:f t="shared" si="15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09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R4'!D76</x:f>
        <x:v>0</x:v>
      </x:c>
      <x:c r="E66" s="228">
        <x:f>'Reversion Pagos R4'!E76</x:f>
        <x:v>0</x:v>
      </x:c>
      <x:c r="F66" s="228">
        <x:f>'Reversion Pagos R4'!F76</x:f>
        <x:v>0</x:v>
      </x:c>
      <x:c r="G66" s="228">
        <x:f>'Reversion Pagos R4'!G76</x:f>
        <x:v>0</x:v>
      </x:c>
      <x:c r="H66" s="228">
        <x:f>'Reversion Pagos R4'!H76</x:f>
        <x:v>0</x:v>
      </x:c>
      <x:c r="I66" s="228">
        <x:f>'Reversion Pagos R4'!I76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R4'!P76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R4'!J76</x:f>
        <x:v>0</x:v>
      </x:c>
      <x:c r="V66" s="244">
        <x:f>'Reversion Pagos R4'!K76</x:f>
        <x:v>0</x:v>
      </x:c>
      <x:c r="W66" s="244">
        <x:f>'Reversion Pagos R4'!L76</x:f>
        <x:v>0</x:v>
      </x:c>
      <x:c r="X66" s="244">
        <x:f>'Reversion Pagos R4'!M76</x:f>
        <x:v>0</x:v>
      </x:c>
      <x:c r="Y66" s="245">
        <x:f>'Reversion Pagos R4'!N76</x:f>
        <x:v>0</x:v>
      </x:c>
      <x:c r="Z66" s="246">
        <x:f>-L66</x:f>
        <x:v>0</x:v>
      </x:c>
      <x:c r="AA66" s="256">
        <x:f>'Reversion Pagos R4'!O76</x:f>
        <x:v>0</x:v>
      </x:c>
      <x:c r="AB66" s="230">
        <x:f>N66</x:f>
        <x:v>0</x:v>
      </x:c>
      <x:c r="AC66" s="256">
        <x:f>+'Reversion Pagos R4'!Q76+'Reversion Pagos R4'!R76</x:f>
        <x:v>0</x:v>
      </x:c>
      <x:c r="AD66" s="227">
        <x:f>-J66+AE66</x:f>
        <x:v>0</x:v>
      </x:c>
      <x:c r="AE66" s="227">
        <x:f>'Reversion Pagos R4'!D77</x:f>
        <x:v>0</x:v>
      </x:c>
      <x:c r="AF66" s="249">
        <x:f>SUM(U66:AD66)</x:f>
        <x:v>0</x:v>
      </x:c>
      <x:c r="AG66" s="439">
        <x:f>(AF66-O66)</x:f>
        <x:v>0</x:v>
      </x:c>
      <x:c r="AH66" s="1" t="b">
        <x:f t="shared" ref="AH66:AH71" si="24"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R4'!D171</x:f>
        <x:v>0</x:v>
      </x:c>
      <x:c r="E67" s="228">
        <x:f>'Reversion Pagos R4'!E171</x:f>
        <x:v>0</x:v>
      </x:c>
      <x:c r="F67" s="228">
        <x:f>'Reversion Pagos R4'!F171</x:f>
        <x:v>0</x:v>
      </x:c>
      <x:c r="G67" s="228">
        <x:f>'Reversion Pagos R4'!G171</x:f>
        <x:v>0</x:v>
      </x:c>
      <x:c r="H67" s="228">
        <x:f>'Reversion Pagos R4'!H171</x:f>
        <x:v>0</x:v>
      </x:c>
      <x:c r="I67" s="228">
        <x:f>'Reversion Pagos R4'!I171</x:f>
        <x:v>0</x:v>
      </x:c>
      <x:c r="J67" s="224">
        <x:v>0</x:v>
      </x:c>
      <x:c r="K67" s="231">
        <x:f t="shared" ref="K67:K70" si="25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R4'!P171</x:f>
        <x:v>0</x:v>
      </x:c>
      <x:c r="O67" s="231">
        <x:f t="shared" ref="O67:O70" si="26">M67+N67</x:f>
        <x:v>0</x:v>
      </x:c>
      <x:c r="Q67" s="242"/>
      <x:c r="S67" s="250">
        <x:v>2</x:v>
      </x:c>
      <x:c r="T67" s="251" t="s">
        <x:v>11</x:v>
      </x:c>
      <x:c r="U67" s="252">
        <x:f>'Reversion Pagos R4'!J171</x:f>
        <x:v>0</x:v>
      </x:c>
      <x:c r="V67" s="253">
        <x:f>'Reversion Pagos R4'!K171</x:f>
        <x:v>0</x:v>
      </x:c>
      <x:c r="W67" s="253">
        <x:f>'Reversion Pagos R4'!L171</x:f>
        <x:v>0</x:v>
      </x:c>
      <x:c r="X67" s="253">
        <x:f>'Reversion Pagos R4'!M171</x:f>
        <x:v>0</x:v>
      </x:c>
      <x:c r="Y67" s="254">
        <x:f>'Reversion Pagos R4'!N171</x:f>
        <x:v>0</x:v>
      </x:c>
      <x:c r="Z67" s="255">
        <x:f t="shared" ref="Z67:Z70" si="27">-L67</x:f>
        <x:v>0</x:v>
      </x:c>
      <x:c r="AA67" s="256">
        <x:f>'Reversion Pagos R4'!O171</x:f>
        <x:v>0</x:v>
      </x:c>
      <x:c r="AB67" s="230">
        <x:f t="shared" ref="AB67:AB70" si="28">N67</x:f>
        <x:v>0</x:v>
      </x:c>
      <x:c r="AC67" s="256">
        <x:f>+'Reversion Pagos R4'!Q171+'Reversion Pagos R4'!R171</x:f>
        <x:v>0</x:v>
      </x:c>
      <x:c r="AD67" s="227">
        <x:f t="shared" ref="AD67:AD70" si="29">-J67+AE67</x:f>
        <x:v>0</x:v>
      </x:c>
      <x:c r="AE67" s="227">
        <x:f>'Reversion Pagos R4'!D172</x:f>
        <x:v>0</x:v>
      </x:c>
      <x:c r="AF67" s="258">
        <x:f>SUM(U67:AD67)</x:f>
        <x:v>0</x:v>
      </x:c>
      <x:c r="AG67" s="440">
        <x:f>(AF67-O67)</x:f>
        <x:v>0</x:v>
      </x:c>
      <x:c r="AH67" s="1" t="b">
        <x:f t="shared" si="24"/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R4'!D208</x:f>
        <x:v>0</x:v>
      </x:c>
      <x:c r="E68" s="228">
        <x:f>'Reversion Pagos R4'!E208</x:f>
        <x:v>0</x:v>
      </x:c>
      <x:c r="F68" s="228">
        <x:f>'Reversion Pagos R4'!F208</x:f>
        <x:v>0</x:v>
      </x:c>
      <x:c r="G68" s="228">
        <x:f>'Reversion Pagos R4'!G208</x:f>
        <x:v>0</x:v>
      </x:c>
      <x:c r="H68" s="228">
        <x:f>'Reversion Pagos R4'!H208</x:f>
        <x:v>0</x:v>
      </x:c>
      <x:c r="I68" s="228">
        <x:f>'Reversion Pagos R4'!I208</x:f>
        <x:v>0</x:v>
      </x:c>
      <x:c r="J68" s="224">
        <x:v>0</x:v>
      </x:c>
      <x:c r="K68" s="231">
        <x:f t="shared" si="25"/>
        <x:v>0</x:v>
      </x:c>
      <x:c r="L68" s="230">
        <x:v>0</x:v>
      </x:c>
      <x:c r="M68" s="231">
        <x:f>K68-L68</x:f>
        <x:v>0</x:v>
      </x:c>
      <x:c r="N68" s="230">
        <x:f>'Reversion Pagos R4'!P208</x:f>
        <x:v>0</x:v>
      </x:c>
      <x:c r="O68" s="231">
        <x:f t="shared" si="26"/>
        <x:v>0</x:v>
      </x:c>
      <x:c r="Q68" s="242"/>
      <x:c r="S68" s="250">
        <x:v>3</x:v>
      </x:c>
      <x:c r="T68" s="251" t="s">
        <x:v>12</x:v>
      </x:c>
      <x:c r="U68" s="252">
        <x:f>'Reversion Pagos R4'!J208</x:f>
        <x:v>0</x:v>
      </x:c>
      <x:c r="V68" s="253">
        <x:f>'Reversion Pagos R4'!K208</x:f>
        <x:v>0</x:v>
      </x:c>
      <x:c r="W68" s="253">
        <x:f>'Reversion Pagos R4'!L208</x:f>
        <x:v>0</x:v>
      </x:c>
      <x:c r="X68" s="253">
        <x:f>'Reversion Pagos R4'!M208</x:f>
        <x:v>0</x:v>
      </x:c>
      <x:c r="Y68" s="254">
        <x:f>'Reversion Pagos R4'!N208</x:f>
        <x:v>0</x:v>
      </x:c>
      <x:c r="Z68" s="255">
        <x:f t="shared" si="27"/>
        <x:v>0</x:v>
      </x:c>
      <x:c r="AA68" s="256">
        <x:f>'Reversion Pagos R4'!O208</x:f>
        <x:v>0</x:v>
      </x:c>
      <x:c r="AB68" s="230">
        <x:f t="shared" si="28"/>
        <x:v>0</x:v>
      </x:c>
      <x:c r="AC68" s="256">
        <x:f>+'Reversion Pagos R4'!Q208+'Reversion Pagos R4'!R208</x:f>
        <x:v>0</x:v>
      </x:c>
      <x:c r="AD68" s="227">
        <x:f t="shared" si="29"/>
        <x:v>0</x:v>
      </x:c>
      <x:c r="AE68" s="227">
        <x:f>'Reversion Pagos R4'!D209</x:f>
        <x:v>0</x:v>
      </x:c>
      <x:c r="AF68" s="258">
        <x:f t="shared" ref="AF68:AF70" si="30">SUM(U68:AD68)</x:f>
        <x:v>0</x:v>
      </x:c>
      <x:c r="AG68" s="440">
        <x:f t="shared" ref="AG68:AG70" si="31">(AF68-O68)</x:f>
        <x:v>0</x:v>
      </x:c>
      <x:c r="AH68" s="1" t="b">
        <x:f t="shared" si="24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R4'!D323</x:f>
        <x:v>0</x:v>
      </x:c>
      <x:c r="E69" s="228">
        <x:f>'Reversion Pagos R4'!E323</x:f>
        <x:v>0</x:v>
      </x:c>
      <x:c r="F69" s="228">
        <x:f>'Reversion Pagos R4'!F323</x:f>
        <x:v>0</x:v>
      </x:c>
      <x:c r="G69" s="228">
        <x:f>'Reversion Pagos R4'!G323</x:f>
        <x:v>0</x:v>
      </x:c>
      <x:c r="H69" s="228">
        <x:f>'Reversion Pagos R4'!H323</x:f>
        <x:v>0</x:v>
      </x:c>
      <x:c r="I69" s="228">
        <x:f>'Reversion Pagos R4'!I323</x:f>
        <x:v>0</x:v>
      </x:c>
      <x:c r="J69" s="224">
        <x:v>0</x:v>
      </x:c>
      <x:c r="K69" s="231">
        <x:f t="shared" si="25"/>
        <x:v>0</x:v>
      </x:c>
      <x:c r="L69" s="230">
        <x:v>0</x:v>
      </x:c>
      <x:c r="M69" s="231">
        <x:f>K69-L69</x:f>
        <x:v>0</x:v>
      </x:c>
      <x:c r="N69" s="230">
        <x:f>'Reversion Pagos R4'!P323</x:f>
        <x:v>0</x:v>
      </x:c>
      <x:c r="O69" s="231">
        <x:f t="shared" si="26"/>
        <x:v>0</x:v>
      </x:c>
      <x:c r="Q69" s="242"/>
      <x:c r="S69" s="250">
        <x:v>4</x:v>
      </x:c>
      <x:c r="T69" s="251" t="s">
        <x:v>13</x:v>
      </x:c>
      <x:c r="U69" s="252">
        <x:f>'Reversion Pagos R4'!J323</x:f>
        <x:v>0</x:v>
      </x:c>
      <x:c r="V69" s="253">
        <x:f>'Reversion Pagos R4'!K323</x:f>
        <x:v>0</x:v>
      </x:c>
      <x:c r="W69" s="253">
        <x:f>'Reversion Pagos R4'!L323</x:f>
        <x:v>0</x:v>
      </x:c>
      <x:c r="X69" s="253">
        <x:f>'Reversion Pagos R4'!M323</x:f>
        <x:v>0</x:v>
      </x:c>
      <x:c r="Y69" s="254">
        <x:f>'Reversion Pagos R4'!N323</x:f>
        <x:v>0</x:v>
      </x:c>
      <x:c r="Z69" s="255">
        <x:f t="shared" si="27"/>
        <x:v>0</x:v>
      </x:c>
      <x:c r="AA69" s="256">
        <x:f>'Reversion Pagos R4'!O323</x:f>
        <x:v>0</x:v>
      </x:c>
      <x:c r="AB69" s="230">
        <x:f t="shared" si="28"/>
        <x:v>0</x:v>
      </x:c>
      <x:c r="AC69" s="256">
        <x:f>+'Reversion Pagos R4'!Q323+'Reversion Pagos R4'!R323</x:f>
        <x:v>0</x:v>
      </x:c>
      <x:c r="AD69" s="227">
        <x:f t="shared" si="29"/>
        <x:v>0</x:v>
      </x:c>
      <x:c r="AE69" s="227">
        <x:f>'Reversion Pagos R4'!D324</x:f>
        <x:v>0</x:v>
      </x:c>
      <x:c r="AF69" s="258">
        <x:f>SUM(U69:AD69)</x:f>
        <x:v>0</x:v>
      </x:c>
      <x:c r="AG69" s="440">
        <x:f>(AF69-O69)</x:f>
        <x:v>0</x:v>
      </x:c>
      <x:c r="AH69" s="1" t="b">
        <x:f t="shared" si="24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R4'!D358</x:f>
        <x:v>0</x:v>
      </x:c>
      <x:c r="E70" s="233">
        <x:f>'Reversion Pagos R4'!E358</x:f>
        <x:v>0</x:v>
      </x:c>
      <x:c r="F70" s="233">
        <x:f>'Reversion Pagos R4'!F358</x:f>
        <x:v>0</x:v>
      </x:c>
      <x:c r="G70" s="233">
        <x:f>'Reversion Pagos R4'!G358</x:f>
        <x:v>0</x:v>
      </x:c>
      <x:c r="H70" s="233">
        <x:f>'Reversion Pagos R4'!H358</x:f>
        <x:v>0</x:v>
      </x:c>
      <x:c r="I70" s="233">
        <x:f>'Reversion Pagos R4'!I358</x:f>
        <x:v>0</x:v>
      </x:c>
      <x:c r="J70" s="225">
        <x:v>0</x:v>
      </x:c>
      <x:c r="K70" s="231">
        <x:f t="shared" si="25"/>
        <x:v>0</x:v>
      </x:c>
      <x:c r="L70" s="230">
        <x:v>0</x:v>
      </x:c>
      <x:c r="M70" s="234">
        <x:f>K70-L70</x:f>
        <x:v>0</x:v>
      </x:c>
      <x:c r="N70" s="230">
        <x:f>'Reversion Pagos R4'!P358</x:f>
        <x:v>0</x:v>
      </x:c>
      <x:c r="O70" s="234">
        <x:f t="shared" si="26"/>
        <x:v>0</x:v>
      </x:c>
      <x:c r="Q70" s="242"/>
      <x:c r="S70" s="260">
        <x:v>5</x:v>
      </x:c>
      <x:c r="T70" s="261" t="s">
        <x:v>14</x:v>
      </x:c>
      <x:c r="U70" s="232">
        <x:f>'Reversion Pagos R4'!J358</x:f>
        <x:v>0</x:v>
      </x:c>
      <x:c r="V70" s="233">
        <x:f>'Reversion Pagos R4'!K358</x:f>
        <x:v>0</x:v>
      </x:c>
      <x:c r="W70" s="233">
        <x:f>'Reversion Pagos R4'!L358</x:f>
        <x:v>0</x:v>
      </x:c>
      <x:c r="X70" s="233">
        <x:f>'Reversion Pagos R4'!M358</x:f>
        <x:v>0</x:v>
      </x:c>
      <x:c r="Y70" s="225">
        <x:f>'Reversion Pagos R4'!N358</x:f>
        <x:v>0</x:v>
      </x:c>
      <x:c r="Z70" s="255">
        <x:f t="shared" si="27"/>
        <x:v>0</x:v>
      </x:c>
      <x:c r="AA70" s="256">
        <x:f>'Reversion Pagos R4'!O358</x:f>
        <x:v>0</x:v>
      </x:c>
      <x:c r="AB70" s="230">
        <x:f t="shared" si="28"/>
        <x:v>0</x:v>
      </x:c>
      <x:c r="AC70" s="256">
        <x:f>+'Reversion Pagos R4'!Q358+'Reversion Pagos R4'!R358</x:f>
        <x:v>0</x:v>
      </x:c>
      <x:c r="AD70" s="227">
        <x:f t="shared" si="29"/>
        <x:v>0</x:v>
      </x:c>
      <x:c r="AE70" s="227">
        <x:f>'Reversion Pagos R4'!D359</x:f>
        <x:v>0</x:v>
      </x:c>
      <x:c r="AF70" s="258">
        <x:f t="shared" si="30"/>
        <x:v>0</x:v>
      </x:c>
      <x:c r="AG70" s="441">
        <x:f t="shared" si="31"/>
        <x:v>0</x:v>
      </x:c>
      <x:c r="AH70" s="1" t="b">
        <x:f t="shared" si="24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ref="AC71" si="34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442">
        <x:f t="shared" si="33"/>
        <x:v>0</x:v>
      </x:c>
      <x:c r="AH71" s="1" t="b">
        <x:f t="shared" si="24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09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f>'AJUSTES - SF-T'!J47</x:f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f>-L85</x:f>
        <x:v>0</x:v>
      </x:c>
      <x:c r="AA85" s="247">
        <x:v>0</x:v>
      </x:c>
      <x:c r="AB85" s="230">
        <x:f>N85</x:f>
        <x:v>0</x:v>
      </x:c>
      <x:c r="AC85" s="247">
        <x:v>0</x:v>
      </x:c>
      <x:c r="AD85" s="227">
        <x:f>-J85+AE85</x:f>
        <x:v>0</x:v>
      </x:c>
      <x:c r="AE85" s="227">
        <x:v>0</x:v>
      </x:c>
      <x:c r="AF85" s="249">
        <x:f>SUM(U85:AD85)</x:f>
        <x:v>0</x:v>
      </x:c>
      <x:c r="AG85" s="439">
        <x:f>AF85-O85</x:f>
        <x:v>0</x:v>
      </x:c>
      <x:c r="AH85" s="1" t="b">
        <x:f t="shared" ref="AH85:AH90" si="35"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f>'AJUSTES - SF-T'!D48</x:f>
        <x:v>0</x:v>
      </x:c>
      <x:c r="E86" s="228">
        <x:f>'AJUSTES - SF-T'!E48</x:f>
        <x:v>0</x:v>
      </x:c>
      <x:c r="F86" s="228">
        <x:f>'AJUSTES - SF-T'!F48</x:f>
        <x:v>0</x:v>
      </x:c>
      <x:c r="G86" s="228">
        <x:f>'AJUSTES - SF-T'!G48</x:f>
        <x:v>0</x:v>
      </x:c>
      <x:c r="H86" s="228">
        <x:f>'AJUSTES - SF-T'!H48</x:f>
        <x:v>0</x:v>
      </x:c>
      <x:c r="I86" s="228">
        <x:f>'AJUSTES - SF-T'!I48</x:f>
        <x:v>0</x:v>
      </x:c>
      <x:c r="J86" s="224">
        <x:f>'AJUSTES - SF-T'!J48</x:f>
        <x:v>0</x:v>
      </x:c>
      <x:c r="K86" s="231">
        <x:f t="shared" ref="K86:K89" si="36">D86-E86-F86-G86-H86-I86-J86</x:f>
        <x:v>0</x:v>
      </x:c>
      <x:c r="L86" s="230">
        <x:v>0</x:v>
      </x:c>
      <x:c r="M86" s="231">
        <x:f>K86-L86</x:f>
        <x:v>0</x:v>
      </x:c>
      <x:c r="N86" s="230">
        <x:f>'AJUSTES - SF-T'!N48</x:f>
        <x:v>0</x:v>
      </x:c>
      <x:c r="O86" s="231">
        <x:f t="shared" ref="O86:O89" si="37">M86+N86</x:f>
        <x:v>0</x:v>
      </x:c>
      <x:c r="Q86" s="242"/>
      <x:c r="S86" s="250">
        <x:v>2</x:v>
      </x:c>
      <x:c r="T86" s="251" t="s">
        <x:v>11</x:v>
      </x:c>
      <x:c r="U86" s="252">
        <x:f>'AJUSTES - SF-T'!U48</x:f>
        <x:v>0</x:v>
      </x:c>
      <x:c r="V86" s="253">
        <x:f>'AJUSTES - SF-T'!V48</x:f>
        <x:v>0</x:v>
      </x:c>
      <x:c r="W86" s="253">
        <x:f>'AJUSTES - SF-T'!W48</x:f>
        <x:v>0</x:v>
      </x:c>
      <x:c r="X86" s="253">
        <x:f>'AJUSTES - SF-T'!X48</x:f>
        <x:v>0</x:v>
      </x:c>
      <x:c r="Y86" s="254">
        <x:f>'AJUSTES - SF-T'!Y48</x:f>
        <x:v>0</x:v>
      </x:c>
      <x:c r="Z86" s="255">
        <x:f>-L86</x:f>
        <x:v>0</x:v>
      </x:c>
      <x:c r="AA86" s="256">
        <x:f>'AJUSTES - SF-T'!AA48</x:f>
        <x:v>0</x:v>
      </x:c>
      <x:c r="AB86" s="230">
        <x:f>N86</x:f>
        <x:v>0</x:v>
      </x:c>
      <x:c r="AC86" s="256">
        <x:v>0</x:v>
      </x:c>
      <x:c r="AD86" s="227">
        <x:f t="shared" ref="AD86:AD88" si="38">-J86+AE86</x:f>
        <x:v>0</x:v>
      </x:c>
      <x:c r="AE86" s="227">
        <x:f>'AJUSTES - SF-T'!AD48</x:f>
        <x:v>0</x:v>
      </x:c>
      <x:c r="AF86" s="258">
        <x:f>SUM(U86:AD86)</x:f>
        <x:v>0</x:v>
      </x:c>
      <x:c r="AG86" s="440">
        <x:f>AF86-O86</x:f>
        <x:v>0</x:v>
      </x:c>
      <x:c r="AH86" s="1" t="b">
        <x:f t="shared" si="35"/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6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7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v>0</x:v>
      </x:c>
      <x:c r="AA87" s="256">
        <x:v>0</x:v>
      </x:c>
      <x:c r="AB87" s="230">
        <x:v>0</x:v>
      </x:c>
      <x:c r="AC87" s="256">
        <x:v>0</x:v>
      </x:c>
      <x:c r="AD87" s="227">
        <x:f t="shared" si="38"/>
        <x:v>0</x:v>
      </x:c>
      <x:c r="AE87" s="227">
        <x:v>0</x:v>
      </x:c>
      <x:c r="AF87" s="258">
        <x:f t="shared" ref="AF87:AF89" si="39">SUM(U87:AD87)</x:f>
        <x:v>0</x:v>
      </x:c>
      <x:c r="AG87" s="440">
        <x:f>AF87-O87</x:f>
        <x:v>0</x:v>
      </x:c>
      <x:c r="AH87" s="1" t="b">
        <x:f t="shared" si="35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f>'AJUSTES - SF-T'!D50</x:f>
        <x:v>0</x:v>
      </x:c>
      <x:c r="E88" s="228">
        <x:f>'AJUSTES - SF-T'!E50</x:f>
        <x:v>0</x:v>
      </x:c>
      <x:c r="F88" s="228">
        <x:f>'AJUSTES - SF-T'!F50</x:f>
        <x:v>0</x:v>
      </x:c>
      <x:c r="G88" s="228">
        <x:f>'AJUSTES - SF-T'!G50</x:f>
        <x:v>0</x:v>
      </x:c>
      <x:c r="H88" s="228">
        <x:f>'AJUSTES - SF-T'!H50</x:f>
        <x:v>0</x:v>
      </x:c>
      <x:c r="I88" s="228">
        <x:f>'AJUSTES - SF-T'!I50</x:f>
        <x:v>0</x:v>
      </x:c>
      <x:c r="J88" s="224">
        <x:f>'AJUSTES - SF-T'!J50</x:f>
        <x:v>0</x:v>
      </x:c>
      <x:c r="K88" s="231">
        <x:f t="shared" si="36"/>
        <x:v>0</x:v>
      </x:c>
      <x:c r="L88" s="230">
        <x:v>0</x:v>
      </x:c>
      <x:c r="M88" s="231">
        <x:f>K88-L88</x:f>
        <x:v>0</x:v>
      </x:c>
      <x:c r="N88" s="230">
        <x:f>'AJUSTES - SF-T'!N50</x:f>
        <x:v>0</x:v>
      </x:c>
      <x:c r="O88" s="231">
        <x:f t="shared" si="37"/>
        <x:v>0</x:v>
      </x:c>
      <x:c r="Q88" s="242"/>
      <x:c r="S88" s="250">
        <x:v>4</x:v>
      </x:c>
      <x:c r="T88" s="251" t="s">
        <x:v>13</x:v>
      </x:c>
      <x:c r="U88" s="252">
        <x:f>'AJUSTES - SF-T'!U50</x:f>
        <x:v>0</x:v>
      </x:c>
      <x:c r="V88" s="253">
        <x:f>'AJUSTES - SF-T'!V50</x:f>
        <x:v>0</x:v>
      </x:c>
      <x:c r="W88" s="253">
        <x:f>'AJUSTES - SF-T'!W50</x:f>
        <x:v>0</x:v>
      </x:c>
      <x:c r="X88" s="253">
        <x:f>'AJUSTES - SF-T'!X50</x:f>
        <x:v>0</x:v>
      </x:c>
      <x:c r="Y88" s="254">
        <x:f>'AJUSTES - SF-T'!Y50</x:f>
        <x:v>0</x:v>
      </x:c>
      <x:c r="Z88" s="255">
        <x:f>-L88</x:f>
        <x:v>0</x:v>
      </x:c>
      <x:c r="AA88" s="256">
        <x:f>'AJUSTES - SF-T'!AA50</x:f>
        <x:v>0</x:v>
      </x:c>
      <x:c r="AB88" s="230">
        <x:f>N88</x:f>
        <x:v>0</x:v>
      </x:c>
      <x:c r="AC88" s="256">
        <x:v>0</x:v>
      </x:c>
      <x:c r="AD88" s="227">
        <x:f t="shared" si="38"/>
        <x:v>0</x:v>
      </x:c>
      <x:c r="AE88" s="227">
        <x:f>'AJUSTES - SF-T'!AD50</x:f>
        <x:v>0</x:v>
      </x:c>
      <x:c r="AF88" s="258">
        <x:f t="shared" si="39"/>
        <x:v>0</x:v>
      </x:c>
      <x:c r="AG88" s="440">
        <x:f>AF88-O88</x:f>
        <x:v>0</x:v>
      </x:c>
      <x:c r="AH88" s="1" t="b">
        <x:f t="shared" si="35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6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7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v>0</x:v>
      </x:c>
      <x:c r="AA89" s="256">
        <x:v>0</x:v>
      </x:c>
      <x:c r="AB89" s="230">
        <x:v>0</x:v>
      </x:c>
      <x:c r="AC89" s="256">
        <x:v>0</x:v>
      </x:c>
      <x:c r="AD89" s="227">
        <x:v>0</x:v>
      </x:c>
      <x:c r="AE89" s="227">
        <x:v>0</x:v>
      </x:c>
      <x:c r="AF89" s="258">
        <x:f t="shared" si="39"/>
        <x:v>0</x:v>
      </x:c>
      <x:c r="AG89" s="441">
        <x:f>AF89-O89</x:f>
        <x:v>0</x:v>
      </x:c>
      <x:c r="AH89" s="1" t="b">
        <x:f t="shared" si="35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40">SUM(D85:D89)</x:f>
        <x:v>0</x:v>
      </x:c>
      <x:c r="E90" s="226">
        <x:f t="shared" si="40"/>
        <x:v>0</x:v>
      </x:c>
      <x:c r="F90" s="226">
        <x:f t="shared" si="40"/>
        <x:v>0</x:v>
      </x:c>
      <x:c r="G90" s="226">
        <x:f t="shared" si="40"/>
        <x:v>0</x:v>
      </x:c>
      <x:c r="H90" s="226">
        <x:f t="shared" si="40"/>
        <x:v>0</x:v>
      </x:c>
      <x:c r="I90" s="226">
        <x:f t="shared" si="40"/>
        <x:v>0</x:v>
      </x:c>
      <x:c r="J90" s="226">
        <x:f t="shared" si="40"/>
        <x:v>0</x:v>
      </x:c>
      <x:c r="K90" s="236">
        <x:f t="shared" si="40"/>
        <x:v>0</x:v>
      </x:c>
      <x:c r="L90" s="237">
        <x:f t="shared" si="40"/>
        <x:v>0</x:v>
      </x:c>
      <x:c r="M90" s="238">
        <x:f t="shared" si="40"/>
        <x:v>0</x:v>
      </x:c>
      <x:c r="N90" s="237">
        <x:f t="shared" si="40"/>
        <x:v>0</x:v>
      </x:c>
      <x:c r="O90" s="238">
        <x:f t="shared" si="40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1">SUM(V85:V89)</x:f>
        <x:v>0</x:v>
      </x:c>
      <x:c r="W90" s="266">
        <x:f t="shared" si="41"/>
        <x:v>0</x:v>
      </x:c>
      <x:c r="X90" s="266">
        <x:f t="shared" si="41"/>
        <x:v>0</x:v>
      </x:c>
      <x:c r="Y90" s="266">
        <x:f t="shared" si="41"/>
        <x:v>0</x:v>
      </x:c>
      <x:c r="Z90" s="226">
        <x:f t="shared" si="41"/>
        <x:v>0</x:v>
      </x:c>
      <x:c r="AA90" s="226">
        <x:f t="shared" si="41"/>
        <x:v>0</x:v>
      </x:c>
      <x:c r="AB90" s="226">
        <x:f t="shared" si="41"/>
        <x:v>0</x:v>
      </x:c>
      <x:c r="AC90" s="226">
        <x:f t="shared" ref="AC90" si="42">SUM(AC85:AC89)</x:f>
        <x:v>0</x:v>
      </x:c>
      <x:c r="AD90" s="226">
        <x:f t="shared" si="41"/>
        <x:v>0</x:v>
      </x:c>
      <x:c r="AE90" s="226">
        <x:f t="shared" si="41"/>
        <x:v>0</x:v>
      </x:c>
      <x:c r="AF90" s="267">
        <x:f t="shared" si="41"/>
        <x:v>0</x:v>
      </x:c>
      <x:c r="AG90" s="442">
        <x:f t="shared" si="41"/>
        <x:v>0</x:v>
      </x:c>
      <x:c r="AH90" s="1" t="b">
        <x:f t="shared" si="35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214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09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3">D9+D28+D47+D66+D85</x:f>
        <x:v>0</x:v>
      </x:c>
      <x:c r="E104" s="228">
        <x:f t="shared" si="43"/>
        <x:v>0</x:v>
      </x:c>
      <x:c r="F104" s="228">
        <x:f t="shared" si="43"/>
        <x:v>0</x:v>
      </x:c>
      <x:c r="G104" s="228">
        <x:f t="shared" si="43"/>
        <x:v>0</x:v>
      </x:c>
      <x:c r="H104" s="228">
        <x:f t="shared" si="43"/>
        <x:v>0</x:v>
      </x:c>
      <x:c r="I104" s="228">
        <x:f t="shared" si="43"/>
        <x:v>0</x:v>
      </x:c>
      <x:c r="J104" s="224">
        <x:f t="shared" si="43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C108" si="44">U9+U28+U47+U66+U85</x:f>
        <x:v>0</x:v>
      </x:c>
      <x:c r="V104" s="244">
        <x:f t="shared" si="44"/>
        <x:v>0</x:v>
      </x:c>
      <x:c r="W104" s="244">
        <x:f t="shared" si="44"/>
        <x:v>0</x:v>
      </x:c>
      <x:c r="X104" s="244">
        <x:f t="shared" si="44"/>
        <x:v>0</x:v>
      </x:c>
      <x:c r="Y104" s="245">
        <x:f t="shared" si="44"/>
        <x:v>0</x:v>
      </x:c>
      <x:c r="Z104" s="246">
        <x:f t="shared" si="44"/>
        <x:v>0</x:v>
      </x:c>
      <x:c r="AA104" s="247">
        <x:f t="shared" si="44"/>
        <x:v>0</x:v>
      </x:c>
      <x:c r="AB104" s="230">
        <x:f t="shared" si="44"/>
        <x:v>0</x:v>
      </x:c>
      <x:c r="AC104" s="247">
        <x:f t="shared" si="44"/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439">
        <x:f>AF104-O104</x:f>
        <x:v>0</x:v>
      </x:c>
      <x:c r="AH104" s="1" t="b">
        <x:f t="shared" ref="AH104:AH109" si="45"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3"/>
        <x:v>0</x:v>
      </x:c>
      <x:c r="E105" s="228">
        <x:f t="shared" si="43"/>
        <x:v>0</x:v>
      </x:c>
      <x:c r="F105" s="228">
        <x:f t="shared" si="43"/>
        <x:v>0</x:v>
      </x:c>
      <x:c r="G105" s="228">
        <x:f t="shared" si="43"/>
        <x:v>0</x:v>
      </x:c>
      <x:c r="H105" s="228">
        <x:f t="shared" si="43"/>
        <x:v>0</x:v>
      </x:c>
      <x:c r="I105" s="228">
        <x:f t="shared" si="43"/>
        <x:v>0</x:v>
      </x:c>
      <x:c r="J105" s="224">
        <x:f t="shared" si="43"/>
        <x:v>0</x:v>
      </x:c>
      <x:c r="K105" s="231">
        <x:f t="shared" ref="K105:K108" si="46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7">M105+N105</x:f>
        <x:v>0</x:v>
      </x:c>
      <x:c r="Q105" s="242"/>
      <x:c r="S105" s="250">
        <x:v>2</x:v>
      </x:c>
      <x:c r="T105" s="251" t="s">
        <x:v>11</x:v>
      </x:c>
      <x:c r="U105" s="252">
        <x:f t="shared" si="44"/>
        <x:v>0</x:v>
      </x:c>
      <x:c r="V105" s="253">
        <x:f t="shared" si="44"/>
        <x:v>0</x:v>
      </x:c>
      <x:c r="W105" s="253">
        <x:f t="shared" si="44"/>
        <x:v>0</x:v>
      </x:c>
      <x:c r="X105" s="253">
        <x:f t="shared" si="44"/>
        <x:v>0</x:v>
      </x:c>
      <x:c r="Y105" s="254">
        <x:f t="shared" si="44"/>
        <x:v>0</x:v>
      </x:c>
      <x:c r="Z105" s="255">
        <x:f t="shared" si="44"/>
        <x:v>0</x:v>
      </x:c>
      <x:c r="AA105" s="256">
        <x:f t="shared" si="44"/>
        <x:v>0</x:v>
      </x:c>
      <x:c r="AB105" s="230">
        <x:f t="shared" si="44"/>
        <x:v>0</x:v>
      </x:c>
      <x:c r="AC105" s="256">
        <x:f t="shared" si="44"/>
        <x:v>0</x:v>
      </x:c>
      <x:c r="AD105" s="227">
        <x:f t="shared" ref="AD105:AD107" si="48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440">
        <x:f>AF105-O105</x:f>
        <x:v>0</x:v>
      </x:c>
      <x:c r="AH105" s="1" t="b">
        <x:f t="shared" si="45"/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3"/>
        <x:v>0</x:v>
      </x:c>
      <x:c r="E106" s="228">
        <x:f t="shared" si="43"/>
        <x:v>0</x:v>
      </x:c>
      <x:c r="F106" s="228">
        <x:f t="shared" si="43"/>
        <x:v>0</x:v>
      </x:c>
      <x:c r="G106" s="228">
        <x:f t="shared" si="43"/>
        <x:v>0</x:v>
      </x:c>
      <x:c r="H106" s="228">
        <x:f t="shared" si="43"/>
        <x:v>0</x:v>
      </x:c>
      <x:c r="I106" s="228">
        <x:f t="shared" si="43"/>
        <x:v>0</x:v>
      </x:c>
      <x:c r="J106" s="224">
        <x:f t="shared" si="43"/>
        <x:v>0</x:v>
      </x:c>
      <x:c r="K106" s="231">
        <x:f t="shared" si="46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7"/>
        <x:v>0</x:v>
      </x:c>
      <x:c r="Q106" s="242"/>
      <x:c r="S106" s="250">
        <x:v>3</x:v>
      </x:c>
      <x:c r="T106" s="251" t="s">
        <x:v>12</x:v>
      </x:c>
      <x:c r="U106" s="252">
        <x:f t="shared" si="44"/>
        <x:v>0</x:v>
      </x:c>
      <x:c r="V106" s="253">
        <x:f t="shared" si="44"/>
        <x:v>0</x:v>
      </x:c>
      <x:c r="W106" s="253">
        <x:f t="shared" si="44"/>
        <x:v>0</x:v>
      </x:c>
      <x:c r="X106" s="253">
        <x:f t="shared" si="44"/>
        <x:v>0</x:v>
      </x:c>
      <x:c r="Y106" s="254">
        <x:f t="shared" si="44"/>
        <x:v>0</x:v>
      </x:c>
      <x:c r="Z106" s="255">
        <x:f t="shared" si="44"/>
        <x:v>0</x:v>
      </x:c>
      <x:c r="AA106" s="256">
        <x:f t="shared" si="44"/>
        <x:v>0</x:v>
      </x:c>
      <x:c r="AB106" s="230">
        <x:f t="shared" si="44"/>
        <x:v>0</x:v>
      </x:c>
      <x:c r="AC106" s="256">
        <x:f t="shared" si="44"/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0</x:v>
      </x:c>
      <x:c r="AG106" s="440">
        <x:f>AF106-O106</x:f>
        <x:v>0</x:v>
      </x:c>
      <x:c r="AH106" s="1" t="b">
        <x:f t="shared" si="45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3"/>
        <x:v>0</x:v>
      </x:c>
      <x:c r="E107" s="228">
        <x:f t="shared" si="43"/>
        <x:v>0</x:v>
      </x:c>
      <x:c r="F107" s="228">
        <x:f t="shared" si="43"/>
        <x:v>0</x:v>
      </x:c>
      <x:c r="G107" s="228">
        <x:f t="shared" si="43"/>
        <x:v>0</x:v>
      </x:c>
      <x:c r="H107" s="228">
        <x:f t="shared" si="43"/>
        <x:v>0</x:v>
      </x:c>
      <x:c r="I107" s="228">
        <x:f t="shared" si="43"/>
        <x:v>0</x:v>
      </x:c>
      <x:c r="J107" s="224">
        <x:f t="shared" si="43"/>
        <x:v>0</x:v>
      </x:c>
      <x:c r="K107" s="231">
        <x:f t="shared" si="46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7"/>
        <x:v>0</x:v>
      </x:c>
      <x:c r="Q107" s="242"/>
      <x:c r="S107" s="250">
        <x:v>4</x:v>
      </x:c>
      <x:c r="T107" s="251" t="s">
        <x:v>13</x:v>
      </x:c>
      <x:c r="U107" s="252">
        <x:f t="shared" si="44"/>
        <x:v>0</x:v>
      </x:c>
      <x:c r="V107" s="253">
        <x:f t="shared" si="44"/>
        <x:v>0</x:v>
      </x:c>
      <x:c r="W107" s="253">
        <x:f t="shared" si="44"/>
        <x:v>0</x:v>
      </x:c>
      <x:c r="X107" s="253">
        <x:f t="shared" si="44"/>
        <x:v>0</x:v>
      </x:c>
      <x:c r="Y107" s="254">
        <x:f t="shared" si="44"/>
        <x:v>0</x:v>
      </x:c>
      <x:c r="Z107" s="255">
        <x:f t="shared" si="44"/>
        <x:v>0</x:v>
      </x:c>
      <x:c r="AA107" s="256">
        <x:f t="shared" si="44"/>
        <x:v>0</x:v>
      </x:c>
      <x:c r="AB107" s="230">
        <x:f t="shared" si="44"/>
        <x:v>0</x:v>
      </x:c>
      <x:c r="AC107" s="256">
        <x:f t="shared" si="44"/>
        <x:v>0</x:v>
      </x:c>
      <x:c r="AD107" s="227">
        <x:f t="shared" si="48"/>
        <x:v>0</x:v>
      </x:c>
      <x:c r="AE107" s="227">
        <x:f>AE12+AE31+AE50+AE69+AE88</x:f>
        <x:v>0</x:v>
      </x:c>
      <x:c r="AF107" s="258">
        <x:f>SUM(U107:AD107)</x:f>
        <x:v>0</x:v>
      </x:c>
      <x:c r="AG107" s="440">
        <x:f>AF107-O107</x:f>
        <x:v>0</x:v>
      </x:c>
      <x:c r="AH107" s="1" t="b">
        <x:f t="shared" si="45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3"/>
        <x:v>0</x:v>
      </x:c>
      <x:c r="F108" s="233">
        <x:f t="shared" si="43"/>
        <x:v>0</x:v>
      </x:c>
      <x:c r="G108" s="233">
        <x:f t="shared" si="43"/>
        <x:v>0</x:v>
      </x:c>
      <x:c r="H108" s="233">
        <x:f t="shared" si="43"/>
        <x:v>0</x:v>
      </x:c>
      <x:c r="I108" s="233">
        <x:f t="shared" si="43"/>
        <x:v>0</x:v>
      </x:c>
      <x:c r="J108" s="225">
        <x:f t="shared" si="43"/>
        <x:v>0</x:v>
      </x:c>
      <x:c r="K108" s="231">
        <x:f t="shared" si="46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7"/>
        <x:v>0</x:v>
      </x:c>
      <x:c r="Q108" s="242"/>
      <x:c r="S108" s="260">
        <x:v>5</x:v>
      </x:c>
      <x:c r="T108" s="261" t="s">
        <x:v>14</x:v>
      </x:c>
      <x:c r="U108" s="232">
        <x:f t="shared" si="44"/>
        <x:v>0</x:v>
      </x:c>
      <x:c r="V108" s="233">
        <x:f t="shared" si="44"/>
        <x:v>0</x:v>
      </x:c>
      <x:c r="W108" s="233">
        <x:f t="shared" si="44"/>
        <x:v>0</x:v>
      </x:c>
      <x:c r="X108" s="233">
        <x:f t="shared" si="44"/>
        <x:v>0</x:v>
      </x:c>
      <x:c r="Y108" s="225">
        <x:f t="shared" si="44"/>
        <x:v>0</x:v>
      </x:c>
      <x:c r="Z108" s="255">
        <x:f t="shared" si="44"/>
        <x:v>0</x:v>
      </x:c>
      <x:c r="AA108" s="256">
        <x:f t="shared" si="44"/>
        <x:v>0</x:v>
      </x:c>
      <x:c r="AB108" s="230">
        <x:f t="shared" si="44"/>
        <x:v>0</x:v>
      </x:c>
      <x:c r="AC108" s="256">
        <x:f t="shared" si="44"/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441">
        <x:f>AF108-O108</x:f>
        <x:v>0</x:v>
      </x:c>
      <x:c r="AH108" s="1" t="b">
        <x:f t="shared" si="45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49">SUM(D104:D108)</x:f>
        <x:v>0</x:v>
      </x:c>
      <x:c r="E109" s="226">
        <x:f t="shared" si="49"/>
        <x:v>0</x:v>
      </x:c>
      <x:c r="F109" s="226">
        <x:f t="shared" si="49"/>
        <x:v>0</x:v>
      </x:c>
      <x:c r="G109" s="226">
        <x:f t="shared" si="49"/>
        <x:v>0</x:v>
      </x:c>
      <x:c r="H109" s="226">
        <x:f t="shared" si="49"/>
        <x:v>0</x:v>
      </x:c>
      <x:c r="I109" s="226">
        <x:f t="shared" si="49"/>
        <x:v>0</x:v>
      </x:c>
      <x:c r="J109" s="226">
        <x:f t="shared" si="49"/>
        <x:v>0</x:v>
      </x:c>
      <x:c r="K109" s="236">
        <x:f t="shared" si="49"/>
        <x:v>0</x:v>
      </x:c>
      <x:c r="L109" s="237">
        <x:f t="shared" si="49"/>
        <x:v>0</x:v>
      </x:c>
      <x:c r="M109" s="238">
        <x:f t="shared" si="49"/>
        <x:v>0</x:v>
      </x:c>
      <x:c r="N109" s="237">
        <x:f t="shared" si="49"/>
        <x:v>0</x:v>
      </x:c>
      <x:c r="O109" s="238">
        <x:f t="shared" si="49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0">SUM(V104:V108)</x:f>
        <x:v>0</x:v>
      </x:c>
      <x:c r="W109" s="266">
        <x:f t="shared" si="50"/>
        <x:v>0</x:v>
      </x:c>
      <x:c r="X109" s="266">
        <x:f t="shared" si="50"/>
        <x:v>0</x:v>
      </x:c>
      <x:c r="Y109" s="266">
        <x:f t="shared" si="50"/>
        <x:v>0</x:v>
      </x:c>
      <x:c r="Z109" s="226">
        <x:f t="shared" si="50"/>
        <x:v>0</x:v>
      </x:c>
      <x:c r="AA109" s="226">
        <x:f t="shared" si="50"/>
        <x:v>0</x:v>
      </x:c>
      <x:c r="AB109" s="226">
        <x:f t="shared" si="50"/>
        <x:v>0</x:v>
      </x:c>
      <x:c r="AC109" s="226">
        <x:f t="shared" si="50"/>
        <x:v>0</x:v>
      </x:c>
      <x:c r="AD109" s="226">
        <x:f t="shared" si="50"/>
        <x:v>0</x:v>
      </x:c>
      <x:c r="AE109" s="226">
        <x:f>SUM(AE104:AE108)</x:f>
        <x:v>0</x:v>
      </x:c>
      <x:c r="AF109" s="267">
        <x:f t="shared" si="50"/>
        <x:v>0</x:v>
      </x:c>
      <x:c r="AG109" s="442">
        <x:f>SUM(AG104:AG108)</x:f>
        <x:v>0</x:v>
      </x:c>
      <x:c r="AH109" s="1" t="b">
        <x:f t="shared" si="45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06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1">
        <x:v>1</x:v>
      </x:c>
      <x:c r="C125" s="102" t="s">
        <x:v>10</x:v>
      </x:c>
      <x:c r="D125" s="103">
        <x:f>'ANTICIPOS USUARIOS'!F3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USUARIOS'!F12</x:f>
        <x:v>0</x:v>
      </x:c>
      <x:c r="L125" s="245">
        <x:f>-'ANTICIPOS USUARIOS'!F21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1">D67+N67</x:f>
        <x:v>0</x:v>
      </x:c>
      <x:c r="K126" s="224">
        <x:f>'ANTICIPOS USUARIOS'!F13</x:f>
        <x:v>0</x:v>
      </x:c>
      <x:c r="L126" s="224">
        <x:f>-'ANTICIPOS USUARIOS'!F22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1"/>
        <x:v>0</x:v>
      </x:c>
      <x:c r="K127" s="224">
        <x:f>'ANTICIPOS USUARIOS'!F14</x:f>
        <x:v>0</x:v>
      </x:c>
      <x:c r="L127" s="224">
        <x:f>-'ANTICIPOS USUARIOS'!F23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1"/>
        <x:v>0</x:v>
      </x:c>
      <x:c r="K128" s="224">
        <x:f>'ANTICIPOS USUARIOS'!F15</x:f>
        <x:v>0</x:v>
      </x:c>
      <x:c r="L128" s="224">
        <x:f>-'ANTICIPOS USUARIOS'!F24</x:f>
        <x:v>0</x:v>
      </x:c>
      <x:c r="O128" s="44"/>
      <x:c r="Q128" s="4"/>
    </x:row>
    <x:row r="129" spans="1:18" x14ac:dyDescent="0.2">
      <x:c r="B129" s="122">
        <x:v>5</x:v>
      </x:c>
      <x:c r="C129" s="127" t="s">
        <x:v>14</x:v>
      </x:c>
      <x:c r="D129" s="15">
        <x:f>'ANTICIPOS USUARIOS'!F7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1"/>
        <x:v>0</x:v>
      </x:c>
      <x:c r="K129" s="224">
        <x:f>'ANTICIPOS USUARIOS'!F16</x:f>
        <x:v>0</x:v>
      </x:c>
      <x:c r="L129" s="224">
        <x:f>-'ANTICIPOS USUARIOS'!F25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75" thickBot="1" x14ac:dyDescent="0.25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52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EAAB Reciprocidad'!F21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v>0</x:v>
      </x:c>
      <x:c r="J142" s="103">
        <x:f t="shared" ref="J142:K146" si="53">G125</x:f>
        <x:v>0</x:v>
      </x:c>
      <x:c r="K142" s="104">
        <x:f t="shared" si="53"/>
        <x:v>0</x:v>
      </x:c>
      <x:c r="L142" s="510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10">
        <x:f>D143-E143-F143-G143-J143-H143-I143</x:f>
        <x:v>0</x:v>
      </x:c>
      <x:c r="M143" s="1" t="b">
        <x:f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10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10">
        <x:f>D145-E145-F145-G145-J145-H145-I145</x:f>
        <x:v>0</x:v>
      </x:c>
      <x:c r="M145" s="1" t="b">
        <x:f t="shared" si="54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EAAB Reciprocidad'!F25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v>0</x:v>
      </x:c>
      <x:c r="J146" s="123">
        <x:f t="shared" si="53"/>
        <x:v>0</x:v>
      </x:c>
      <x:c r="K146" s="125">
        <x:f t="shared" si="53"/>
        <x:v>0</x:v>
      </x:c>
      <x:c r="L146" s="510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10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x14ac:dyDescent="0.2">
      <x:c r="B148" s="2"/>
      <x:c r="H148" s="55"/>
      <x:c r="L148" s="466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L16" sqref="L16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EAAB Reciprocidad'!F21</x:f>
        <x:v>0</x:v>
      </x:c>
      <x:c r="D3" s="228">
        <x:f>'REMUNERACION Reciprocidad EAAB'!G125</x:f>
        <x:v>0</x:v>
      </x:c>
      <x:c r="E3" s="228">
        <x:f>'REMUNERACION Reciprocidad EAAB'!D28+'REMUNERACION Reciprocidad EAAB'!N28</x:f>
        <x:v>0</x:v>
      </x:c>
      <x:c r="F3" s="228">
        <x:f>'REMUNERACION Reciprocidad EAAB'!I142</x:f>
        <x:v>0</x:v>
      </x:c>
      <x:c r="G3" s="228">
        <x:f>'REMUNERACION Reciprocidad EAAB'!H142</x:f>
        <x:v>0</x:v>
      </x:c>
      <x:c r="H3" s="276">
        <x:f>SUM(C3:G3)</x:f>
        <x:v>0</x:v>
      </x:c>
      <x:c r="I3" s="227">
        <x:f>'REMUNERACION Reciprocidad EAAB'!D104</x:f>
        <x:v>0</x:v>
      </x:c>
      <x:c r="J3" s="228">
        <x:f>'REMUNERACION Reciprocidad EAAB'!N104</x:f>
        <x:v>0</x:v>
      </x:c>
      <x:c r="K3" s="228">
        <x:f>'REMUNERACION Reciprocidad EAAB'!D125</x:f>
        <x:v>0</x:v>
      </x:c>
      <x:c r="L3" s="289">
        <x:f>'REMUNERACION Reciprocidad EAAB'!E125</x:f>
        <x:v>0</x:v>
      </x:c>
      <x:c r="M3" s="228">
        <x:f>-'REMUNERACION Reciprocidad EAAB'!D66-'REMUNERACION Reciprocidad EAAB'!N66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EAAB Reciprocidad'!F22</x:f>
        <x:v>0</x:v>
      </x:c>
      <x:c r="D4" s="228">
        <x:f>'REMUNERACION Reciprocidad EAAB'!G126</x:f>
        <x:v>0</x:v>
      </x:c>
      <x:c r="E4" s="228">
        <x:f>'REMUNERACION Reciprocidad EAAB'!D29+'REMUNERACION Reciprocidad EAAB'!N29</x:f>
        <x:v>0</x:v>
      </x:c>
      <x:c r="F4" s="228">
        <x:f>'REMUNERACION Reciprocidad EAAB'!I143</x:f>
        <x:v>0</x:v>
      </x:c>
      <x:c r="G4" s="228">
        <x:f>'REMUNERACION Reciprocidad EAAB'!H143</x:f>
        <x:v>0</x:v>
      </x:c>
      <x:c r="H4" s="276">
        <x:f t="shared" ref="H4:H8" si="1">SUM(C4:G4)</x:f>
        <x:v>0</x:v>
      </x:c>
      <x:c r="I4" s="227">
        <x:f>'REMUNERACION Reciprocidad EAAB'!D105</x:f>
        <x:v>0</x:v>
      </x:c>
      <x:c r="J4" s="228">
        <x:f>'REMUNERACION Reciprocidad EAAB'!N105</x:f>
        <x:v>0</x:v>
      </x:c>
      <x:c r="K4" s="228">
        <x:f>'REMUNERACION Reciprocidad EAAB'!D126</x:f>
        <x:v>0</x:v>
      </x:c>
      <x:c r="L4" s="289">
        <x:f>'REMUNERACION Reciprocidad EAAB'!E126</x:f>
        <x:v>0</x:v>
      </x:c>
      <x:c r="M4" s="228">
        <x:f>-'REMUNERACION Reciprocidad EAAB'!D67-'REMUNERACION Reciprocidad EAAB'!N67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EAAB Reciprocidad'!D23</x:f>
        <x:v>0</x:v>
      </x:c>
      <x:c r="D5" s="228">
        <x:f>'REMUNERACION Reciprocidad EAAB'!G127</x:f>
        <x:v>0</x:v>
      </x:c>
      <x:c r="E5" s="228">
        <x:f>'REMUNERACION Reciprocidad EAAB'!D30+'REMUNERACION Reciprocidad EAAB'!N30</x:f>
        <x:v>0</x:v>
      </x:c>
      <x:c r="F5" s="228">
        <x:f>'REMUNERACION Reciprocidad EAAB'!I144</x:f>
        <x:v>0</x:v>
      </x:c>
      <x:c r="G5" s="228">
        <x:f>'REMUNERACION Reciprocidad EAAB'!H144</x:f>
        <x:v>0</x:v>
      </x:c>
      <x:c r="H5" s="276">
        <x:f t="shared" si="1"/>
        <x:v>0</x:v>
      </x:c>
      <x:c r="I5" s="227">
        <x:f>'REMUNERACION Reciprocidad EAAB'!D106</x:f>
        <x:v>0</x:v>
      </x:c>
      <x:c r="J5" s="228">
        <x:f>'REMUNERACION Reciprocidad EAAB'!N106</x:f>
        <x:v>0</x:v>
      </x:c>
      <x:c r="K5" s="228">
        <x:f>'REMUNERACION Reciprocidad EAAB'!D127</x:f>
        <x:v>0</x:v>
      </x:c>
      <x:c r="L5" s="289">
        <x:f>'REMUNERACION Reciprocidad EAAB'!E127</x:f>
        <x:v>0</x:v>
      </x:c>
      <x:c r="M5" s="228">
        <x:f>-'REMUNERACION Reciprocidad EAAB'!D68-'REMUNERACION Reciprocidad EAAB'!N68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EAAB Reciprocidad'!F24</x:f>
        <x:v>0</x:v>
      </x:c>
      <x:c r="D6" s="228">
        <x:f>'REMUNERACION Reciprocidad EAAB'!G128</x:f>
        <x:v>0</x:v>
      </x:c>
      <x:c r="E6" s="228">
        <x:f>'REMUNERACION Reciprocidad EAAB'!D31+'REMUNERACION Reciprocidad EAAB'!N31</x:f>
        <x:v>0</x:v>
      </x:c>
      <x:c r="F6" s="228">
        <x:f>'REMUNERACION Reciprocidad EAAB'!I145</x:f>
        <x:v>0</x:v>
      </x:c>
      <x:c r="G6" s="228">
        <x:f>'REMUNERACION Reciprocidad EAAB'!H145</x:f>
        <x:v>0</x:v>
      </x:c>
      <x:c r="H6" s="276">
        <x:f t="shared" si="1"/>
        <x:v>0</x:v>
      </x:c>
      <x:c r="I6" s="227">
        <x:f>'REMUNERACION Reciprocidad EAAB'!D107</x:f>
        <x:v>0</x:v>
      </x:c>
      <x:c r="J6" s="228">
        <x:f>'REMUNERACION Reciprocidad EAAB'!N107</x:f>
        <x:v>0</x:v>
      </x:c>
      <x:c r="K6" s="228">
        <x:f>'REMUNERACION Reciprocidad EAAB'!D128</x:f>
        <x:v>0</x:v>
      </x:c>
      <x:c r="L6" s="289">
        <x:f>'REMUNERACION Reciprocidad EAAB'!E128</x:f>
        <x:v>0</x:v>
      </x:c>
      <x:c r="M6" s="228">
        <x:f>-'REMUNERACION Reciprocidad EAAB'!D69-'REMUNERACION Reciprocidad EAAB'!N69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EAAB Reciprocidad'!D25</x:f>
        <x:v>0</x:v>
      </x:c>
      <x:c r="D7" s="228">
        <x:f>'REMUNERACION Reciprocidad EAAB'!G129</x:f>
        <x:v>0</x:v>
      </x:c>
      <x:c r="E7" s="228">
        <x:f>'REMUNERACION Reciprocidad EAAB'!D32+'REMUNERACION Reciprocidad EAAB'!N32</x:f>
        <x:v>0</x:v>
      </x:c>
      <x:c r="F7" s="228">
        <x:f>'REMUNERACION Reciprocidad EAAB'!I146</x:f>
        <x:v>0</x:v>
      </x:c>
      <x:c r="G7" s="228">
        <x:f>'REMUNERACION Reciprocidad EAAB'!H146</x:f>
        <x:v>0</x:v>
      </x:c>
      <x:c r="H7" s="276">
        <x:f t="shared" si="1"/>
        <x:v>0</x:v>
      </x:c>
      <x:c r="I7" s="227">
        <x:f>'REMUNERACION Reciprocidad EAAB'!D108</x:f>
        <x:v>0</x:v>
      </x:c>
      <x:c r="J7" s="228">
        <x:f>'REMUNERACION Reciprocidad EAAB'!N108</x:f>
        <x:v>0</x:v>
      </x:c>
      <x:c r="K7" s="228">
        <x:f>'REMUNERACION Reciprocidad EAAB'!D129</x:f>
        <x:v>0</x:v>
      </x:c>
      <x:c r="L7" s="289">
        <x:f>'REMUNERACION Reciprocidad EAAB'!E129</x:f>
        <x:v>0</x:v>
      </x:c>
      <x:c r="M7" s="228">
        <x:f>-'REMUNERACION Reciprocidad EAAB'!D70-'REMUNERACION Reciprocidad EAAB'!N70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EAAB Reciprocidad'!F26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'REMUNERACION Reciprocidad EAAB'!E130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>SUM(E3:E8)</x:f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Recaudo'!D9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9.710937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'REMUNERACION Reciprocidad EAAB'!D101</x:f>
        <x:v>46238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'REMUNERACION Reciprocidad EAAB'!D102</x:f>
        <x:v>0.58333333333333337</x:v>
      </x:c>
      <x:c r="F7" s="2" t="s">
        <x:v>27</x:v>
      </x:c>
      <x:c r="G7" s="9">
        <x:f>'REMUNERACION Reciprocidad EAAB'!G102</x:f>
        <x:v>46219</x:v>
      </x:c>
      <x:c r="J7" s="2" t="s">
        <x:v>28</x:v>
      </x:c>
      <x:c r="K7" s="9">
        <x:f>'REMUNERACION Reciprocidad EAAB'!K102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 Reciprocidad EAAB'!G122</x:f>
        <x:v>46219</x:v>
      </x:c>
      <x:c r="J27" s="2" t="s">
        <x:v>28</x:v>
      </x:c>
      <x:c r="K27" s="9">
        <x:f>'REMUNERACION Reciprocidad EAAB'!K122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06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'REMUNERACION Reciprocidad EAAB'!D125</x:f>
        <x:v>0</x:v>
      </x:c>
      <x:c r="E30" s="104">
        <x:f>'REMUNERACION Reciprocidad EAAB'!E125</x:f>
        <x:v>0</x:v>
      </x:c>
      <x:c r="G30" s="272">
        <x:f>'REMUNERACION Reciprocidad EAAB'!G125</x:f>
        <x:v>0</x:v>
      </x:c>
      <x:c r="H30" s="246">
        <x:f>'REMUNERACION Reciprocidad EAAB'!H125</x:f>
        <x:v>0</x:v>
      </x:c>
      <x:c r="I30" s="245">
        <x:f>'REMUNERACION Reciprocidad EAAB'!I125</x:f>
        <x:v>0</x:v>
      </x:c>
      <x:c r="J30" s="245">
        <x:f>'REMUNERACION Reciprocidad EAAB'!J125</x:f>
        <x:v>0</x:v>
      </x:c>
      <x:c r="K30" s="245">
        <x:f>'REMUNERACION Reciprocidad EAAB'!K125</x:f>
        <x:v>0</x:v>
      </x:c>
      <x:c r="L30" s="245">
        <x:f>'REMUNERACION Reciprocidad EAAB'!L125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275">
        <x:f>'REMUNERACION Reciprocidad EAAB'!G126</x:f>
        <x:v>0</x:v>
      </x:c>
      <x:c r="H31" s="276">
        <x:f>'REMUNERACION Reciprocidad EAAB'!H126</x:f>
        <x:v>0</x:v>
      </x:c>
      <x:c r="I31" s="224">
        <x:f>'REMUNERACION Reciprocidad EAAB'!I126</x:f>
        <x:v>0</x:v>
      </x:c>
      <x:c r="J31" s="224">
        <x:f>'REMUNERACION Reciprocidad EAAB'!J126</x:f>
        <x:v>0</x:v>
      </x:c>
      <x:c r="K31" s="224">
        <x:f>'REMUNERACION Reciprocidad EAAB'!K126</x:f>
        <x:v>0</x:v>
      </x:c>
      <x:c r="L31" s="224">
        <x:f>'REMUNERACION Reciprocidad EAAB'!L126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275">
        <x:f>'REMUNERACION Reciprocidad EAAB'!G127</x:f>
        <x:v>0</x:v>
      </x:c>
      <x:c r="H32" s="276">
        <x:f>'REMUNERACION Reciprocidad EAAB'!H127</x:f>
        <x:v>0</x:v>
      </x:c>
      <x:c r="I32" s="224">
        <x:f>'REMUNERACION Reciprocidad EAAB'!I127</x:f>
        <x:v>0</x:v>
      </x:c>
      <x:c r="J32" s="224">
        <x:f>'REMUNERACION Reciprocidad EAAB'!J127</x:f>
        <x:v>0</x:v>
      </x:c>
      <x:c r="K32" s="224">
        <x:f>'REMUNERACION Reciprocidad EAAB'!K127</x:f>
        <x:v>0</x:v>
      </x:c>
      <x:c r="L32" s="224">
        <x:f>'REMUNERACION Reciprocidad EAAB'!L127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275">
        <x:f>'REMUNERACION Reciprocidad EAAB'!G128</x:f>
        <x:v>0</x:v>
      </x:c>
      <x:c r="H33" s="276">
        <x:f>'REMUNERACION Reciprocidad EAAB'!H128</x:f>
        <x:v>0</x:v>
      </x:c>
      <x:c r="I33" s="224">
        <x:f>'REMUNERACION Reciprocidad EAAB'!I128</x:f>
        <x:v>0</x:v>
      </x:c>
      <x:c r="J33" s="224">
        <x:f>'REMUNERACION Reciprocidad EAAB'!J128</x:f>
        <x:v>0</x:v>
      </x:c>
      <x:c r="K33" s="224">
        <x:f>'REMUNERACION Reciprocidad EAAB'!K128</x:f>
        <x:v>0</x:v>
      </x:c>
      <x:c r="L33" s="224">
        <x:f>'REMUNERACION Reciprocidad EAAB'!L128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'REMUNERACION Reciprocidad EAAB'!D129</x:f>
        <x:v>0</x:v>
      </x:c>
      <x:c r="E34" s="128">
        <x:f>'REMUNERACION Reciprocidad EAAB'!E129</x:f>
        <x:v>0</x:v>
      </x:c>
      <x:c r="G34" s="275">
        <x:f>'REMUNERACION Reciprocidad EAAB'!G129</x:f>
        <x:v>0</x:v>
      </x:c>
      <x:c r="H34" s="276">
        <x:f>'REMUNERACION Reciprocidad EAAB'!H129</x:f>
        <x:v>0</x:v>
      </x:c>
      <x:c r="I34" s="224">
        <x:f>'REMUNERACION Reciprocidad EAAB'!I129</x:f>
        <x:v>0</x:v>
      </x:c>
      <x:c r="J34" s="224">
        <x:f>'REMUNERACION Reciprocidad EAAB'!J129</x:f>
        <x:v>0</x:v>
      </x:c>
      <x:c r="K34" s="224">
        <x:f>'REMUNERACION Reciprocidad EAAB'!K129</x:f>
        <x:v>0</x:v>
      </x:c>
      <x:c r="L34" s="224">
        <x:f>'REMUNERACION Reciprocidad EAAB'!L129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2</x:v>
      </x:c>
      <x:c r="D36" s="100">
        <x:f>SUM(D30:D34)</x:f>
        <x:v>0</x:v>
      </x:c>
      <x:c r="E36" s="100">
        <x:f>'REMUNERACION Reciprocidad EAAB'!E131</x:f>
        <x:v>0</x:v>
      </x:c>
      <x:c r="F36" s="45"/>
      <x:c r="G36" s="286">
        <x:f t="shared" ref="G36:L36" si="5">SUM(G30:G34)</x:f>
        <x:v>0</x:v>
      </x:c>
      <x:c r="H36" s="286">
        <x:f t="shared" si="5"/>
        <x:v>0</x:v>
      </x:c>
      <x:c r="I36" s="286">
        <x:f t="shared" si="5"/>
        <x:v>0</x:v>
      </x:c>
      <x:c r="J36" s="286">
        <x:f t="shared" si="5"/>
        <x:v>0</x:v>
      </x:c>
      <x:c r="K36" s="286">
        <x:f t="shared" si="5"/>
        <x:v>0</x:v>
      </x:c>
      <x:c r="L36" s="286">
        <x:f t="shared" si="5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08" t="b">
        <x:f>D14='REMUNERACION Reciprocidad EAAB'!D109</x:f>
        <x:v>1</x:v>
      </x:c>
      <x:c r="E44" s="208" t="b">
        <x:f>E14='REMUNERACION Reciprocidad EAAB'!E109</x:f>
        <x:v>1</x:v>
      </x:c>
      <x:c r="F44" s="208" t="b">
        <x:f>F14='REMUNERACION Reciprocidad EAAB'!F109</x:f>
        <x:v>1</x:v>
      </x:c>
      <x:c r="G44" s="208" t="b">
        <x:f>G14='REMUNERACION Reciprocidad EAAB'!G109</x:f>
        <x:v>1</x:v>
      </x:c>
      <x:c r="H44" s="208" t="b">
        <x:f>H14='REMUNERACION Reciprocidad EAAB'!H109</x:f>
        <x:v>1</x:v>
      </x:c>
      <x:c r="I44" s="208" t="b">
        <x:f>I14='REMUNERACION Reciprocidad EAAB'!I109</x:f>
        <x:v>1</x:v>
      </x:c>
      <x:c r="J44" s="208" t="b">
        <x:f>J14='REMUNERACION Reciprocidad EAAB'!J109</x:f>
        <x:v>1</x:v>
      </x:c>
      <x:c r="K44" s="208" t="b">
        <x:f>K14='REMUNERACION Reciprocidad EAAB'!K109</x:f>
        <x:v>1</x:v>
      </x:c>
      <x:c r="L44" s="208" t="b">
        <x:f>L14='REMUNERACION Reciprocidad EAAB'!L109</x:f>
        <x:v>1</x:v>
      </x:c>
      <x:c r="M44" s="208" t="b">
        <x:f>M14='REMUNERACION Reciprocidad EAAB'!M109</x:f>
        <x:v>1</x:v>
      </x:c>
      <x:c r="N44" s="208" t="b">
        <x:f>N14='REMUNERACION Reciprocidad EAAB'!N109</x:f>
        <x:v>1</x:v>
      </x:c>
      <x:c r="O44" s="208" t="b">
        <x:f>O14='REMUNERACION Reciprocidad EAAB'!O109</x:f>
        <x:v>1</x:v>
      </x:c>
      <x:c r="Q44" s="24"/>
      <x:c r="T44" s="24"/>
    </x:row>
    <x:row r="45" spans="1:20" x14ac:dyDescent="0.2">
      <x:c r="D45" s="208" t="b">
        <x:f>D36='REMUNERACION Reciprocidad EAAB'!D131</x:f>
        <x:v>1</x:v>
      </x:c>
      <x:c r="E45" s="208" t="b">
        <x:f>E36='REMUNERACION Reciprocidad EAAB'!E131</x:f>
        <x:v>1</x:v>
      </x:c>
      <x:c r="F45" s="208" t="b">
        <x:f>F36='REMUNERACION Reciprocidad EAAB'!F131</x:f>
        <x:v>1</x:v>
      </x:c>
      <x:c r="G45" s="208" t="b">
        <x:f>G36='REMUNERACION Reciprocidad EAAB'!G131</x:f>
        <x:v>1</x:v>
      </x:c>
      <x:c r="H45" s="208" t="b">
        <x:f>H36='REMUNERACION Reciprocidad EAAB'!H131</x:f>
        <x:v>1</x:v>
      </x:c>
      <x:c r="I45" s="208" t="b">
        <x:f>I36='REMUNERACION Reciprocidad EAAB'!I131</x:f>
        <x:v>1</x:v>
      </x:c>
      <x:c r="J45" s="208" t="b">
        <x:f>J36='REMUNERACION Reciprocidad EAAB'!J131</x:f>
        <x:v>1</x:v>
      </x:c>
      <x:c r="K45" s="208" t="b">
        <x:f>K36='REMUNERACION Reciprocidad EAAB'!K131</x:f>
        <x:v>1</x:v>
      </x:c>
      <x:c r="L45" s="208" t="b">
        <x:f>L36='REMUNERACION Reciprocidad EAAB'!L131</x:f>
        <x:v>1</x:v>
      </x:c>
      <x:c r="M45" s="208" t="b">
        <x:f>M36='REMUNERACION Reciprocidad EAAB'!M131</x:f>
        <x:v>1</x:v>
      </x:c>
      <x:c r="N45" s="208" t="b">
        <x:f>N36='REMUNERACION Reciprocidad EAAB'!N131</x:f>
        <x:v>1</x:v>
      </x:c>
      <x:c r="O45" s="208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W25" zoomScaleNormal="100" workbookViewId="0">
      <x:selection activeCell="I16" sqref="I1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7109375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1:35" ht="12.75" thickBot="1" x14ac:dyDescent="0.25">
      <x:c r="A1" s="198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x14ac:dyDescent="0.2">
      <x:c r="B9" s="239">
        <x:v>1</x:v>
      </x:c>
      <x:c r="C9" s="240" t="s">
        <x:v>10</x:v>
      </x:c>
      <x:c r="D9" s="227">
        <x:f>'Reporte Componentes R1'!F63</x:f>
        <x:v>0</x:v>
      </x:c>
      <x:c r="E9" s="228">
        <x:f>'Reporte Componentes R1'!G63</x:f>
        <x:v>0</x:v>
      </x:c>
      <x:c r="F9" s="228">
        <x:f>'Reporte Componentes R1'!H63</x:f>
        <x:v>0</x:v>
      </x:c>
      <x:c r="G9" s="228">
        <x:f>'Reporte Componentes R1'!I63</x:f>
        <x:v>0</x:v>
      </x:c>
      <x:c r="H9" s="228">
        <x:f>'Reporte Componentes R1'!J63</x:f>
        <x:v>0</x:v>
      </x:c>
      <x:c r="I9" s="228">
        <x:f>'Reporte Componentes R1'!K63</x:f>
        <x:v>0</x:v>
      </x:c>
      <x:c r="J9" s="228">
        <x:f>'CONSOLIDADO_TOTAL RECAUDO'!J9</x:f>
        <x:v>0</x:v>
      </x:c>
      <x:c r="K9" s="229">
        <x:f>D9-E9-F9-G9-H9-I9-J9</x:f>
        <x:v>0</x:v>
      </x:c>
      <x:c r="L9" s="230">
        <x:f>'CONSOLIDADO_TOTAL RECAUDO'!L9</x:f>
        <x:v>189185988</x:v>
      </x:c>
      <x:c r="M9" s="229">
        <x:f>K9-L9</x:f>
        <x:v>-189185988</x:v>
      </x:c>
      <x:c r="N9" s="230">
        <x:f>'Reporte Componentes R1'!L63</x:f>
        <x:v>0</x:v>
      </x:c>
      <x:c r="O9" s="229">
        <x:f>M9+N9</x:f>
        <x:v>-189185988</x:v>
      </x:c>
      <x:c r="Q9" s="242"/>
      <x:c r="S9" s="239">
        <x:v>1</x:v>
      </x:c>
      <x:c r="T9" s="240" t="s">
        <x:v>10</x:v>
      </x:c>
      <x:c r="U9" s="243">
        <x:f>'Reporte Componentes R1'!M63</x:f>
        <x:v>0</x:v>
      </x:c>
      <x:c r="V9" s="244">
        <x:f>'Reporte Componentes R1'!N63</x:f>
        <x:v>0</x:v>
      </x:c>
      <x:c r="W9" s="244">
        <x:f>'Reporte Componentes R1'!O63</x:f>
        <x:v>0</x:v>
      </x:c>
      <x:c r="X9" s="244">
        <x:f>'Reporte Componentes R1'!P63</x:f>
        <x:v>0</x:v>
      </x:c>
      <x:c r="Y9" s="245">
        <x:f>'Reporte Componentes R1'!Q63</x:f>
        <x:v>0</x:v>
      </x:c>
      <x:c r="Z9" s="246">
        <x:f>L9*-1</x:f>
        <x:v>-189185988</x:v>
      </x:c>
      <x:c r="AA9" s="247">
        <x:f>'Reporte Componentes R1'!R63+'Reporte Componentes R1'!V63+'Reporte Componentes R1'!U63</x:f>
        <x:v>0</x:v>
      </x:c>
      <x:c r="AB9" s="230">
        <x:f>N9</x:f>
        <x:v>0</x:v>
      </x:c>
      <x:c r="AC9" s="247">
        <x:f>'Reporte Componentes R1'!T63+'Reporte Componentes R1'!W63+'Reporte Componentes R1'!X63+'Reporte Componentes R1'!Y63+'Reporte Componentes R1'!Z63+'Reporte Componentes R1'!S63</x:f>
        <x:v>0</x:v>
      </x:c>
      <x:c r="AD9" s="227">
        <x:f>-J9+AE9</x:f>
        <x:v>0</x:v>
      </x:c>
      <x:c r="AE9" s="227">
        <x:f>'Reporte Componentes R1'!F64</x:f>
        <x:v>0</x:v>
      </x:c>
      <x:c r="AF9" s="249">
        <x:f>SUM(U9:AD9)</x:f>
        <x:v>-189185988</x:v>
      </x:c>
      <x:c r="AG9" s="247">
        <x:f>(AF9-O9)</x:f>
        <x:v>0</x:v>
      </x:c>
      <x:c r="AH9" s="1" t="b">
        <x:f>INT(AG9)=0</x:f>
        <x:v>1</x:v>
      </x:c>
      <x:c r="AI9" s="242"/>
    </x:row>
    <x:row r="10" spans="1:35" s="241" customFormat="1" x14ac:dyDescent="0.2">
      <x:c r="B10" s="250">
        <x:v>2</x:v>
      </x:c>
      <x:c r="C10" s="251" t="s">
        <x:v>11</x:v>
      </x:c>
      <x:c r="D10" s="227">
        <x:f>'Reporte Componentes R1'!F216</x:f>
        <x:v>0</x:v>
      </x:c>
      <x:c r="E10" s="228">
        <x:f>'Reporte Componentes R1'!G216</x:f>
        <x:v>0</x:v>
      </x:c>
      <x:c r="F10" s="228">
        <x:f>'Reporte Componentes R1'!H216</x:f>
        <x:v>0</x:v>
      </x:c>
      <x:c r="G10" s="228">
        <x:f>'Reporte Componentes R1'!I216</x:f>
        <x:v>0</x:v>
      </x:c>
      <x:c r="H10" s="228">
        <x:f>'Reporte Componentes R1'!J216</x:f>
        <x:v>0</x:v>
      </x:c>
      <x:c r="I10" s="228">
        <x:f>'Reporte Componentes R1'!K216</x:f>
        <x:v>0</x:v>
      </x:c>
      <x:c r="J10" s="228">
        <x:f>'CONSOLIDADO_TOTAL RECAUDO'!J10</x:f>
        <x:v>0</x:v>
      </x:c>
      <x:c r="K10" s="231">
        <x:f>D10-E10-F10-G10-H10-I10-J10</x:f>
        <x:v>0</x:v>
      </x:c>
      <x:c r="L10" s="230">
        <x:f>'CONSOLIDADO_TOTAL RECAUDO'!L10</x:f>
        <x:v>266580256</x:v>
      </x:c>
      <x:c r="M10" s="231">
        <x:f>K10-L10</x:f>
        <x:v>-266580256</x:v>
      </x:c>
      <x:c r="N10" s="230">
        <x:f>'Reporte Componentes R1'!L216</x:f>
        <x:v>0</x:v>
      </x:c>
      <x:c r="O10" s="231">
        <x:f t="shared" ref="O10:O12" si="0">M10+N10</x:f>
        <x:v>-266580256</x:v>
      </x:c>
      <x:c r="Q10" s="242"/>
      <x:c r="S10" s="250">
        <x:v>2</x:v>
      </x:c>
      <x:c r="T10" s="251" t="s">
        <x:v>11</x:v>
      </x:c>
      <x:c r="U10" s="252">
        <x:f>'Reporte Componentes R1'!M216</x:f>
        <x:v>0</x:v>
      </x:c>
      <x:c r="V10" s="253">
        <x:f>'Reporte Componentes R1'!N216</x:f>
        <x:v>0</x:v>
      </x:c>
      <x:c r="W10" s="253">
        <x:f>'Reporte Componentes R1'!O216</x:f>
        <x:v>0</x:v>
      </x:c>
      <x:c r="X10" s="253">
        <x:f>'Reporte Componentes R1'!P216</x:f>
        <x:v>0</x:v>
      </x:c>
      <x:c r="Y10" s="254">
        <x:f>'Reporte Componentes R1'!Q216</x:f>
        <x:v>0</x:v>
      </x:c>
      <x:c r="Z10" s="255">
        <x:f>L10*-1</x:f>
        <x:v>-266580256</x:v>
      </x:c>
      <x:c r="AA10" s="256">
        <x:f>'Reporte Componentes R1'!R216+'Reporte Componentes R1'!V216+'Reporte Componentes R1'!U216</x:f>
        <x:v>0</x:v>
      </x:c>
      <x:c r="AB10" s="230">
        <x:f>N10</x:f>
        <x:v>0</x:v>
      </x:c>
      <x:c r="AC10" s="256">
        <x:f>'Reporte Componentes R1'!T216+'Reporte Componentes R1'!W216+'Reporte Componentes R1'!X216+'Reporte Componentes R1'!Y216+'Reporte Componentes R1'!Z216+'Reporte Componentes R1'!S216</x:f>
        <x:v>0</x:v>
      </x:c>
      <x:c r="AD10" s="227">
        <x:f t="shared" ref="AD10:AD13" si="1">-J10+AE10</x:f>
        <x:v>0</x:v>
      </x:c>
      <x:c r="AE10" s="227">
        <x:f>'Reporte Componentes R1'!F217</x:f>
        <x:v>0</x:v>
      </x:c>
      <x:c r="AF10" s="258">
        <x:f>SUM(U10:AD10)</x:f>
        <x:v>-266580256</x:v>
      </x:c>
      <x:c r="AG10" s="259">
        <x:f>(AF10-O10)</x:f>
        <x:v>0</x:v>
      </x:c>
      <x:c r="AH10" s="1" t="b">
        <x:f t="shared" ref="AH10:AH14" si="2">INT(AG10)=0</x:f>
        <x:v>1</x:v>
      </x:c>
      <x:c r="AI10" s="242"/>
    </x:row>
    <x:row r="11" spans="1:35" s="241" customFormat="1" x14ac:dyDescent="0.2">
      <x:c r="B11" s="250">
        <x:v>3</x:v>
      </x:c>
      <x:c r="C11" s="251" t="s">
        <x:v>12</x:v>
      </x:c>
      <x:c r="D11" s="227">
        <x:f>'Reporte Componentes R1'!F353</x:f>
        <x:v>0</x:v>
      </x:c>
      <x:c r="E11" s="228">
        <x:f>'Reporte Componentes R1'!G353</x:f>
        <x:v>0</x:v>
      </x:c>
      <x:c r="F11" s="228">
        <x:f>'Reporte Componentes R1'!H353</x:f>
        <x:v>0</x:v>
      </x:c>
      <x:c r="G11" s="228">
        <x:f>'Reporte Componentes R1'!I353</x:f>
        <x:v>0</x:v>
      </x:c>
      <x:c r="H11" s="228">
        <x:f>'Reporte Componentes R1'!J353</x:f>
        <x:v>0</x:v>
      </x:c>
      <x:c r="I11" s="228">
        <x:f>'Reporte Componentes R1'!K353</x:f>
        <x:v>0</x:v>
      </x:c>
      <x:c r="J11" s="228">
        <x:f>'CONSOLIDADO_TOTAL RECAUDO'!J11</x:f>
        <x:v>0</x:v>
      </x:c>
      <x:c r="K11" s="231">
        <x:f t="shared" ref="K11:K13" si="3">D11-E11-F11-G11-H11-I11-J11</x:f>
        <x:v>0</x:v>
      </x:c>
      <x:c r="L11" s="230">
        <x:f>'CONSOLIDADO_TOTAL RECAUDO'!L11</x:f>
        <x:v>154788536</x:v>
      </x:c>
      <x:c r="M11" s="231">
        <x:f>K11-L11</x:f>
        <x:v>-154788536</x:v>
      </x:c>
      <x:c r="N11" s="230">
        <x:f>'Reporte Componentes R1'!L353</x:f>
        <x:v>0</x:v>
      </x:c>
      <x:c r="O11" s="231">
        <x:f t="shared" si="0"/>
        <x:v>-154788536</x:v>
      </x:c>
      <x:c r="Q11" s="242"/>
      <x:c r="S11" s="250">
        <x:v>3</x:v>
      </x:c>
      <x:c r="T11" s="251" t="s">
        <x:v>12</x:v>
      </x:c>
      <x:c r="U11" s="252">
        <x:f>'Reporte Componentes R1'!M353</x:f>
        <x:v>0</x:v>
      </x:c>
      <x:c r="V11" s="253">
        <x:f>'Reporte Componentes R1'!N353</x:f>
        <x:v>0</x:v>
      </x:c>
      <x:c r="W11" s="253">
        <x:f>'Reporte Componentes R1'!O353</x:f>
        <x:v>0</x:v>
      </x:c>
      <x:c r="X11" s="253">
        <x:f>'Reporte Componentes R1'!P353</x:f>
        <x:v>0</x:v>
      </x:c>
      <x:c r="Y11" s="254">
        <x:f>'Reporte Componentes R1'!Q353</x:f>
        <x:v>0</x:v>
      </x:c>
      <x:c r="Z11" s="255">
        <x:f>L11*-1</x:f>
        <x:v>-154788536</x:v>
      </x:c>
      <x:c r="AA11" s="256">
        <x:f>'Reporte Componentes R1'!R353+'Reporte Componentes R1'!V353+'Reporte Componentes R1'!U353</x:f>
        <x:v>0</x:v>
      </x:c>
      <x:c r="AB11" s="230">
        <x:f>N11</x:f>
        <x:v>0</x:v>
      </x:c>
      <x:c r="AC11" s="256">
        <x:f>'Reporte Componentes R1'!T353+'Reporte Componentes R1'!W353+'Reporte Componentes R1'!X353+'Reporte Componentes R1'!Y353+'Reporte Componentes R1'!Z353+'Reporte Componentes R1'!S353</x:f>
        <x:v>0</x:v>
      </x:c>
      <x:c r="AD11" s="227">
        <x:f t="shared" si="1"/>
        <x:v>0</x:v>
      </x:c>
      <x:c r="AE11" s="227">
        <x:f>'Reporte Componentes R1'!F354</x:f>
        <x:v>0</x:v>
      </x:c>
      <x:c r="AF11" s="258">
        <x:f t="shared" ref="AF11:AF13" si="4">SUM(U11:AD11)</x:f>
        <x:v>-154788536</x:v>
      </x:c>
      <x:c r="AG11" s="259">
        <x:f>(AF11-O11)</x:f>
        <x:v>0</x:v>
      </x:c>
      <x:c r="AH11" s="1" t="b">
        <x:f t="shared" si="2"/>
        <x:v>1</x:v>
      </x:c>
      <x:c r="AI11" s="242"/>
    </x:row>
    <x:row r="12" spans="1:35" s="241" customFormat="1" x14ac:dyDescent="0.2">
      <x:c r="B12" s="250">
        <x:v>4</x:v>
      </x:c>
      <x:c r="C12" s="251" t="s">
        <x:v>13</x:v>
      </x:c>
      <x:c r="D12" s="227">
        <x:f>'Reporte Componentes R1'!F478</x:f>
        <x:v>0</x:v>
      </x:c>
      <x:c r="E12" s="228">
        <x:f>'Reporte Componentes R1'!G478</x:f>
        <x:v>0</x:v>
      </x:c>
      <x:c r="F12" s="228">
        <x:f>'Reporte Componentes R1'!H478</x:f>
        <x:v>0</x:v>
      </x:c>
      <x:c r="G12" s="228">
        <x:f>'Reporte Componentes R1'!I478</x:f>
        <x:v>0</x:v>
      </x:c>
      <x:c r="H12" s="228">
        <x:f>'Reporte Componentes R1'!J478</x:f>
        <x:v>0</x:v>
      </x:c>
      <x:c r="I12" s="228">
        <x:f>'Reporte Componentes R1'!K478</x:f>
        <x:v>0</x:v>
      </x:c>
      <x:c r="J12" s="228">
        <x:f>'CONSOLIDADO_TOTAL RECAUDO'!J12</x:f>
        <x:v>0</x:v>
      </x:c>
      <x:c r="K12" s="231">
        <x:f>D12-E12-F12-G12-H12-I12-J12</x:f>
        <x:v>0</x:v>
      </x:c>
      <x:c r="L12" s="230">
        <x:f>'CONSOLIDADO_TOTAL RECAUDO'!L12</x:f>
        <x:v>120391083</x:v>
      </x:c>
      <x:c r="M12" s="231">
        <x:f>K12-L12</x:f>
        <x:v>-120391083</x:v>
      </x:c>
      <x:c r="N12" s="230">
        <x:f>'Reporte Componentes R1'!L478</x:f>
        <x:v>0</x:v>
      </x:c>
      <x:c r="O12" s="231">
        <x:f t="shared" si="0"/>
        <x:v>-120391083</x:v>
      </x:c>
      <x:c r="Q12" s="242"/>
      <x:c r="S12" s="250">
        <x:v>4</x:v>
      </x:c>
      <x:c r="T12" s="251" t="s">
        <x:v>13</x:v>
      </x:c>
      <x:c r="U12" s="252">
        <x:f>'Reporte Componentes R1'!M478</x:f>
        <x:v>0</x:v>
      </x:c>
      <x:c r="V12" s="253">
        <x:f>'Reporte Componentes R1'!N478</x:f>
        <x:v>0</x:v>
      </x:c>
      <x:c r="W12" s="253">
        <x:f>'Reporte Componentes R1'!O478</x:f>
        <x:v>0</x:v>
      </x:c>
      <x:c r="X12" s="253">
        <x:f>'Reporte Componentes R1'!P478</x:f>
        <x:v>0</x:v>
      </x:c>
      <x:c r="Y12" s="254">
        <x:f>'Reporte Componentes R1'!Q478</x:f>
        <x:v>0</x:v>
      </x:c>
      <x:c r="Z12" s="255">
        <x:f>L12*-1</x:f>
        <x:v>-120391083</x:v>
      </x:c>
      <x:c r="AA12" s="256">
        <x:f>'Reporte Componentes R1'!R478+'Reporte Componentes R1'!V478+'Reporte Componentes R1'!U478</x:f>
        <x:v>0</x:v>
      </x:c>
      <x:c r="AB12" s="230">
        <x:f>N12</x:f>
        <x:v>0</x:v>
      </x:c>
      <x:c r="AC12" s="256">
        <x:f>'Reporte Componentes R1'!T478+'Reporte Componentes R1'!W478+'Reporte Componentes R1'!X478+'Reporte Componentes R1'!Y478+'Reporte Componentes R1'!Z478+'Reporte Componentes R1'!S478</x:f>
        <x:v>0</x:v>
      </x:c>
      <x:c r="AD12" s="227">
        <x:f t="shared" si="1"/>
        <x:v>0</x:v>
      </x:c>
      <x:c r="AE12" s="227">
        <x:f>'Reporte Componentes R1'!F479</x:f>
        <x:v>0</x:v>
      </x:c>
      <x:c r="AF12" s="258">
        <x:f t="shared" si="4"/>
        <x:v>-120391083</x:v>
      </x:c>
      <x:c r="AG12" s="259">
        <x:f>(AF12-O12)</x:f>
        <x:v>0</x:v>
      </x:c>
      <x:c r="AH12" s="1" t="b">
        <x:f t="shared" si="2"/>
        <x:v>1</x:v>
      </x:c>
      <x:c r="AI12" s="242"/>
    </x:row>
    <x:row r="13" spans="1:35" s="241" customFormat="1" ht="12.75" thickBot="1" x14ac:dyDescent="0.25">
      <x:c r="B13" s="260">
        <x:v>5</x:v>
      </x:c>
      <x:c r="C13" s="261" t="s">
        <x:v>14</x:v>
      </x:c>
      <x:c r="D13" s="232">
        <x:f>'Reporte Componentes R1'!F568</x:f>
        <x:v>0</x:v>
      </x:c>
      <x:c r="E13" s="233">
        <x:f>'Reporte Componentes R1'!G568</x:f>
        <x:v>0</x:v>
      </x:c>
      <x:c r="F13" s="233">
        <x:f>'Reporte Componentes R1'!H568</x:f>
        <x:v>0</x:v>
      </x:c>
      <x:c r="G13" s="233">
        <x:f>'Reporte Componentes R1'!I568</x:f>
        <x:v>0</x:v>
      </x:c>
      <x:c r="H13" s="233">
        <x:f>'Reporte Componentes R1'!J568</x:f>
        <x:v>0</x:v>
      </x:c>
      <x:c r="I13" s="233">
        <x:f>'Reporte Componentes R1'!K568</x:f>
        <x:v>0</x:v>
      </x:c>
      <x:c r="J13" s="228">
        <x:f>'CONSOLIDADO_TOTAL RECAUDO'!J13</x:f>
        <x:v>0</x:v>
      </x:c>
      <x:c r="K13" s="231">
        <x:f t="shared" si="3"/>
        <x:v>0</x:v>
      </x:c>
      <x:c r="L13" s="230">
        <x:f>'CONSOLIDADO_TOTAL RECAUDO'!L13</x:f>
        <x:v>128990446</x:v>
      </x:c>
      <x:c r="M13" s="234">
        <x:f>K13-L13</x:f>
        <x:v>-128990446</x:v>
      </x:c>
      <x:c r="N13" s="235">
        <x:f>'Reporte Componentes R1'!L568</x:f>
        <x:v>0</x:v>
      </x:c>
      <x:c r="O13" s="234">
        <x:f>M13+N13</x:f>
        <x:v>-128990446</x:v>
      </x:c>
      <x:c r="Q13" s="242"/>
      <x:c r="S13" s="260">
        <x:v>5</x:v>
      </x:c>
      <x:c r="T13" s="261" t="s">
        <x:v>14</x:v>
      </x:c>
      <x:c r="U13" s="232">
        <x:f>'Reporte Componentes R1'!M568</x:f>
        <x:v>0</x:v>
      </x:c>
      <x:c r="V13" s="233">
        <x:f>'Reporte Componentes R1'!N568</x:f>
        <x:v>0</x:v>
      </x:c>
      <x:c r="W13" s="233">
        <x:f>'Reporte Componentes R1'!O568</x:f>
        <x:v>0</x:v>
      </x:c>
      <x:c r="X13" s="233">
        <x:f>'Reporte Componentes R1'!P568</x:f>
        <x:v>0</x:v>
      </x:c>
      <x:c r="Y13" s="225">
        <x:f>'Reporte Componentes R1'!Q568</x:f>
        <x:v>0</x:v>
      </x:c>
      <x:c r="Z13" s="255">
        <x:f>L13*-1</x:f>
        <x:v>-128990446</x:v>
      </x:c>
      <x:c r="AA13" s="256">
        <x:f>'Reporte Componentes R1'!R568+'Reporte Componentes R1'!V568+'Reporte Componentes R1'!U568</x:f>
        <x:v>0</x:v>
      </x:c>
      <x:c r="AB13" s="230">
        <x:f>N13</x:f>
        <x:v>0</x:v>
      </x:c>
      <x:c r="AC13" s="256">
        <x:f>'Reporte Componentes R1'!T568+'Reporte Componentes R1'!W568+'Reporte Componentes R1'!X568+'Reporte Componentes R1'!Y568+'Reporte Componentes R1'!Z568+'Reporte Componentes R1'!S568</x:f>
        <x:v>0</x:v>
      </x:c>
      <x:c r="AD13" s="227">
        <x:f t="shared" si="1"/>
        <x:v>0</x:v>
      </x:c>
      <x:c r="AE13" s="227">
        <x:f>'Reporte Componentes R1'!F569</x:f>
        <x:v>0</x:v>
      </x:c>
      <x:c r="AF13" s="258">
        <x:f t="shared" si="4"/>
        <x:v>-128990446</x:v>
      </x:c>
      <x:c r="AG13" s="262">
        <x:f>(AF13-O13)</x:f>
        <x:v>0</x:v>
      </x:c>
      <x:c r="AH13" s="1" t="b">
        <x:f t="shared" si="2"/>
        <x:v>1</x:v>
      </x:c>
      <x:c r="AI13" s="242"/>
    </x:row>
    <x:row r="14" spans="1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859936309</x:v>
      </x:c>
      <x:c r="M14" s="238">
        <x:f t="shared" si="5"/>
        <x:v>-859936309</x:v>
      </x:c>
      <x:c r="N14" s="237">
        <x:f t="shared" si="5"/>
        <x:v>0</x:v>
      </x:c>
      <x:c r="O14" s="238">
        <x:f t="shared" si="5"/>
        <x:v>-859936309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-859936309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-859936309</x:v>
      </x:c>
      <x:c r="AG14" s="268">
        <x:f>SUM(AG9:AG13)</x:f>
        <x:v>0</x:v>
      </x:c>
      <x:c r="AH14" s="1" t="b">
        <x:f t="shared" si="2"/>
        <x:v>1</x:v>
      </x:c>
      <x:c r="AI14" s="242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198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ht="12.75" thickBot="1" x14ac:dyDescent="0.25">
      <x:c r="B28" s="239">
        <x:v>1</x:v>
      </x:c>
      <x:c r="C28" s="240" t="s">
        <x:v>10</x:v>
      </x:c>
      <x:c r="D28" s="227">
        <x:f>'Rem. Anticipos R2'!E49</x:f>
        <x:v>0</x:v>
      </x:c>
      <x:c r="E28" s="228">
        <x:f>'Rem. Anticipos R2'!F49</x:f>
        <x:v>0</x:v>
      </x:c>
      <x:c r="F28" s="228">
        <x:f>'Rem. Anticipos R2'!G49</x:f>
        <x:v>0</x:v>
      </x:c>
      <x:c r="G28" s="228">
        <x:f>'Rem. Anticipos R2'!H49</x:f>
        <x:v>0</x:v>
      </x:c>
      <x:c r="H28" s="228">
        <x:f>'Rem. Anticipos R2'!I49</x:f>
        <x:v>0</x:v>
      </x:c>
      <x:c r="I28" s="228">
        <x:f>'Rem. Anticipos R2'!J49</x:f>
        <x:v>0</x:v>
      </x:c>
      <x:c r="J28" s="225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R2'!K49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R2'!L49</x:f>
        <x:v>0</x:v>
      </x:c>
      <x:c r="V28" s="244">
        <x:f>'Rem. Anticipos R2'!M49</x:f>
        <x:v>0</x:v>
      </x:c>
      <x:c r="W28" s="244">
        <x:f>'Rem. Anticipos R2'!N49</x:f>
        <x:v>0</x:v>
      </x:c>
      <x:c r="X28" s="244">
        <x:f>'Rem. Anticipos R2'!O49</x:f>
        <x:v>0</x:v>
      </x:c>
      <x:c r="Y28" s="245">
        <x:f>'Rem. Anticipos R2'!P49</x:f>
        <x:v>0</x:v>
      </x:c>
      <x:c r="Z28" s="246">
        <x:f>L28*-1</x:f>
        <x:v>0</x:v>
      </x:c>
      <x:c r="AA28" s="247">
        <x:f>'Rem. Anticipos R2'!Q49</x:f>
        <x:v>0</x:v>
      </x:c>
      <x:c r="AB28" s="230">
        <x:f>N28</x:f>
        <x:v>0</x:v>
      </x:c>
      <x:c r="AC28" s="247">
        <x:f>'Rem. Anticipos R2'!R49</x:f>
        <x:v>0</x:v>
      </x:c>
      <x:c r="AD28" s="227">
        <x:f>-J28+AE28</x:f>
        <x:v>0</x:v>
      </x:c>
      <x:c r="AE28" s="227">
        <x:f>'Rem. Anticipos R2'!E50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R2'!E145</x:f>
        <x:v>0</x:v>
      </x:c>
      <x:c r="E29" s="228">
        <x:f>'Rem. Anticipos R2'!F145</x:f>
        <x:v>0</x:v>
      </x:c>
      <x:c r="F29" s="228">
        <x:f>'Rem. Anticipos R2'!G145</x:f>
        <x:v>0</x:v>
      </x:c>
      <x:c r="G29" s="228">
        <x:f>'Rem. Anticipos R2'!H145</x:f>
        <x:v>0</x:v>
      </x:c>
      <x:c r="H29" s="228">
        <x:f>'Rem. Anticipos R2'!I145</x:f>
        <x:v>0</x:v>
      </x:c>
      <x:c r="I29" s="228">
        <x:f>'Rem. Anticipos R2'!J145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R2'!K145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R2'!L145</x:f>
        <x:v>0</x:v>
      </x:c>
      <x:c r="V29" s="253">
        <x:f>'Rem. Anticipos R2'!M145</x:f>
        <x:v>0</x:v>
      </x:c>
      <x:c r="W29" s="253">
        <x:f>'Rem. Anticipos R2'!N145</x:f>
        <x:v>0</x:v>
      </x:c>
      <x:c r="X29" s="253">
        <x:f>'Rem. Anticipos R2'!O145</x:f>
        <x:v>0</x:v>
      </x:c>
      <x:c r="Y29" s="254">
        <x:f>'Rem. Anticipos R2'!P145</x:f>
        <x:v>0</x:v>
      </x:c>
      <x:c r="Z29" s="255">
        <x:f>L29*-1</x:f>
        <x:v>0</x:v>
      </x:c>
      <x:c r="AA29" s="256">
        <x:f>'Rem. Anticipos R2'!Q145</x:f>
        <x:v>0</x:v>
      </x:c>
      <x:c r="AB29" s="230">
        <x:f>N29</x:f>
        <x:v>0</x:v>
      </x:c>
      <x:c r="AC29" s="256">
        <x:f>'Rem. Anticipos R2'!R145</x:f>
        <x:v>0</x:v>
      </x:c>
      <x:c r="AD29" s="227">
        <x:f>-J29+AE29</x:f>
        <x:v>0</x:v>
      </x:c>
      <x:c r="AE29" s="227">
        <x:f>'Rem. Anticipos R2'!E146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R2'!E262</x:f>
        <x:v>0</x:v>
      </x:c>
      <x:c r="E30" s="228">
        <x:f>'Rem. Anticipos R2'!F262</x:f>
        <x:v>0</x:v>
      </x:c>
      <x:c r="F30" s="228">
        <x:f>'Rem. Anticipos R2'!G262</x:f>
        <x:v>0</x:v>
      </x:c>
      <x:c r="G30" s="228">
        <x:f>'Rem. Anticipos R2'!H262</x:f>
        <x:v>0</x:v>
      </x:c>
      <x:c r="H30" s="228">
        <x:f>'Rem. Anticipos R2'!I262</x:f>
        <x:v>0</x:v>
      </x:c>
      <x:c r="I30" s="228">
        <x:f>'Rem. Anticipos R2'!J262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R2'!K262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R2'!L262</x:f>
        <x:v>0</x:v>
      </x:c>
      <x:c r="V30" s="253">
        <x:f>'Rem. Anticipos R2'!M262</x:f>
        <x:v>0</x:v>
      </x:c>
      <x:c r="W30" s="253">
        <x:f>'Rem. Anticipos R2'!N262</x:f>
        <x:v>0</x:v>
      </x:c>
      <x:c r="X30" s="253">
        <x:f>'Rem. Anticipos R2'!O262</x:f>
        <x:v>0</x:v>
      </x:c>
      <x:c r="Y30" s="254">
        <x:f>'Rem. Anticipos R2'!P262</x:f>
        <x:v>0</x:v>
      </x:c>
      <x:c r="Z30" s="255">
        <x:f>L30*-1</x:f>
        <x:v>0</x:v>
      </x:c>
      <x:c r="AA30" s="256">
        <x:f>'Rem. Anticipos R2'!Q262</x:f>
        <x:v>0</x:v>
      </x:c>
      <x:c r="AB30" s="230">
        <x:f>N30</x:f>
        <x:v>0</x:v>
      </x:c>
      <x:c r="AC30" s="256">
        <x:f>'Rem. Anticipos R2'!R262</x:f>
        <x:v>0</x:v>
      </x:c>
      <x:c r="AD30" s="227">
        <x:f t="shared" ref="AD30:AD32" si="10">-J30+AE30</x:f>
        <x:v>0</x:v>
      </x:c>
      <x:c r="AE30" s="227">
        <x:f>'Rem. Anticipos R2'!E263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R2'!E364</x:f>
        <x:v>0</x:v>
      </x:c>
      <x:c r="E31" s="228">
        <x:f>'Rem. Anticipos R2'!F364</x:f>
        <x:v>0</x:v>
      </x:c>
      <x:c r="F31" s="228">
        <x:f>'Rem. Anticipos R2'!G364</x:f>
        <x:v>0</x:v>
      </x:c>
      <x:c r="G31" s="228">
        <x:f>'Rem. Anticipos R2'!H364</x:f>
        <x:v>0</x:v>
      </x:c>
      <x:c r="H31" s="228">
        <x:f>'Rem. Anticipos R2'!I364</x:f>
        <x:v>0</x:v>
      </x:c>
      <x:c r="I31" s="228">
        <x:f>'Rem. Anticipos R2'!J364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R2'!K364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R2'!L364</x:f>
        <x:v>0</x:v>
      </x:c>
      <x:c r="V31" s="253">
        <x:f>'Rem. Anticipos R2'!M364</x:f>
        <x:v>0</x:v>
      </x:c>
      <x:c r="W31" s="253">
        <x:f>'Rem. Anticipos R2'!N364</x:f>
        <x:v>0</x:v>
      </x:c>
      <x:c r="X31" s="253">
        <x:f>'Rem. Anticipos R2'!O364</x:f>
        <x:v>0</x:v>
      </x:c>
      <x:c r="Y31" s="254">
        <x:f>'Rem. Anticipos R2'!P364</x:f>
        <x:v>0</x:v>
      </x:c>
      <x:c r="Z31" s="255">
        <x:f>L31*-1</x:f>
        <x:v>0</x:v>
      </x:c>
      <x:c r="AA31" s="256">
        <x:f>'Rem. Anticipos R2'!Q364</x:f>
        <x:v>0</x:v>
      </x:c>
      <x:c r="AB31" s="230">
        <x:f>N31</x:f>
        <x:v>0</x:v>
      </x:c>
      <x:c r="AC31" s="256">
        <x:f>'Rem. Anticipos R2'!R364</x:f>
        <x:v>0</x:v>
      </x:c>
      <x:c r="AD31" s="227">
        <x:f t="shared" si="10"/>
        <x:v>0</x:v>
      </x:c>
      <x:c r="AE31" s="227">
        <x:f>'Rem. Anticipos R2'!E365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R2'!E444</x:f>
        <x:v>0</x:v>
      </x:c>
      <x:c r="E32" s="233">
        <x:f>'Rem. Anticipos R2'!F444</x:f>
        <x:v>0</x:v>
      </x:c>
      <x:c r="F32" s="233">
        <x:f>'Rem. Anticipos R2'!G444</x:f>
        <x:v>0</x:v>
      </x:c>
      <x:c r="G32" s="233">
        <x:f>'Rem. Anticipos R2'!H444</x:f>
        <x:v>0</x:v>
      </x:c>
      <x:c r="H32" s="233">
        <x:f>'Rem. Anticipos R2'!I444</x:f>
        <x:v>0</x:v>
      </x:c>
      <x:c r="I32" s="233">
        <x:f>'Rem. Anticipos R2'!J444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R2'!K444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R2'!L444</x:f>
        <x:v>0</x:v>
      </x:c>
      <x:c r="V32" s="233">
        <x:f>'Rem. Anticipos R2'!M444</x:f>
        <x:v>0</x:v>
      </x:c>
      <x:c r="W32" s="233">
        <x:f>'Rem. Anticipos R2'!N444</x:f>
        <x:v>0</x:v>
      </x:c>
      <x:c r="X32" s="233">
        <x:f>'Rem. Anticipos R2'!O444</x:f>
        <x:v>0</x:v>
      </x:c>
      <x:c r="Y32" s="225">
        <x:f>'Rem. Anticipos R2'!P444</x:f>
        <x:v>0</x:v>
      </x:c>
      <x:c r="Z32" s="255">
        <x:f>L32*-1</x:f>
        <x:v>0</x:v>
      </x:c>
      <x:c r="AA32" s="256">
        <x:f>'Rem. Anticipos R2'!Q444</x:f>
        <x:v>0</x:v>
      </x:c>
      <x:c r="AB32" s="230">
        <x:f>N32</x:f>
        <x:v>0</x:v>
      </x:c>
      <x:c r="AC32" s="256">
        <x:f>'Rem. Anticipos R2'!R444</x:f>
        <x:v>0</x:v>
      </x:c>
      <x:c r="AD32" s="227">
        <x:f t="shared" si="10"/>
        <x:v>0</x:v>
      </x:c>
      <x:c r="AE32" s="227">
        <x:f>'Rem. Anticipos R2'!E445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9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ht="12.75" thickBot="1" x14ac:dyDescent="0.25">
      <x:c r="B47" s="239">
        <x:v>1</x:v>
      </x:c>
      <x:c r="C47" s="240" t="s">
        <x:v>10</x:v>
      </x:c>
      <x:c r="D47" s="227">
        <x:f>'Reporte Componentes R1'!F65</x:f>
        <x:v>0</x:v>
      </x:c>
      <x:c r="E47" s="228">
        <x:f>'Reporte Componentes R1'!G65</x:f>
        <x:v>0</x:v>
      </x:c>
      <x:c r="F47" s="228">
        <x:f>'Reporte Componentes R1'!H65</x:f>
        <x:v>0</x:v>
      </x:c>
      <x:c r="G47" s="228">
        <x:f>'Reporte Componentes R1'!I65</x:f>
        <x:v>0</x:v>
      </x:c>
      <x:c r="H47" s="228">
        <x:f>'Reporte Componentes R1'!J65</x:f>
        <x:v>0</x:v>
      </x:c>
      <x:c r="I47" s="228">
        <x:f>'Reporte Componentes R1'!K65</x:f>
        <x:v>0</x:v>
      </x:c>
      <x:c r="J47" s="225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R1'!L65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R1'!M65</x:f>
        <x:v>0</x:v>
      </x:c>
      <x:c r="V47" s="244">
        <x:f>'Reporte Componentes R1'!N65</x:f>
        <x:v>0</x:v>
      </x:c>
      <x:c r="W47" s="244">
        <x:f>'Reporte Componentes R1'!O65</x:f>
        <x:v>0</x:v>
      </x:c>
      <x:c r="X47" s="244">
        <x:f>'Reporte Componentes R1'!P65</x:f>
        <x:v>0</x:v>
      </x:c>
      <x:c r="Y47" s="245">
        <x:f>'Reporte Componentes R1'!Q65</x:f>
        <x:v>0</x:v>
      </x:c>
      <x:c r="Z47" s="246">
        <x:f>-L47</x:f>
        <x:v>0</x:v>
      </x:c>
      <x:c r="AA47" s="256">
        <x:f>'Reporte Componentes R1'!R65+'Reporte Componentes R1'!V65+'Reporte Componentes R1'!U65</x:f>
        <x:v>0</x:v>
      </x:c>
      <x:c r="AB47" s="230">
        <x:f>N47</x:f>
        <x:v>0</x:v>
      </x:c>
      <x:c r="AC47" s="247">
        <x:f>'Reporte Componentes R1'!T65+'Reporte Componentes R1'!W65+'Reporte Componentes R1'!X65+'Reporte Componentes R1'!Y65+'Reporte Componentes R1'!Z65+'Reporte Componentes R1'!S65</x:f>
        <x:v>0</x:v>
      </x:c>
      <x:c r="AD47" s="227">
        <x:f>-J47+AE47</x:f>
        <x:v>0</x:v>
      </x:c>
      <x:c r="AE47" s="227">
        <x:f>'Reporte Componentes R1'!F66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R1'!F218</x:f>
        <x:v>0</x:v>
      </x:c>
      <x:c r="E48" s="228">
        <x:f>'Reporte Componentes R1'!G218</x:f>
        <x:v>0</x:v>
      </x:c>
      <x:c r="F48" s="228">
        <x:f>'Reporte Componentes R1'!H218</x:f>
        <x:v>0</x:v>
      </x:c>
      <x:c r="G48" s="228">
        <x:f>'Reporte Componentes R1'!I218</x:f>
        <x:v>0</x:v>
      </x:c>
      <x:c r="H48" s="228">
        <x:f>'Reporte Componentes R1'!J218</x:f>
        <x:v>0</x:v>
      </x:c>
      <x:c r="I48" s="228">
        <x:f>'Reporte Componentes R1'!K218</x:f>
        <x:v>0</x:v>
      </x:c>
      <x:c r="J48" s="224">
        <x:v>0</x:v>
      </x:c>
      <x:c r="K48" s="231">
        <x:f t="shared" ref="K48:K51" si="15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R1'!L218</x:f>
        <x:v>0</x:v>
      </x:c>
      <x:c r="O48" s="231">
        <x:f t="shared" ref="O48:O51" si="16">M48+N48</x:f>
        <x:v>0</x:v>
      </x:c>
      <x:c r="Q48" s="242"/>
      <x:c r="S48" s="250">
        <x:v>2</x:v>
      </x:c>
      <x:c r="T48" s="251" t="s">
        <x:v>11</x:v>
      </x:c>
      <x:c r="U48" s="252">
        <x:f>'Reporte Componentes R1'!M218</x:f>
        <x:v>0</x:v>
      </x:c>
      <x:c r="V48" s="253">
        <x:f>'Reporte Componentes R1'!N218</x:f>
        <x:v>0</x:v>
      </x:c>
      <x:c r="W48" s="253">
        <x:f>'Reporte Componentes R1'!O218</x:f>
        <x:v>0</x:v>
      </x:c>
      <x:c r="X48" s="253">
        <x:f>'Reporte Componentes R1'!P218</x:f>
        <x:v>0</x:v>
      </x:c>
      <x:c r="Y48" s="254">
        <x:f>'Reporte Componentes R1'!Q218</x:f>
        <x:v>0</x:v>
      </x:c>
      <x:c r="Z48" s="255">
        <x:f>-L48</x:f>
        <x:v>0</x:v>
      </x:c>
      <x:c r="AA48" s="256">
        <x:f>'Reporte Componentes R1'!R218+'Reporte Componentes R1'!V218+'Reporte Componentes R1'!U218</x:f>
        <x:v>0</x:v>
      </x:c>
      <x:c r="AB48" s="230">
        <x:f>N48</x:f>
        <x:v>0</x:v>
      </x:c>
      <x:c r="AC48" s="256">
        <x:f>'Reporte Componentes R1'!T218+'Reporte Componentes R1'!W218+'Reporte Componentes R1'!X218+'Reporte Componentes R1'!Y218+'Reporte Componentes R1'!Z218+'Reporte Componentes R1'!S218</x:f>
        <x:v>0</x:v>
      </x:c>
      <x:c r="AD48" s="227">
        <x:f t="shared" ref="AD48:AD51" si="17">-J48+AE48</x:f>
        <x:v>0</x:v>
      </x:c>
      <x:c r="AE48" s="227">
        <x:f>'Reporte Componentes R1'!F219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8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R1'!F355</x:f>
        <x:v>0</x:v>
      </x:c>
      <x:c r="E49" s="228">
        <x:f>'Reporte Componentes R1'!G355</x:f>
        <x:v>0</x:v>
      </x:c>
      <x:c r="F49" s="228">
        <x:f>'Reporte Componentes R1'!H355</x:f>
        <x:v>0</x:v>
      </x:c>
      <x:c r="G49" s="228">
        <x:f>'Reporte Componentes R1'!I355</x:f>
        <x:v>0</x:v>
      </x:c>
      <x:c r="H49" s="228">
        <x:f>'Reporte Componentes R1'!J355</x:f>
        <x:v>0</x:v>
      </x:c>
      <x:c r="I49" s="228">
        <x:f>'Reporte Componentes R1'!K355</x:f>
        <x:v>0</x:v>
      </x:c>
      <x:c r="J49" s="224">
        <x:v>0</x:v>
      </x:c>
      <x:c r="K49" s="231">
        <x:f t="shared" si="15"/>
        <x:v>0</x:v>
      </x:c>
      <x:c r="L49" s="230">
        <x:v>0</x:v>
      </x:c>
      <x:c r="M49" s="231">
        <x:f>K49-L49</x:f>
        <x:v>0</x:v>
      </x:c>
      <x:c r="N49" s="230">
        <x:f>'Reporte Componentes R1'!L355</x:f>
        <x:v>0</x:v>
      </x:c>
      <x:c r="O49" s="231">
        <x:f t="shared" si="16"/>
        <x:v>0</x:v>
      </x:c>
      <x:c r="Q49" s="242"/>
      <x:c r="S49" s="250">
        <x:v>3</x:v>
      </x:c>
      <x:c r="T49" s="251" t="s">
        <x:v>12</x:v>
      </x:c>
      <x:c r="U49" s="252">
        <x:f>'Reporte Componentes R1'!M355</x:f>
        <x:v>0</x:v>
      </x:c>
      <x:c r="V49" s="253">
        <x:f>'Reporte Componentes R1'!N355</x:f>
        <x:v>0</x:v>
      </x:c>
      <x:c r="W49" s="253">
        <x:f>'Reporte Componentes R1'!O355</x:f>
        <x:v>0</x:v>
      </x:c>
      <x:c r="X49" s="253">
        <x:f>'Reporte Componentes R1'!P355</x:f>
        <x:v>0</x:v>
      </x:c>
      <x:c r="Y49" s="254">
        <x:f>'Reporte Componentes R1'!Q355</x:f>
        <x:v>0</x:v>
      </x:c>
      <x:c r="Z49" s="255">
        <x:f>-L49</x:f>
        <x:v>0</x:v>
      </x:c>
      <x:c r="AA49" s="256">
        <x:f>'Reporte Componentes R1'!R355+'Reporte Componentes R1'!V355+'Reporte Componentes R1'!U355</x:f>
        <x:v>0</x:v>
      </x:c>
      <x:c r="AB49" s="230">
        <x:f>N49</x:f>
        <x:v>0</x:v>
      </x:c>
      <x:c r="AC49" s="256">
        <x:f>'Reporte Componentes R1'!T355+'Reporte Componentes R1'!W355+'Reporte Componentes R1'!X355+'Reporte Componentes R1'!Y355+'Reporte Componentes R1'!Z355+'Reporte Componentes R1'!S355</x:f>
        <x:v>0</x:v>
      </x:c>
      <x:c r="AD49" s="227">
        <x:f t="shared" si="17"/>
        <x:v>0</x:v>
      </x:c>
      <x:c r="AE49" s="227">
        <x:f>'Reporte Componentes R1'!F356</x:f>
        <x:v>0</x:v>
      </x:c>
      <x:c r="AF49" s="258">
        <x:f t="shared" ref="AF49:AF51" si="19">SUM(U49:AD49)</x:f>
        <x:v>0</x:v>
      </x:c>
      <x:c r="AG49" s="259">
        <x:f t="shared" ref="AG49:AG51" si="20">(AF49-O49)</x:f>
        <x:v>0</x:v>
      </x:c>
      <x:c r="AH49" s="1" t="b">
        <x:f t="shared" si="18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R1'!F480</x:f>
        <x:v>0</x:v>
      </x:c>
      <x:c r="E50" s="228">
        <x:f>'Reporte Componentes R1'!G480</x:f>
        <x:v>0</x:v>
      </x:c>
      <x:c r="F50" s="228">
        <x:f>'Reporte Componentes R1'!H480</x:f>
        <x:v>0</x:v>
      </x:c>
      <x:c r="G50" s="228">
        <x:f>'Reporte Componentes R1'!I480</x:f>
        <x:v>0</x:v>
      </x:c>
      <x:c r="H50" s="228">
        <x:f>'Reporte Componentes R1'!J480</x:f>
        <x:v>0</x:v>
      </x:c>
      <x:c r="I50" s="228">
        <x:f>'Reporte Componentes R1'!K480</x:f>
        <x:v>0</x:v>
      </x:c>
      <x:c r="J50" s="224">
        <x:v>0</x:v>
      </x:c>
      <x:c r="K50" s="231">
        <x:f t="shared" si="15"/>
        <x:v>0</x:v>
      </x:c>
      <x:c r="L50" s="230">
        <x:v>0</x:v>
      </x:c>
      <x:c r="M50" s="231">
        <x:f>K50-L50</x:f>
        <x:v>0</x:v>
      </x:c>
      <x:c r="N50" s="230">
        <x:f>'Reporte Componentes R1'!L480</x:f>
        <x:v>0</x:v>
      </x:c>
      <x:c r="O50" s="231">
        <x:f t="shared" si="16"/>
        <x:v>0</x:v>
      </x:c>
      <x:c r="Q50" s="242"/>
      <x:c r="S50" s="250">
        <x:v>4</x:v>
      </x:c>
      <x:c r="T50" s="251" t="s">
        <x:v>13</x:v>
      </x:c>
      <x:c r="U50" s="252">
        <x:f>'Reporte Componentes R1'!M480</x:f>
        <x:v>0</x:v>
      </x:c>
      <x:c r="V50" s="253">
        <x:f>'Reporte Componentes R1'!N480</x:f>
        <x:v>0</x:v>
      </x:c>
      <x:c r="W50" s="253">
        <x:f>'Reporte Componentes R1'!O480</x:f>
        <x:v>0</x:v>
      </x:c>
      <x:c r="X50" s="253">
        <x:f>'Reporte Componentes R1'!P480</x:f>
        <x:v>0</x:v>
      </x:c>
      <x:c r="Y50" s="254">
        <x:f>'Reporte Componentes R1'!Q480</x:f>
        <x:v>0</x:v>
      </x:c>
      <x:c r="Z50" s="255">
        <x:f>-L50</x:f>
        <x:v>0</x:v>
      </x:c>
      <x:c r="AA50" s="256">
        <x:f>'Reporte Componentes R1'!R480+'Reporte Componentes R1'!V480+'Reporte Componentes R1'!U480</x:f>
        <x:v>0</x:v>
      </x:c>
      <x:c r="AB50" s="230">
        <x:f>N50</x:f>
        <x:v>0</x:v>
      </x:c>
      <x:c r="AC50" s="256">
        <x:f>'Reporte Componentes R1'!T480+'Reporte Componentes R1'!W480+'Reporte Componentes R1'!X480+'Reporte Componentes R1'!Y480+'Reporte Componentes R1'!Z480+'Reporte Componentes R1'!S480</x:f>
        <x:v>0</x:v>
      </x:c>
      <x:c r="AD50" s="227">
        <x:f t="shared" si="17"/>
        <x:v>0</x:v>
      </x:c>
      <x:c r="AE50" s="227">
        <x:f>'Reporte Componentes R1'!F481</x:f>
        <x:v>0</x:v>
      </x:c>
      <x:c r="AF50" s="258">
        <x:f t="shared" si="19"/>
        <x:v>0</x:v>
      </x:c>
      <x:c r="AG50" s="259">
        <x:f t="shared" si="20"/>
        <x:v>0</x:v>
      </x:c>
      <x:c r="AH50" s="1" t="b">
        <x:f t="shared" si="18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R1'!F570</x:f>
        <x:v>0</x:v>
      </x:c>
      <x:c r="E51" s="233">
        <x:f>'Reporte Componentes R1'!G570</x:f>
        <x:v>0</x:v>
      </x:c>
      <x:c r="F51" s="233">
        <x:f>'Reporte Componentes R1'!H570</x:f>
        <x:v>0</x:v>
      </x:c>
      <x:c r="G51" s="233">
        <x:f>'Reporte Componentes R1'!I570</x:f>
        <x:v>0</x:v>
      </x:c>
      <x:c r="H51" s="233">
        <x:f>'Reporte Componentes R1'!J570</x:f>
        <x:v>0</x:v>
      </x:c>
      <x:c r="I51" s="233">
        <x:f>'Reporte Componentes R1'!K570</x:f>
        <x:v>0</x:v>
      </x:c>
      <x:c r="J51" s="225">
        <x:v>0</x:v>
      </x:c>
      <x:c r="K51" s="231">
        <x:f t="shared" si="15"/>
        <x:v>0</x:v>
      </x:c>
      <x:c r="L51" s="230">
        <x:v>0</x:v>
      </x:c>
      <x:c r="M51" s="234">
        <x:f>K51-L51</x:f>
        <x:v>0</x:v>
      </x:c>
      <x:c r="N51" s="235">
        <x:f>'Reporte Componentes R1'!L570</x:f>
        <x:v>0</x:v>
      </x:c>
      <x:c r="O51" s="234">
        <x:f t="shared" si="16"/>
        <x:v>0</x:v>
      </x:c>
      <x:c r="Q51" s="242"/>
      <x:c r="S51" s="260">
        <x:v>5</x:v>
      </x:c>
      <x:c r="T51" s="261" t="s">
        <x:v>14</x:v>
      </x:c>
      <x:c r="U51" s="232">
        <x:f>'Reporte Componentes R1'!M570</x:f>
        <x:v>0</x:v>
      </x:c>
      <x:c r="V51" s="233">
        <x:f>'Reporte Componentes R1'!N570</x:f>
        <x:v>0</x:v>
      </x:c>
      <x:c r="W51" s="233">
        <x:f>'Reporte Componentes R1'!O570</x:f>
        <x:v>0</x:v>
      </x:c>
      <x:c r="X51" s="233">
        <x:f>'Reporte Componentes R1'!P570</x:f>
        <x:v>0</x:v>
      </x:c>
      <x:c r="Y51" s="225">
        <x:f>'Reporte Componentes R1'!Q570</x:f>
        <x:v>0</x:v>
      </x:c>
      <x:c r="Z51" s="255">
        <x:f>-L51</x:f>
        <x:v>0</x:v>
      </x:c>
      <x:c r="AA51" s="256">
        <x:f>'Reporte Componentes R1'!R570+'Reporte Componentes R1'!V570+'Reporte Componentes R1'!U570</x:f>
        <x:v>0</x:v>
      </x:c>
      <x:c r="AB51" s="230">
        <x:f>N51</x:f>
        <x:v>0</x:v>
      </x:c>
      <x:c r="AC51" s="256">
        <x:f>'Reporte Componentes R1'!T570+'Reporte Componentes R1'!W570+'Reporte Componentes R1'!X570+'Reporte Componentes R1'!Y570+'Reporte Componentes R1'!Z570+'Reporte Componentes R1'!S570</x:f>
        <x:v>0</x:v>
      </x:c>
      <x:c r="AD51" s="227">
        <x:f t="shared" si="17"/>
        <x:v>0</x:v>
      </x:c>
      <x:c r="AE51" s="227">
        <x:f>'Reporte Componentes R1'!F571</x:f>
        <x:v>0</x:v>
      </x:c>
      <x:c r="AF51" s="258">
        <x:f t="shared" si="19"/>
        <x:v>0</x:v>
      </x:c>
      <x:c r="AG51" s="262">
        <x:f t="shared" si="20"/>
        <x:v>0</x:v>
      </x:c>
      <x:c r="AH51" s="1" t="b">
        <x:f t="shared" si="18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1">SUM(D47:D51)</x:f>
        <x:v>0</x:v>
      </x:c>
      <x:c r="E52" s="226">
        <x:f t="shared" si="21"/>
        <x:v>0</x:v>
      </x:c>
      <x:c r="F52" s="226">
        <x:f t="shared" si="21"/>
        <x:v>0</x:v>
      </x:c>
      <x:c r="G52" s="226">
        <x:f t="shared" ref="G52" si="22">SUM(G47:G51)</x:f>
        <x:v>0</x:v>
      </x:c>
      <x:c r="H52" s="226">
        <x:f t="shared" si="21"/>
        <x:v>0</x:v>
      </x:c>
      <x:c r="I52" s="226">
        <x:f t="shared" si="21"/>
        <x:v>0</x:v>
      </x:c>
      <x:c r="J52" s="226">
        <x:f t="shared" si="21"/>
        <x:v>0</x:v>
      </x:c>
      <x:c r="K52" s="236">
        <x:f t="shared" si="21"/>
        <x:v>0</x:v>
      </x:c>
      <x:c r="L52" s="237">
        <x:f t="shared" si="21"/>
        <x:v>0</x:v>
      </x:c>
      <x:c r="M52" s="238">
        <x:f t="shared" si="21"/>
        <x:v>0</x:v>
      </x:c>
      <x:c r="N52" s="237">
        <x:f t="shared" si="21"/>
        <x:v>0</x:v>
      </x:c>
      <x:c r="O52" s="238">
        <x:f t="shared" si="21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3">SUM(V47:V51)</x:f>
        <x:v>0</x:v>
      </x:c>
      <x:c r="W52" s="266">
        <x:f t="shared" si="23"/>
        <x:v>0</x:v>
      </x:c>
      <x:c r="X52" s="266">
        <x:f t="shared" si="23"/>
        <x:v>0</x:v>
      </x:c>
      <x:c r="Y52" s="266">
        <x:f t="shared" si="23"/>
        <x:v>0</x:v>
      </x:c>
      <x:c r="Z52" s="226">
        <x:f t="shared" si="23"/>
        <x:v>0</x:v>
      </x:c>
      <x:c r="AA52" s="226">
        <x:f t="shared" si="23"/>
        <x:v>0</x:v>
      </x:c>
      <x:c r="AB52" s="226">
        <x:f t="shared" si="23"/>
        <x:v>0</x:v>
      </x:c>
      <x:c r="AC52" s="226">
        <x:f t="shared" si="23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3"/>
        <x:v>0</x:v>
      </x:c>
      <x:c r="AG52" s="268">
        <x:f t="shared" si="23"/>
        <x:v>0</x:v>
      </x:c>
      <x:c r="AH52" s="1" t="b">
        <x:f t="shared" si="18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R4'!D79</x:f>
        <x:v>0</x:v>
      </x:c>
      <x:c r="E66" s="228">
        <x:f>'Reversion Pagos R4'!E79</x:f>
        <x:v>0</x:v>
      </x:c>
      <x:c r="F66" s="228">
        <x:f>'Reversion Pagos R4'!F79</x:f>
        <x:v>0</x:v>
      </x:c>
      <x:c r="G66" s="228">
        <x:f>'Reversion Pagos R4'!G79</x:f>
        <x:v>0</x:v>
      </x:c>
      <x:c r="H66" s="228">
        <x:f>'Reversion Pagos R4'!H79</x:f>
        <x:v>0</x:v>
      </x:c>
      <x:c r="I66" s="228">
        <x:f>'Reversion Pagos R4'!I79</x:f>
        <x:v>0</x:v>
      </x:c>
      <x:c r="J66" s="245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R4'!P79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R4'!J79</x:f>
        <x:v>0</x:v>
      </x:c>
      <x:c r="V66" s="244">
        <x:f>'Reversion Pagos R4'!K79</x:f>
        <x:v>0</x:v>
      </x:c>
      <x:c r="W66" s="244">
        <x:f>'Reversion Pagos R4'!L79</x:f>
        <x:v>0</x:v>
      </x:c>
      <x:c r="X66" s="244">
        <x:f>'Reversion Pagos R4'!M79</x:f>
        <x:v>0</x:v>
      </x:c>
      <x:c r="Y66" s="245">
        <x:f>'Reversion Pagos R4'!N79</x:f>
        <x:v>0</x:v>
      </x:c>
      <x:c r="Z66" s="246">
        <x:f>-L66</x:f>
        <x:v>0</x:v>
      </x:c>
      <x:c r="AA66" s="247">
        <x:f>+'Reversion Pagos R4'!O79</x:f>
        <x:v>0</x:v>
      </x:c>
      <x:c r="AB66" s="230">
        <x:f>N66</x:f>
        <x:v>0</x:v>
      </x:c>
      <x:c r="AC66" s="247">
        <x:f>+'Reversion Pagos R4'!Q79+'Reversion Pagos R4'!R79</x:f>
        <x:v>0</x:v>
      </x:c>
      <x:c r="AD66" s="227">
        <x:f>-J66+AE66</x:f>
        <x:v>0</x:v>
      </x:c>
      <x:c r="AE66" s="227">
        <x:f>'Reversion Pagos R4'!D80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R4'!D174</x:f>
        <x:v>0</x:v>
      </x:c>
      <x:c r="E67" s="228">
        <x:f>'Reversion Pagos R4'!E174</x:f>
        <x:v>0</x:v>
      </x:c>
      <x:c r="F67" s="228">
        <x:f>'Reversion Pagos R4'!F174</x:f>
        <x:v>0</x:v>
      </x:c>
      <x:c r="G67" s="228">
        <x:f>'Reversion Pagos R4'!G174</x:f>
        <x:v>0</x:v>
      </x:c>
      <x:c r="H67" s="228">
        <x:f>'Reversion Pagos R4'!H174</x:f>
        <x:v>0</x:v>
      </x:c>
      <x:c r="I67" s="228">
        <x:f>'Reversion Pagos R4'!I174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R4'!P174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R4'!J174</x:f>
        <x:v>0</x:v>
      </x:c>
      <x:c r="V67" s="253">
        <x:f>'Reversion Pagos R4'!K174</x:f>
        <x:v>0</x:v>
      </x:c>
      <x:c r="W67" s="253">
        <x:f>'Reversion Pagos R4'!L174</x:f>
        <x:v>0</x:v>
      </x:c>
      <x:c r="X67" s="253">
        <x:f>'Reversion Pagos R4'!M174</x:f>
        <x:v>0</x:v>
      </x:c>
      <x:c r="Y67" s="254">
        <x:f>'Reversion Pagos R4'!N174</x:f>
        <x:v>0</x:v>
      </x:c>
      <x:c r="Z67" s="255">
        <x:f t="shared" ref="Z67:Z70" si="26">-L67</x:f>
        <x:v>0</x:v>
      </x:c>
      <x:c r="AA67" s="256">
        <x:f>'Reversion Pagos R4'!O174</x:f>
        <x:v>0</x:v>
      </x:c>
      <x:c r="AB67" s="230">
        <x:f t="shared" ref="AB67:AB70" si="27">N67</x:f>
        <x:v>0</x:v>
      </x:c>
      <x:c r="AC67" s="256">
        <x:f>'Reversion Pagos R4'!Q174+'Reversion Pagos R4'!R174</x:f>
        <x:v>0</x:v>
      </x:c>
      <x:c r="AD67" s="227">
        <x:f t="shared" ref="AD67:AD70" si="28">-J67+AE67</x:f>
        <x:v>0</x:v>
      </x:c>
      <x:c r="AE67" s="227">
        <x:f>'Reversion Pagos R4'!D175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R4'!D211</x:f>
        <x:v>0</x:v>
      </x:c>
      <x:c r="E68" s="228">
        <x:f>'Reversion Pagos R4'!E211</x:f>
        <x:v>0</x:v>
      </x:c>
      <x:c r="F68" s="228">
        <x:f>'Reversion Pagos R4'!F211</x:f>
        <x:v>0</x:v>
      </x:c>
      <x:c r="G68" s="228">
        <x:f>'Reversion Pagos R4'!G211</x:f>
        <x:v>0</x:v>
      </x:c>
      <x:c r="H68" s="228">
        <x:f>'Reversion Pagos R4'!H211</x:f>
        <x:v>0</x:v>
      </x:c>
      <x:c r="I68" s="228">
        <x:f>'Reversion Pagos R4'!I211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R4'!P211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R4'!J211</x:f>
        <x:v>0</x:v>
      </x:c>
      <x:c r="V68" s="253">
        <x:f>'Reversion Pagos R4'!K211</x:f>
        <x:v>0</x:v>
      </x:c>
      <x:c r="W68" s="253">
        <x:f>'Reversion Pagos R4'!L211</x:f>
        <x:v>0</x:v>
      </x:c>
      <x:c r="X68" s="253">
        <x:f>'Reversion Pagos R4'!M211</x:f>
        <x:v>0</x:v>
      </x:c>
      <x:c r="Y68" s="254">
        <x:f>'Reversion Pagos R4'!N211</x:f>
        <x:v>0</x:v>
      </x:c>
      <x:c r="Z68" s="255">
        <x:f t="shared" si="26"/>
        <x:v>0</x:v>
      </x:c>
      <x:c r="AA68" s="256">
        <x:f>'Reversion Pagos R4'!O211</x:f>
        <x:v>0</x:v>
      </x:c>
      <x:c r="AB68" s="230">
        <x:f t="shared" si="27"/>
        <x:v>0</x:v>
      </x:c>
      <x:c r="AC68" s="256">
        <x:f>'Reversion Pagos R4'!Q211+'Reversion Pagos R4'!R211</x:f>
        <x:v>0</x:v>
      </x:c>
      <x:c r="AD68" s="227">
        <x:f t="shared" si="28"/>
        <x:v>0</x:v>
      </x:c>
      <x:c r="AE68" s="227">
        <x:f>'Reversion Pagos R4'!D212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R4'!D326</x:f>
        <x:v>0</x:v>
      </x:c>
      <x:c r="E69" s="228">
        <x:f>'Reversion Pagos R4'!E326</x:f>
        <x:v>0</x:v>
      </x:c>
      <x:c r="F69" s="228">
        <x:f>'Reversion Pagos R4'!F326</x:f>
        <x:v>0</x:v>
      </x:c>
      <x:c r="G69" s="228">
        <x:f>'Reversion Pagos R4'!G326</x:f>
        <x:v>0</x:v>
      </x:c>
      <x:c r="H69" s="228">
        <x:f>'Reversion Pagos R4'!H326</x:f>
        <x:v>0</x:v>
      </x:c>
      <x:c r="I69" s="228">
        <x:f>'Reversion Pagos R4'!I326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R4'!P326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R4'!J326</x:f>
        <x:v>0</x:v>
      </x:c>
      <x:c r="V69" s="253">
        <x:f>'Reversion Pagos R4'!K326</x:f>
        <x:v>0</x:v>
      </x:c>
      <x:c r="W69" s="253">
        <x:f>'Reversion Pagos R4'!L326</x:f>
        <x:v>0</x:v>
      </x:c>
      <x:c r="X69" s="253">
        <x:f>'Reversion Pagos R4'!M326</x:f>
        <x:v>0</x:v>
      </x:c>
      <x:c r="Y69" s="254">
        <x:f>'Reversion Pagos R4'!N326</x:f>
        <x:v>0</x:v>
      </x:c>
      <x:c r="Z69" s="255">
        <x:f t="shared" si="26"/>
        <x:v>0</x:v>
      </x:c>
      <x:c r="AA69" s="256">
        <x:f>'Reversion Pagos R4'!O326</x:f>
        <x:v>0</x:v>
      </x:c>
      <x:c r="AB69" s="230">
        <x:f t="shared" si="27"/>
        <x:v>0</x:v>
      </x:c>
      <x:c r="AC69" s="256">
        <x:f>'Reversion Pagos R4'!Q326+'Reversion Pagos R4'!R326</x:f>
        <x:v>0</x:v>
      </x:c>
      <x:c r="AD69" s="227">
        <x:f t="shared" si="28"/>
        <x:v>0</x:v>
      </x:c>
      <x:c r="AE69" s="227">
        <x:f>'Reversion Pagos R4'!D327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R4'!D361</x:f>
        <x:v>0</x:v>
      </x:c>
      <x:c r="E70" s="233">
        <x:f>'Reversion Pagos R4'!E361</x:f>
        <x:v>0</x:v>
      </x:c>
      <x:c r="F70" s="233">
        <x:f>'Reversion Pagos R4'!F361</x:f>
        <x:v>0</x:v>
      </x:c>
      <x:c r="G70" s="233">
        <x:f>'Reversion Pagos R4'!G361</x:f>
        <x:v>0</x:v>
      </x:c>
      <x:c r="H70" s="233">
        <x:f>'Reversion Pagos R4'!H361</x:f>
        <x:v>0</x:v>
      </x:c>
      <x:c r="I70" s="233">
        <x:f>'Reversion Pagos R4'!I361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R4'!P361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R4'!J361</x:f>
        <x:v>0</x:v>
      </x:c>
      <x:c r="V70" s="233">
        <x:f>'Reversion Pagos R4'!K361</x:f>
        <x:v>0</x:v>
      </x:c>
      <x:c r="W70" s="233">
        <x:f>'Reversion Pagos R4'!L361</x:f>
        <x:v>0</x:v>
      </x:c>
      <x:c r="X70" s="233">
        <x:f>'Reversion Pagos R4'!M361</x:f>
        <x:v>0</x:v>
      </x:c>
      <x:c r="Y70" s="225">
        <x:f>'Reversion Pagos R4'!N361</x:f>
        <x:v>0</x:v>
      </x:c>
      <x:c r="Z70" s="255">
        <x:f t="shared" si="26"/>
        <x:v>0</x:v>
      </x:c>
      <x:c r="AA70" s="256">
        <x:f>'Reversion Pagos R4'!O361</x:f>
        <x:v>0</x:v>
      </x:c>
      <x:c r="AB70" s="230">
        <x:f t="shared" si="27"/>
        <x:v>0</x:v>
      </x:c>
      <x:c r="AC70" s="256">
        <x:f>'Reversion Pagos R4'!Q361+'Reversion Pagos R4'!R361</x:f>
        <x:v>0</x:v>
      </x:c>
      <x:c r="AD70" s="227">
        <x:f t="shared" si="28"/>
        <x:v>0</x:v>
      </x:c>
      <x:c r="AE70" s="227">
        <x:f>'Reversion Pagos R4'!D362</x:f>
        <x:v>0</x:v>
      </x:c>
      <x:c r="AF70" s="258">
        <x:f t="shared" si="30"/>
        <x:v>0</x:v>
      </x:c>
      <x:c r="AG70" s="262">
        <x:f t="shared" si="31"/>
        <x:v>0</x:v>
      </x:c>
      <x:c r="AH70" s="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ref="AC71" si="34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1" t="b">
        <x:f t="shared" si="29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167</x:v>
      </x:c>
      <x:c r="AD84" s="491" t="s">
        <x:v>105</x:v>
      </x:c>
      <x:c r="AE84" s="490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f>'AJUSTES - SF-T'!D47</x:f>
        <x:v>0</x:v>
      </x:c>
      <x:c r="E85" s="228">
        <x:f>'AJUSTES - SF-T'!E47</x:f>
        <x:v>0</x:v>
      </x:c>
      <x:c r="F85" s="228">
        <x:f>'AJUSTES - SF-T'!F47</x:f>
        <x:v>0</x:v>
      </x:c>
      <x:c r="G85" s="228">
        <x:f>'AJUSTES - SF-T'!G47</x:f>
        <x:v>0</x:v>
      </x:c>
      <x:c r="H85" s="228">
        <x:f>'AJUSTES - SF-T'!H47</x:f>
        <x:v>0</x:v>
      </x:c>
      <x:c r="I85" s="228">
        <x:f>'AJUSTES - SF-T'!I47</x:f>
        <x:v>0</x:v>
      </x:c>
      <x:c r="J85" s="228">
        <x:f>'AJUSTES - SF-T'!J47</x:f>
        <x:v>0</x:v>
      </x:c>
      <x:c r="K85" s="228">
        <x:f>D85-E85-F85-G85-H85-I85-J85</x:f>
        <x:v>0</x:v>
      </x:c>
      <x:c r="L85" s="230">
        <x:v>0</x:v>
      </x:c>
      <x:c r="M85" s="257">
        <x:f>K85-L85</x:f>
        <x:v>0</x:v>
      </x:c>
      <x:c r="N85" s="257">
        <x:f>'AJUSTES - SF-T'!N47</x:f>
        <x:v>0</x:v>
      </x:c>
      <x:c r="O85" s="257">
        <x:f>M85+N85</x:f>
        <x:v>0</x:v>
      </x:c>
      <x:c r="Q85" s="242"/>
      <x:c r="S85" s="239">
        <x:v>1</x:v>
      </x:c>
      <x:c r="T85" s="240" t="s">
        <x:v>10</x:v>
      </x:c>
      <x:c r="U85" s="248">
        <x:f>'AJUSTES - SF-T'!U47</x:f>
        <x:v>0</x:v>
      </x:c>
      <x:c r="V85" s="248">
        <x:f>'AJUSTES - SF-T'!V47</x:f>
        <x:v>0</x:v>
      </x:c>
      <x:c r="W85" s="248">
        <x:f>'AJUSTES - SF-T'!W47</x:f>
        <x:v>0</x:v>
      </x:c>
      <x:c r="X85" s="248">
        <x:f>'AJUSTES - SF-T'!X47</x:f>
        <x:v>0</x:v>
      </x:c>
      <x:c r="Y85" s="248">
        <x:f>'AJUSTES - SF-T'!Y47</x:f>
        <x:v>0</x:v>
      </x:c>
      <x:c r="Z85" s="248">
        <x:f>'AJUSTES - SF-T'!Z47</x:f>
        <x:v>0</x:v>
      </x:c>
      <x:c r="AA85" s="488">
        <x:f>'AJUSTES - SF-T'!AA47</x:f>
        <x:v>0</x:v>
      </x:c>
      <x:c r="AB85" s="248">
        <x:f>'AJUSTES - SF-T'!AB47</x:f>
        <x:v>0</x:v>
      </x:c>
      <x:c r="AC85" s="488">
        <x:v>0</x:v>
      </x:c>
      <x:c r="AD85" s="257">
        <x:f>'AJUSTES - SF-T'!AC47</x:f>
        <x:v>0</x:v>
      </x:c>
      <x:c r="AE85" s="230">
        <x:f>'AJUSTES - SF-T'!AD47</x:f>
        <x:v>0</x:v>
      </x:c>
      <x:c r="AF85" s="299">
        <x:f>SUM(U85:AD85)</x:f>
        <x:v>0</x:v>
      </x:c>
      <x:c r="AG85" s="486">
        <x:f>AF85-O85</x:f>
        <x:v>0</x:v>
      </x:c>
      <x:c r="AH85" s="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8">
        <x:v>0</x:v>
      </x:c>
      <x:c r="K86" s="228">
        <x:f t="shared" ref="K86:K89" si="35">D86-E86-F86-G86-H86-I86-J86</x:f>
        <x:v>0</x:v>
      </x:c>
      <x:c r="L86" s="230">
        <x:v>0</x:v>
      </x:c>
      <x:c r="M86" s="257">
        <x:f>K86-L86</x:f>
        <x:v>0</x:v>
      </x:c>
      <x:c r="N86" s="257">
        <x:v>0</x:v>
      </x:c>
      <x:c r="O86" s="257">
        <x:f t="shared" ref="O86:O89" si="36">M86+N86</x:f>
        <x:v>0</x:v>
      </x:c>
      <x:c r="Q86" s="242"/>
      <x:c r="S86" s="250">
        <x:v>2</x:v>
      </x:c>
      <x:c r="T86" s="251" t="s">
        <x:v>11</x:v>
      </x:c>
      <x:c r="U86" s="256">
        <x:v>0</x:v>
      </x:c>
      <x:c r="V86" s="256">
        <x:v>0</x:v>
      </x:c>
      <x:c r="W86" s="256">
        <x:v>0</x:v>
      </x:c>
      <x:c r="X86" s="256">
        <x:v>0</x:v>
      </x:c>
      <x:c r="Y86" s="256">
        <x:v>0</x:v>
      </x:c>
      <x:c r="Z86" s="256">
        <x:f>-L86</x:f>
        <x:v>0</x:v>
      </x:c>
      <x:c r="AA86" s="256">
        <x:v>0</x:v>
      </x:c>
      <x:c r="AB86" s="256">
        <x:f>N86</x:f>
        <x:v>0</x:v>
      </x:c>
      <x:c r="AC86" s="235">
        <x:v>0</x:v>
      </x:c>
      <x:c r="AD86" s="256">
        <x:f t="shared" ref="AD86:AD88" si="37">-J86+AE86</x:f>
        <x:v>0</x:v>
      </x:c>
      <x:c r="AE86" s="235">
        <x:v>0</x:v>
      </x:c>
      <x:c r="AF86" s="301">
        <x:f>SUM(U86:AD86)</x:f>
        <x:v>0</x:v>
      </x:c>
      <x:c r="AG86" s="487">
        <x:f>AF86-O86</x:f>
        <x:v>0</x:v>
      </x:c>
      <x:c r="AH86" s="1" t="b">
        <x:f t="shared" ref="AH86:AH90" si="38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f>'AJUSTES - SF-T'!D49</x:f>
        <x:v>0</x:v>
      </x:c>
      <x:c r="E87" s="228">
        <x:f>'AJUSTES - SF-T'!E49</x:f>
        <x:v>0</x:v>
      </x:c>
      <x:c r="F87" s="228">
        <x:f>'AJUSTES - SF-T'!F49</x:f>
        <x:v>0</x:v>
      </x:c>
      <x:c r="G87" s="228">
        <x:f>'AJUSTES - SF-T'!G49</x:f>
        <x:v>0</x:v>
      </x:c>
      <x:c r="H87" s="228">
        <x:f>'AJUSTES - SF-T'!H49</x:f>
        <x:v>0</x:v>
      </x:c>
      <x:c r="I87" s="228">
        <x:f>'AJUSTES - SF-T'!I49</x:f>
        <x:v>0</x:v>
      </x:c>
      <x:c r="J87" s="228">
        <x:f>'AJUSTES - SF-T'!J49</x:f>
        <x:v>0</x:v>
      </x:c>
      <x:c r="K87" s="228">
        <x:f>D87-E87-F87-G87-H87-I87-J87</x:f>
        <x:v>0</x:v>
      </x:c>
      <x:c r="L87" s="230">
        <x:v>0</x:v>
      </x:c>
      <x:c r="M87" s="257">
        <x:f>K87-L87</x:f>
        <x:v>0</x:v>
      </x:c>
      <x:c r="N87" s="257">
        <x:f>'AJUSTES - SF-T'!N49</x:f>
        <x:v>0</x:v>
      </x:c>
      <x:c r="O87" s="257">
        <x:f>M87+N87</x:f>
        <x:v>0</x:v>
      </x:c>
      <x:c r="Q87" s="242"/>
      <x:c r="S87" s="250">
        <x:v>3</x:v>
      </x:c>
      <x:c r="T87" s="251" t="s">
        <x:v>12</x:v>
      </x:c>
      <x:c r="U87" s="256">
        <x:f>'AJUSTES - SF-T'!U49</x:f>
        <x:v>0</x:v>
      </x:c>
      <x:c r="V87" s="256">
        <x:f>'AJUSTES - SF-T'!V49</x:f>
        <x:v>0</x:v>
      </x:c>
      <x:c r="W87" s="256">
        <x:f>'AJUSTES - SF-T'!W49</x:f>
        <x:v>0</x:v>
      </x:c>
      <x:c r="X87" s="256">
        <x:f>'AJUSTES - SF-T'!X49</x:f>
        <x:v>0</x:v>
      </x:c>
      <x:c r="Y87" s="256">
        <x:f>'AJUSTES - SF-T'!Y49</x:f>
        <x:v>0</x:v>
      </x:c>
      <x:c r="Z87" s="256">
        <x:f>'AJUSTES - SF-T'!Z49</x:f>
        <x:v>0</x:v>
      </x:c>
      <x:c r="AA87" s="256">
        <x:f>'AJUSTES - SF-T'!AA49</x:f>
        <x:v>0</x:v>
      </x:c>
      <x:c r="AB87" s="256">
        <x:f>'AJUSTES - SF-T'!AB49</x:f>
        <x:v>0</x:v>
      </x:c>
      <x:c r="AC87" s="235">
        <x:v>0</x:v>
      </x:c>
      <x:c r="AD87" s="256">
        <x:f>'AJUSTES - SF-T'!AC49</x:f>
        <x:v>0</x:v>
      </x:c>
      <x:c r="AE87" s="235">
        <x:f>'AJUSTES - SF-T'!AD49</x:f>
        <x:v>0</x:v>
      </x:c>
      <x:c r="AF87" s="301">
        <x:f>SUM(U87:AD87)</x:f>
        <x:v>0</x:v>
      </x:c>
      <x:c r="AG87" s="487">
        <x:f>AF87-O87</x:f>
        <x:v>0</x:v>
      </x:c>
      <x:c r="AH87" s="1" t="b">
        <x:f t="shared" si="38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8">
        <x:v>0</x:v>
      </x:c>
      <x:c r="K88" s="228">
        <x:f t="shared" si="35"/>
        <x:v>0</x:v>
      </x:c>
      <x:c r="L88" s="230">
        <x:v>0</x:v>
      </x:c>
      <x:c r="M88" s="257">
        <x:f>K88-L88</x:f>
        <x:v>0</x:v>
      </x:c>
      <x:c r="N88" s="257">
        <x:v>0</x:v>
      </x:c>
      <x:c r="O88" s="257">
        <x:f t="shared" si="36"/>
        <x:v>0</x:v>
      </x:c>
      <x:c r="Q88" s="242"/>
      <x:c r="S88" s="250">
        <x:v>4</x:v>
      </x:c>
      <x:c r="T88" s="251" t="s">
        <x:v>13</x:v>
      </x:c>
      <x:c r="U88" s="256">
        <x:v>0</x:v>
      </x:c>
      <x:c r="V88" s="256">
        <x:v>0</x:v>
      </x:c>
      <x:c r="W88" s="256">
        <x:v>0</x:v>
      </x:c>
      <x:c r="X88" s="256">
        <x:v>0</x:v>
      </x:c>
      <x:c r="Y88" s="256">
        <x:v>0</x:v>
      </x:c>
      <x:c r="Z88" s="256">
        <x:f>-L88</x:f>
        <x:v>0</x:v>
      </x:c>
      <x:c r="AA88" s="256">
        <x:v>0</x:v>
      </x:c>
      <x:c r="AB88" s="256">
        <x:f>N88</x:f>
        <x:v>0</x:v>
      </x:c>
      <x:c r="AC88" s="235">
        <x:v>0</x:v>
      </x:c>
      <x:c r="AD88" s="256">
        <x:f t="shared" si="37"/>
        <x:v>0</x:v>
      </x:c>
      <x:c r="AE88" s="235">
        <x:v>0</x:v>
      </x:c>
      <x:c r="AF88" s="301">
        <x:f t="shared" ref="AF88:AF89" si="39">SUM(U88:AD88)</x:f>
        <x:v>0</x:v>
      </x:c>
      <x:c r="AG88" s="487">
        <x:f>AF88-O88</x:f>
        <x:v>0</x:v>
      </x:c>
      <x:c r="AH88" s="1" t="b">
        <x:f t="shared" si="38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f>'AJUSTES - SF-T'!D51</x:f>
        <x:v>0</x:v>
      </x:c>
      <x:c r="E89" s="233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33">
        <x:f>'AJUSTES - SF-T'!J51</x:f>
        <x:v>0</x:v>
      </x:c>
      <x:c r="K89" s="233">
        <x:f t="shared" si="35"/>
        <x:v>0</x:v>
      </x:c>
      <x:c r="L89" s="230">
        <x:v>0</x:v>
      </x:c>
      <x:c r="M89" s="282">
        <x:f>K89-L89</x:f>
        <x:v>0</x:v>
      </x:c>
      <x:c r="N89" s="282">
        <x:f>'AJUSTES - SF-T'!N51</x:f>
        <x:v>0</x:v>
      </x:c>
      <x:c r="O89" s="282">
        <x:f t="shared" si="36"/>
        <x:v>0</x:v>
      </x:c>
      <x:c r="Q89" s="242"/>
      <x:c r="S89" s="260">
        <x:v>5</x:v>
      </x:c>
      <x:c r="T89" s="261" t="s">
        <x:v>14</x:v>
      </x:c>
      <x:c r="U89" s="282">
        <x:f>'AJUSTES - SF-T'!U51</x:f>
        <x:v>0</x:v>
      </x:c>
      <x:c r="V89" s="282">
        <x:f>'AJUSTES - SF-T'!V51</x:f>
        <x:v>0</x:v>
      </x:c>
      <x:c r="W89" s="282">
        <x:f>'AJUSTES - SF-T'!W51</x:f>
        <x:v>0</x:v>
      </x:c>
      <x:c r="X89" s="282">
        <x:f>'AJUSTES - SF-T'!X51</x:f>
        <x:v>0</x:v>
      </x:c>
      <x:c r="Y89" s="282">
        <x:f>'AJUSTES - SF-T'!Y51</x:f>
        <x:v>0</x:v>
      </x:c>
      <x:c r="Z89" s="282">
        <x:f>'AJUSTES - SF-T'!Z51</x:f>
        <x:v>0</x:v>
      </x:c>
      <x:c r="AA89" s="256">
        <x:f>'AJUSTES - SF-T'!AA51</x:f>
        <x:v>0</x:v>
      </x:c>
      <x:c r="AB89" s="489">
        <x:f>'AJUSTES - SF-T'!AB51</x:f>
        <x:v>0</x:v>
      </x:c>
      <x:c r="AC89" s="519">
        <x:v>0</x:v>
      </x:c>
      <x:c r="AD89" s="489">
        <x:f>'AJUSTES - SF-T'!AC51</x:f>
        <x:v>0</x:v>
      </x:c>
      <x:c r="AE89" s="230">
        <x:f>'AJUSTES - SF-T'!AD51</x:f>
        <x:v>0</x:v>
      </x:c>
      <x:c r="AF89" s="493">
        <x:f t="shared" si="39"/>
        <x:v>0</x:v>
      </x:c>
      <x:c r="AG89" s="492">
        <x:f>AF89-O89</x:f>
        <x:v>0</x:v>
      </x:c>
      <x:c r="AH89" s="1" t="b">
        <x:f t="shared" si="38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40">SUM(D85:D89)</x:f>
        <x:v>0</x:v>
      </x:c>
      <x:c r="E90" s="226">
        <x:f t="shared" si="40"/>
        <x:v>0</x:v>
      </x:c>
      <x:c r="F90" s="226">
        <x:f t="shared" si="40"/>
        <x:v>0</x:v>
      </x:c>
      <x:c r="G90" s="226">
        <x:f t="shared" si="40"/>
        <x:v>0</x:v>
      </x:c>
      <x:c r="H90" s="226">
        <x:f t="shared" si="40"/>
        <x:v>0</x:v>
      </x:c>
      <x:c r="I90" s="226">
        <x:f t="shared" si="40"/>
        <x:v>0</x:v>
      </x:c>
      <x:c r="J90" s="226">
        <x:f t="shared" si="40"/>
        <x:v>0</x:v>
      </x:c>
      <x:c r="K90" s="236">
        <x:f t="shared" si="40"/>
        <x:v>0</x:v>
      </x:c>
      <x:c r="L90" s="237">
        <x:f t="shared" si="40"/>
        <x:v>0</x:v>
      </x:c>
      <x:c r="M90" s="238">
        <x:f t="shared" si="40"/>
        <x:v>0</x:v>
      </x:c>
      <x:c r="N90" s="237">
        <x:f t="shared" si="40"/>
        <x:v>0</x:v>
      </x:c>
      <x:c r="O90" s="238">
        <x:f t="shared" si="40"/>
        <x:v>0</x:v>
      </x:c>
      <x:c r="P90" s="265"/>
      <x:c r="Q90" s="242"/>
      <x:c r="S90" s="263"/>
      <x:c r="T90" s="484" t="s">
        <x:v>2</x:v>
      </x:c>
      <x:c r="U90" s="266">
        <x:f>SUM(U85:U89)</x:f>
        <x:v>0</x:v>
      </x:c>
      <x:c r="V90" s="266">
        <x:f t="shared" ref="V90:AG90" si="41">SUM(V85:V89)</x:f>
        <x:v>0</x:v>
      </x:c>
      <x:c r="W90" s="485">
        <x:f t="shared" si="41"/>
        <x:v>0</x:v>
      </x:c>
      <x:c r="X90" s="266">
        <x:f t="shared" si="41"/>
        <x:v>0</x:v>
      </x:c>
      <x:c r="Y90" s="266">
        <x:f t="shared" si="41"/>
        <x:v>0</x:v>
      </x:c>
      <x:c r="Z90" s="226">
        <x:f t="shared" si="41"/>
        <x:v>0</x:v>
      </x:c>
      <x:c r="AA90" s="226">
        <x:f t="shared" si="41"/>
        <x:v>0</x:v>
      </x:c>
      <x:c r="AB90" s="226">
        <x:f t="shared" si="41"/>
        <x:v>0</x:v>
      </x:c>
      <x:c r="AC90" s="226">
        <x:f t="shared" ref="AC90" si="42">SUM(AC85:AC89)</x:f>
        <x:v>0</x:v>
      </x:c>
      <x:c r="AD90" s="226">
        <x:f t="shared" si="41"/>
        <x:v>0</x:v>
      </x:c>
      <x:c r="AE90" s="226">
        <x:f t="shared" si="41"/>
        <x:v>0</x:v>
      </x:c>
      <x:c r="AF90" s="267">
        <x:f t="shared" si="41"/>
        <x:v>0</x:v>
      </x:c>
      <x:c r="AG90" s="268">
        <x:f t="shared" si="41"/>
        <x:v>0</x:v>
      </x:c>
      <x:c r="AH90" s="1" t="b">
        <x:f t="shared" si="38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216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3">D9+D28+D47+D66+D85</x:f>
        <x:v>0</x:v>
      </x:c>
      <x:c r="E104" s="228">
        <x:f t="shared" si="43"/>
        <x:v>0</x:v>
      </x:c>
      <x:c r="F104" s="228">
        <x:f t="shared" si="43"/>
        <x:v>0</x:v>
      </x:c>
      <x:c r="G104" s="228">
        <x:f t="shared" si="43"/>
        <x:v>0</x:v>
      </x:c>
      <x:c r="H104" s="228">
        <x:f t="shared" si="43"/>
        <x:v>0</x:v>
      </x:c>
      <x:c r="I104" s="228">
        <x:f t="shared" si="43"/>
        <x:v>0</x:v>
      </x:c>
      <x:c r="J104" s="228">
        <x:f t="shared" si="43"/>
        <x:v>0</x:v>
      </x:c>
      <x:c r="K104" s="229">
        <x:f>D104-E104-F104-G104-H104-I104-J104</x:f>
        <x:v>0</x:v>
      </x:c>
      <x:c r="L104" s="230">
        <x:f>L9+L28+L47+L66+L85</x:f>
        <x:v>189185988</x:v>
      </x:c>
      <x:c r="M104" s="229">
        <x:f>K104-L104</x:f>
        <x:v>-189185988</x:v>
      </x:c>
      <x:c r="N104" s="230">
        <x:f>N9+N28+N47+N66+N85</x:f>
        <x:v>0</x:v>
      </x:c>
      <x:c r="O104" s="229">
        <x:f>M104+N104</x:f>
        <x:v>-189185988</x:v>
      </x:c>
      <x:c r="Q104" s="242"/>
      <x:c r="S104" s="239">
        <x:v>1</x:v>
      </x:c>
      <x:c r="T104" s="240" t="s">
        <x:v>10</x:v>
      </x:c>
      <x:c r="U104" s="243">
        <x:f t="shared" ref="U104:AB108" si="44">U9+U28+U47+U66+U85</x:f>
        <x:v>0</x:v>
      </x:c>
      <x:c r="V104" s="244">
        <x:f t="shared" si="44"/>
        <x:v>0</x:v>
      </x:c>
      <x:c r="W104" s="244">
        <x:f t="shared" si="44"/>
        <x:v>0</x:v>
      </x:c>
      <x:c r="X104" s="244">
        <x:f t="shared" si="44"/>
        <x:v>0</x:v>
      </x:c>
      <x:c r="Y104" s="245">
        <x:f t="shared" si="44"/>
        <x:v>0</x:v>
      </x:c>
      <x:c r="Z104" s="246">
        <x:f t="shared" si="44"/>
        <x:v>-189185988</x:v>
      </x:c>
      <x:c r="AA104" s="247">
        <x:f>AA9+AA28+AA47+AA66+AA85</x:f>
        <x:v>0</x:v>
      </x:c>
      <x:c r="AB104" s="230">
        <x:f>AB9+AB28+AB47+AB66+AB85</x:f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-189185988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3"/>
        <x:v>0</x:v>
      </x:c>
      <x:c r="E105" s="228">
        <x:f t="shared" si="43"/>
        <x:v>0</x:v>
      </x:c>
      <x:c r="F105" s="228">
        <x:f t="shared" si="43"/>
        <x:v>0</x:v>
      </x:c>
      <x:c r="G105" s="228">
        <x:f t="shared" si="43"/>
        <x:v>0</x:v>
      </x:c>
      <x:c r="H105" s="228">
        <x:f t="shared" si="43"/>
        <x:v>0</x:v>
      </x:c>
      <x:c r="I105" s="228">
        <x:f t="shared" si="43"/>
        <x:v>0</x:v>
      </x:c>
      <x:c r="J105" s="228">
        <x:f t="shared" si="43"/>
        <x:v>0</x:v>
      </x:c>
      <x:c r="K105" s="231">
        <x:f t="shared" ref="K105:K108" si="45">D105-E105-F105-G105-H105-I105-J105</x:f>
        <x:v>0</x:v>
      </x:c>
      <x:c r="L105" s="230">
        <x:f>L10+L29+L48+L67+L86</x:f>
        <x:v>266580256</x:v>
      </x:c>
      <x:c r="M105" s="231">
        <x:f>K105-L105</x:f>
        <x:v>-266580256</x:v>
      </x:c>
      <x:c r="N105" s="230">
        <x:f>N10+N29+N48+N67+N86</x:f>
        <x:v>0</x:v>
      </x:c>
      <x:c r="O105" s="231">
        <x:f t="shared" ref="O105:O108" si="46">M105+N105</x:f>
        <x:v>-266580256</x:v>
      </x:c>
      <x:c r="Q105" s="242"/>
      <x:c r="S105" s="250">
        <x:v>2</x:v>
      </x:c>
      <x:c r="T105" s="251" t="s">
        <x:v>11</x:v>
      </x:c>
      <x:c r="U105" s="252">
        <x:f t="shared" si="44"/>
        <x:v>0</x:v>
      </x:c>
      <x:c r="V105" s="253">
        <x:f t="shared" si="44"/>
        <x:v>0</x:v>
      </x:c>
      <x:c r="W105" s="253">
        <x:f t="shared" si="44"/>
        <x:v>0</x:v>
      </x:c>
      <x:c r="X105" s="253">
        <x:f t="shared" si="44"/>
        <x:v>0</x:v>
      </x:c>
      <x:c r="Y105" s="254">
        <x:f t="shared" si="44"/>
        <x:v>0</x:v>
      </x:c>
      <x:c r="Z105" s="255">
        <x:f t="shared" si="44"/>
        <x:v>-266580256</x:v>
      </x:c>
      <x:c r="AA105" s="256">
        <x:f t="shared" si="44"/>
        <x:v>0</x:v>
      </x:c>
      <x:c r="AB105" s="230">
        <x:f t="shared" si="44"/>
        <x:v>0</x:v>
      </x:c>
      <x:c r="AC105" s="256">
        <x:f t="shared" ref="AC105" si="47">AC10+AC29+AC48+AC67+AC86</x:f>
        <x:v>0</x:v>
      </x:c>
      <x:c r="AD105" s="227">
        <x:f t="shared" ref="AD105:AD106" si="48">-J105+AE105</x:f>
        <x:v>0</x:v>
      </x:c>
      <x:c r="AE105" s="227">
        <x:f>AE10+AE29+AE48+AE67+AE86</x:f>
        <x:v>0</x:v>
      </x:c>
      <x:c r="AF105" s="258">
        <x:f>SUM(U105:AD105)</x:f>
        <x:v>-266580256</x:v>
      </x:c>
      <x:c r="AG105" s="259">
        <x:f>AF105-O105</x:f>
        <x:v>0</x:v>
      </x:c>
      <x:c r="AH105" s="1" t="b">
        <x:f t="shared" ref="AH105:AH109" si="49">INT(AG105)=0</x:f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3"/>
        <x:v>0</x:v>
      </x:c>
      <x:c r="E106" s="228">
        <x:f t="shared" si="43"/>
        <x:v>0</x:v>
      </x:c>
      <x:c r="F106" s="228">
        <x:f t="shared" si="43"/>
        <x:v>0</x:v>
      </x:c>
      <x:c r="G106" s="228">
        <x:f t="shared" si="43"/>
        <x:v>0</x:v>
      </x:c>
      <x:c r="H106" s="228">
        <x:f t="shared" si="43"/>
        <x:v>0</x:v>
      </x:c>
      <x:c r="I106" s="228">
        <x:f t="shared" si="43"/>
        <x:v>0</x:v>
      </x:c>
      <x:c r="J106" s="228">
        <x:f t="shared" si="43"/>
        <x:v>0</x:v>
      </x:c>
      <x:c r="K106" s="231">
        <x:f t="shared" si="45"/>
        <x:v>0</x:v>
      </x:c>
      <x:c r="L106" s="230">
        <x:f>L11+L30+L49+L68+L87</x:f>
        <x:v>154788536</x:v>
      </x:c>
      <x:c r="M106" s="231">
        <x:f>K106-L106</x:f>
        <x:v>-154788536</x:v>
      </x:c>
      <x:c r="N106" s="230">
        <x:f>N11+N30+N49+N68+N87</x:f>
        <x:v>0</x:v>
      </x:c>
      <x:c r="O106" s="231">
        <x:f t="shared" si="46"/>
        <x:v>-154788536</x:v>
      </x:c>
      <x:c r="Q106" s="242"/>
      <x:c r="S106" s="250">
        <x:v>3</x:v>
      </x:c>
      <x:c r="T106" s="251" t="s">
        <x:v>12</x:v>
      </x:c>
      <x:c r="U106" s="252">
        <x:f t="shared" si="44"/>
        <x:v>0</x:v>
      </x:c>
      <x:c r="V106" s="253">
        <x:f t="shared" si="44"/>
        <x:v>0</x:v>
      </x:c>
      <x:c r="W106" s="253">
        <x:f t="shared" si="44"/>
        <x:v>0</x:v>
      </x:c>
      <x:c r="X106" s="253">
        <x:f t="shared" si="44"/>
        <x:v>0</x:v>
      </x:c>
      <x:c r="Y106" s="254">
        <x:f t="shared" si="44"/>
        <x:v>0</x:v>
      </x:c>
      <x:c r="Z106" s="255">
        <x:f t="shared" si="44"/>
        <x:v>-154788536</x:v>
      </x:c>
      <x:c r="AA106" s="256">
        <x:f t="shared" si="44"/>
        <x:v>0</x:v>
      </x:c>
      <x:c r="AB106" s="230">
        <x:f t="shared" si="44"/>
        <x:v>0</x:v>
      </x:c>
      <x:c r="AC106" s="256">
        <x:f t="shared" ref="AC106" si="50">AC11+AC30+AC49+AC68+AC87</x:f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-154788536</x:v>
      </x:c>
      <x:c r="AG106" s="259">
        <x:f>AF106-O106</x:f>
        <x:v>0</x:v>
      </x:c>
      <x:c r="AH106" s="1" t="b">
        <x:f t="shared" si="49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3"/>
        <x:v>0</x:v>
      </x:c>
      <x:c r="E107" s="228">
        <x:f t="shared" si="43"/>
        <x:v>0</x:v>
      </x:c>
      <x:c r="F107" s="228">
        <x:f t="shared" si="43"/>
        <x:v>0</x:v>
      </x:c>
      <x:c r="G107" s="228">
        <x:f t="shared" si="43"/>
        <x:v>0</x:v>
      </x:c>
      <x:c r="H107" s="228">
        <x:f t="shared" si="43"/>
        <x:v>0</x:v>
      </x:c>
      <x:c r="I107" s="228">
        <x:f t="shared" si="43"/>
        <x:v>0</x:v>
      </x:c>
      <x:c r="J107" s="228">
        <x:f t="shared" si="43"/>
        <x:v>0</x:v>
      </x:c>
      <x:c r="K107" s="231">
        <x:f t="shared" si="45"/>
        <x:v>0</x:v>
      </x:c>
      <x:c r="L107" s="230">
        <x:f>L12+L31+L50+L69+L88</x:f>
        <x:v>120391083</x:v>
      </x:c>
      <x:c r="M107" s="231">
        <x:f>K107-L107</x:f>
        <x:v>-120391083</x:v>
      </x:c>
      <x:c r="N107" s="230">
        <x:f>N12+N31+N50+N69+N88</x:f>
        <x:v>0</x:v>
      </x:c>
      <x:c r="O107" s="231">
        <x:f>M107+N107</x:f>
        <x:v>-120391083</x:v>
      </x:c>
      <x:c r="Q107" s="242"/>
      <x:c r="S107" s="250">
        <x:v>4</x:v>
      </x:c>
      <x:c r="T107" s="251" t="s">
        <x:v>13</x:v>
      </x:c>
      <x:c r="U107" s="252">
        <x:f t="shared" si="44"/>
        <x:v>0</x:v>
      </x:c>
      <x:c r="V107" s="253">
        <x:f t="shared" si="44"/>
        <x:v>0</x:v>
      </x:c>
      <x:c r="W107" s="253">
        <x:f t="shared" si="44"/>
        <x:v>0</x:v>
      </x:c>
      <x:c r="X107" s="253">
        <x:f t="shared" si="44"/>
        <x:v>0</x:v>
      </x:c>
      <x:c r="Y107" s="254">
        <x:f t="shared" si="44"/>
        <x:v>0</x:v>
      </x:c>
      <x:c r="Z107" s="255">
        <x:f t="shared" si="44"/>
        <x:v>-120391083</x:v>
      </x:c>
      <x:c r="AA107" s="256">
        <x:f>AA12+AA31+AA50+AA69+AA88</x:f>
        <x:v>0</x:v>
      </x:c>
      <x:c r="AB107" s="230">
        <x:f t="shared" si="44"/>
        <x:v>0</x:v>
      </x:c>
      <x:c r="AC107" s="256">
        <x:f t="shared" ref="AC107" si="51">AC12+AC31+AC50+AC69+AC88</x:f>
        <x:v>0</x:v>
      </x:c>
      <x:c r="AD107" s="227">
        <x:f t="shared" ref="AD107" si="52">-J107+AE107</x:f>
        <x:v>0</x:v>
      </x:c>
      <x:c r="AE107" s="227">
        <x:f>AE12+AE31+AE50+AE69+AE88</x:f>
        <x:v>0</x:v>
      </x:c>
      <x:c r="AF107" s="258">
        <x:f t="shared" ref="AF107:AF108" si="53">SUM(U107:AD107)</x:f>
        <x:v>-120391083</x:v>
      </x:c>
      <x:c r="AG107" s="259">
        <x:f>AF117-O117</x:f>
        <x:v>0</x:v>
      </x:c>
      <x:c r="AH107" s="1" t="b">
        <x:f t="shared" si="49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3"/>
        <x:v>0</x:v>
      </x:c>
      <x:c r="F108" s="233">
        <x:f t="shared" si="43"/>
        <x:v>0</x:v>
      </x:c>
      <x:c r="G108" s="233">
        <x:f t="shared" si="43"/>
        <x:v>0</x:v>
      </x:c>
      <x:c r="H108" s="233">
        <x:f t="shared" si="43"/>
        <x:v>0</x:v>
      </x:c>
      <x:c r="I108" s="233">
        <x:f t="shared" si="43"/>
        <x:v>0</x:v>
      </x:c>
      <x:c r="J108" s="233">
        <x:f t="shared" si="43"/>
        <x:v>0</x:v>
      </x:c>
      <x:c r="K108" s="231">
        <x:f t="shared" si="45"/>
        <x:v>0</x:v>
      </x:c>
      <x:c r="L108" s="230">
        <x:f>L13+L32+L51+L70+L89</x:f>
        <x:v>128990446</x:v>
      </x:c>
      <x:c r="M108" s="234">
        <x:f>K108-L108</x:f>
        <x:v>-128990446</x:v>
      </x:c>
      <x:c r="N108" s="235">
        <x:f>N13+N32+N51+N70+N89</x:f>
        <x:v>0</x:v>
      </x:c>
      <x:c r="O108" s="234">
        <x:f t="shared" si="46"/>
        <x:v>-128990446</x:v>
      </x:c>
      <x:c r="Q108" s="242"/>
      <x:c r="S108" s="260">
        <x:v>5</x:v>
      </x:c>
      <x:c r="T108" s="261" t="s">
        <x:v>14</x:v>
      </x:c>
      <x:c r="U108" s="232">
        <x:f t="shared" si="44"/>
        <x:v>0</x:v>
      </x:c>
      <x:c r="V108" s="233">
        <x:f t="shared" si="44"/>
        <x:v>0</x:v>
      </x:c>
      <x:c r="W108" s="233">
        <x:f t="shared" si="44"/>
        <x:v>0</x:v>
      </x:c>
      <x:c r="X108" s="233">
        <x:f t="shared" si="44"/>
        <x:v>0</x:v>
      </x:c>
      <x:c r="Y108" s="225">
        <x:f t="shared" si="44"/>
        <x:v>0</x:v>
      </x:c>
      <x:c r="Z108" s="255">
        <x:f t="shared" si="44"/>
        <x:v>-128990446</x:v>
      </x:c>
      <x:c r="AA108" s="256">
        <x:f t="shared" si="44"/>
        <x:v>0</x:v>
      </x:c>
      <x:c r="AB108" s="230">
        <x:f t="shared" si="44"/>
        <x:v>0</x:v>
      </x:c>
      <x:c r="AC108" s="256">
        <x:f t="shared" ref="AC108" si="54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 t="shared" si="53"/>
        <x:v>-128990446</x:v>
      </x:c>
      <x:c r="AG108" s="262">
        <x:f>AF108-O108</x:f>
        <x:v>0</x:v>
      </x:c>
      <x:c r="AH108" s="1" t="b">
        <x:f t="shared" si="49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55">SUM(D104:D108)</x:f>
        <x:v>0</x:v>
      </x:c>
      <x:c r="E109" s="226">
        <x:f t="shared" si="55"/>
        <x:v>0</x:v>
      </x:c>
      <x:c r="F109" s="226">
        <x:f t="shared" si="55"/>
        <x:v>0</x:v>
      </x:c>
      <x:c r="G109" s="226">
        <x:f t="shared" si="55"/>
        <x:v>0</x:v>
      </x:c>
      <x:c r="H109" s="226">
        <x:f t="shared" si="55"/>
        <x:v>0</x:v>
      </x:c>
      <x:c r="I109" s="226">
        <x:f t="shared" si="55"/>
        <x:v>0</x:v>
      </x:c>
      <x:c r="J109" s="226">
        <x:f t="shared" si="55"/>
        <x:v>0</x:v>
      </x:c>
      <x:c r="K109" s="236">
        <x:f t="shared" si="55"/>
        <x:v>0</x:v>
      </x:c>
      <x:c r="L109" s="237">
        <x:f t="shared" si="55"/>
        <x:v>859936309</x:v>
      </x:c>
      <x:c r="M109" s="238">
        <x:f t="shared" si="55"/>
        <x:v>-859936309</x:v>
      </x:c>
      <x:c r="N109" s="237">
        <x:f t="shared" si="55"/>
        <x:v>0</x:v>
      </x:c>
      <x:c r="O109" s="238">
        <x:f t="shared" si="55"/>
        <x:v>-859936309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6">SUM(V104:V108)</x:f>
        <x:v>0</x:v>
      </x:c>
      <x:c r="W109" s="266">
        <x:f t="shared" si="56"/>
        <x:v>0</x:v>
      </x:c>
      <x:c r="X109" s="266">
        <x:f t="shared" si="56"/>
        <x:v>0</x:v>
      </x:c>
      <x:c r="Y109" s="266">
        <x:f t="shared" si="56"/>
        <x:v>0</x:v>
      </x:c>
      <x:c r="Z109" s="226">
        <x:f t="shared" si="56"/>
        <x:v>-859936309</x:v>
      </x:c>
      <x:c r="AA109" s="226">
        <x:f t="shared" si="56"/>
        <x:v>0</x:v>
      </x:c>
      <x:c r="AB109" s="226">
        <x:f t="shared" si="56"/>
        <x:v>0</x:v>
      </x:c>
      <x:c r="AC109" s="226">
        <x:f t="shared" si="56"/>
        <x:v>0</x:v>
      </x:c>
      <x:c r="AD109" s="226">
        <x:f t="shared" si="56"/>
        <x:v>0</x:v>
      </x:c>
      <x:c r="AE109" s="226">
        <x:f>SUM(AE104:AE108)</x:f>
        <x:v>0</x:v>
      </x:c>
      <x:c r="AF109" s="267">
        <x:f t="shared" si="56"/>
        <x:v>-859936309</x:v>
      </x:c>
      <x:c r="AG109" s="268">
        <x:f>SUM(AG104:AG108)</x:f>
        <x:v>0</x:v>
      </x:c>
      <x:c r="AH109" s="1" t="b">
        <x:f t="shared" si="49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241"/>
      <x:c r="AB112" s="241"/>
      <x:c r="AC112" s="241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1">
        <x:v>1</x:v>
      </x:c>
      <x:c r="C125" s="102" t="s">
        <x:v>10</x:v>
      </x:c>
      <x:c r="D125" s="103">
        <x:f>'ANTICIPOS USUARIOS'!I3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USUARIOS'!I12</x:f>
        <x:v>0</x:v>
      </x:c>
      <x:c r="L125" s="245">
        <x:f>-'ANTICIPOS USUARIOS'!I21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7">D67+N67</x:f>
        <x:v>0</x:v>
      </x:c>
      <x:c r="K126" s="224">
        <x:f>'ANTICIPOS USUARIOS'!I13</x:f>
        <x:v>0</x:v>
      </x:c>
      <x:c r="L126" s="224">
        <x:f>-'ANTICIPOS USUARIOS'!I22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7"/>
        <x:v>0</x:v>
      </x:c>
      <x:c r="K127" s="224">
        <x:f>'ANTICIPOS USUARIOS'!I14</x:f>
        <x:v>0</x:v>
      </x:c>
      <x:c r="L127" s="224">
        <x:f>-'ANTICIPOS USUARIOS'!I23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7"/>
        <x:v>0</x:v>
      </x:c>
      <x:c r="K128" s="224">
        <x:f>'ANTICIPOS USUARIOS'!I15</x:f>
        <x:v>0</x:v>
      </x:c>
      <x:c r="L128" s="224">
        <x:f>-'ANTICIPOS USUARIOS'!I24</x:f>
        <x:v>0</x:v>
      </x:c>
      <x:c r="O128" s="44"/>
      <x:c r="Q128" s="4"/>
    </x:row>
    <x:row r="129" spans="1:18" x14ac:dyDescent="0.2">
      <x:c r="B129" s="122">
        <x:v>5</x:v>
      </x:c>
      <x:c r="C129" s="127" t="s">
        <x:v>14</x:v>
      </x:c>
      <x:c r="D129" s="15">
        <x:f>'ANTICIPOS USUARIOS'!I7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7"/>
        <x:v>0</x:v>
      </x:c>
      <x:c r="K129" s="224">
        <x:f>'ANTICIPOS USUARIOS'!I16</x:f>
        <x:v>0</x:v>
      </x:c>
      <x:c r="L129" s="224">
        <x:f>-'ANTICIPOS USUARIOS'!I25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75" thickBot="1" x14ac:dyDescent="0.25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58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ENEL'!F21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BANCO'!E62)</x:f>
        <x:v>0</x:v>
      </x:c>
      <x:c r="J142" s="103">
        <x:f t="shared" ref="J142:K146" si="59">G125</x:f>
        <x:v>0</x:v>
      </x:c>
      <x:c r="K142" s="104">
        <x:f t="shared" si="59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443">
        <x:f>D143-E143-F143-G143-J143-H143-I143</x:f>
        <x:v>0</x:v>
      </x:c>
      <x:c r="M143" s="1" t="b">
        <x:f t="shared" ref="M143:M147" si="60"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443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443">
        <x:f>D145-E145-F145-G145-J145-H145-I145</x:f>
        <x:v>0</x:v>
      </x:c>
      <x:c r="M145" s="1" t="b">
        <x:f t="shared" si="60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ENEL'!F25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BANCO'!E72)</x:f>
        <x:v>0</x:v>
      </x:c>
      <x:c r="J146" s="123">
        <x:f t="shared" si="59"/>
        <x:v>0</x:v>
      </x:c>
      <x:c r="K146" s="125">
        <x:f t="shared" si="59"/>
        <x:v>0</x:v>
      </x:c>
      <x:c r="L146" s="443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443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53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M16" sqref="M16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ENEL'!F21</x:f>
        <x:v>0</x:v>
      </x:c>
      <x:c r="D3" s="228">
        <x:f>REMUNERACION_ENEL!G125</x:f>
        <x:v>0</x:v>
      </x:c>
      <x:c r="E3" s="228">
        <x:f>REMUNERACION_ENEL!D28+REMUNERACION_ENEL!N28</x:f>
        <x:v>0</x:v>
      </x:c>
      <x:c r="F3" s="228">
        <x:f>REMUNERACION_ENEL!I142</x:f>
        <x:v>0</x:v>
      </x:c>
      <x:c r="G3" s="228">
        <x:f>REMUNERACION_ENEL!H142</x:f>
        <x:v>0</x:v>
      </x:c>
      <x:c r="H3" s="276">
        <x:f>SUM(C3:G3)</x:f>
        <x:v>0</x:v>
      </x:c>
      <x:c r="I3" s="227">
        <x:f>REMUNERACION_ENEL!D104</x:f>
        <x:v>0</x:v>
      </x:c>
      <x:c r="J3" s="228">
        <x:f>REMUNERACION_ENEL!N104</x:f>
        <x:v>0</x:v>
      </x:c>
      <x:c r="K3" s="228">
        <x:f>REMUNERACION_ENEL!D125</x:f>
        <x:v>0</x:v>
      </x:c>
      <x:c r="L3" s="289">
        <x:f>REMUNERACION_ENEL!E125</x:f>
        <x:v>0</x:v>
      </x:c>
      <x:c r="M3" s="228">
        <x:f>-REMUNERACION_ENEL!D66-REMUNERACION_ENEL!N66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ENEL'!F22</x:f>
        <x:v>0</x:v>
      </x:c>
      <x:c r="D4" s="228">
        <x:f>REMUNERACION_ENEL!G126</x:f>
        <x:v>0</x:v>
      </x:c>
      <x:c r="E4" s="228">
        <x:f>REMUNERACION_ENEL!D29+REMUNERACION_ENEL!N29</x:f>
        <x:v>0</x:v>
      </x:c>
      <x:c r="F4" s="228">
        <x:f>REMUNERACION_ENEL!I143</x:f>
        <x:v>0</x:v>
      </x:c>
      <x:c r="G4" s="228">
        <x:f>REMUNERACION_ENEL!H143</x:f>
        <x:v>0</x:v>
      </x:c>
      <x:c r="H4" s="276">
        <x:f t="shared" ref="H4:H8" si="1">SUM(C4:G4)</x:f>
        <x:v>0</x:v>
      </x:c>
      <x:c r="I4" s="227">
        <x:f>REMUNERACION_ENEL!D105</x:f>
        <x:v>0</x:v>
      </x:c>
      <x:c r="J4" s="228">
        <x:f>REMUNERACION_ENEL!N105</x:f>
        <x:v>0</x:v>
      </x:c>
      <x:c r="K4" s="228">
        <x:f>REMUNERACION_ENEL!D126</x:f>
        <x:v>0</x:v>
      </x:c>
      <x:c r="L4" s="289">
        <x:f>REMUNERACION_ENEL!E126</x:f>
        <x:v>0</x:v>
      </x:c>
      <x:c r="M4" s="228">
        <x:f>-REMUNERACION_ENEL!D67-REMUNERACION_ENEL!N67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ENEL'!F23</x:f>
        <x:v>0</x:v>
      </x:c>
      <x:c r="D5" s="228">
        <x:f>REMUNERACION_ENEL!G127</x:f>
        <x:v>0</x:v>
      </x:c>
      <x:c r="E5" s="228">
        <x:f>REMUNERACION_ENEL!D30+REMUNERACION_ENEL!N30</x:f>
        <x:v>0</x:v>
      </x:c>
      <x:c r="F5" s="228">
        <x:f>REMUNERACION_ENEL!I144</x:f>
        <x:v>0</x:v>
      </x:c>
      <x:c r="G5" s="228">
        <x:f>REMUNERACION_ENEL!H144</x:f>
        <x:v>0</x:v>
      </x:c>
      <x:c r="H5" s="276">
        <x:f t="shared" si="1"/>
        <x:v>0</x:v>
      </x:c>
      <x:c r="I5" s="227">
        <x:f>REMUNERACION_ENEL!D106</x:f>
        <x:v>0</x:v>
      </x:c>
      <x:c r="J5" s="228">
        <x:f>REMUNERACION_ENEL!N106</x:f>
        <x:v>0</x:v>
      </x:c>
      <x:c r="K5" s="228">
        <x:f>REMUNERACION_ENEL!D127</x:f>
        <x:v>0</x:v>
      </x:c>
      <x:c r="L5" s="289">
        <x:f>REMUNERACION_ENEL!E127</x:f>
        <x:v>0</x:v>
      </x:c>
      <x:c r="M5" s="228">
        <x:f>-REMUNERACION_ENEL!D68-REMUNERACION_ENEL!N68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ENEL'!F24</x:f>
        <x:v>0</x:v>
      </x:c>
      <x:c r="D6" s="228">
        <x:f>REMUNERACION_ENEL!G128</x:f>
        <x:v>0</x:v>
      </x:c>
      <x:c r="E6" s="228">
        <x:f>REMUNERACION_ENEL!D31+REMUNERACION_ENEL!N31</x:f>
        <x:v>0</x:v>
      </x:c>
      <x:c r="F6" s="228">
        <x:f>REMUNERACION_ENEL!I145</x:f>
        <x:v>0</x:v>
      </x:c>
      <x:c r="G6" s="228">
        <x:f>REMUNERACION_ENEL!H145</x:f>
        <x:v>0</x:v>
      </x:c>
      <x:c r="H6" s="276">
        <x:f t="shared" si="1"/>
        <x:v>0</x:v>
      </x:c>
      <x:c r="I6" s="227">
        <x:f>REMUNERACION_ENEL!D107</x:f>
        <x:v>0</x:v>
      </x:c>
      <x:c r="J6" s="228">
        <x:f>REMUNERACION_ENEL!N107</x:f>
        <x:v>0</x:v>
      </x:c>
      <x:c r="K6" s="228">
        <x:f>REMUNERACION_ENEL!D128</x:f>
        <x:v>0</x:v>
      </x:c>
      <x:c r="L6" s="289">
        <x:f>REMUNERACION_ENEL!E128</x:f>
        <x:v>0</x:v>
      </x:c>
      <x:c r="M6" s="228">
        <x:f>-REMUNERACION_ENEL!D69-REMUNERACION_ENEL!N69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ENEL'!F25</x:f>
        <x:v>0</x:v>
      </x:c>
      <x:c r="D7" s="228">
        <x:f>REMUNERACION_ENEL!G129</x:f>
        <x:v>0</x:v>
      </x:c>
      <x:c r="E7" s="228">
        <x:f>REMUNERACION_ENEL!D32+REMUNERACION_ENEL!N32</x:f>
        <x:v>0</x:v>
      </x:c>
      <x:c r="F7" s="228">
        <x:f>REMUNERACION_ENEL!I146</x:f>
        <x:v>0</x:v>
      </x:c>
      <x:c r="G7" s="228">
        <x:f>REMUNERACION_ENEL!H146</x:f>
        <x:v>0</x:v>
      </x:c>
      <x:c r="H7" s="276">
        <x:f t="shared" si="1"/>
        <x:v>0</x:v>
      </x:c>
      <x:c r="I7" s="227">
        <x:f>REMUNERACION_ENEL!D108</x:f>
        <x:v>0</x:v>
      </x:c>
      <x:c r="J7" s="228">
        <x:f>REMUNERACION_ENEL!N108</x:f>
        <x:v>0</x:v>
      </x:c>
      <x:c r="K7" s="228">
        <x:f>REMUNERACION_ENEL!D129</x:f>
        <x:v>0</x:v>
      </x:c>
      <x:c r="L7" s="289">
        <x:f>REMUNERACION_ENEL!E129</x:f>
        <x:v>0</x:v>
      </x:c>
      <x:c r="M7" s="228">
        <x:f>-REMUNERACION_ENEL!D70-REMUNERACION_ENEL!N70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ENEL'!F26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REMUNERACION_ENEL!E130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Recaudo'!D7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zoomScaleNormal="100" workbookViewId="0">
      <x:selection activeCell="F17" sqref="F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REMUNERACION_ENEL!D101</x:f>
        <x:v>46238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REMUNERACION_ENEL!D102</x:f>
        <x:v>0.58333333333333337</x:v>
      </x:c>
      <x:c r="F7" s="2" t="s">
        <x:v>27</x:v>
      </x:c>
      <x:c r="G7" s="9">
        <x:f>REMUNERACION_ENEL!G102</x:f>
        <x:v>46219</x:v>
      </x:c>
      <x:c r="J7" s="2" t="s">
        <x:v>28</x:v>
      </x:c>
      <x:c r="K7" s="9">
        <x:f>REMUNERACION_ENEL!K102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10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REMUNERACION_ENEL!G122</x:f>
        <x:v>46219</x:v>
      </x:c>
      <x:c r="J27" s="2" t="s">
        <x:v>28</x:v>
      </x:c>
      <x:c r="K27" s="9">
        <x:f>REMUNERACION_ENEL!K122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REMUNERACION_ENEL!D125</x:f>
        <x:v>0</x:v>
      </x:c>
      <x:c r="E30" s="104">
        <x:f>REMUNERACION_ENEL!E125</x:f>
        <x:v>0</x:v>
      </x:c>
      <x:c r="G30" s="272">
        <x:f>REMUNERACION_ENEL!G125</x:f>
        <x:v>0</x:v>
      </x:c>
      <x:c r="H30" s="246">
        <x:f>REMUNERACION_ENEL!H125</x:f>
        <x:v>0</x:v>
      </x:c>
      <x:c r="I30" s="245">
        <x:f>REMUNERACION_ENEL!I125</x:f>
        <x:v>0</x:v>
      </x:c>
      <x:c r="J30" s="245">
        <x:f>REMUNERACION_ENEL!J125</x:f>
        <x:v>0</x:v>
      </x:c>
      <x:c r="K30" s="245">
        <x:f>REMUNERACION_ENEL!K125</x:f>
        <x:v>0</x:v>
      </x:c>
      <x:c r="L30" s="245">
        <x:f>REMUNERACION_ENEL!L125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275">
        <x:f>REMUNERACION_ENEL!G126</x:f>
        <x:v>0</x:v>
      </x:c>
      <x:c r="H31" s="276">
        <x:f>REMUNERACION_ENEL!H126</x:f>
        <x:v>0</x:v>
      </x:c>
      <x:c r="I31" s="224">
        <x:f>REMUNERACION_ENEL!I126</x:f>
        <x:v>0</x:v>
      </x:c>
      <x:c r="J31" s="224">
        <x:f>REMUNERACION_ENEL!J126</x:f>
        <x:v>0</x:v>
      </x:c>
      <x:c r="K31" s="224">
        <x:f>REMUNERACION_ENEL!K126</x:f>
        <x:v>0</x:v>
      </x:c>
      <x:c r="L31" s="224">
        <x:f>REMUNERACION_ENEL!L126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275">
        <x:f>REMUNERACION_ENEL!G127</x:f>
        <x:v>0</x:v>
      </x:c>
      <x:c r="H32" s="276">
        <x:f>REMUNERACION_ENEL!H127</x:f>
        <x:v>0</x:v>
      </x:c>
      <x:c r="I32" s="224">
        <x:f>REMUNERACION_ENEL!I127</x:f>
        <x:v>0</x:v>
      </x:c>
      <x:c r="J32" s="224">
        <x:f>REMUNERACION_ENEL!J127</x:f>
        <x:v>0</x:v>
      </x:c>
      <x:c r="K32" s="224">
        <x:f>REMUNERACION_ENEL!K127</x:f>
        <x:v>0</x:v>
      </x:c>
      <x:c r="L32" s="224">
        <x:f>REMUNERACION_ENEL!L127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275">
        <x:f>REMUNERACION_ENEL!G128</x:f>
        <x:v>0</x:v>
      </x:c>
      <x:c r="H33" s="276">
        <x:f>REMUNERACION_ENEL!H128</x:f>
        <x:v>0</x:v>
      </x:c>
      <x:c r="I33" s="224">
        <x:f>REMUNERACION_ENEL!I128</x:f>
        <x:v>0</x:v>
      </x:c>
      <x:c r="J33" s="224">
        <x:f>REMUNERACION_ENEL!J128</x:f>
        <x:v>0</x:v>
      </x:c>
      <x:c r="K33" s="224">
        <x:f>REMUNERACION_ENEL!K128</x:f>
        <x:v>0</x:v>
      </x:c>
      <x:c r="L33" s="224">
        <x:f>REMUNERACION_ENEL!L128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REMUNERACION_ENEL!D129</x:f>
        <x:v>0</x:v>
      </x:c>
      <x:c r="E34" s="128">
        <x:f>REMUNERACION_ENEL!E129</x:f>
        <x:v>0</x:v>
      </x:c>
      <x:c r="G34" s="275">
        <x:f>REMUNERACION_ENEL!G129</x:f>
        <x:v>0</x:v>
      </x:c>
      <x:c r="H34" s="276">
        <x:f>REMUNERACION_ENEL!H129</x:f>
        <x:v>0</x:v>
      </x:c>
      <x:c r="I34" s="224">
        <x:f>REMUNERACION_ENEL!I129</x:f>
        <x:v>0</x:v>
      </x:c>
      <x:c r="J34" s="224">
        <x:f>REMUNERACION_ENEL!J129</x:f>
        <x:v>0</x:v>
      </x:c>
      <x:c r="K34" s="224">
        <x:f>REMUNERACION_ENEL!K129</x:f>
        <x:v>0</x:v>
      </x:c>
      <x:c r="L34" s="224">
        <x:f>REMUNERACION_ENEL!L129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2</x:v>
      </x:c>
      <x:c r="D36" s="100">
        <x:f t="shared" ref="D36" si="5">SUM(D30:D34)</x:f>
        <x:v>0</x:v>
      </x:c>
      <x:c r="E36" s="100">
        <x:f>REMUNERACION_ENEL!E131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08" t="b">
        <x:f>D14=REMUNERACION_ENEL!D109</x:f>
        <x:v>1</x:v>
      </x:c>
      <x:c r="E45" s="208" t="b">
        <x:f>E14=REMUNERACION_ENEL!E109</x:f>
        <x:v>1</x:v>
      </x:c>
      <x:c r="F45" s="208" t="b">
        <x:f>F14=REMUNERACION_ENEL!F109</x:f>
        <x:v>1</x:v>
      </x:c>
      <x:c r="G45" s="208" t="b">
        <x:f>G14=REMUNERACION_ENEL!G109</x:f>
        <x:v>1</x:v>
      </x:c>
      <x:c r="H45" s="208" t="b">
        <x:f>H14=REMUNERACION_ENEL!H109</x:f>
        <x:v>1</x:v>
      </x:c>
      <x:c r="I45" s="208" t="b">
        <x:f>I14=REMUNERACION_ENEL!I109</x:f>
        <x:v>1</x:v>
      </x:c>
      <x:c r="J45" s="208" t="b">
        <x:f>J14=REMUNERACION_ENEL!J109</x:f>
        <x:v>1</x:v>
      </x:c>
      <x:c r="K45" s="208" t="b">
        <x:f>K14=REMUNERACION_ENEL!K109</x:f>
        <x:v>1</x:v>
      </x:c>
      <x:c r="L45" s="208" t="b">
        <x:f>L14=REMUNERACION_ENEL!L109</x:f>
        <x:v>1</x:v>
      </x:c>
      <x:c r="M45" s="208" t="b">
        <x:f>M14=REMUNERACION_ENEL!M109</x:f>
        <x:v>1</x:v>
      </x:c>
      <x:c r="N45" s="208" t="b">
        <x:f>N14=REMUNERACION_ENEL!N109</x:f>
        <x:v>1</x:v>
      </x:c>
      <x:c r="O45" s="208" t="b">
        <x:f>O14=REMUNERACION_ENEL!O109</x:f>
        <x:v>1</x:v>
      </x:c>
      <x:c r="Q45" s="24"/>
      <x:c r="T45" s="24"/>
    </x:row>
    <x:row r="46" spans="1:20" x14ac:dyDescent="0.2">
      <x:c r="D46" s="208" t="b">
        <x:f>D36=REMUNERACION_ENEL!D131</x:f>
        <x:v>1</x:v>
      </x:c>
      <x:c r="E46" s="208" t="b">
        <x:f>E36=REMUNERACION_ENEL!E131</x:f>
        <x:v>1</x:v>
      </x:c>
      <x:c r="F46" s="208" t="b">
        <x:f>F36=REMUNERACION_ENEL!F131</x:f>
        <x:v>1</x:v>
      </x:c>
      <x:c r="G46" s="208" t="b">
        <x:f>G36=REMUNERACION_ENEL!G131</x:f>
        <x:v>1</x:v>
      </x:c>
      <x:c r="H46" s="208" t="b">
        <x:f>H36=REMUNERACION_ENEL!H131</x:f>
        <x:v>1</x:v>
      </x:c>
      <x:c r="I46" s="208" t="b">
        <x:f>I36=REMUNERACION_ENEL!I131</x:f>
        <x:v>1</x:v>
      </x:c>
      <x:c r="J46" s="208" t="b">
        <x:f>J36=REMUNERACION_ENEL!J131</x:f>
        <x:v>1</x:v>
      </x:c>
      <x:c r="K46" s="208" t="b">
        <x:f>K36=REMUNERACION_ENEL!K131</x:f>
        <x:v>1</x:v>
      </x:c>
      <x:c r="L46" s="208" t="b">
        <x:f>L36=REMUNERACION_ENEL!L131</x:f>
        <x:v>1</x:v>
      </x:c>
      <x:c r="M46" s="208" t="b">
        <x:f>M36=REMUNERACION_ENEL!M131</x:f>
        <x:v>1</x:v>
      </x:c>
      <x:c r="N46" s="208" t="b">
        <x:f>N36=REMUNERACION_ENEL!N131</x:f>
        <x:v>1</x:v>
      </x:c>
      <x:c r="O46" s="208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zoomScaleNormal="100" workbookViewId="0">
      <x:selection activeCell="K17" sqref="K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7109375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1:35" ht="12.75" thickBot="1" x14ac:dyDescent="0.25">
      <x:c r="A1" s="198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x14ac:dyDescent="0.2">
      <x:c r="B9" s="239">
        <x:v>1</x:v>
      </x:c>
      <x:c r="C9" s="240" t="s">
        <x:v>10</x:v>
      </x:c>
      <x:c r="D9" s="227">
        <x:f>'Reporte Componentes R1'!F68</x:f>
        <x:v>0</x:v>
      </x:c>
      <x:c r="E9" s="227">
        <x:f>'Reporte Componentes R1'!G68</x:f>
        <x:v>0</x:v>
      </x:c>
      <x:c r="F9" s="227">
        <x:f>'Reporte Componentes R1'!H68</x:f>
        <x:v>0</x:v>
      </x:c>
      <x:c r="G9" s="227">
        <x:f>'Reporte Componentes R1'!I68</x:f>
        <x:v>0</x:v>
      </x:c>
      <x:c r="H9" s="227">
        <x:f>'Reporte Componentes R1'!J68</x:f>
        <x:v>0</x:v>
      </x:c>
      <x:c r="I9" s="227">
        <x:f>'Reporte Componentes R1'!K68</x:f>
        <x:v>0</x:v>
      </x:c>
      <x:c r="J9" s="227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R1'!L68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R1'!M68</x:f>
        <x:v>0</x:v>
      </x:c>
      <x:c r="V9" s="243">
        <x:f>'Reporte Componentes R1'!N68</x:f>
        <x:v>0</x:v>
      </x:c>
      <x:c r="W9" s="243">
        <x:f>'Reporte Componentes R1'!O68</x:f>
        <x:v>0</x:v>
      </x:c>
      <x:c r="X9" s="243">
        <x:f>'Reporte Componentes R1'!P68</x:f>
        <x:v>0</x:v>
      </x:c>
      <x:c r="Y9" s="243">
        <x:f>'Reporte Componentes R1'!Q68</x:f>
        <x:v>0</x:v>
      </x:c>
      <x:c r="Z9" s="255">
        <x:f>L9*-1</x:f>
        <x:v>0</x:v>
      </x:c>
      <x:c r="AA9" s="256">
        <x:f>'Reporte Componentes R1'!R68+'Reporte Componentes R1'!V187+'Reporte Componentes R1'!U68</x:f>
        <x:v>0</x:v>
      </x:c>
      <x:c r="AB9" s="230">
        <x:f>N9</x:f>
        <x:v>0</x:v>
      </x:c>
      <x:c r="AC9" s="256">
        <x:f>'Reporte Componentes R1'!T68+'Reporte Componentes R1'!W68+'Reporte Componentes R1'!X68+'Reporte Componentes R1'!Y68+'Reporte Componentes R1'!Z68+'Reporte Componentes R1'!S68</x:f>
        <x:v>0</x:v>
      </x:c>
      <x:c r="AD9" s="227">
        <x:f>-J9+AE9</x:f>
        <x:v>0</x:v>
      </x:c>
      <x:c r="AE9" s="227">
        <x:f>'Reporte Componentes R1'!F69</x:f>
        <x:v>0</x:v>
      </x:c>
      <x:c r="AF9" s="249">
        <x:f>SUM(U9:AD9)</x:f>
        <x:v>0</x:v>
      </x:c>
      <x:c r="AG9" s="247">
        <x:f>(AF9-O9)</x:f>
        <x:v>0</x:v>
      </x:c>
      <x:c r="AH9" s="1" t="b">
        <x:f>INT(AG9)=0</x:f>
        <x:v>1</x:v>
      </x:c>
      <x:c r="AI9" s="242"/>
    </x:row>
    <x:row r="10" spans="1:35" s="241" customFormat="1" x14ac:dyDescent="0.2">
      <x:c r="B10" s="250">
        <x:v>2</x:v>
      </x:c>
      <x:c r="C10" s="251" t="s">
        <x:v>11</x:v>
      </x:c>
      <x:c r="D10" s="227">
        <x:f>'Reporte Componentes R1'!F221</x:f>
        <x:v>0</x:v>
      </x:c>
      <x:c r="E10" s="227">
        <x:f>'Reporte Componentes R1'!G221</x:f>
        <x:v>0</x:v>
      </x:c>
      <x:c r="F10" s="227">
        <x:f>'Reporte Componentes R1'!H221</x:f>
        <x:v>0</x:v>
      </x:c>
      <x:c r="G10" s="227">
        <x:f>'Reporte Componentes R1'!I221</x:f>
        <x:v>0</x:v>
      </x:c>
      <x:c r="H10" s="227">
        <x:f>'Reporte Componentes R1'!J221</x:f>
        <x:v>0</x:v>
      </x:c>
      <x:c r="I10" s="227">
        <x:f>'Reporte Componentes R1'!K221</x:f>
        <x:v>0</x:v>
      </x:c>
      <x:c r="J10" s="227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R1'!L221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R1'!M221</x:f>
        <x:v>0</x:v>
      </x:c>
      <x:c r="V10" s="252">
        <x:f>'Reporte Componentes R1'!N221</x:f>
        <x:v>0</x:v>
      </x:c>
      <x:c r="W10" s="252">
        <x:f>'Reporte Componentes R1'!O221</x:f>
        <x:v>0</x:v>
      </x:c>
      <x:c r="X10" s="252">
        <x:f>'Reporte Componentes R1'!P221</x:f>
        <x:v>0</x:v>
      </x:c>
      <x:c r="Y10" s="252">
        <x:f>'Reporte Componentes R1'!Q221</x:f>
        <x:v>0</x:v>
      </x:c>
      <x:c r="Z10" s="255">
        <x:f>L10*-1</x:f>
        <x:v>0</x:v>
      </x:c>
      <x:c r="AA10" s="256">
        <x:f>'Reporte Componentes R1'!R221+'Reporte Componentes R1'!V221+'Reporte Componentes R1'!U221</x:f>
        <x:v>0</x:v>
      </x:c>
      <x:c r="AB10" s="230">
        <x:f>N10</x:f>
        <x:v>0</x:v>
      </x:c>
      <x:c r="AC10" s="256">
        <x:f>'Reporte Componentes R1'!T298+'Reporte Componentes R1'!W298+'Reporte Componentes R1'!X298+'Reporte Componentes R1'!Y298+'Reporte Componentes R1'!Z298+'Reporte Componentes R1'!S298</x:f>
        <x:v>0</x:v>
      </x:c>
      <x:c r="AD10" s="227">
        <x:f t="shared" ref="AD10:AD13" si="2">-J10+AE10</x:f>
        <x:v>0</x:v>
      </x:c>
      <x:c r="AE10" s="227">
        <x:f>'Reporte Componentes R1'!F222</x:f>
        <x:v>0</x:v>
      </x:c>
      <x:c r="AF10" s="258">
        <x:f>SUM(U10:AD10)</x:f>
        <x:v>0</x:v>
      </x:c>
      <x:c r="AG10" s="259">
        <x:f>(AF10-O10)</x:f>
        <x:v>0</x:v>
      </x:c>
      <x:c r="AH10" s="1" t="b">
        <x:f t="shared" ref="AH10:AH14" si="3">INT(AG10)=0</x:f>
        <x:v>1</x:v>
      </x:c>
      <x:c r="AI10" s="242"/>
    </x:row>
    <x:row r="11" spans="1:35" s="241" customFormat="1" x14ac:dyDescent="0.2">
      <x:c r="B11" s="250">
        <x:v>3</x:v>
      </x:c>
      <x:c r="C11" s="251" t="s">
        <x:v>12</x:v>
      </x:c>
      <x:c r="D11" s="227">
        <x:f>'Reporte Componentes R1'!F358</x:f>
        <x:v>0</x:v>
      </x:c>
      <x:c r="E11" s="227">
        <x:f>'Reporte Componentes R1'!G358</x:f>
        <x:v>0</x:v>
      </x:c>
      <x:c r="F11" s="227">
        <x:f>'Reporte Componentes R1'!H358</x:f>
        <x:v>0</x:v>
      </x:c>
      <x:c r="G11" s="227">
        <x:f>'Reporte Componentes R1'!I358</x:f>
        <x:v>0</x:v>
      </x:c>
      <x:c r="H11" s="227">
        <x:f>'Reporte Componentes R1'!J358</x:f>
        <x:v>0</x:v>
      </x:c>
      <x:c r="I11" s="227">
        <x:f>'Reporte Componentes R1'!K358</x:f>
        <x:v>0</x:v>
      </x:c>
      <x:c r="J11" s="227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R1'!L358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R1'!M358</x:f>
        <x:v>0</x:v>
      </x:c>
      <x:c r="V11" s="252">
        <x:f>'Reporte Componentes R1'!N358</x:f>
        <x:v>0</x:v>
      </x:c>
      <x:c r="W11" s="252">
        <x:f>'Reporte Componentes R1'!O358</x:f>
        <x:v>0</x:v>
      </x:c>
      <x:c r="X11" s="252">
        <x:f>'Reporte Componentes R1'!P358</x:f>
        <x:v>0</x:v>
      </x:c>
      <x:c r="Y11" s="252">
        <x:f>'Reporte Componentes R1'!Q358</x:f>
        <x:v>0</x:v>
      </x:c>
      <x:c r="Z11" s="255">
        <x:f>L11*-1</x:f>
        <x:v>0</x:v>
      </x:c>
      <x:c r="AA11" s="256">
        <x:f>'Reporte Componentes R1'!R358+'Reporte Componentes R1'!V358+'Reporte Componentes R1'!U358</x:f>
        <x:v>0</x:v>
      </x:c>
      <x:c r="AB11" s="230">
        <x:f>N11</x:f>
        <x:v>0</x:v>
      </x:c>
      <x:c r="AC11" s="256">
        <x:f>'Reporte Componentes R1'!T358+'Reporte Componentes R1'!W358+'Reporte Componentes R1'!X358+'Reporte Componentes R1'!Y358+'Reporte Componentes R1'!Z358+'Reporte Componentes R1'!S358</x:f>
        <x:v>0</x:v>
      </x:c>
      <x:c r="AD11" s="227">
        <x:f t="shared" si="2"/>
        <x:v>0</x:v>
      </x:c>
      <x:c r="AE11" s="227">
        <x:f>'Reporte Componentes R1'!F359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1" t="b">
        <x:f t="shared" si="3"/>
        <x:v>1</x:v>
      </x:c>
      <x:c r="AI11" s="242"/>
    </x:row>
    <x:row r="12" spans="1:35" s="241" customFormat="1" x14ac:dyDescent="0.2">
      <x:c r="B12" s="250">
        <x:v>4</x:v>
      </x:c>
      <x:c r="C12" s="251" t="s">
        <x:v>13</x:v>
      </x:c>
      <x:c r="D12" s="227">
        <x:f>'Reporte Componentes R1'!F483</x:f>
        <x:v>0</x:v>
      </x:c>
      <x:c r="E12" s="227">
        <x:f>'Reporte Componentes R1'!G483</x:f>
        <x:v>0</x:v>
      </x:c>
      <x:c r="F12" s="227">
        <x:f>'Reporte Componentes R1'!H483</x:f>
        <x:v>0</x:v>
      </x:c>
      <x:c r="G12" s="227">
        <x:f>'Reporte Componentes R1'!I483</x:f>
        <x:v>0</x:v>
      </x:c>
      <x:c r="H12" s="227">
        <x:f>'Reporte Componentes R1'!J483</x:f>
        <x:v>0</x:v>
      </x:c>
      <x:c r="I12" s="227">
        <x:f>'Reporte Componentes R1'!K483</x:f>
        <x:v>0</x:v>
      </x:c>
      <x:c r="J12" s="227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R1'!L483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R1'!M483</x:f>
        <x:v>0</x:v>
      </x:c>
      <x:c r="V12" s="252">
        <x:f>'Reporte Componentes R1'!N483</x:f>
        <x:v>0</x:v>
      </x:c>
      <x:c r="W12" s="252">
        <x:f>'Reporte Componentes R1'!O483</x:f>
        <x:v>0</x:v>
      </x:c>
      <x:c r="X12" s="252">
        <x:f>'Reporte Componentes R1'!P483</x:f>
        <x:v>0</x:v>
      </x:c>
      <x:c r="Y12" s="252">
        <x:f>'Reporte Componentes R1'!Q483</x:f>
        <x:v>0</x:v>
      </x:c>
      <x:c r="Z12" s="255">
        <x:f>L12*-1</x:f>
        <x:v>0</x:v>
      </x:c>
      <x:c r="AA12" s="256">
        <x:f>'Reporte Componentes R1'!R483+'Reporte Componentes R1'!V483+'Reporte Componentes R1'!U483</x:f>
        <x:v>0</x:v>
      </x:c>
      <x:c r="AB12" s="230">
        <x:f>N12</x:f>
        <x:v>0</x:v>
      </x:c>
      <x:c r="AC12" s="256">
        <x:f>'Reporte Componentes R1'!T483+'Reporte Componentes R1'!W483+'Reporte Componentes R1'!X483+'Reporte Componentes R1'!Y483+'Reporte Componentes R1'!Z483+'Reporte Componentes R1'!S483</x:f>
        <x:v>0</x:v>
      </x:c>
      <x:c r="AD12" s="227">
        <x:f t="shared" si="2"/>
        <x:v>0</x:v>
      </x:c>
      <x:c r="AE12" s="227">
        <x:f>'Reporte Componentes R1'!F484</x:f>
        <x:v>0</x:v>
      </x:c>
      <x:c r="AF12" s="258">
        <x:f t="shared" si="4"/>
        <x:v>0</x:v>
      </x:c>
      <x:c r="AG12" s="259">
        <x:f>(AF12-O12)</x:f>
        <x:v>0</x:v>
      </x:c>
      <x:c r="AH12" s="1" t="b">
        <x:f t="shared" si="3"/>
        <x:v>1</x:v>
      </x:c>
      <x:c r="AI12" s="242"/>
    </x:row>
    <x:row r="13" spans="1:35" s="241" customFormat="1" ht="12.75" thickBot="1" x14ac:dyDescent="0.25">
      <x:c r="B13" s="260">
        <x:v>5</x:v>
      </x:c>
      <x:c r="C13" s="261" t="s">
        <x:v>14</x:v>
      </x:c>
      <x:c r="D13" s="232">
        <x:f>'Reporte Componentes R1'!F573</x:f>
        <x:v>0</x:v>
      </x:c>
      <x:c r="E13" s="232">
        <x:f>'Reporte Componentes R1'!G573</x:f>
        <x:v>0</x:v>
      </x:c>
      <x:c r="F13" s="232">
        <x:f>'Reporte Componentes R1'!H573</x:f>
        <x:v>0</x:v>
      </x:c>
      <x:c r="G13" s="232">
        <x:f>'Reporte Componentes R1'!I573</x:f>
        <x:v>0</x:v>
      </x:c>
      <x:c r="H13" s="232">
        <x:f>'Reporte Componentes R1'!J573</x:f>
        <x:v>0</x:v>
      </x:c>
      <x:c r="I13" s="232">
        <x:f>'Reporte Componentes R1'!K573</x:f>
        <x:v>0</x:v>
      </x:c>
      <x:c r="J13" s="232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R1'!L573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R1'!M573</x:f>
        <x:v>0</x:v>
      </x:c>
      <x:c r="V13" s="232">
        <x:f>'Reporte Componentes R1'!N573</x:f>
        <x:v>0</x:v>
      </x:c>
      <x:c r="W13" s="232">
        <x:f>'Reporte Componentes R1'!O573</x:f>
        <x:v>0</x:v>
      </x:c>
      <x:c r="X13" s="232">
        <x:f>'Reporte Componentes R1'!P573</x:f>
        <x:v>0</x:v>
      </x:c>
      <x:c r="Y13" s="232">
        <x:f>'Reporte Componentes R1'!Q573</x:f>
        <x:v>0</x:v>
      </x:c>
      <x:c r="Z13" s="255">
        <x:f>L13*-1</x:f>
        <x:v>0</x:v>
      </x:c>
      <x:c r="AA13" s="256">
        <x:f>'Reporte Componentes R1'!R573+'Reporte Componentes R1'!V573+'Reporte Componentes R1'!U573</x:f>
        <x:v>0</x:v>
      </x:c>
      <x:c r="AB13" s="230">
        <x:f>N13</x:f>
        <x:v>0</x:v>
      </x:c>
      <x:c r="AC13" s="256">
        <x:f>'Reporte Componentes R1'!T573+'Reporte Componentes R1'!W573+'Reporte Componentes R1'!X573+'Reporte Componentes R1'!Y573+'Reporte Componentes R1'!Z573+'Reporte Componentes R1'!S573</x:f>
        <x:v>0</x:v>
      </x:c>
      <x:c r="AD13" s="227">
        <x:f t="shared" si="2"/>
        <x:v>0</x:v>
      </x:c>
      <x:c r="AE13" s="227">
        <x:f>'Reporte Componentes R1'!F574</x:f>
        <x:v>0</x:v>
      </x:c>
      <x:c r="AF13" s="258">
        <x:f t="shared" si="4"/>
        <x:v>0</x:v>
      </x:c>
      <x:c r="AG13" s="262">
        <x:f>(AF13-O13)</x:f>
        <x:v>0</x:v>
      </x:c>
      <x:c r="AH13" s="1" t="b">
        <x:f t="shared" si="3"/>
        <x:v>1</x:v>
      </x:c>
      <x:c r="AI13" s="242"/>
    </x:row>
    <x:row r="14" spans="1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1" t="b">
        <x:f t="shared" si="3"/>
        <x:v>1</x:v>
      </x:c>
      <x:c r="AI14" s="242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198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R2'!E52</x:f>
        <x:v>0</x:v>
      </x:c>
      <x:c r="E28" s="227">
        <x:f>'Rem. Anticipos R2'!F52</x:f>
        <x:v>0</x:v>
      </x:c>
      <x:c r="F28" s="227">
        <x:f>'Rem. Anticipos R2'!G52</x:f>
        <x:v>0</x:v>
      </x:c>
      <x:c r="G28" s="227">
        <x:f>'Rem. Anticipos R2'!H52</x:f>
        <x:v>0</x:v>
      </x:c>
      <x:c r="H28" s="227">
        <x:f>'Rem. Anticipos R2'!I52</x:f>
        <x:v>0</x:v>
      </x:c>
      <x:c r="I28" s="227">
        <x:f>'Rem. Anticipos R2'!J52</x:f>
        <x:v>0</x:v>
      </x:c>
      <x:c r="J28" s="227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R2'!K52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R2'!L52</x:f>
        <x:v>0</x:v>
      </x:c>
      <x:c r="V28" s="243">
        <x:f>'Rem. Anticipos R2'!M52</x:f>
        <x:v>0</x:v>
      </x:c>
      <x:c r="W28" s="243">
        <x:f>'Rem. Anticipos R2'!N52</x:f>
        <x:v>0</x:v>
      </x:c>
      <x:c r="X28" s="243">
        <x:f>'Rem. Anticipos R2'!O52</x:f>
        <x:v>0</x:v>
      </x:c>
      <x:c r="Y28" s="243">
        <x:f>'Rem. Anticipos R2'!P52</x:f>
        <x:v>0</x:v>
      </x:c>
      <x:c r="Z28" s="246">
        <x:f>L28*-1</x:f>
        <x:v>0</x:v>
      </x:c>
      <x:c r="AA28" s="247">
        <x:f>'Rem. Anticipos R2'!Q52</x:f>
        <x:v>0</x:v>
      </x:c>
      <x:c r="AB28" s="230">
        <x:f>N28</x:f>
        <x:v>0</x:v>
      </x:c>
      <x:c r="AC28" s="247">
        <x:f>'Rem. Anticipos R2'!R52</x:f>
        <x:v>0</x:v>
      </x:c>
      <x:c r="AD28" s="227">
        <x:f>-J28+AE28</x:f>
        <x:v>0</x:v>
      </x:c>
      <x:c r="AE28" s="227">
        <x:f>'Rem. Anticipos R2'!E53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R2'!E148</x:f>
        <x:v>0</x:v>
      </x:c>
      <x:c r="E29" s="228">
        <x:f>'Rem. Anticipos R2'!F148</x:f>
        <x:v>0</x:v>
      </x:c>
      <x:c r="F29" s="228">
        <x:f>'Rem. Anticipos R2'!G148</x:f>
        <x:v>0</x:v>
      </x:c>
      <x:c r="G29" s="228">
        <x:f>'Rem. Anticipos R2'!H148</x:f>
        <x:v>0</x:v>
      </x:c>
      <x:c r="H29" s="228">
        <x:f>'Rem. Anticipos R2'!I148</x:f>
        <x:v>0</x:v>
      </x:c>
      <x:c r="I29" s="228">
        <x:f>'Rem. Anticipos R2'!J148</x:f>
        <x:v>0</x:v>
      </x:c>
      <x:c r="J29" s="224">
        <x:v>0</x:v>
      </x:c>
      <x:c r="K29" s="231">
        <x:f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R2'!K148</x:f>
        <x:v>0</x:v>
      </x:c>
      <x:c r="O29" s="231">
        <x:f t="shared" ref="O29:O32" si="7">M29+N29</x:f>
        <x:v>0</x:v>
      </x:c>
      <x:c r="Q29" s="242"/>
      <x:c r="S29" s="250">
        <x:v>2</x:v>
      </x:c>
      <x:c r="T29" s="251" t="s">
        <x:v>11</x:v>
      </x:c>
      <x:c r="U29" s="252">
        <x:f>'Rem. Anticipos R2'!L148</x:f>
        <x:v>0</x:v>
      </x:c>
      <x:c r="V29" s="253">
        <x:f>'Rem. Anticipos R2'!M148</x:f>
        <x:v>0</x:v>
      </x:c>
      <x:c r="W29" s="253">
        <x:f>'Rem. Anticipos R2'!N148</x:f>
        <x:v>0</x:v>
      </x:c>
      <x:c r="X29" s="253">
        <x:f>'Rem. Anticipos R2'!O148</x:f>
        <x:v>0</x:v>
      </x:c>
      <x:c r="Y29" s="254">
        <x:f>'Rem. Anticipos R2'!P148</x:f>
        <x:v>0</x:v>
      </x:c>
      <x:c r="Z29" s="255">
        <x:f>L29*-1</x:f>
        <x:v>0</x:v>
      </x:c>
      <x:c r="AA29" s="256">
        <x:f>'Rem. Anticipos R2'!Q148</x:f>
        <x:v>0</x:v>
      </x:c>
      <x:c r="AB29" s="230">
        <x:f>N29</x:f>
        <x:v>0</x:v>
      </x:c>
      <x:c r="AC29" s="256">
        <x:f>'Rem. Anticipos R2'!R148</x:f>
        <x:v>0</x:v>
      </x:c>
      <x:c r="AD29" s="227">
        <x:f>-J29+AE29</x:f>
        <x:v>0</x:v>
      </x:c>
      <x:c r="AE29" s="227">
        <x:f>'Rem. Anticipos R2'!E149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8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R2'!E265</x:f>
        <x:v>0</x:v>
      </x:c>
      <x:c r="E30" s="227">
        <x:f>'Rem. Anticipos R2'!F265</x:f>
        <x:v>0</x:v>
      </x:c>
      <x:c r="F30" s="227">
        <x:f>'Rem. Anticipos R2'!G265</x:f>
        <x:v>0</x:v>
      </x:c>
      <x:c r="G30" s="227">
        <x:f>'Rem. Anticipos R2'!H265</x:f>
        <x:v>0</x:v>
      </x:c>
      <x:c r="H30" s="227">
        <x:f>'Rem. Anticipos R2'!I265</x:f>
        <x:v>0</x:v>
      </x:c>
      <x:c r="I30" s="227">
        <x:f>'Rem. Anticipos R2'!J265</x:f>
        <x:v>0</x:v>
      </x:c>
      <x:c r="J30" s="224">
        <x:v>0</x:v>
      </x:c>
      <x:c r="K30" s="231">
        <x:f t="shared" ref="K30:K31" si="9">D30-E30-F30-G30-H30-I30-J30</x:f>
        <x:v>0</x:v>
      </x:c>
      <x:c r="L30" s="230">
        <x:v>0</x:v>
      </x:c>
      <x:c r="M30" s="231">
        <x:f>K30-L30</x:f>
        <x:v>0</x:v>
      </x:c>
      <x:c r="N30" s="230">
        <x:f>'Rem. Anticipos R2'!K265</x:f>
        <x:v>0</x:v>
      </x:c>
      <x:c r="O30" s="231">
        <x:f t="shared" si="7"/>
        <x:v>0</x:v>
      </x:c>
      <x:c r="Q30" s="242"/>
      <x:c r="S30" s="250">
        <x:v>3</x:v>
      </x:c>
      <x:c r="T30" s="251" t="s">
        <x:v>12</x:v>
      </x:c>
      <x:c r="U30" s="252">
        <x:f>'Rem. Anticipos R2'!L265</x:f>
        <x:v>0</x:v>
      </x:c>
      <x:c r="V30" s="252">
        <x:f>'Rem. Anticipos R2'!M265</x:f>
        <x:v>0</x:v>
      </x:c>
      <x:c r="W30" s="252">
        <x:f>'Rem. Anticipos R2'!N265</x:f>
        <x:v>0</x:v>
      </x:c>
      <x:c r="X30" s="252">
        <x:f>'Rem. Anticipos R2'!O265</x:f>
        <x:v>0</x:v>
      </x:c>
      <x:c r="Y30" s="252">
        <x:f>'Rem. Anticipos R2'!P265</x:f>
        <x:v>0</x:v>
      </x:c>
      <x:c r="Z30" s="255">
        <x:f>L30*-1</x:f>
        <x:v>0</x:v>
      </x:c>
      <x:c r="AA30" s="256">
        <x:f>'Rem. Anticipos R2'!Q265</x:f>
        <x:v>0</x:v>
      </x:c>
      <x:c r="AB30" s="230">
        <x:f>N30</x:f>
        <x:v>0</x:v>
      </x:c>
      <x:c r="AC30" s="256">
        <x:f>'Rem. Anticipos R2'!R265</x:f>
        <x:v>0</x:v>
      </x:c>
      <x:c r="AD30" s="227">
        <x:f t="shared" ref="AD30:AD32" si="10">-J30+AE30</x:f>
        <x:v>0</x:v>
      </x:c>
      <x:c r="AE30" s="227">
        <x:f>'Rem. Anticipos R2'!E266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8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R2'!E367</x:f>
        <x:v>0</x:v>
      </x:c>
      <x:c r="E31" s="227">
        <x:f>'Rem. Anticipos R2'!F367</x:f>
        <x:v>0</x:v>
      </x:c>
      <x:c r="F31" s="227">
        <x:f>'Rem. Anticipos R2'!G367</x:f>
        <x:v>0</x:v>
      </x:c>
      <x:c r="G31" s="227">
        <x:f>'Rem. Anticipos R2'!H367</x:f>
        <x:v>0</x:v>
      </x:c>
      <x:c r="H31" s="227">
        <x:f>'Rem. Anticipos R2'!I367</x:f>
        <x:v>0</x:v>
      </x:c>
      <x:c r="I31" s="227">
        <x:f>'Rem. Anticipos R2'!J367</x:f>
        <x:v>0</x:v>
      </x:c>
      <x:c r="J31" s="224">
        <x:v>0</x:v>
      </x:c>
      <x:c r="K31" s="231">
        <x:f t="shared" si="9"/>
        <x:v>0</x:v>
      </x:c>
      <x:c r="L31" s="230">
        <x:v>0</x:v>
      </x:c>
      <x:c r="M31" s="231">
        <x:f>K31-L31</x:f>
        <x:v>0</x:v>
      </x:c>
      <x:c r="N31" s="230">
        <x:f>'Rem. Anticipos R2'!K367</x:f>
        <x:v>0</x:v>
      </x:c>
      <x:c r="O31" s="231">
        <x:f t="shared" si="7"/>
        <x:v>0</x:v>
      </x:c>
      <x:c r="Q31" s="242"/>
      <x:c r="S31" s="250">
        <x:v>4</x:v>
      </x:c>
      <x:c r="T31" s="251" t="s">
        <x:v>13</x:v>
      </x:c>
      <x:c r="U31" s="252">
        <x:f>'Rem. Anticipos R2'!L367</x:f>
        <x:v>0</x:v>
      </x:c>
      <x:c r="V31" s="252">
        <x:f>'Rem. Anticipos R2'!M367</x:f>
        <x:v>0</x:v>
      </x:c>
      <x:c r="W31" s="252">
        <x:f>'Rem. Anticipos R2'!N367</x:f>
        <x:v>0</x:v>
      </x:c>
      <x:c r="X31" s="252">
        <x:f>'Rem. Anticipos R2'!O367</x:f>
        <x:v>0</x:v>
      </x:c>
      <x:c r="Y31" s="252">
        <x:f>'Rem. Anticipos R2'!P367</x:f>
        <x:v>0</x:v>
      </x:c>
      <x:c r="Z31" s="255">
        <x:f>L31*-1</x:f>
        <x:v>0</x:v>
      </x:c>
      <x:c r="AA31" s="256">
        <x:f>'Rem. Anticipos R2'!Q367</x:f>
        <x:v>0</x:v>
      </x:c>
      <x:c r="AB31" s="230">
        <x:f>N31</x:f>
        <x:v>0</x:v>
      </x:c>
      <x:c r="AC31" s="256">
        <x:f>'Rem. Anticipos R2'!R367</x:f>
        <x:v>0</x:v>
      </x:c>
      <x:c r="AD31" s="227">
        <x:f t="shared" si="10"/>
        <x:v>0</x:v>
      </x:c>
      <x:c r="AE31" s="227">
        <x:f>'Rem. Anticipos R2'!E368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8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R2'!E447</x:f>
        <x:v>0</x:v>
      </x:c>
      <x:c r="E32" s="232">
        <x:f>'Rem. Anticipos R2'!F447</x:f>
        <x:v>0</x:v>
      </x:c>
      <x:c r="F32" s="232">
        <x:f>'Rem. Anticipos R2'!G447</x:f>
        <x:v>0</x:v>
      </x:c>
      <x:c r="G32" s="232">
        <x:f>'Rem. Anticipos R2'!H447</x:f>
        <x:v>0</x:v>
      </x:c>
      <x:c r="H32" s="232">
        <x:f>'Rem. Anticipos R2'!I447</x:f>
        <x:v>0</x:v>
      </x:c>
      <x:c r="I32" s="232">
        <x:f>'Rem. Anticipos R2'!J447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R2'!K447</x:f>
        <x:v>0</x:v>
      </x:c>
      <x:c r="O32" s="234">
        <x:f t="shared" si="7"/>
        <x:v>0</x:v>
      </x:c>
      <x:c r="Q32" s="242"/>
      <x:c r="S32" s="260">
        <x:v>5</x:v>
      </x:c>
      <x:c r="T32" s="261" t="s">
        <x:v>14</x:v>
      </x:c>
      <x:c r="U32" s="232">
        <x:f>'Rem. Anticipos R2'!L447</x:f>
        <x:v>0</x:v>
      </x:c>
      <x:c r="V32" s="233">
        <x:f>'Rem. Anticipos R2'!M447</x:f>
        <x:v>0</x:v>
      </x:c>
      <x:c r="W32" s="233">
        <x:f>'Rem. Anticipos R2'!N447</x:f>
        <x:v>0</x:v>
      </x:c>
      <x:c r="X32" s="233">
        <x:f>'Rem. Anticipos R2'!O447</x:f>
        <x:v>0</x:v>
      </x:c>
      <x:c r="Y32" s="225">
        <x:f>'Rem. Anticipos R2'!P447</x:f>
        <x:v>0</x:v>
      </x:c>
      <x:c r="Z32" s="255">
        <x:f>L32*-1</x:f>
        <x:v>0</x:v>
      </x:c>
      <x:c r="AA32" s="256">
        <x:f>'Rem. Anticipos R2'!Q447</x:f>
        <x:v>0</x:v>
      </x:c>
      <x:c r="AB32" s="230">
        <x:f>N32</x:f>
        <x:v>0</x:v>
      </x:c>
      <x:c r="AC32" s="256">
        <x:f>'Rem. Anticipos R2'!R447</x:f>
        <x:v>0</x:v>
      </x:c>
      <x:c r="AD32" s="227">
        <x:f t="shared" si="10"/>
        <x:v>0</x:v>
      </x:c>
      <x:c r="AE32" s="227">
        <x:f>'Rem. Anticipos R2'!E448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8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8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R1'!F70</x:f>
        <x:v>0</x:v>
      </x:c>
      <x:c r="E47" s="227">
        <x:f>'Reporte Componentes R1'!G70</x:f>
        <x:v>0</x:v>
      </x:c>
      <x:c r="F47" s="227">
        <x:f>'Reporte Componentes R1'!H70</x:f>
        <x:v>0</x:v>
      </x:c>
      <x:c r="G47" s="227">
        <x:f>'Reporte Componentes R1'!I70</x:f>
        <x:v>0</x:v>
      </x:c>
      <x:c r="H47" s="227">
        <x:f>'Reporte Componentes R1'!J70</x:f>
        <x:v>0</x:v>
      </x:c>
      <x:c r="I47" s="227">
        <x:f>'Reporte Componentes R1'!K70</x:f>
        <x:v>0</x:v>
      </x:c>
      <x:c r="J47" s="227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R1'!L70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R1'!M70</x:f>
        <x:v>0</x:v>
      </x:c>
      <x:c r="V47" s="243">
        <x:f>'Reporte Componentes R1'!N70</x:f>
        <x:v>0</x:v>
      </x:c>
      <x:c r="W47" s="243">
        <x:f>'Reporte Componentes R1'!O70</x:f>
        <x:v>0</x:v>
      </x:c>
      <x:c r="X47" s="243">
        <x:f>'Reporte Componentes R1'!P70</x:f>
        <x:v>0</x:v>
      </x:c>
      <x:c r="Y47" s="243">
        <x:f>'Reporte Componentes R1'!Q70</x:f>
        <x:v>0</x:v>
      </x:c>
      <x:c r="Z47" s="246">
        <x:f>-L47</x:f>
        <x:v>0</x:v>
      </x:c>
      <x:c r="AA47" s="256">
        <x:f>'Reporte Componentes R1'!R70+'Reporte Componentes R1'!V70+'Reporte Componentes R1'!U70</x:f>
        <x:v>0</x:v>
      </x:c>
      <x:c r="AB47" s="230">
        <x:f>N47</x:f>
        <x:v>0</x:v>
      </x:c>
      <x:c r="AC47" s="247">
        <x:f>'Reporte Componentes R1'!T70+'Reporte Componentes R1'!W70+'Reporte Componentes R1'!X70+'Reporte Componentes R1'!Y70+'Reporte Componentes R1'!Z70+'Reporte Componentes R1'!S70</x:f>
        <x:v>0</x:v>
      </x:c>
      <x:c r="AD47" s="227">
        <x:f>-J47+AE47</x:f>
        <x:v>0</x:v>
      </x:c>
      <x:c r="AE47" s="227">
        <x:f>'Reporte Componentes R1'!F71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R1'!F223</x:f>
        <x:v>0</x:v>
      </x:c>
      <x:c r="E48" s="227">
        <x:f>'Reporte Componentes R1'!G223</x:f>
        <x:v>0</x:v>
      </x:c>
      <x:c r="F48" s="227">
        <x:f>'Reporte Componentes R1'!H223</x:f>
        <x:v>0</x:v>
      </x:c>
      <x:c r="G48" s="227">
        <x:f>'Reporte Componentes R1'!I223</x:f>
        <x:v>0</x:v>
      </x:c>
      <x:c r="H48" s="227">
        <x:f>'Reporte Componentes R1'!J223</x:f>
        <x:v>0</x:v>
      </x:c>
      <x:c r="I48" s="227">
        <x:f>'Reporte Componentes R1'!K223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R1'!L223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R1'!M223</x:f>
        <x:v>0</x:v>
      </x:c>
      <x:c r="V48" s="252">
        <x:f>'Reporte Componentes R1'!N223</x:f>
        <x:v>0</x:v>
      </x:c>
      <x:c r="W48" s="252">
        <x:f>'Reporte Componentes R1'!O223</x:f>
        <x:v>0</x:v>
      </x:c>
      <x:c r="X48" s="252">
        <x:f>'Reporte Componentes R1'!P223</x:f>
        <x:v>0</x:v>
      </x:c>
      <x:c r="Y48" s="252">
        <x:f>'Reporte Componentes R1'!Q223</x:f>
        <x:v>0</x:v>
      </x:c>
      <x:c r="Z48" s="255">
        <x:f>-L48</x:f>
        <x:v>0</x:v>
      </x:c>
      <x:c r="AA48" s="256">
        <x:f>'Reporte Componentes R1'!R223+'Reporte Componentes R1'!V223+'Reporte Componentes R1'!U223</x:f>
        <x:v>0</x:v>
      </x:c>
      <x:c r="AB48" s="230">
        <x:f>N48</x:f>
        <x:v>0</x:v>
      </x:c>
      <x:c r="AC48" s="256">
        <x:f>'Reporte Componentes R1'!T223+'Reporte Componentes R1'!W223+'Reporte Componentes R1'!X223+'Reporte Componentes R1'!Y223+'Reporte Componentes R1'!Z223+'Reporte Componentes R1'!S223</x:f>
        <x:v>0</x:v>
      </x:c>
      <x:c r="AD48" s="227">
        <x:f t="shared" ref="AD48:AD51" si="16">-J48+AE48</x:f>
        <x:v>0</x:v>
      </x:c>
      <x:c r="AE48" s="227">
        <x:f>'Reporte Componentes R1'!F224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7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R1'!F360</x:f>
        <x:v>0</x:v>
      </x:c>
      <x:c r="E49" s="227">
        <x:f>'Reporte Componentes R1'!G360</x:f>
        <x:v>0</x:v>
      </x:c>
      <x:c r="F49" s="227">
        <x:f>'Reporte Componentes R1'!H360</x:f>
        <x:v>0</x:v>
      </x:c>
      <x:c r="G49" s="227">
        <x:f>'Reporte Componentes R1'!I360</x:f>
        <x:v>0</x:v>
      </x:c>
      <x:c r="H49" s="227">
        <x:f>'Reporte Componentes R1'!J360</x:f>
        <x:v>0</x:v>
      </x:c>
      <x:c r="I49" s="227">
        <x:f>'Reporte Componentes R1'!K360</x:f>
        <x:v>0</x:v>
      </x:c>
      <x:c r="J49" s="227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R1'!L360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R1'!M360</x:f>
        <x:v>0</x:v>
      </x:c>
      <x:c r="V49" s="252">
        <x:f>'Reporte Componentes R1'!N360</x:f>
        <x:v>0</x:v>
      </x:c>
      <x:c r="W49" s="252">
        <x:f>'Reporte Componentes R1'!O360</x:f>
        <x:v>0</x:v>
      </x:c>
      <x:c r="X49" s="252">
        <x:f>'Reporte Componentes R1'!P360</x:f>
        <x:v>0</x:v>
      </x:c>
      <x:c r="Y49" s="252">
        <x:f>'Reporte Componentes R1'!Q360</x:f>
        <x:v>0</x:v>
      </x:c>
      <x:c r="Z49" s="255">
        <x:f>-L49</x:f>
        <x:v>0</x:v>
      </x:c>
      <x:c r="AA49" s="256">
        <x:f>'Reporte Componentes R1'!R360+'Reporte Componentes R1'!V360+'Reporte Componentes R1'!U360</x:f>
        <x:v>0</x:v>
      </x:c>
      <x:c r="AB49" s="230">
        <x:f>N49</x:f>
        <x:v>0</x:v>
      </x:c>
      <x:c r="AC49" s="256">
        <x:f>'Reporte Componentes R1'!T360+'Reporte Componentes R1'!W360+'Reporte Componentes R1'!X360+'Reporte Componentes R1'!Y360+'Reporte Componentes R1'!Z360+'Reporte Componentes R1'!S360</x:f>
        <x:v>0</x:v>
      </x:c>
      <x:c r="AD49" s="227">
        <x:f t="shared" si="16"/>
        <x:v>0</x:v>
      </x:c>
      <x:c r="AE49" s="227">
        <x:f>'Reporte Componentes R1'!F361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1" t="b">
        <x:f t="shared" si="17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R1'!F485</x:f>
        <x:v>0</x:v>
      </x:c>
      <x:c r="E50" s="227">
        <x:f>'Reporte Componentes R1'!G485</x:f>
        <x:v>0</x:v>
      </x:c>
      <x:c r="F50" s="227">
        <x:f>'Reporte Componentes R1'!H485</x:f>
        <x:v>0</x:v>
      </x:c>
      <x:c r="G50" s="227">
        <x:f>'Reporte Componentes R1'!I485</x:f>
        <x:v>0</x:v>
      </x:c>
      <x:c r="H50" s="227">
        <x:f>'Reporte Componentes R1'!J485</x:f>
        <x:v>0</x:v>
      </x:c>
      <x:c r="I50" s="227">
        <x:f>'Reporte Componentes R1'!K485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R1'!L485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R1'!M485</x:f>
        <x:v>0</x:v>
      </x:c>
      <x:c r="V50" s="252">
        <x:f>'Reporte Componentes R1'!N485</x:f>
        <x:v>0</x:v>
      </x:c>
      <x:c r="W50" s="252">
        <x:f>'Reporte Componentes R1'!O485</x:f>
        <x:v>0</x:v>
      </x:c>
      <x:c r="X50" s="252">
        <x:f>'Reporte Componentes R1'!P485</x:f>
        <x:v>0</x:v>
      </x:c>
      <x:c r="Y50" s="252">
        <x:f>'Reporte Componentes R1'!Q485</x:f>
        <x:v>0</x:v>
      </x:c>
      <x:c r="Z50" s="255">
        <x:f>-L50</x:f>
        <x:v>0</x:v>
      </x:c>
      <x:c r="AA50" s="256">
        <x:f>'Reporte Componentes R1'!R485+'Reporte Componentes R1'!V485+'Reporte Componentes R1'!U485</x:f>
        <x:v>0</x:v>
      </x:c>
      <x:c r="AB50" s="230">
        <x:f>N50</x:f>
        <x:v>0</x:v>
      </x:c>
      <x:c r="AC50" s="256">
        <x:f>'Reporte Componentes R1'!T485+'Reporte Componentes R1'!W485+'Reporte Componentes R1'!X485+'Reporte Componentes R1'!Y485+'Reporte Componentes R1'!Z485+'Reporte Componentes R1'!S485</x:f>
        <x:v>0</x:v>
      </x:c>
      <x:c r="AD50" s="227">
        <x:f t="shared" si="16"/>
        <x:v>0</x:v>
      </x:c>
      <x:c r="AE50" s="227">
        <x:f>'Reporte Componentes R1'!F486</x:f>
        <x:v>0</x:v>
      </x:c>
      <x:c r="AF50" s="258">
        <x:f t="shared" si="18"/>
        <x:v>0</x:v>
      </x:c>
      <x:c r="AG50" s="259">
        <x:f t="shared" si="19"/>
        <x:v>0</x:v>
      </x:c>
      <x:c r="AH50" s="1" t="b">
        <x:f t="shared" si="17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R1'!F575</x:f>
        <x:v>0</x:v>
      </x:c>
      <x:c r="E51" s="232">
        <x:f>'Reporte Componentes R1'!G575</x:f>
        <x:v>0</x:v>
      </x:c>
      <x:c r="F51" s="232">
        <x:f>'Reporte Componentes R1'!H575</x:f>
        <x:v>0</x:v>
      </x:c>
      <x:c r="G51" s="232">
        <x:f>'Reporte Componentes R1'!I575</x:f>
        <x:v>0</x:v>
      </x:c>
      <x:c r="H51" s="232">
        <x:f>'Reporte Componentes R1'!J575</x:f>
        <x:v>0</x:v>
      </x:c>
      <x:c r="I51" s="232">
        <x:f>'Reporte Componentes R1'!K575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R1'!L575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R1'!M575</x:f>
        <x:v>0</x:v>
      </x:c>
      <x:c r="V51" s="232">
        <x:f>'Reporte Componentes R1'!N575</x:f>
        <x:v>0</x:v>
      </x:c>
      <x:c r="W51" s="232">
        <x:f>'Reporte Componentes R1'!O575</x:f>
        <x:v>0</x:v>
      </x:c>
      <x:c r="X51" s="232">
        <x:f>'Reporte Componentes R1'!P575</x:f>
        <x:v>0</x:v>
      </x:c>
      <x:c r="Y51" s="225">
        <x:f>'Reporte Componentes R1'!Q575</x:f>
        <x:v>0</x:v>
      </x:c>
      <x:c r="Z51" s="255">
        <x:f>-L51</x:f>
        <x:v>0</x:v>
      </x:c>
      <x:c r="AA51" s="256">
        <x:f>'Reporte Componentes R1'!R575+'Reporte Componentes R1'!V575+'Reporte Componentes R1'!U575</x:f>
        <x:v>0</x:v>
      </x:c>
      <x:c r="AB51" s="230">
        <x:f>N51</x:f>
        <x:v>0</x:v>
      </x:c>
      <x:c r="AC51" s="256">
        <x:f>'Reporte Componentes R1'!T575+'Reporte Componentes R1'!W575+'Reporte Componentes R1'!X575+'Reporte Componentes R1'!Y575+'Reporte Componentes R1'!Z575+'Reporte Componentes R1'!S575</x:f>
        <x:v>0</x:v>
      </x:c>
      <x:c r="AD51" s="227">
        <x:f t="shared" si="16"/>
        <x:v>0</x:v>
      </x:c>
      <x:c r="AE51" s="227">
        <x:f>'Reporte Componentes R1'!F576</x:f>
        <x:v>0</x:v>
      </x:c>
      <x:c r="AF51" s="258">
        <x:f t="shared" si="18"/>
        <x:v>0</x:v>
      </x:c>
      <x:c r="AG51" s="262">
        <x:f t="shared" si="19"/>
        <x:v>0</x:v>
      </x:c>
      <x:c r="AH51" s="1" t="b">
        <x:f t="shared" si="17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si="22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1" t="b">
        <x:f t="shared" si="17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R4'!D82</x:f>
        <x:v>0</x:v>
      </x:c>
      <x:c r="E66" s="227">
        <x:f>'Reversion Pagos R4'!E82</x:f>
        <x:v>0</x:v>
      </x:c>
      <x:c r="F66" s="227">
        <x:f>'Reversion Pagos R4'!F82</x:f>
        <x:v>0</x:v>
      </x:c>
      <x:c r="G66" s="227">
        <x:f>'Reversion Pagos R4'!G82</x:f>
        <x:v>0</x:v>
      </x:c>
      <x:c r="H66" s="227">
        <x:f>'Reversion Pagos R4'!H82</x:f>
        <x:v>0</x:v>
      </x:c>
      <x:c r="I66" s="227">
        <x:f>'Reversion Pagos R4'!I82</x:f>
        <x:v>0</x:v>
      </x:c>
      <x:c r="J66" s="245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R4'!P82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R4'!J82</x:f>
        <x:v>0</x:v>
      </x:c>
      <x:c r="V66" s="243">
        <x:f>'Reversion Pagos R4'!K82</x:f>
        <x:v>0</x:v>
      </x:c>
      <x:c r="W66" s="243">
        <x:f>'Reversion Pagos R4'!L82</x:f>
        <x:v>0</x:v>
      </x:c>
      <x:c r="X66" s="243">
        <x:f>'Reversion Pagos R4'!M82</x:f>
        <x:v>0</x:v>
      </x:c>
      <x:c r="Y66" s="243">
        <x:f>'Reversion Pagos R4'!N82</x:f>
        <x:v>0</x:v>
      </x:c>
      <x:c r="Z66" s="246">
        <x:f>-L66</x:f>
        <x:v>0</x:v>
      </x:c>
      <x:c r="AA66" s="247">
        <x:f>+'Reversion Pagos R4'!O82</x:f>
        <x:v>0</x:v>
      </x:c>
      <x:c r="AB66" s="230">
        <x:f>N66</x:f>
        <x:v>0</x:v>
      </x:c>
      <x:c r="AC66" s="247">
        <x:f>+'Reversion Pagos R4'!Q82+'Reversion Pagos R4'!R82</x:f>
        <x:v>0</x:v>
      </x:c>
      <x:c r="AD66" s="227">
        <x:f>-J66+AE66</x:f>
        <x:v>0</x:v>
      </x:c>
      <x:c r="AE66" s="227">
        <x:f>'Reversion Pagos R4'!D83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R4'!D177</x:f>
        <x:v>0</x:v>
      </x:c>
      <x:c r="E67" s="227">
        <x:f>'Reversion Pagos R4'!E177</x:f>
        <x:v>0</x:v>
      </x:c>
      <x:c r="F67" s="227">
        <x:f>'Reversion Pagos R4'!F177</x:f>
        <x:v>0</x:v>
      </x:c>
      <x:c r="G67" s="227">
        <x:f>'Reversion Pagos R4'!G177</x:f>
        <x:v>0</x:v>
      </x:c>
      <x:c r="H67" s="227">
        <x:f>'Reversion Pagos R4'!H177</x:f>
        <x:v>0</x:v>
      </x:c>
      <x:c r="I67" s="227">
        <x:f>'Reversion Pagos R4'!I177</x:f>
        <x:v>0</x:v>
      </x:c>
      <x:c r="J67" s="224">
        <x:v>0</x:v>
      </x:c>
      <x:c r="K67" s="231">
        <x:f t="shared" ref="K67:K70" si="23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R4'!P177</x:f>
        <x:v>0</x:v>
      </x:c>
      <x:c r="O67" s="231">
        <x:f t="shared" ref="O67:O70" si="24">M67+N67</x:f>
        <x:v>0</x:v>
      </x:c>
      <x:c r="Q67" s="242"/>
      <x:c r="S67" s="250">
        <x:v>2</x:v>
      </x:c>
      <x:c r="T67" s="251" t="s">
        <x:v>11</x:v>
      </x:c>
      <x:c r="U67" s="252">
        <x:f>'Reversion Pagos R4'!J177</x:f>
        <x:v>0</x:v>
      </x:c>
      <x:c r="V67" s="252">
        <x:f>'Reversion Pagos R4'!K177</x:f>
        <x:v>0</x:v>
      </x:c>
      <x:c r="W67" s="252">
        <x:f>'Reversion Pagos R4'!L177</x:f>
        <x:v>0</x:v>
      </x:c>
      <x:c r="X67" s="252">
        <x:f>'Reversion Pagos R4'!M177</x:f>
        <x:v>0</x:v>
      </x:c>
      <x:c r="Y67" s="252">
        <x:f>'Reversion Pagos R4'!N177</x:f>
        <x:v>0</x:v>
      </x:c>
      <x:c r="Z67" s="255">
        <x:f t="shared" ref="Z67:Z70" si="25">-L67</x:f>
        <x:v>0</x:v>
      </x:c>
      <x:c r="AA67" s="256">
        <x:f>'Reversion Pagos R4'!O177</x:f>
        <x:v>0</x:v>
      </x:c>
      <x:c r="AB67" s="230">
        <x:f t="shared" ref="AB67:AB70" si="26">N67</x:f>
        <x:v>0</x:v>
      </x:c>
      <x:c r="AC67" s="256">
        <x:f>'Reversion Pagos R4'!Q177+'Reversion Pagos R4'!R177</x:f>
        <x:v>0</x:v>
      </x:c>
      <x:c r="AD67" s="227">
        <x:f t="shared" ref="AD67:AD70" si="27">-J67+AE67</x:f>
        <x:v>0</x:v>
      </x:c>
      <x:c r="AE67" s="227">
        <x:f>'Reversion Pagos R4'!D178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8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R4'!D214</x:f>
        <x:v>0</x:v>
      </x:c>
      <x:c r="E68" s="227">
        <x:f>'Reversion Pagos R4'!E214</x:f>
        <x:v>0</x:v>
      </x:c>
      <x:c r="F68" s="227">
        <x:f>'Reversion Pagos R4'!F214</x:f>
        <x:v>0</x:v>
      </x:c>
      <x:c r="G68" s="227">
        <x:f>'Reversion Pagos R4'!G214</x:f>
        <x:v>0</x:v>
      </x:c>
      <x:c r="H68" s="227">
        <x:f>'Reversion Pagos R4'!H214</x:f>
        <x:v>0</x:v>
      </x:c>
      <x:c r="I68" s="227">
        <x:f>'Reversion Pagos R4'!I214</x:f>
        <x:v>0</x:v>
      </x:c>
      <x:c r="J68" s="224">
        <x:v>0</x:v>
      </x:c>
      <x:c r="K68" s="231">
        <x:f t="shared" si="23"/>
        <x:v>0</x:v>
      </x:c>
      <x:c r="L68" s="230">
        <x:v>0</x:v>
      </x:c>
      <x:c r="M68" s="231">
        <x:f>K68-L68</x:f>
        <x:v>0</x:v>
      </x:c>
      <x:c r="N68" s="230">
        <x:f>'Reversion Pagos R4'!P214</x:f>
        <x:v>0</x:v>
      </x:c>
      <x:c r="O68" s="231">
        <x:f t="shared" si="24"/>
        <x:v>0</x:v>
      </x:c>
      <x:c r="Q68" s="242"/>
      <x:c r="S68" s="250">
        <x:v>3</x:v>
      </x:c>
      <x:c r="T68" s="251" t="s">
        <x:v>12</x:v>
      </x:c>
      <x:c r="U68" s="252">
        <x:f>'Reversion Pagos R4'!J214</x:f>
        <x:v>0</x:v>
      </x:c>
      <x:c r="V68" s="252">
        <x:f>'Reversion Pagos R4'!K214</x:f>
        <x:v>0</x:v>
      </x:c>
      <x:c r="W68" s="252">
        <x:f>'Reversion Pagos R4'!L214</x:f>
        <x:v>0</x:v>
      </x:c>
      <x:c r="X68" s="252">
        <x:f>'Reversion Pagos R4'!M214</x:f>
        <x:v>0</x:v>
      </x:c>
      <x:c r="Y68" s="252">
        <x:f>'Reversion Pagos R4'!N214</x:f>
        <x:v>0</x:v>
      </x:c>
      <x:c r="Z68" s="255">
        <x:f t="shared" si="25"/>
        <x:v>0</x:v>
      </x:c>
      <x:c r="AA68" s="256">
        <x:f>'Reversion Pagos R4'!O214</x:f>
        <x:v>0</x:v>
      </x:c>
      <x:c r="AB68" s="230">
        <x:f t="shared" si="26"/>
        <x:v>0</x:v>
      </x:c>
      <x:c r="AC68" s="256">
        <x:f>'Reversion Pagos R4'!Q214+'Reversion Pagos R4'!R214</x:f>
        <x:v>0</x:v>
      </x:c>
      <x:c r="AD68" s="227">
        <x:f t="shared" si="27"/>
        <x:v>0</x:v>
      </x:c>
      <x:c r="AE68" s="227">
        <x:f>'Reversion Pagos R4'!D215</x:f>
        <x:v>0</x:v>
      </x:c>
      <x:c r="AF68" s="258">
        <x:f t="shared" ref="AF68:AF70" si="29">SUM(U68:AD68)</x:f>
        <x:v>0</x:v>
      </x:c>
      <x:c r="AG68" s="259">
        <x:f t="shared" ref="AG68:AG70" si="30">(AF68-O68)</x:f>
        <x:v>0</x:v>
      </x:c>
      <x:c r="AH68" s="1" t="b">
        <x:f t="shared" si="28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R4'!D329</x:f>
        <x:v>0</x:v>
      </x:c>
      <x:c r="E69" s="227">
        <x:f>'Reversion Pagos R4'!E329</x:f>
        <x:v>0</x:v>
      </x:c>
      <x:c r="F69" s="227">
        <x:f>'Reversion Pagos R4'!F329</x:f>
        <x:v>0</x:v>
      </x:c>
      <x:c r="G69" s="227">
        <x:f>'Reversion Pagos R4'!G329</x:f>
        <x:v>0</x:v>
      </x:c>
      <x:c r="H69" s="227">
        <x:f>'Reversion Pagos R4'!H329</x:f>
        <x:v>0</x:v>
      </x:c>
      <x:c r="I69" s="227">
        <x:f>'Reversion Pagos R4'!I329</x:f>
        <x:v>0</x:v>
      </x:c>
      <x:c r="J69" s="224">
        <x:v>0</x:v>
      </x:c>
      <x:c r="K69" s="231">
        <x:f t="shared" si="23"/>
        <x:v>0</x:v>
      </x:c>
      <x:c r="L69" s="230">
        <x:v>0</x:v>
      </x:c>
      <x:c r="M69" s="231">
        <x:f>K69-L69</x:f>
        <x:v>0</x:v>
      </x:c>
      <x:c r="N69" s="230">
        <x:f>'Reversion Pagos R4'!P329</x:f>
        <x:v>0</x:v>
      </x:c>
      <x:c r="O69" s="231">
        <x:f t="shared" si="24"/>
        <x:v>0</x:v>
      </x:c>
      <x:c r="Q69" s="242"/>
      <x:c r="S69" s="250">
        <x:v>4</x:v>
      </x:c>
      <x:c r="T69" s="251" t="s">
        <x:v>13</x:v>
      </x:c>
      <x:c r="U69" s="252">
        <x:f>'Reversion Pagos R4'!J329</x:f>
        <x:v>0</x:v>
      </x:c>
      <x:c r="V69" s="252">
        <x:f>'Reversion Pagos R4'!K329</x:f>
        <x:v>0</x:v>
      </x:c>
      <x:c r="W69" s="252">
        <x:f>'Reversion Pagos R4'!L329</x:f>
        <x:v>0</x:v>
      </x:c>
      <x:c r="X69" s="252">
        <x:f>'Reversion Pagos R4'!M329</x:f>
        <x:v>0</x:v>
      </x:c>
      <x:c r="Y69" s="252">
        <x:f>'Reversion Pagos R4'!N329</x:f>
        <x:v>0</x:v>
      </x:c>
      <x:c r="Z69" s="255">
        <x:f t="shared" si="25"/>
        <x:v>0</x:v>
      </x:c>
      <x:c r="AA69" s="256">
        <x:f>'Reversion Pagos R4'!O329</x:f>
        <x:v>0</x:v>
      </x:c>
      <x:c r="AB69" s="230">
        <x:f t="shared" si="26"/>
        <x:v>0</x:v>
      </x:c>
      <x:c r="AC69" s="256">
        <x:f>'Reversion Pagos R4'!Q329+'Reversion Pagos R4'!R329</x:f>
        <x:v>0</x:v>
      </x:c>
      <x:c r="AD69" s="227">
        <x:f t="shared" si="27"/>
        <x:v>0</x:v>
      </x:c>
      <x:c r="AE69" s="227">
        <x:f>'Reversion Pagos R4'!D330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8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R4'!D364</x:f>
        <x:v>0</x:v>
      </x:c>
      <x:c r="E70" s="232">
        <x:f>'Reversion Pagos R4'!E364</x:f>
        <x:v>0</x:v>
      </x:c>
      <x:c r="F70" s="232">
        <x:f>'Reversion Pagos R4'!F364</x:f>
        <x:v>0</x:v>
      </x:c>
      <x:c r="G70" s="232">
        <x:f>'Reversion Pagos R4'!G364</x:f>
        <x:v>0</x:v>
      </x:c>
      <x:c r="H70" s="232">
        <x:f>'Reversion Pagos R4'!H364</x:f>
        <x:v>0</x:v>
      </x:c>
      <x:c r="I70" s="232">
        <x:f>'Reversion Pagos R4'!I364</x:f>
        <x:v>0</x:v>
      </x:c>
      <x:c r="J70" s="225">
        <x:v>0</x:v>
      </x:c>
      <x:c r="K70" s="231">
        <x:f t="shared" si="23"/>
        <x:v>0</x:v>
      </x:c>
      <x:c r="L70" s="230">
        <x:v>0</x:v>
      </x:c>
      <x:c r="M70" s="234">
        <x:f>K70-L70</x:f>
        <x:v>0</x:v>
      </x:c>
      <x:c r="N70" s="230">
        <x:f>'Reversion Pagos R4'!P364</x:f>
        <x:v>0</x:v>
      </x:c>
      <x:c r="O70" s="234">
        <x:f t="shared" si="24"/>
        <x:v>0</x:v>
      </x:c>
      <x:c r="Q70" s="242"/>
      <x:c r="S70" s="260">
        <x:v>5</x:v>
      </x:c>
      <x:c r="T70" s="261" t="s">
        <x:v>14</x:v>
      </x:c>
      <x:c r="U70" s="232">
        <x:f>'Reversion Pagos R4'!J364</x:f>
        <x:v>0</x:v>
      </x:c>
      <x:c r="V70" s="232">
        <x:f>'Reversion Pagos R4'!K364</x:f>
        <x:v>0</x:v>
      </x:c>
      <x:c r="W70" s="232">
        <x:f>'Reversion Pagos R4'!L364</x:f>
        <x:v>0</x:v>
      </x:c>
      <x:c r="X70" s="232">
        <x:f>'Reversion Pagos R4'!M364</x:f>
        <x:v>0</x:v>
      </x:c>
      <x:c r="Y70" s="232">
        <x:f>'Reversion Pagos R4'!N364</x:f>
        <x:v>0</x:v>
      </x:c>
      <x:c r="Z70" s="255">
        <x:f t="shared" si="25"/>
        <x:v>0</x:v>
      </x:c>
      <x:c r="AA70" s="256">
        <x:f>'Reversion Pagos R4'!O364</x:f>
        <x:v>0</x:v>
      </x:c>
      <x:c r="AB70" s="230">
        <x:f t="shared" si="26"/>
        <x:v>0</x:v>
      </x:c>
      <x:c r="AC70" s="256">
        <x:f>'Reversion Pagos R4'!Q364+'Reversion Pagos R4'!R364</x:f>
        <x:v>0</x:v>
      </x:c>
      <x:c r="AD70" s="227">
        <x:f t="shared" si="27"/>
        <x:v>0</x:v>
      </x:c>
      <x:c r="AE70" s="227">
        <x:f>'Reversion Pagos R4'!D365</x:f>
        <x:v>0</x:v>
      </x:c>
      <x:c r="AF70" s="258">
        <x:f t="shared" si="29"/>
        <x:v>0</x:v>
      </x:c>
      <x:c r="AG70" s="262">
        <x:f t="shared" si="30"/>
        <x:v>0</x:v>
      </x:c>
      <x:c r="AH70" s="1" t="b">
        <x:f t="shared" si="28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1">SUM(D66:D70)</x:f>
        <x:v>0</x:v>
      </x:c>
      <x:c r="E71" s="226">
        <x:f t="shared" si="31"/>
        <x:v>0</x:v>
      </x:c>
      <x:c r="F71" s="226">
        <x:f t="shared" si="31"/>
        <x:v>0</x:v>
      </x:c>
      <x:c r="G71" s="226">
        <x:f t="shared" si="31"/>
        <x:v>0</x:v>
      </x:c>
      <x:c r="H71" s="226">
        <x:f t="shared" si="31"/>
        <x:v>0</x:v>
      </x:c>
      <x:c r="I71" s="226">
        <x:f t="shared" si="31"/>
        <x:v>0</x:v>
      </x:c>
      <x:c r="J71" s="226">
        <x:f t="shared" si="31"/>
        <x:v>0</x:v>
      </x:c>
      <x:c r="K71" s="236">
        <x:f t="shared" si="31"/>
        <x:v>0</x:v>
      </x:c>
      <x:c r="L71" s="237">
        <x:f t="shared" si="31"/>
        <x:v>0</x:v>
      </x:c>
      <x:c r="M71" s="238">
        <x:f t="shared" si="31"/>
        <x:v>0</x:v>
      </x:c>
      <x:c r="N71" s="237">
        <x:f t="shared" si="31"/>
        <x:v>0</x:v>
      </x:c>
      <x:c r="O71" s="238">
        <x:f t="shared" si="31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2">SUM(V66:V70)</x:f>
        <x:v>0</x:v>
      </x:c>
      <x:c r="W71" s="266">
        <x:f t="shared" si="32"/>
        <x:v>0</x:v>
      </x:c>
      <x:c r="X71" s="266">
        <x:f t="shared" si="32"/>
        <x:v>0</x:v>
      </x:c>
      <x:c r="Y71" s="266">
        <x:f t="shared" si="32"/>
        <x:v>0</x:v>
      </x:c>
      <x:c r="Z71" s="226">
        <x:f t="shared" si="32"/>
        <x:v>0</x:v>
      </x:c>
      <x:c r="AA71" s="226">
        <x:f>SUM(AA66:AA70)</x:f>
        <x:v>0</x:v>
      </x:c>
      <x:c r="AB71" s="226">
        <x:f t="shared" si="32"/>
        <x:v>0</x:v>
      </x:c>
      <x:c r="AC71" s="226">
        <x:f t="shared" si="32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2"/>
        <x:v>0</x:v>
      </x:c>
      <x:c r="AG71" s="268">
        <x:f t="shared" si="32"/>
        <x:v>0</x:v>
      </x:c>
      <x:c r="AH71" s="1" t="b">
        <x:f t="shared" si="28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167</x:v>
      </x:c>
      <x:c r="AD84" s="491" t="s">
        <x:v>105</x:v>
      </x:c>
      <x:c r="AE84" s="490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8">
        <x:f>'AJUSTES - SF-T'!J47</x:f>
        <x:v>0</x:v>
      </x:c>
      <x:c r="K85" s="228">
        <x:f>D85-E85-F85-G85-H85-I85-J85</x:f>
        <x:v>0</x:v>
      </x:c>
      <x:c r="L85" s="230">
        <x:v>0</x:v>
      </x:c>
      <x:c r="M85" s="257">
        <x:f>K85-L85</x:f>
        <x:v>0</x:v>
      </x:c>
      <x:c r="N85" s="257">
        <x:f>'AJUSTES - SF-T'!N47</x:f>
        <x:v>0</x:v>
      </x:c>
      <x:c r="O85" s="257">
        <x:f>M85+N85</x:f>
        <x:v>0</x:v>
      </x:c>
      <x:c r="Q85" s="242"/>
      <x:c r="S85" s="239">
        <x:v>1</x:v>
      </x:c>
      <x:c r="T85" s="240" t="s">
        <x:v>10</x:v>
      </x:c>
      <x:c r="U85" s="248">
        <x:v>0</x:v>
      </x:c>
      <x:c r="V85" s="248">
        <x:v>0</x:v>
      </x:c>
      <x:c r="W85" s="248">
        <x:v>0</x:v>
      </x:c>
      <x:c r="X85" s="248">
        <x:v>0</x:v>
      </x:c>
      <x:c r="Y85" s="248">
        <x:v>0</x:v>
      </x:c>
      <x:c r="Z85" s="248">
        <x:f>'AJUSTES - SF-T'!Z47</x:f>
        <x:v>0</x:v>
      </x:c>
      <x:c r="AA85" s="247">
        <x:v>0</x:v>
      </x:c>
      <x:c r="AB85" s="248">
        <x:f>'AJUSTES - SF-T'!AB47</x:f>
        <x:v>0</x:v>
      </x:c>
      <x:c r="AC85" s="488">
        <x:v>0</x:v>
      </x:c>
      <x:c r="AD85" s="257">
        <x:v>0</x:v>
      </x:c>
      <x:c r="AE85" s="230">
        <x:v>0</x:v>
      </x:c>
      <x:c r="AF85" s="299">
        <x:f>SUM(U85:AD85)</x:f>
        <x:v>0</x:v>
      </x:c>
      <x:c r="AG85" s="486">
        <x:f>AF85-O85</x:f>
        <x:v>0</x:v>
      </x:c>
      <x:c r="AH85" s="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8">
        <x:v>0</x:v>
      </x:c>
      <x:c r="K86" s="228">
        <x:f t="shared" ref="K86:K89" si="33">D86-E86-F86-G86-H86-I86-J86</x:f>
        <x:v>0</x:v>
      </x:c>
      <x:c r="L86" s="230">
        <x:v>0</x:v>
      </x:c>
      <x:c r="M86" s="257">
        <x:f>K86-L86</x:f>
        <x:v>0</x:v>
      </x:c>
      <x:c r="N86" s="257">
        <x:v>0</x:v>
      </x:c>
      <x:c r="O86" s="257">
        <x:f t="shared" ref="O86:O89" si="34">M86+N86</x:f>
        <x:v>0</x:v>
      </x:c>
      <x:c r="Q86" s="242"/>
      <x:c r="S86" s="250">
        <x:v>2</x:v>
      </x:c>
      <x:c r="T86" s="251" t="s">
        <x:v>11</x:v>
      </x:c>
      <x:c r="U86" s="256">
        <x:v>0</x:v>
      </x:c>
      <x:c r="V86" s="256">
        <x:v>0</x:v>
      </x:c>
      <x:c r="W86" s="256">
        <x:v>0</x:v>
      </x:c>
      <x:c r="X86" s="256">
        <x:v>0</x:v>
      </x:c>
      <x:c r="Y86" s="256">
        <x:v>0</x:v>
      </x:c>
      <x:c r="Z86" s="256">
        <x:f>-L86</x:f>
        <x:v>0</x:v>
      </x:c>
      <x:c r="AA86" s="256">
        <x:v>0</x:v>
      </x:c>
      <x:c r="AB86" s="256">
        <x:f>N86</x:f>
        <x:v>0</x:v>
      </x:c>
      <x:c r="AC86" s="235">
        <x:v>0</x:v>
      </x:c>
      <x:c r="AD86" s="256">
        <x:f t="shared" ref="AD86:AD88" si="35">-J86+AE86</x:f>
        <x:v>0</x:v>
      </x:c>
      <x:c r="AE86" s="235">
        <x:v>0</x:v>
      </x:c>
      <x:c r="AF86" s="301">
        <x:f>SUM(U86:AD86)</x:f>
        <x:v>0</x:v>
      </x:c>
      <x:c r="AG86" s="487">
        <x:f>AF86-O86</x:f>
        <x:v>0</x:v>
      </x:c>
      <x:c r="AH86" s="1" t="b">
        <x:f t="shared" ref="AH86:AH90" si="36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8">
        <x:f>'AJUSTES - SF-T'!J49</x:f>
        <x:v>0</x:v>
      </x:c>
      <x:c r="K87" s="228">
        <x:f>D87-E87-F87-G87-H87-I87-J87</x:f>
        <x:v>0</x:v>
      </x:c>
      <x:c r="L87" s="230">
        <x:v>0</x:v>
      </x:c>
      <x:c r="M87" s="257">
        <x:f>K87-L87</x:f>
        <x:v>0</x:v>
      </x:c>
      <x:c r="N87" s="257">
        <x:f>'AJUSTES - SF-T'!N49</x:f>
        <x:v>0</x:v>
      </x:c>
      <x:c r="O87" s="257">
        <x:f>M87+N87</x:f>
        <x:v>0</x:v>
      </x:c>
      <x:c r="Q87" s="242"/>
      <x:c r="S87" s="250">
        <x:v>3</x:v>
      </x:c>
      <x:c r="T87" s="251" t="s">
        <x:v>12</x:v>
      </x:c>
      <x:c r="U87" s="256">
        <x:v>0</x:v>
      </x:c>
      <x:c r="V87" s="256">
        <x:v>0</x:v>
      </x:c>
      <x:c r="W87" s="256">
        <x:v>0</x:v>
      </x:c>
      <x:c r="X87" s="256">
        <x:v>0</x:v>
      </x:c>
      <x:c r="Y87" s="256">
        <x:v>0</x:v>
      </x:c>
      <x:c r="Z87" s="256">
        <x:f>'AJUSTES - SF-T'!Z49</x:f>
        <x:v>0</x:v>
      </x:c>
      <x:c r="AA87" s="256">
        <x:f>'AJUSTES - SF-T'!AA49</x:f>
        <x:v>0</x:v>
      </x:c>
      <x:c r="AB87" s="256">
        <x:f>'AJUSTES - SF-T'!AB49</x:f>
        <x:v>0</x:v>
      </x:c>
      <x:c r="AC87" s="235">
        <x:v>0</x:v>
      </x:c>
      <x:c r="AD87" s="256">
        <x:v>0</x:v>
      </x:c>
      <x:c r="AE87" s="235">
        <x:v>0</x:v>
      </x:c>
      <x:c r="AF87" s="301">
        <x:f>SUM(U87:AD87)</x:f>
        <x:v>0</x:v>
      </x:c>
      <x:c r="AG87" s="487">
        <x:f>AF87-O87</x:f>
        <x:v>0</x:v>
      </x:c>
      <x:c r="AH87" s="1" t="b">
        <x:f t="shared" si="36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8">
        <x:v>0</x:v>
      </x:c>
      <x:c r="K88" s="228">
        <x:f t="shared" si="33"/>
        <x:v>0</x:v>
      </x:c>
      <x:c r="L88" s="230">
        <x:v>0</x:v>
      </x:c>
      <x:c r="M88" s="257">
        <x:f>K88-L88</x:f>
        <x:v>0</x:v>
      </x:c>
      <x:c r="N88" s="257">
        <x:v>0</x:v>
      </x:c>
      <x:c r="O88" s="257">
        <x:f t="shared" si="34"/>
        <x:v>0</x:v>
      </x:c>
      <x:c r="Q88" s="242"/>
      <x:c r="S88" s="250">
        <x:v>4</x:v>
      </x:c>
      <x:c r="T88" s="251" t="s">
        <x:v>13</x:v>
      </x:c>
      <x:c r="U88" s="256">
        <x:v>0</x:v>
      </x:c>
      <x:c r="V88" s="256">
        <x:v>0</x:v>
      </x:c>
      <x:c r="W88" s="256">
        <x:v>0</x:v>
      </x:c>
      <x:c r="X88" s="256">
        <x:v>0</x:v>
      </x:c>
      <x:c r="Y88" s="256">
        <x:v>0</x:v>
      </x:c>
      <x:c r="Z88" s="256">
        <x:f>-L88</x:f>
        <x:v>0</x:v>
      </x:c>
      <x:c r="AA88" s="256">
        <x:v>0</x:v>
      </x:c>
      <x:c r="AB88" s="256">
        <x:f>N88</x:f>
        <x:v>0</x:v>
      </x:c>
      <x:c r="AC88" s="235">
        <x:v>0</x:v>
      </x:c>
      <x:c r="AD88" s="256">
        <x:f t="shared" si="35"/>
        <x:v>0</x:v>
      </x:c>
      <x:c r="AE88" s="235">
        <x:v>0</x:v>
      </x:c>
      <x:c r="AF88" s="301">
        <x:f t="shared" ref="AF88:AF89" si="37">SUM(U88:AD88)</x:f>
        <x:v>0</x:v>
      </x:c>
      <x:c r="AG88" s="487">
        <x:f>AF88-O88</x:f>
        <x:v>0</x:v>
      </x:c>
      <x:c r="AH88" s="1" t="b">
        <x:f t="shared" si="36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f>'AJUSTES - SF-T'!D51</x:f>
        <x:v>0</x:v>
      </x:c>
      <x:c r="E89" s="233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33">
        <x:f>'AJUSTES - SF-T'!J51</x:f>
        <x:v>0</x:v>
      </x:c>
      <x:c r="K89" s="233">
        <x:f t="shared" si="33"/>
        <x:v>0</x:v>
      </x:c>
      <x:c r="L89" s="230">
        <x:v>0</x:v>
      </x:c>
      <x:c r="M89" s="282">
        <x:f>K89-L89</x:f>
        <x:v>0</x:v>
      </x:c>
      <x:c r="N89" s="282">
        <x:f>'AJUSTES - SF-T'!N51</x:f>
        <x:v>0</x:v>
      </x:c>
      <x:c r="O89" s="282">
        <x:f t="shared" si="34"/>
        <x:v>0</x:v>
      </x:c>
      <x:c r="Q89" s="242"/>
      <x:c r="S89" s="260">
        <x:v>5</x:v>
      </x:c>
      <x:c r="T89" s="261" t="s">
        <x:v>14</x:v>
      </x:c>
      <x:c r="U89" s="282">
        <x:f>'AJUSTES - SF-T'!U51</x:f>
        <x:v>0</x:v>
      </x:c>
      <x:c r="V89" s="282">
        <x:f>'AJUSTES - SF-T'!V51</x:f>
        <x:v>0</x:v>
      </x:c>
      <x:c r="W89" s="282">
        <x:f>'AJUSTES - SF-T'!W51</x:f>
        <x:v>0</x:v>
      </x:c>
      <x:c r="X89" s="282">
        <x:f>'AJUSTES - SF-T'!X51</x:f>
        <x:v>0</x:v>
      </x:c>
      <x:c r="Y89" s="282">
        <x:f>'AJUSTES - SF-T'!Y51</x:f>
        <x:v>0</x:v>
      </x:c>
      <x:c r="Z89" s="282">
        <x:f>'AJUSTES - SF-T'!Z51</x:f>
        <x:v>0</x:v>
      </x:c>
      <x:c r="AA89" s="256">
        <x:f>'AJUSTES - SF-T'!AA51</x:f>
        <x:v>0</x:v>
      </x:c>
      <x:c r="AB89" s="489">
        <x:f>'AJUSTES - SF-T'!AB51</x:f>
        <x:v>0</x:v>
      </x:c>
      <x:c r="AC89" s="519">
        <x:v>0</x:v>
      </x:c>
      <x:c r="AD89" s="489">
        <x:f>'AJUSTES - SF-T'!AC51</x:f>
        <x:v>0</x:v>
      </x:c>
      <x:c r="AE89" s="230">
        <x:f>'AJUSTES - SF-T'!AD51</x:f>
        <x:v>0</x:v>
      </x:c>
      <x:c r="AF89" s="493">
        <x:f t="shared" si="37"/>
        <x:v>0</x:v>
      </x:c>
      <x:c r="AG89" s="492">
        <x:f>AF89-O89</x:f>
        <x:v>0</x:v>
      </x:c>
      <x:c r="AH89" s="1" t="b">
        <x:f t="shared" si="36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38">SUM(D85:D89)</x:f>
        <x:v>0</x:v>
      </x:c>
      <x:c r="E90" s="226">
        <x:f t="shared" si="38"/>
        <x:v>0</x:v>
      </x:c>
      <x:c r="F90" s="226">
        <x:f t="shared" si="38"/>
        <x:v>0</x:v>
      </x:c>
      <x:c r="G90" s="226">
        <x:f t="shared" si="38"/>
        <x:v>0</x:v>
      </x:c>
      <x:c r="H90" s="226">
        <x:f t="shared" si="38"/>
        <x:v>0</x:v>
      </x:c>
      <x:c r="I90" s="226">
        <x:f t="shared" si="38"/>
        <x:v>0</x:v>
      </x:c>
      <x:c r="J90" s="226">
        <x:f t="shared" si="38"/>
        <x:v>0</x:v>
      </x:c>
      <x:c r="K90" s="236">
        <x:f t="shared" si="38"/>
        <x:v>0</x:v>
      </x:c>
      <x:c r="L90" s="237">
        <x:f t="shared" si="38"/>
        <x:v>0</x:v>
      </x:c>
      <x:c r="M90" s="238">
        <x:f t="shared" si="38"/>
        <x:v>0</x:v>
      </x:c>
      <x:c r="N90" s="237">
        <x:f t="shared" si="38"/>
        <x:v>0</x:v>
      </x:c>
      <x:c r="O90" s="238">
        <x:f t="shared" si="38"/>
        <x:v>0</x:v>
      </x:c>
      <x:c r="P90" s="265"/>
      <x:c r="Q90" s="242"/>
      <x:c r="S90" s="263"/>
      <x:c r="T90" s="484" t="s">
        <x:v>2</x:v>
      </x:c>
      <x:c r="U90" s="266">
        <x:f>SUM(U85:U89)</x:f>
        <x:v>0</x:v>
      </x:c>
      <x:c r="V90" s="266">
        <x:f t="shared" ref="V90:AG90" si="39">SUM(V85:V89)</x:f>
        <x:v>0</x:v>
      </x:c>
      <x:c r="W90" s="485">
        <x:f t="shared" si="39"/>
        <x:v>0</x:v>
      </x:c>
      <x:c r="X90" s="266">
        <x:f t="shared" si="39"/>
        <x:v>0</x:v>
      </x:c>
      <x:c r="Y90" s="266">
        <x:f t="shared" si="39"/>
        <x:v>0</x:v>
      </x:c>
      <x:c r="Z90" s="226">
        <x:f t="shared" si="39"/>
        <x:v>0</x:v>
      </x:c>
      <x:c r="AA90" s="226">
        <x:f t="shared" si="39"/>
        <x:v>0</x:v>
      </x:c>
      <x:c r="AB90" s="226">
        <x:f t="shared" si="39"/>
        <x:v>0</x:v>
      </x:c>
      <x:c r="AC90" s="226">
        <x:f t="shared" si="39"/>
        <x:v>0</x:v>
      </x:c>
      <x:c r="AD90" s="226">
        <x:f t="shared" si="39"/>
        <x:v>0</x:v>
      </x:c>
      <x:c r="AE90" s="226">
        <x:f t="shared" si="39"/>
        <x:v>0</x:v>
      </x:c>
      <x:c r="AF90" s="267">
        <x:f t="shared" si="39"/>
        <x:v>0</x:v>
      </x:c>
      <x:c r="AG90" s="268">
        <x:f t="shared" si="39"/>
        <x:v>0</x:v>
      </x:c>
      <x:c r="AH90" s="1" t="b">
        <x:f t="shared" si="36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328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0">D9+D28+D47+D66+D85</x:f>
        <x:v>0</x:v>
      </x:c>
      <x:c r="E104" s="228">
        <x:f t="shared" si="40"/>
        <x:v>0</x:v>
      </x:c>
      <x:c r="F104" s="228">
        <x:f t="shared" si="40"/>
        <x:v>0</x:v>
      </x:c>
      <x:c r="G104" s="228">
        <x:f t="shared" si="40"/>
        <x:v>0</x:v>
      </x:c>
      <x:c r="H104" s="228">
        <x:f t="shared" si="40"/>
        <x:v>0</x:v>
      </x:c>
      <x:c r="I104" s="228">
        <x:f t="shared" si="40"/>
        <x:v>0</x:v>
      </x:c>
      <x:c r="J104" s="228">
        <x:f t="shared" si="40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C108" si="41">U9+U28+U47+U66+U85</x:f>
        <x:v>0</x:v>
      </x:c>
      <x:c r="V104" s="244">
        <x:f t="shared" si="41"/>
        <x:v>0</x:v>
      </x:c>
      <x:c r="W104" s="244">
        <x:f t="shared" si="41"/>
        <x:v>0</x:v>
      </x:c>
      <x:c r="X104" s="244">
        <x:f t="shared" si="41"/>
        <x:v>0</x:v>
      </x:c>
      <x:c r="Y104" s="245">
        <x:f t="shared" si="41"/>
        <x:v>0</x:v>
      </x:c>
      <x:c r="Z104" s="246">
        <x:f t="shared" si="41"/>
        <x:v>0</x:v>
      </x:c>
      <x:c r="AA104" s="247">
        <x:f>AA9+AA28+AA47+AA66+AA85</x:f>
        <x:v>0</x:v>
      </x:c>
      <x:c r="AB104" s="230">
        <x:f>AB9+AB28+AB47+AB66+AB85</x:f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0"/>
        <x:v>0</x:v>
      </x:c>
      <x:c r="E105" s="228">
        <x:f t="shared" si="40"/>
        <x:v>0</x:v>
      </x:c>
      <x:c r="F105" s="228">
        <x:f t="shared" si="40"/>
        <x:v>0</x:v>
      </x:c>
      <x:c r="G105" s="228">
        <x:f t="shared" si="40"/>
        <x:v>0</x:v>
      </x:c>
      <x:c r="H105" s="228">
        <x:f t="shared" si="40"/>
        <x:v>0</x:v>
      </x:c>
      <x:c r="I105" s="228">
        <x:f t="shared" si="40"/>
        <x:v>0</x:v>
      </x:c>
      <x:c r="J105" s="228">
        <x:f t="shared" si="40"/>
        <x:v>0</x:v>
      </x:c>
      <x:c r="K105" s="231">
        <x:f t="shared" ref="K105:K108" si="42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3">M105+N105</x:f>
        <x:v>0</x:v>
      </x:c>
      <x:c r="Q105" s="242"/>
      <x:c r="S105" s="250">
        <x:v>2</x:v>
      </x:c>
      <x:c r="T105" s="251" t="s">
        <x:v>11</x:v>
      </x:c>
      <x:c r="U105" s="252">
        <x:f t="shared" si="41"/>
        <x:v>0</x:v>
      </x:c>
      <x:c r="V105" s="253">
        <x:f t="shared" si="41"/>
        <x:v>0</x:v>
      </x:c>
      <x:c r="W105" s="253">
        <x:f t="shared" si="41"/>
        <x:v>0</x:v>
      </x:c>
      <x:c r="X105" s="253">
        <x:f t="shared" si="41"/>
        <x:v>0</x:v>
      </x:c>
      <x:c r="Y105" s="254">
        <x:f t="shared" si="41"/>
        <x:v>0</x:v>
      </x:c>
      <x:c r="Z105" s="255">
        <x:f t="shared" si="41"/>
        <x:v>0</x:v>
      </x:c>
      <x:c r="AA105" s="256">
        <x:f t="shared" si="41"/>
        <x:v>0</x:v>
      </x:c>
      <x:c r="AB105" s="230">
        <x:f t="shared" si="41"/>
        <x:v>0</x:v>
      </x:c>
      <x:c r="AC105" s="256">
        <x:f t="shared" si="41"/>
        <x:v>0</x:v>
      </x:c>
      <x:c r="AD105" s="227">
        <x:f t="shared" ref="AD105:AD106" si="44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ref="AH105:AH109" si="45">INT(AG105)=0</x:f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0"/>
        <x:v>0</x:v>
      </x:c>
      <x:c r="E106" s="228">
        <x:f t="shared" si="40"/>
        <x:v>0</x:v>
      </x:c>
      <x:c r="F106" s="228">
        <x:f t="shared" si="40"/>
        <x:v>0</x:v>
      </x:c>
      <x:c r="G106" s="228">
        <x:f t="shared" si="40"/>
        <x:v>0</x:v>
      </x:c>
      <x:c r="H106" s="228">
        <x:f t="shared" si="40"/>
        <x:v>0</x:v>
      </x:c>
      <x:c r="I106" s="228">
        <x:f t="shared" si="40"/>
        <x:v>0</x:v>
      </x:c>
      <x:c r="J106" s="228">
        <x:f t="shared" si="40"/>
        <x:v>0</x:v>
      </x:c>
      <x:c r="K106" s="231">
        <x:f t="shared" si="42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3"/>
        <x:v>0</x:v>
      </x:c>
      <x:c r="Q106" s="242"/>
      <x:c r="S106" s="250">
        <x:v>3</x:v>
      </x:c>
      <x:c r="T106" s="251" t="s">
        <x:v>12</x:v>
      </x:c>
      <x:c r="U106" s="252">
        <x:f t="shared" si="41"/>
        <x:v>0</x:v>
      </x:c>
      <x:c r="V106" s="253">
        <x:f t="shared" si="41"/>
        <x:v>0</x:v>
      </x:c>
      <x:c r="W106" s="253">
        <x:f t="shared" si="41"/>
        <x:v>0</x:v>
      </x:c>
      <x:c r="X106" s="253">
        <x:f t="shared" si="41"/>
        <x:v>0</x:v>
      </x:c>
      <x:c r="Y106" s="254">
        <x:f t="shared" si="41"/>
        <x:v>0</x:v>
      </x:c>
      <x:c r="Z106" s="255">
        <x:f t="shared" si="41"/>
        <x:v>0</x:v>
      </x:c>
      <x:c r="AA106" s="256">
        <x:f t="shared" si="41"/>
        <x:v>0</x:v>
      </x:c>
      <x:c r="AB106" s="230">
        <x:f t="shared" si="41"/>
        <x:v>0</x:v>
      </x:c>
      <x:c r="AC106" s="256">
        <x:f>AC11+AC30+AC49+AC68+AC87</x:f>
        <x:v>0</x:v>
      </x:c>
      <x:c r="AD106" s="227">
        <x:f t="shared" si="44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5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0"/>
        <x:v>0</x:v>
      </x:c>
      <x:c r="E107" s="228">
        <x:f t="shared" si="40"/>
        <x:v>0</x:v>
      </x:c>
      <x:c r="F107" s="228">
        <x:f t="shared" si="40"/>
        <x:v>0</x:v>
      </x:c>
      <x:c r="G107" s="228">
        <x:f t="shared" si="40"/>
        <x:v>0</x:v>
      </x:c>
      <x:c r="H107" s="228">
        <x:f t="shared" si="40"/>
        <x:v>0</x:v>
      </x:c>
      <x:c r="I107" s="228">
        <x:f t="shared" si="40"/>
        <x:v>0</x:v>
      </x:c>
      <x:c r="J107" s="228">
        <x:f t="shared" si="40"/>
        <x:v>0</x:v>
      </x:c>
      <x:c r="K107" s="231">
        <x:f t="shared" si="42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>M107+N107</x:f>
        <x:v>0</x:v>
      </x:c>
      <x:c r="Q107" s="242"/>
      <x:c r="S107" s="250">
        <x:v>4</x:v>
      </x:c>
      <x:c r="T107" s="251" t="s">
        <x:v>13</x:v>
      </x:c>
      <x:c r="U107" s="252">
        <x:f t="shared" si="41"/>
        <x:v>0</x:v>
      </x:c>
      <x:c r="V107" s="253">
        <x:f t="shared" si="41"/>
        <x:v>0</x:v>
      </x:c>
      <x:c r="W107" s="253">
        <x:f t="shared" si="41"/>
        <x:v>0</x:v>
      </x:c>
      <x:c r="X107" s="253">
        <x:f t="shared" si="41"/>
        <x:v>0</x:v>
      </x:c>
      <x:c r="Y107" s="254">
        <x:f t="shared" si="41"/>
        <x:v>0</x:v>
      </x:c>
      <x:c r="Z107" s="255">
        <x:f t="shared" si="41"/>
        <x:v>0</x:v>
      </x:c>
      <x:c r="AA107" s="256">
        <x:f t="shared" si="41"/>
        <x:v>0</x:v>
      </x:c>
      <x:c r="AB107" s="230">
        <x:f t="shared" si="41"/>
        <x:v>0</x:v>
      </x:c>
      <x:c r="AC107" s="256">
        <x:f t="shared" si="41"/>
        <x:v>0</x:v>
      </x:c>
      <x:c r="AD107" s="227">
        <x:f>-J117+AE117</x:f>
        <x:v>0</x:v>
      </x:c>
      <x:c r="AE107" s="227">
        <x:f>AE12+AE31+AE50+AE69+AE88</x:f>
        <x:v>0</x:v>
      </x:c>
      <x:c r="AF107" s="258">
        <x:f>SUM(U117:AD117)</x:f>
        <x:v>0</x:v>
      </x:c>
      <x:c r="AG107" s="259">
        <x:f>AF117-O117</x:f>
        <x:v>0</x:v>
      </x:c>
      <x:c r="AH107" s="1" t="b">
        <x:f t="shared" si="45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0"/>
        <x:v>0</x:v>
      </x:c>
      <x:c r="F108" s="233">
        <x:f t="shared" si="40"/>
        <x:v>0</x:v>
      </x:c>
      <x:c r="G108" s="233">
        <x:f t="shared" si="40"/>
        <x:v>0</x:v>
      </x:c>
      <x:c r="H108" s="233">
        <x:f t="shared" si="40"/>
        <x:v>0</x:v>
      </x:c>
      <x:c r="I108" s="233">
        <x:f t="shared" si="40"/>
        <x:v>0</x:v>
      </x:c>
      <x:c r="J108" s="233">
        <x:f t="shared" si="40"/>
        <x:v>0</x:v>
      </x:c>
      <x:c r="K108" s="231">
        <x:f t="shared" si="42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3"/>
        <x:v>0</x:v>
      </x:c>
      <x:c r="Q108" s="242"/>
      <x:c r="S108" s="260">
        <x:v>5</x:v>
      </x:c>
      <x:c r="T108" s="261" t="s">
        <x:v>14</x:v>
      </x:c>
      <x:c r="U108" s="232">
        <x:f t="shared" si="41"/>
        <x:v>0</x:v>
      </x:c>
      <x:c r="V108" s="233">
        <x:f t="shared" si="41"/>
        <x:v>0</x:v>
      </x:c>
      <x:c r="W108" s="233">
        <x:f t="shared" si="41"/>
        <x:v>0</x:v>
      </x:c>
      <x:c r="X108" s="233">
        <x:f t="shared" si="41"/>
        <x:v>0</x:v>
      </x:c>
      <x:c r="Y108" s="225">
        <x:f t="shared" si="41"/>
        <x:v>0</x:v>
      </x:c>
      <x:c r="Z108" s="255">
        <x:f t="shared" si="41"/>
        <x:v>0</x:v>
      </x:c>
      <x:c r="AA108" s="256">
        <x:f t="shared" si="41"/>
        <x:v>0</x:v>
      </x:c>
      <x:c r="AB108" s="230">
        <x:f t="shared" si="41"/>
        <x:v>0</x:v>
      </x:c>
      <x:c r="AC108" s="256">
        <x:f t="shared" si="41"/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5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46">SUM(D104:D108)</x:f>
        <x:v>0</x:v>
      </x:c>
      <x:c r="E109" s="226">
        <x:f t="shared" si="46"/>
        <x:v>0</x:v>
      </x:c>
      <x:c r="F109" s="226">
        <x:f t="shared" si="46"/>
        <x:v>0</x:v>
      </x:c>
      <x:c r="G109" s="226">
        <x:f t="shared" si="46"/>
        <x:v>0</x:v>
      </x:c>
      <x:c r="H109" s="226">
        <x:f t="shared" si="46"/>
        <x:v>0</x:v>
      </x:c>
      <x:c r="I109" s="226">
        <x:f t="shared" si="46"/>
        <x:v>0</x:v>
      </x:c>
      <x:c r="J109" s="226">
        <x:f t="shared" si="46"/>
        <x:v>0</x:v>
      </x:c>
      <x:c r="K109" s="236">
        <x:f t="shared" si="46"/>
        <x:v>0</x:v>
      </x:c>
      <x:c r="L109" s="237">
        <x:f t="shared" si="46"/>
        <x:v>0</x:v>
      </x:c>
      <x:c r="M109" s="238">
        <x:f t="shared" si="46"/>
        <x:v>0</x:v>
      </x:c>
      <x:c r="N109" s="237">
        <x:f t="shared" si="46"/>
        <x:v>0</x:v>
      </x:c>
      <x:c r="O109" s="238">
        <x:f t="shared" si="46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47">SUM(V104:V108)</x:f>
        <x:v>0</x:v>
      </x:c>
      <x:c r="W109" s="266">
        <x:f t="shared" si="47"/>
        <x:v>0</x:v>
      </x:c>
      <x:c r="X109" s="266">
        <x:f t="shared" si="47"/>
        <x:v>0</x:v>
      </x:c>
      <x:c r="Y109" s="266">
        <x:f t="shared" si="47"/>
        <x:v>0</x:v>
      </x:c>
      <x:c r="Z109" s="226">
        <x:f t="shared" si="47"/>
        <x:v>0</x:v>
      </x:c>
      <x:c r="AA109" s="226">
        <x:f t="shared" si="47"/>
        <x:v>0</x:v>
      </x:c>
      <x:c r="AB109" s="226">
        <x:f t="shared" si="47"/>
        <x:v>0</x:v>
      </x:c>
      <x:c r="AC109" s="226">
        <x:f t="shared" si="47"/>
        <x:v>0</x:v>
      </x:c>
      <x:c r="AD109" s="226">
        <x:f t="shared" si="47"/>
        <x:v>0</x:v>
      </x:c>
      <x:c r="AE109" s="226">
        <x:f>SUM(AE104:AE108)</x:f>
        <x:v>0</x:v>
      </x:c>
      <x:c r="AF109" s="267">
        <x:f t="shared" si="47"/>
        <x:v>0</x:v>
      </x:c>
      <x:c r="AG109" s="268">
        <x:f>SUM(AG104:AG108)</x:f>
        <x:v>0</x:v>
      </x:c>
      <x:c r="AH109" s="1" t="b">
        <x:f t="shared" si="45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241"/>
      <x:c r="AB112" s="241"/>
      <x:c r="AC112" s="241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1">
        <x:v>1</x:v>
      </x:c>
      <x:c r="C125" s="102" t="s">
        <x:v>10</x:v>
      </x:c>
      <x:c r="D125" s="103">
        <x:f>'ANTICIPOS USUARIOS'!L3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USUARIOS'!L12</x:f>
        <x:v>0</x:v>
      </x:c>
      <x:c r="L125" s="245">
        <x:f>-'ANTICIPOS USUARIOS'!L21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48">D67+N67</x:f>
        <x:v>0</x:v>
      </x:c>
      <x:c r="K126" s="224">
        <x:f>'ANTICIPOS USUARIOS'!L13</x:f>
        <x:v>0</x:v>
      </x:c>
      <x:c r="L126" s="224">
        <x:f>-'ANTICIPOS USUARIOS'!L22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48"/>
        <x:v>0</x:v>
      </x:c>
      <x:c r="K127" s="224">
        <x:f>'ANTICIPOS USUARIOS'!L14</x:f>
        <x:v>0</x:v>
      </x:c>
      <x:c r="L127" s="224">
        <x:f>-'ANTICIPOS USUARIOS'!L23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48"/>
        <x:v>0</x:v>
      </x:c>
      <x:c r="K128" s="224">
        <x:f>'ANTICIPOS USUARIOS'!L15</x:f>
        <x:v>0</x:v>
      </x:c>
      <x:c r="L128" s="224">
        <x:f>-'ANTICIPOS USUARIOS'!L24</x:f>
        <x:v>0</x:v>
      </x:c>
      <x:c r="O128" s="44"/>
      <x:c r="Q128" s="4"/>
    </x:row>
    <x:row r="129" spans="1:18" x14ac:dyDescent="0.2">
      <x:c r="B129" s="122">
        <x:v>5</x:v>
      </x:c>
      <x:c r="C129" s="127" t="s">
        <x:v>14</x:v>
      </x:c>
      <x:c r="D129" s="15">
        <x:f>'ANTICIPOS USUARIOS'!L7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48"/>
        <x:v>0</x:v>
      </x:c>
      <x:c r="K129" s="224">
        <x:f>'ANTICIPOS USUARIOS'!L16</x:f>
        <x:v>0</x:v>
      </x:c>
      <x:c r="L129" s="224">
        <x:f>-'ANTICIPOS USUARIOS'!L25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75" thickBot="1" x14ac:dyDescent="0.25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49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ENERBIT'!D21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BANCO'!E63)</x:f>
        <x:v>0</x:v>
      </x:c>
      <x:c r="J142" s="103">
        <x:f t="shared" ref="J142:K146" si="50">G125</x:f>
        <x:v>0</x:v>
      </x:c>
      <x:c r="K142" s="104">
        <x:f t="shared" si="50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443">
        <x:f>D143-E143-F143-G143-J143-H143-I143</x:f>
        <x:v>0</x:v>
      </x:c>
      <x:c r="M143" s="1" t="b">
        <x:f t="shared" ref="M143:M147" si="51"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443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443">
        <x:f>D145-E145-F145-G145-J145-H145-I145</x:f>
        <x:v>0</x:v>
      </x:c>
      <x:c r="M145" s="1" t="b">
        <x:f t="shared" si="51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ENERBIT'!F25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BANCO'!E73)</x:f>
        <x:v>0</x:v>
      </x:c>
      <x:c r="J146" s="123">
        <x:f t="shared" si="50"/>
        <x:v>0</x:v>
      </x:c>
      <x:c r="K146" s="125">
        <x:f t="shared" si="50"/>
        <x:v>0</x:v>
      </x:c>
      <x:c r="L146" s="443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443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53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topLeftCell="C1" zoomScale="90" zoomScaleNormal="90" workbookViewId="0">
      <x:selection activeCell="L13" sqref="L13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ENERBIT'!D21</x:f>
        <x:v>0</x:v>
      </x:c>
      <x:c r="D3" s="228">
        <x:f>REMUNERACION_ENERBIT!G125</x:f>
        <x:v>0</x:v>
      </x:c>
      <x:c r="E3" s="228">
        <x:f>REMUNERACION_ENERBIT!D28+REMUNERACION_ENERBIT!N28</x:f>
        <x:v>0</x:v>
      </x:c>
      <x:c r="F3" s="228">
        <x:f>REMUNERACION_ENERBIT!I142</x:f>
        <x:v>0</x:v>
      </x:c>
      <x:c r="G3" s="228">
        <x:f>REMUNERACION_ENERBIT!H142</x:f>
        <x:v>0</x:v>
      </x:c>
      <x:c r="H3" s="276">
        <x:f>SUM(C3:G3)</x:f>
        <x:v>0</x:v>
      </x:c>
      <x:c r="I3" s="227">
        <x:f>REMUNERACION_ENERBIT!D104</x:f>
        <x:v>0</x:v>
      </x:c>
      <x:c r="J3" s="228">
        <x:f>REMUNERACION_ENERBIT!N104</x:f>
        <x:v>0</x:v>
      </x:c>
      <x:c r="K3" s="228">
        <x:f>REMUNERACION_ENERBIT!D125</x:f>
        <x:v>0</x:v>
      </x:c>
      <x:c r="L3" s="289">
        <x:f>REMUNERACION_ENERBIT!E125</x:f>
        <x:v>0</x:v>
      </x:c>
      <x:c r="M3" s="228">
        <x:f>-REMUNERACION_ENERBIT!D66-REMUNERACION_ENERBIT!N66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ENERBIT'!D22</x:f>
        <x:v>0</x:v>
      </x:c>
      <x:c r="D4" s="228">
        <x:f>REMUNERACION_ENERBIT!G126</x:f>
        <x:v>0</x:v>
      </x:c>
      <x:c r="E4" s="228">
        <x:f>REMUNERACION_ENERBIT!D29+REMUNERACION_ENERBIT!N29</x:f>
        <x:v>0</x:v>
      </x:c>
      <x:c r="F4" s="228">
        <x:f>REMUNERACION_ENERBIT!I143</x:f>
        <x:v>0</x:v>
      </x:c>
      <x:c r="G4" s="228">
        <x:f>REMUNERACION_ENERBIT!H143</x:f>
        <x:v>0</x:v>
      </x:c>
      <x:c r="H4" s="276">
        <x:f t="shared" ref="H4:H8" si="1">SUM(C4:G4)</x:f>
        <x:v>0</x:v>
      </x:c>
      <x:c r="I4" s="227">
        <x:f>REMUNERACION_ENERBIT!D105</x:f>
        <x:v>0</x:v>
      </x:c>
      <x:c r="J4" s="228">
        <x:f>REMUNERACION_ENERBIT!N105</x:f>
        <x:v>0</x:v>
      </x:c>
      <x:c r="K4" s="228">
        <x:f>REMUNERACION_ENERBIT!D126</x:f>
        <x:v>0</x:v>
      </x:c>
      <x:c r="L4" s="289">
        <x:f>REMUNERACION_ENERBIT!E126</x:f>
        <x:v>0</x:v>
      </x:c>
      <x:c r="M4" s="228">
        <x:f>-REMUNERACION_ENERBIT!D67-REMUNERACION_ENERBIT!N67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ENERBIT'!D23</x:f>
        <x:v>0</x:v>
      </x:c>
      <x:c r="D5" s="228">
        <x:f>REMUNERACION_ENERBIT!G127</x:f>
        <x:v>0</x:v>
      </x:c>
      <x:c r="E5" s="228">
        <x:f>REMUNERACION_ENERBIT!D30+REMUNERACION_ENERBIT!N30</x:f>
        <x:v>0</x:v>
      </x:c>
      <x:c r="F5" s="228">
        <x:f>REMUNERACION_ENERBIT!I144</x:f>
        <x:v>0</x:v>
      </x:c>
      <x:c r="G5" s="228">
        <x:f>REMUNERACION_ENERBIT!H144</x:f>
        <x:v>0</x:v>
      </x:c>
      <x:c r="H5" s="276">
        <x:f t="shared" si="1"/>
        <x:v>0</x:v>
      </x:c>
      <x:c r="I5" s="227">
        <x:f>REMUNERACION_ENERBIT!D106</x:f>
        <x:v>0</x:v>
      </x:c>
      <x:c r="J5" s="228">
        <x:f>REMUNERACION_ENERBIT!N106</x:f>
        <x:v>0</x:v>
      </x:c>
      <x:c r="K5" s="228">
        <x:f>REMUNERACION_ENERBIT!D127</x:f>
        <x:v>0</x:v>
      </x:c>
      <x:c r="L5" s="289">
        <x:f>REMUNERACION_ENERBIT!E127</x:f>
        <x:v>0</x:v>
      </x:c>
      <x:c r="M5" s="228">
        <x:f>-REMUNERACION_ENERBIT!D68-REMUNERACION_ENERBIT!N68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ENERBIT'!D24</x:f>
        <x:v>0</x:v>
      </x:c>
      <x:c r="D6" s="228">
        <x:f>REMUNERACION_ENERBIT!G128</x:f>
        <x:v>0</x:v>
      </x:c>
      <x:c r="E6" s="228">
        <x:f>REMUNERACION_ENERBIT!D31+REMUNERACION_ENERBIT!N31</x:f>
        <x:v>0</x:v>
      </x:c>
      <x:c r="F6" s="228">
        <x:f>REMUNERACION_ENERBIT!I145</x:f>
        <x:v>0</x:v>
      </x:c>
      <x:c r="G6" s="228">
        <x:f>REMUNERACION_ENERBIT!H145</x:f>
        <x:v>0</x:v>
      </x:c>
      <x:c r="H6" s="276">
        <x:f t="shared" si="1"/>
        <x:v>0</x:v>
      </x:c>
      <x:c r="I6" s="227">
        <x:f>REMUNERACION_ENERBIT!D107</x:f>
        <x:v>0</x:v>
      </x:c>
      <x:c r="J6" s="228">
        <x:f>REMUNERACION_ENERBIT!N107</x:f>
        <x:v>0</x:v>
      </x:c>
      <x:c r="K6" s="228">
        <x:f>REMUNERACION_ENERBIT!D128</x:f>
        <x:v>0</x:v>
      </x:c>
      <x:c r="L6" s="289">
        <x:f>REMUNERACION_ENERBIT!E128</x:f>
        <x:v>0</x:v>
      </x:c>
      <x:c r="M6" s="228">
        <x:f>-REMUNERACION_ENERBIT!D69-REMUNERACION_ENERBIT!N69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ENERBIT'!F25</x:f>
        <x:v>0</x:v>
      </x:c>
      <x:c r="D7" s="228">
        <x:f>REMUNERACION_ENERBIT!G129</x:f>
        <x:v>0</x:v>
      </x:c>
      <x:c r="E7" s="228">
        <x:f>REMUNERACION_ENERBIT!D32+REMUNERACION_ENERBIT!N32</x:f>
        <x:v>0</x:v>
      </x:c>
      <x:c r="F7" s="228">
        <x:f>REMUNERACION_ENERBIT!I146</x:f>
        <x:v>0</x:v>
      </x:c>
      <x:c r="G7" s="228">
        <x:f>REMUNERACION_ENERBIT!H146</x:f>
        <x:v>0</x:v>
      </x:c>
      <x:c r="H7" s="276">
        <x:f t="shared" si="1"/>
        <x:v>0</x:v>
      </x:c>
      <x:c r="I7" s="227">
        <x:f>REMUNERACION_ENERBIT!D108</x:f>
        <x:v>0</x:v>
      </x:c>
      <x:c r="J7" s="228">
        <x:f>REMUNERACION_ENERBIT!N108</x:f>
        <x:v>0</x:v>
      </x:c>
      <x:c r="K7" s="228">
        <x:f>REMUNERACION_ENERBIT!D129</x:f>
        <x:v>0</x:v>
      </x:c>
      <x:c r="L7" s="289">
        <x:f>REMUNERACION_ENERBIT!E129</x:f>
        <x:v>0</x:v>
      </x:c>
      <x:c r="M7" s="228">
        <x:f>-REMUNERACION_ENERBIT!D70-REMUNERACION_ENERBIT!N70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ENERBIT'!F26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REMUNERACION_ENERBIT!E130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Recaudo'!D8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J16" sqref="J1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REMUNERACION_ENERBIT!D101</x:f>
        <x:v>46238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REMUNERACION_ENERBIT!D102</x:f>
        <x:v>0.58333333333333337</x:v>
      </x:c>
      <x:c r="F7" s="2" t="s">
        <x:v>27</x:v>
      </x:c>
      <x:c r="G7" s="9">
        <x:f>REMUNERACION_ENERBIT!G102</x:f>
        <x:v>46219</x:v>
      </x:c>
      <x:c r="J7" s="2" t="s">
        <x:v>28</x:v>
      </x:c>
      <x:c r="K7" s="9">
        <x:f>REMUNERACION_ENERBIT!K102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10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590">
        <x:f>REMUNERACION_ENERBIT!D106</x:f>
        <x:v>0</x:v>
      </x:c>
      <x:c r="E11" s="590">
        <x:f>REMUNERACION_ENERBIT!E106</x:f>
        <x:v>0</x:v>
      </x:c>
      <x:c r="F11" s="590">
        <x:f>REMUNERACION_ENERBIT!F106</x:f>
        <x:v>0</x:v>
      </x:c>
      <x:c r="G11" s="590">
        <x:f>REMUNERACION_ENERBIT!G106</x:f>
        <x:v>0</x:v>
      </x:c>
      <x:c r="H11" s="590">
        <x:f>REMUNERACION_ENERBIT!H106</x:f>
        <x:v>0</x:v>
      </x:c>
      <x:c r="I11" s="590">
        <x:f>REMUNERACION_ENERBIT!I106</x:f>
        <x:v>0</x:v>
      </x:c>
      <x:c r="J11" s="590">
        <x:f>REMUNERACION_ENERBIT!J106</x:f>
        <x:v>0</x:v>
      </x:c>
      <x:c r="K11" s="591">
        <x:f t="shared" si="0"/>
        <x:v>0</x:v>
      </x:c>
      <x:c r="L11" s="590">
        <x:f>REMUNERACION_ENERBIT!L106</x:f>
        <x:v>0</x:v>
      </x:c>
      <x:c r="M11" s="591">
        <x:f>K11-L11</x:f>
        <x:v>0</x:v>
      </x:c>
      <x:c r="N11" s="590">
        <x:f>REMUNERACION_ENERBIT!N106</x:f>
        <x:v>0</x:v>
      </x:c>
      <x:c r="O11" s="591">
        <x:f t="shared" si="1"/>
        <x:v>0</x:v>
      </x:c>
      <x:c r="Q11" s="4"/>
      <x:c r="S11" s="16">
        <x:v>3</x:v>
      </x:c>
      <x:c r="T11" s="62" t="s">
        <x:v>12</x:v>
      </x:c>
      <x:c r="U11" s="590">
        <x:f>REMUNERACION_ENERBIT!U106</x:f>
        <x:v>0</x:v>
      </x:c>
      <x:c r="V11" s="590">
        <x:f>REMUNERACION_ENERBIT!V106</x:f>
        <x:v>0</x:v>
      </x:c>
      <x:c r="W11" s="590">
        <x:f>REMUNERACION_ENERBIT!W106</x:f>
        <x:v>0</x:v>
      </x:c>
      <x:c r="X11" s="590">
        <x:f>REMUNERACION_ENERBIT!X106</x:f>
        <x:v>0</x:v>
      </x:c>
      <x:c r="Y11" s="590">
        <x:f>REMUNERACION_ENERBIT!Y106</x:f>
        <x:v>0</x:v>
      </x:c>
      <x:c r="Z11" s="590">
        <x:f>REMUNERACION_ENERBIT!Z106</x:f>
        <x:v>0</x:v>
      </x:c>
      <x:c r="AA11" s="590">
        <x:f>REMUNERACION_ENERBIT!AA106</x:f>
        <x:v>0</x:v>
      </x:c>
      <x:c r="AB11" s="590">
        <x:f>REMUNERACION_ENERBIT!AB106</x:f>
        <x:v>0</x:v>
      </x:c>
      <x:c r="AC11" s="590">
        <x:f>REMUNERACION_ENERBIT!AC106</x:f>
        <x:v>0</x:v>
      </x:c>
      <x:c r="AD11" s="590">
        <x:f>REMUNERACION_ENERBIT!AD106</x:f>
        <x:v>0</x:v>
      </x:c>
      <x:c r="AE11" s="590">
        <x:f>REMUNERACION_ENERBIT!AE106</x:f>
        <x:v>0</x:v>
      </x:c>
      <x:c r="AF11" s="589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REMUNERACION_ENERBIT!G122</x:f>
        <x:v>46219</x:v>
      </x:c>
      <x:c r="J27" s="2" t="s">
        <x:v>28</x:v>
      </x:c>
      <x:c r="K27" s="9">
        <x:f>REMUNERACION_ENERBIT!K122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REMUNERACION_ENERBIT!D125</x:f>
        <x:v>0</x:v>
      </x:c>
      <x:c r="E30" s="104">
        <x:f>REMUNERACION_ENERBIT!E125</x:f>
        <x:v>0</x:v>
      </x:c>
      <x:c r="G30" s="272">
        <x:f>REMUNERACION_ENERBIT!G125</x:f>
        <x:v>0</x:v>
      </x:c>
      <x:c r="H30" s="246">
        <x:f>REMUNERACION_ENERBIT!H125</x:f>
        <x:v>0</x:v>
      </x:c>
      <x:c r="I30" s="245">
        <x:f>REMUNERACION_ENERBIT!I125</x:f>
        <x:v>0</x:v>
      </x:c>
      <x:c r="J30" s="245">
        <x:f>REMUNERACION_ENERBIT!J125</x:f>
        <x:v>0</x:v>
      </x:c>
      <x:c r="K30" s="245">
        <x:f>REMUNERACION_ENERBIT!K125</x:f>
        <x:v>0</x:v>
      </x:c>
      <x:c r="L30" s="245">
        <x:f>REMUNERACION_ENERBIT!L125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275">
        <x:f>REMUNERACION_ENERBIT!G126</x:f>
        <x:v>0</x:v>
      </x:c>
      <x:c r="H31" s="276">
        <x:f>REMUNERACION_ENERBIT!H126</x:f>
        <x:v>0</x:v>
      </x:c>
      <x:c r="I31" s="224">
        <x:f>REMUNERACION_ENERBIT!I126</x:f>
        <x:v>0</x:v>
      </x:c>
      <x:c r="J31" s="224">
        <x:f>REMUNERACION_ENERBIT!J126</x:f>
        <x:v>0</x:v>
      </x:c>
      <x:c r="K31" s="224">
        <x:f>REMUNERACION_ENERBIT!K126</x:f>
        <x:v>0</x:v>
      </x:c>
      <x:c r="L31" s="224">
        <x:f>REMUNERACION_ENERBIT!L126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275">
        <x:f>REMUNERACION_ENERBIT!G127</x:f>
        <x:v>0</x:v>
      </x:c>
      <x:c r="H32" s="276">
        <x:f>REMUNERACION_ENERBIT!H127</x:f>
        <x:v>0</x:v>
      </x:c>
      <x:c r="I32" s="224">
        <x:f>REMUNERACION_ENERBIT!I127</x:f>
        <x:v>0</x:v>
      </x:c>
      <x:c r="J32" s="224">
        <x:f>REMUNERACION_ENERBIT!J127</x:f>
        <x:v>0</x:v>
      </x:c>
      <x:c r="K32" s="224">
        <x:f>REMUNERACION_ENERBIT!K127</x:f>
        <x:v>0</x:v>
      </x:c>
      <x:c r="L32" s="224">
        <x:f>REMUNERACION_ENERBIT!L127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275">
        <x:f>REMUNERACION_ENERBIT!G128</x:f>
        <x:v>0</x:v>
      </x:c>
      <x:c r="H33" s="276">
        <x:f>REMUNERACION_ENERBIT!H128</x:f>
        <x:v>0</x:v>
      </x:c>
      <x:c r="I33" s="224">
        <x:f>REMUNERACION_ENERBIT!I128</x:f>
        <x:v>0</x:v>
      </x:c>
      <x:c r="J33" s="224">
        <x:f>REMUNERACION_ENERBIT!J128</x:f>
        <x:v>0</x:v>
      </x:c>
      <x:c r="K33" s="224">
        <x:f>REMUNERACION_ENERBIT!K128</x:f>
        <x:v>0</x:v>
      </x:c>
      <x:c r="L33" s="224">
        <x:f>REMUNERACION_ENERBIT!L128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REMUNERACION_ENERBIT!D129</x:f>
        <x:v>0</x:v>
      </x:c>
      <x:c r="E34" s="128">
        <x:f>REMUNERACION_ENERBIT!E129</x:f>
        <x:v>0</x:v>
      </x:c>
      <x:c r="G34" s="275">
        <x:f>REMUNERACION_ENERBIT!G129</x:f>
        <x:v>0</x:v>
      </x:c>
      <x:c r="H34" s="276">
        <x:f>REMUNERACION_ENERBIT!H129</x:f>
        <x:v>0</x:v>
      </x:c>
      <x:c r="I34" s="224">
        <x:f>REMUNERACION_ENERBIT!I129</x:f>
        <x:v>0</x:v>
      </x:c>
      <x:c r="J34" s="224">
        <x:f>REMUNERACION_ENERBIT!J129</x:f>
        <x:v>0</x:v>
      </x:c>
      <x:c r="K34" s="224">
        <x:f>REMUNERACION_ENERBIT!K129</x:f>
        <x:v>0</x:v>
      </x:c>
      <x:c r="L34" s="224">
        <x:f>REMUNERACION_ENERBIT!L129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2</x:v>
      </x:c>
      <x:c r="D36" s="100">
        <x:f t="shared" ref="D36" si="5">SUM(D30:D34)</x:f>
        <x:v>0</x:v>
      </x:c>
      <x:c r="E36" s="100">
        <x:f>REMUNERACION_ENERBIT!E131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08" t="b">
        <x:f>D14=REMUNERACION_ENERBIT!D109</x:f>
        <x:v>1</x:v>
      </x:c>
      <x:c r="E45" s="208" t="b">
        <x:f>E14=REMUNERACION_ENERBIT!E109</x:f>
        <x:v>1</x:v>
      </x:c>
      <x:c r="F45" s="208" t="b">
        <x:f>F14=REMUNERACION_ENERBIT!F109</x:f>
        <x:v>1</x:v>
      </x:c>
      <x:c r="G45" s="208" t="b">
        <x:f>G14=REMUNERACION_ENERBIT!G109</x:f>
        <x:v>1</x:v>
      </x:c>
      <x:c r="H45" s="208" t="b">
        <x:f>H14=REMUNERACION_ENERBIT!H109</x:f>
        <x:v>1</x:v>
      </x:c>
      <x:c r="I45" s="208" t="b">
        <x:f>I14=REMUNERACION_ENERBIT!I109</x:f>
        <x:v>1</x:v>
      </x:c>
      <x:c r="J45" s="208" t="b">
        <x:f>J14=REMUNERACION_ENERBIT!J109</x:f>
        <x:v>1</x:v>
      </x:c>
      <x:c r="K45" s="208" t="b">
        <x:f>K14=REMUNERACION_ENERBIT!K109</x:f>
        <x:v>1</x:v>
      </x:c>
      <x:c r="L45" s="208" t="b">
        <x:f>L14=REMUNERACION_ENERBIT!L109</x:f>
        <x:v>1</x:v>
      </x:c>
      <x:c r="M45" s="208" t="b">
        <x:f>M14=REMUNERACION_ENERBIT!M109</x:f>
        <x:v>1</x:v>
      </x:c>
      <x:c r="N45" s="208" t="b">
        <x:f>N14=REMUNERACION_ENERBIT!N109</x:f>
        <x:v>1</x:v>
      </x:c>
      <x:c r="O45" s="208" t="b">
        <x:f>O14=REMUNERACION_ENERBIT!O109</x:f>
        <x:v>1</x:v>
      </x:c>
      <x:c r="Q45" s="24"/>
      <x:c r="T45" s="24"/>
    </x:row>
    <x:row r="46" spans="1:20" x14ac:dyDescent="0.2">
      <x:c r="D46" s="208" t="b">
        <x:f>D36=REMUNERACION_ENERBIT!D131</x:f>
        <x:v>1</x:v>
      </x:c>
      <x:c r="E46" s="208" t="b">
        <x:f>E36=REMUNERACION_ENERBIT!E131</x:f>
        <x:v>1</x:v>
      </x:c>
      <x:c r="F46" s="208" t="b">
        <x:f>F36=REMUNERACION_ENERBIT!F131</x:f>
        <x:v>1</x:v>
      </x:c>
      <x:c r="G46" s="208" t="b">
        <x:f>G36=REMUNERACION_ENERBIT!G131</x:f>
        <x:v>1</x:v>
      </x:c>
      <x:c r="H46" s="208" t="b">
        <x:f>H36=REMUNERACION_ENERBIT!H131</x:f>
        <x:v>1</x:v>
      </x:c>
      <x:c r="I46" s="208" t="b">
        <x:f>I36=REMUNERACION_ENERBIT!I131</x:f>
        <x:v>1</x:v>
      </x:c>
      <x:c r="J46" s="208" t="b">
        <x:f>J36=REMUNERACION_ENERBIT!J131</x:f>
        <x:v>1</x:v>
      </x:c>
      <x:c r="K46" s="208" t="b">
        <x:f>K36=REMUNERACION_ENERBIT!K131</x:f>
        <x:v>1</x:v>
      </x:c>
      <x:c r="L46" s="208" t="b">
        <x:f>L36=REMUNERACION_ENERBIT!L131</x:f>
        <x:v>1</x:v>
      </x:c>
      <x:c r="M46" s="208" t="b">
        <x:f>M36=REMUNERACION_ENERBIT!M131</x:f>
        <x:v>1</x:v>
      </x:c>
      <x:c r="N46" s="208" t="b">
        <x:f>N36=REMUNERACION_ENERBIT!N131</x:f>
        <x:v>1</x:v>
      </x:c>
      <x:c r="O46" s="208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Z1" zoomScaleNormal="100" workbookViewId="0">
      <x:selection activeCell="AL4" sqref="AL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2:35" s="241" customFormat="1" x14ac:dyDescent="0.2">
      <x:c r="B9" s="239">
        <x:v>1</x:v>
      </x:c>
      <x:c r="C9" s="240" t="s">
        <x:v>10</x:v>
      </x:c>
      <x:c r="D9" s="227">
        <x:f>'Reporte Componentes R1'!F73</x:f>
        <x:v>0</x:v>
      </x:c>
      <x:c r="E9" s="228">
        <x:f>'Reporte Componentes R1'!G73</x:f>
        <x:v>0</x:v>
      </x:c>
      <x:c r="F9" s="228">
        <x:f>'Reporte Componentes R1'!H73</x:f>
        <x:v>0</x:v>
      </x:c>
      <x:c r="G9" s="228">
        <x:f>'Reporte Componentes R1'!I73</x:f>
        <x:v>0</x:v>
      </x:c>
      <x:c r="H9" s="228">
        <x:f>'Reporte Componentes R1'!J73</x:f>
        <x:v>0</x:v>
      </x:c>
      <x:c r="I9" s="228">
        <x:f>'Reporte Componentes R1'!K73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R1'!L73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R1'!M73</x:f>
        <x:v>0</x:v>
      </x:c>
      <x:c r="V9" s="244">
        <x:f>'Reporte Componentes R1'!N73</x:f>
        <x:v>0</x:v>
      </x:c>
      <x:c r="W9" s="244">
        <x:f>'Reporte Componentes R1'!O73</x:f>
        <x:v>0</x:v>
      </x:c>
      <x:c r="X9" s="244">
        <x:f>'Reporte Componentes R1'!P73</x:f>
        <x:v>0</x:v>
      </x:c>
      <x:c r="Y9" s="245">
        <x:f>'Reporte Componentes R1'!Q73</x:f>
        <x:v>0</x:v>
      </x:c>
      <x:c r="Z9" s="246">
        <x:f>L9*-1</x:f>
        <x:v>0</x:v>
      </x:c>
      <x:c r="AA9" s="247">
        <x:f>'Reporte Componentes R1'!R73+'Reporte Componentes R1'!V73+'Reporte Componentes R1'!U73</x:f>
        <x:v>0</x:v>
      </x:c>
      <x:c r="AB9" s="230">
        <x:f>N9</x:f>
        <x:v>0</x:v>
      </x:c>
      <x:c r="AC9" s="247">
        <x:f>'Reporte Componentes R1'!T73+'Reporte Componentes R1'!W73+'Reporte Componentes R1'!X73+'Reporte Componentes R1'!Y73+'Reporte Componentes R1'!Z73+'Reporte Componentes R1'!S73</x:f>
        <x:v>0</x:v>
      </x:c>
      <x:c r="AD9" s="227">
        <x:f>-J9+AE9</x:f>
        <x:v>0</x:v>
      </x:c>
      <x:c r="AE9" s="227">
        <x:f>'Reporte Componentes R1'!F74</x:f>
        <x:v>0</x:v>
      </x:c>
      <x:c r="AF9" s="249">
        <x:f>SUM(U9:AD9)</x:f>
        <x:v>0</x:v>
      </x:c>
      <x:c r="AG9" s="247">
        <x:f>(AF9-O9)</x:f>
        <x:v>0</x:v>
      </x:c>
      <x:c r="AH9" s="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'Reporte Componentes R1'!F226</x:f>
        <x:v>0</x:v>
      </x:c>
      <x:c r="E10" s="228">
        <x:f>'Reporte Componentes R1'!G226</x:f>
        <x:v>0</x:v>
      </x:c>
      <x:c r="F10" s="228">
        <x:f>'Reporte Componentes R1'!H226</x:f>
        <x:v>0</x:v>
      </x:c>
      <x:c r="G10" s="228">
        <x:f>'Reporte Componentes R1'!I226</x:f>
        <x:v>0</x:v>
      </x:c>
      <x:c r="H10" s="228">
        <x:f>'Reporte Componentes R1'!J226</x:f>
        <x:v>0</x:v>
      </x:c>
      <x:c r="I10" s="228">
        <x:f>'Reporte Componentes R1'!K226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R1'!L226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R1'!M226</x:f>
        <x:v>0</x:v>
      </x:c>
      <x:c r="V10" s="253">
        <x:f>'Reporte Componentes R1'!N226</x:f>
        <x:v>0</x:v>
      </x:c>
      <x:c r="W10" s="253">
        <x:f>'Reporte Componentes R1'!O226</x:f>
        <x:v>0</x:v>
      </x:c>
      <x:c r="X10" s="253">
        <x:f>'Reporte Componentes R1'!P226</x:f>
        <x:v>0</x:v>
      </x:c>
      <x:c r="Y10" s="254">
        <x:f>'Reporte Componentes R1'!Q226</x:f>
        <x:v>0</x:v>
      </x:c>
      <x:c r="Z10" s="255">
        <x:f>L10*-1</x:f>
        <x:v>0</x:v>
      </x:c>
      <x:c r="AA10" s="256">
        <x:f>'Reporte Componentes R1'!R226+'Reporte Componentes R1'!V226+'Reporte Componentes R1'!U226</x:f>
        <x:v>0</x:v>
      </x:c>
      <x:c r="AB10" s="230">
        <x:f>N10</x:f>
        <x:v>0</x:v>
      </x:c>
      <x:c r="AC10" s="256">
        <x:f>'Reporte Componentes R1'!T226+'Reporte Componentes R1'!W226+'Reporte Componentes R1'!X226+'Reporte Componentes R1'!Y226+'Reporte Componentes R1'!Z226+'Reporte Componentes R1'!S226</x:f>
        <x:v>0</x:v>
      </x:c>
      <x:c r="AD10" s="227">
        <x:f t="shared" ref="AD10:AD13" si="2">-J10+AE10</x:f>
        <x:v>0</x:v>
      </x:c>
      <x:c r="AE10" s="227">
        <x:f>'Reporte Componentes R1'!F227</x:f>
        <x:v>0</x:v>
      </x:c>
      <x:c r="AF10" s="258">
        <x:f>SUM(U10:AD10)</x:f>
        <x:v>0</x:v>
      </x:c>
      <x:c r="AG10" s="259">
        <x:f>(AF10-O10)</x:f>
        <x:v>0</x:v>
      </x:c>
      <x:c r="AH10" s="1" t="b">
        <x:f t="shared" ref="AH10:AH14" si="3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'Reporte Componentes R1'!F363</x:f>
        <x:v>0</x:v>
      </x:c>
      <x:c r="E11" s="228">
        <x:f>'Reporte Componentes R1'!G363</x:f>
        <x:v>0</x:v>
      </x:c>
      <x:c r="F11" s="228">
        <x:f>'Reporte Componentes R1'!H363</x:f>
        <x:v>0</x:v>
      </x:c>
      <x:c r="G11" s="228">
        <x:f>'Reporte Componentes R1'!I363</x:f>
        <x:v>0</x:v>
      </x:c>
      <x:c r="H11" s="228">
        <x:f>'Reporte Componentes R1'!J363</x:f>
        <x:v>0</x:v>
      </x:c>
      <x:c r="I11" s="228">
        <x:f>'Reporte Componentes R1'!K363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R1'!L363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R1'!M363</x:f>
        <x:v>0</x:v>
      </x:c>
      <x:c r="V11" s="253">
        <x:f>'Reporte Componentes R1'!N363</x:f>
        <x:v>0</x:v>
      </x:c>
      <x:c r="W11" s="253">
        <x:f>'Reporte Componentes R1'!O363</x:f>
        <x:v>0</x:v>
      </x:c>
      <x:c r="X11" s="253">
        <x:f>'Reporte Componentes R1'!P363</x:f>
        <x:v>0</x:v>
      </x:c>
      <x:c r="Y11" s="254">
        <x:f>'Reporte Componentes R1'!Q363</x:f>
        <x:v>0</x:v>
      </x:c>
      <x:c r="Z11" s="255">
        <x:f>L11*-1</x:f>
        <x:v>0</x:v>
      </x:c>
      <x:c r="AA11" s="256">
        <x:f>'Reporte Componentes R1'!R363+'Reporte Componentes R1'!V363+'Reporte Componentes R1'!U363</x:f>
        <x:v>0</x:v>
      </x:c>
      <x:c r="AB11" s="230">
        <x:f>N11</x:f>
        <x:v>0</x:v>
      </x:c>
      <x:c r="AC11" s="256">
        <x:f>'Reporte Componentes R1'!T363+'Reporte Componentes R1'!W363+'Reporte Componentes R1'!X363+'Reporte Componentes R1'!Y363+'Reporte Componentes R1'!Z363+'Reporte Componentes R1'!S363</x:f>
        <x:v>0</x:v>
      </x:c>
      <x:c r="AD11" s="227">
        <x:f t="shared" si="2"/>
        <x:v>0</x:v>
      </x:c>
      <x:c r="AE11" s="227">
        <x:f>'Reporte Componentes R1'!F364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1" t="b">
        <x:f t="shared" si="3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'Reporte Componentes R1'!F488</x:f>
        <x:v>0</x:v>
      </x:c>
      <x:c r="E12" s="228">
        <x:f>'Reporte Componentes R1'!G488</x:f>
        <x:v>0</x:v>
      </x:c>
      <x:c r="F12" s="228">
        <x:f>'Reporte Componentes R1'!H488</x:f>
        <x:v>0</x:v>
      </x:c>
      <x:c r="G12" s="228">
        <x:f>'Reporte Componentes R1'!I488</x:f>
        <x:v>0</x:v>
      </x:c>
      <x:c r="H12" s="228">
        <x:f>'Reporte Componentes R1'!J488</x:f>
        <x:v>0</x:v>
      </x:c>
      <x:c r="I12" s="228">
        <x:f>'Reporte Componentes R1'!K488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R1'!L488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R1'!M488</x:f>
        <x:v>0</x:v>
      </x:c>
      <x:c r="V12" s="253">
        <x:f>'Reporte Componentes R1'!N488</x:f>
        <x:v>0</x:v>
      </x:c>
      <x:c r="W12" s="253">
        <x:f>'Reporte Componentes R1'!O488</x:f>
        <x:v>0</x:v>
      </x:c>
      <x:c r="X12" s="253">
        <x:f>'Reporte Componentes R1'!P488</x:f>
        <x:v>0</x:v>
      </x:c>
      <x:c r="Y12" s="254">
        <x:f>'Reporte Componentes R1'!Q488</x:f>
        <x:v>0</x:v>
      </x:c>
      <x:c r="Z12" s="255">
        <x:f>L12*-1</x:f>
        <x:v>0</x:v>
      </x:c>
      <x:c r="AA12" s="256">
        <x:f>'Reporte Componentes R1'!R488+'Reporte Componentes R1'!V488+'Reporte Componentes R1'!U488</x:f>
        <x:v>0</x:v>
      </x:c>
      <x:c r="AB12" s="230">
        <x:f>N12</x:f>
        <x:v>0</x:v>
      </x:c>
      <x:c r="AC12" s="256">
        <x:f>'Reporte Componentes R1'!T488+'Reporte Componentes R1'!W488+'Reporte Componentes R1'!X488+'Reporte Componentes R1'!Y488+'Reporte Componentes R1'!Z488+'Reporte Componentes R1'!S488</x:f>
        <x:v>0</x:v>
      </x:c>
      <x:c r="AD12" s="227">
        <x:f t="shared" si="2"/>
        <x:v>0</x:v>
      </x:c>
      <x:c r="AE12" s="227">
        <x:f>'Reporte Componentes R1'!F489</x:f>
        <x:v>0</x:v>
      </x:c>
      <x:c r="AF12" s="258">
        <x:f t="shared" si="4"/>
        <x:v>0</x:v>
      </x:c>
      <x:c r="AG12" s="259">
        <x:f>(AF12-O12)</x:f>
        <x:v>0</x:v>
      </x:c>
      <x:c r="AH12" s="1" t="b">
        <x:f t="shared" si="3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32">
        <x:f>'Reporte Componentes R1'!F578</x:f>
        <x:v>0</x:v>
      </x:c>
      <x:c r="E13" s="233">
        <x:f>'Reporte Componentes R1'!G578</x:f>
        <x:v>0</x:v>
      </x:c>
      <x:c r="F13" s="233">
        <x:f>'Reporte Componentes R1'!H578</x:f>
        <x:v>0</x:v>
      </x:c>
      <x:c r="G13" s="233">
        <x:f>'Reporte Componentes R1'!I578</x:f>
        <x:v>0</x:v>
      </x:c>
      <x:c r="H13" s="233">
        <x:f>'Reporte Componentes R1'!J578</x:f>
        <x:v>0</x:v>
      </x:c>
      <x:c r="I13" s="233">
        <x:f>'Reporte Componentes R1'!K578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R1'!L578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R1'!M578</x:f>
        <x:v>0</x:v>
      </x:c>
      <x:c r="V13" s="233">
        <x:f>'Reporte Componentes R1'!N578</x:f>
        <x:v>0</x:v>
      </x:c>
      <x:c r="W13" s="233">
        <x:f>'Reporte Componentes R1'!O578</x:f>
        <x:v>0</x:v>
      </x:c>
      <x:c r="X13" s="233">
        <x:f>'Reporte Componentes R1'!P578</x:f>
        <x:v>0</x:v>
      </x:c>
      <x:c r="Y13" s="225">
        <x:f>'Reporte Componentes R1'!Q578</x:f>
        <x:v>0</x:v>
      </x:c>
      <x:c r="Z13" s="255">
        <x:f>L13*-1</x:f>
        <x:v>0</x:v>
      </x:c>
      <x:c r="AA13" s="256">
        <x:f>'Reporte Componentes R1'!R578+'Reporte Componentes R1'!V578+'Reporte Componentes R1'!U578</x:f>
        <x:v>0</x:v>
      </x:c>
      <x:c r="AB13" s="230">
        <x:f>N13</x:f>
        <x:v>0</x:v>
      </x:c>
      <x:c r="AC13" s="256">
        <x:f>'Reporte Componentes R1'!T578+'Reporte Componentes R1'!W578+'Reporte Componentes R1'!X578+'Reporte Componentes R1'!Y578+'Reporte Componentes R1'!Z578+'Reporte Componentes R1'!S578</x:f>
        <x:v>0</x:v>
      </x:c>
      <x:c r="AD13" s="227">
        <x:f t="shared" si="2"/>
        <x:v>0</x:v>
      </x:c>
      <x:c r="AE13" s="227">
        <x:f>'Reporte Componentes R1'!F579</x:f>
        <x:v>0</x:v>
      </x:c>
      <x:c r="AF13" s="258">
        <x:f t="shared" si="4"/>
        <x:v>0</x:v>
      </x:c>
      <x:c r="AG13" s="262">
        <x:f>(AF13-O13)</x:f>
        <x:v>0</x:v>
      </x:c>
      <x:c r="AH13" s="1" t="b">
        <x:f t="shared" si="3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1" t="b">
        <x:f t="shared" si="3"/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R2'!E55</x:f>
        <x:v>0</x:v>
      </x:c>
      <x:c r="E28" s="228">
        <x:f>'Rem. Anticipos R2'!F55</x:f>
        <x:v>0</x:v>
      </x:c>
      <x:c r="F28" s="228">
        <x:f>'Rem. Anticipos R2'!G55</x:f>
        <x:v>0</x:v>
      </x:c>
      <x:c r="G28" s="228">
        <x:f>'Rem. Anticipos R2'!H55</x:f>
        <x:v>0</x:v>
      </x:c>
      <x:c r="H28" s="228">
        <x:f>'Rem. Anticipos R2'!I55</x:f>
        <x:v>0</x:v>
      </x:c>
      <x:c r="I28" s="228">
        <x:f>'Rem. Anticipos R2'!J55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R2'!K55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R2'!L55</x:f>
        <x:v>0</x:v>
      </x:c>
      <x:c r="V28" s="244">
        <x:f>'Rem. Anticipos R2'!M55</x:f>
        <x:v>0</x:v>
      </x:c>
      <x:c r="W28" s="244">
        <x:f>'Rem. Anticipos R2'!N55</x:f>
        <x:v>0</x:v>
      </x:c>
      <x:c r="X28" s="244">
        <x:f>'Rem. Anticipos R2'!O55</x:f>
        <x:v>0</x:v>
      </x:c>
      <x:c r="Y28" s="244">
        <x:f>'Rem. Anticipos R2'!P55</x:f>
        <x:v>0</x:v>
      </x:c>
      <x:c r="Z28" s="246">
        <x:f>L28*-1</x:f>
        <x:v>0</x:v>
      </x:c>
      <x:c r="AA28" s="247">
        <x:f>'Rem. Anticipos R2'!Q55</x:f>
        <x:v>0</x:v>
      </x:c>
      <x:c r="AB28" s="230">
        <x:f>N28</x:f>
        <x:v>0</x:v>
      </x:c>
      <x:c r="AC28" s="247">
        <x:f>'Rem. Anticipos R2'!R55</x:f>
        <x:v>0</x:v>
      </x:c>
      <x:c r="AD28" s="227">
        <x:f>-J28+AE28</x:f>
        <x:v>0</x:v>
      </x:c>
      <x:c r="AE28" s="227">
        <x:f>'Rem. Anticipos R2'!E56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R2'!E151</x:f>
        <x:v>0</x:v>
      </x:c>
      <x:c r="E29" s="228">
        <x:f>'Rem. Anticipos R2'!F151</x:f>
        <x:v>0</x:v>
      </x:c>
      <x:c r="F29" s="228">
        <x:f>'Rem. Anticipos R2'!G151</x:f>
        <x:v>0</x:v>
      </x:c>
      <x:c r="G29" s="228">
        <x:f>'Rem. Anticipos R2'!H151</x:f>
        <x:v>0</x:v>
      </x:c>
      <x:c r="H29" s="228">
        <x:f>'Rem. Anticipos R2'!I151</x:f>
        <x:v>0</x:v>
      </x:c>
      <x:c r="I29" s="228">
        <x:f>'Rem. Anticipos R2'!J151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R2'!K151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R2'!L151</x:f>
        <x:v>0</x:v>
      </x:c>
      <x:c r="V29" s="253">
        <x:f>'Rem. Anticipos R2'!M151</x:f>
        <x:v>0</x:v>
      </x:c>
      <x:c r="W29" s="253">
        <x:f>'Rem. Anticipos R2'!N151</x:f>
        <x:v>0</x:v>
      </x:c>
      <x:c r="X29" s="253">
        <x:f>'Rem. Anticipos R2'!O151</x:f>
        <x:v>0</x:v>
      </x:c>
      <x:c r="Y29" s="254">
        <x:f>'Rem. Anticipos R2'!P151</x:f>
        <x:v>0</x:v>
      </x:c>
      <x:c r="Z29" s="255">
        <x:f>L29*-1</x:f>
        <x:v>0</x:v>
      </x:c>
      <x:c r="AA29" s="256">
        <x:f>'Rem. Anticipos R2'!Q151</x:f>
        <x:v>0</x:v>
      </x:c>
      <x:c r="AB29" s="230">
        <x:f>N29</x:f>
        <x:v>0</x:v>
      </x:c>
      <x:c r="AC29" s="256">
        <x:f>'Rem. Anticipos R2'!R151</x:f>
        <x:v>0</x:v>
      </x:c>
      <x:c r="AD29" s="227">
        <x:f>-J29+AE29</x:f>
        <x:v>0</x:v>
      </x:c>
      <x:c r="AE29" s="227">
        <x:f>'Rem. Anticipos R2'!E152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R2'!E268</x:f>
        <x:v>0</x:v>
      </x:c>
      <x:c r="E30" s="228">
        <x:f>'Rem. Anticipos R2'!F268</x:f>
        <x:v>0</x:v>
      </x:c>
      <x:c r="F30" s="228">
        <x:f>'Rem. Anticipos R2'!G268</x:f>
        <x:v>0</x:v>
      </x:c>
      <x:c r="G30" s="228">
        <x:f>'Rem. Anticipos R2'!H268</x:f>
        <x:v>0</x:v>
      </x:c>
      <x:c r="H30" s="228">
        <x:f>'Rem. Anticipos R2'!I268</x:f>
        <x:v>0</x:v>
      </x:c>
      <x:c r="I30" s="228">
        <x:f>'Rem. Anticipos R2'!J268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R2'!K268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R2'!L268</x:f>
        <x:v>0</x:v>
      </x:c>
      <x:c r="V30" s="253">
        <x:f>'Rem. Anticipos R2'!M268</x:f>
        <x:v>0</x:v>
      </x:c>
      <x:c r="W30" s="253">
        <x:f>'Rem. Anticipos R2'!N268</x:f>
        <x:v>0</x:v>
      </x:c>
      <x:c r="X30" s="253">
        <x:f>'Rem. Anticipos R2'!O268</x:f>
        <x:v>0</x:v>
      </x:c>
      <x:c r="Y30" s="254">
        <x:f>'Rem. Anticipos R2'!P268</x:f>
        <x:v>0</x:v>
      </x:c>
      <x:c r="Z30" s="255">
        <x:f>L30*-1</x:f>
        <x:v>0</x:v>
      </x:c>
      <x:c r="AA30" s="256">
        <x:f>'Rem. Anticipos R2'!Q268</x:f>
        <x:v>0</x:v>
      </x:c>
      <x:c r="AB30" s="230">
        <x:f>N30</x:f>
        <x:v>0</x:v>
      </x:c>
      <x:c r="AC30" s="256">
        <x:f>'Rem. Anticipos R2'!R268</x:f>
        <x:v>0</x:v>
      </x:c>
      <x:c r="AD30" s="227">
        <x:f t="shared" ref="AD30:AD32" si="10">-J30+AE30</x:f>
        <x:v>0</x:v>
      </x:c>
      <x:c r="AE30" s="227">
        <x:f>'Rem. Anticipos R2'!E269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R2'!E370</x:f>
        <x:v>0</x:v>
      </x:c>
      <x:c r="E31" s="228">
        <x:f>'Rem. Anticipos R2'!F370</x:f>
        <x:v>0</x:v>
      </x:c>
      <x:c r="F31" s="228">
        <x:f>'Rem. Anticipos R2'!G370</x:f>
        <x:v>0</x:v>
      </x:c>
      <x:c r="G31" s="228">
        <x:f>'Rem. Anticipos R2'!H370</x:f>
        <x:v>0</x:v>
      </x:c>
      <x:c r="H31" s="228">
        <x:f>'Rem. Anticipos R2'!I370</x:f>
        <x:v>0</x:v>
      </x:c>
      <x:c r="I31" s="228">
        <x:f>'Rem. Anticipos R2'!J370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R2'!K370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R2'!L370</x:f>
        <x:v>0</x:v>
      </x:c>
      <x:c r="V31" s="253">
        <x:f>'Rem. Anticipos R2'!M370</x:f>
        <x:v>0</x:v>
      </x:c>
      <x:c r="W31" s="253">
        <x:f>'Rem. Anticipos R2'!N370</x:f>
        <x:v>0</x:v>
      </x:c>
      <x:c r="X31" s="253">
        <x:f>'Rem. Anticipos R2'!O370</x:f>
        <x:v>0</x:v>
      </x:c>
      <x:c r="Y31" s="254">
        <x:f>'Rem. Anticipos R2'!P370</x:f>
        <x:v>0</x:v>
      </x:c>
      <x:c r="Z31" s="255">
        <x:f>L31*-1</x:f>
        <x:v>0</x:v>
      </x:c>
      <x:c r="AA31" s="256">
        <x:f>'Rem. Anticipos R2'!Q370</x:f>
        <x:v>0</x:v>
      </x:c>
      <x:c r="AB31" s="230">
        <x:f>N31</x:f>
        <x:v>0</x:v>
      </x:c>
      <x:c r="AC31" s="256">
        <x:f>'Rem. Anticipos R2'!R370</x:f>
        <x:v>0</x:v>
      </x:c>
      <x:c r="AD31" s="227">
        <x:f t="shared" si="10"/>
        <x:v>0</x:v>
      </x:c>
      <x:c r="AE31" s="227">
        <x:f>'Rem. Anticipos R2'!E371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R2'!E450</x:f>
        <x:v>0</x:v>
      </x:c>
      <x:c r="E32" s="233">
        <x:f>'Rem. Anticipos R2'!F450</x:f>
        <x:v>0</x:v>
      </x:c>
      <x:c r="F32" s="233">
        <x:f>'Rem. Anticipos R2'!G450</x:f>
        <x:v>0</x:v>
      </x:c>
      <x:c r="G32" s="233">
        <x:f>'Rem. Anticipos R2'!H450</x:f>
        <x:v>0</x:v>
      </x:c>
      <x:c r="H32" s="233">
        <x:f>'Rem. Anticipos R2'!I450</x:f>
        <x:v>0</x:v>
      </x:c>
      <x:c r="I32" s="233">
        <x:f>'Rem. Anticipos R2'!J450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R2'!K450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R2'!L450</x:f>
        <x:v>0</x:v>
      </x:c>
      <x:c r="V32" s="233">
        <x:f>'Rem. Anticipos R2'!M450</x:f>
        <x:v>0</x:v>
      </x:c>
      <x:c r="W32" s="233">
        <x:f>'Rem. Anticipos R2'!N450</x:f>
        <x:v>0</x:v>
      </x:c>
      <x:c r="X32" s="233">
        <x:f>'Rem. Anticipos R2'!O450</x:f>
        <x:v>0</x:v>
      </x:c>
      <x:c r="Y32" s="225">
        <x:f>'Rem. Anticipos R2'!P450</x:f>
        <x:v>0</x:v>
      </x:c>
      <x:c r="Z32" s="255">
        <x:f>L32*-1</x:f>
        <x:v>0</x:v>
      </x:c>
      <x:c r="AA32" s="256">
        <x:f>'Rem. Anticipos R2'!Q450</x:f>
        <x:v>0</x:v>
      </x:c>
      <x:c r="AB32" s="230">
        <x:f>N32</x:f>
        <x:v>0</x:v>
      </x:c>
      <x:c r="AC32" s="256">
        <x:f>'Rem. Anticipos R2'!R450</x:f>
        <x:v>0</x:v>
      </x:c>
      <x:c r="AD32" s="227">
        <x:f t="shared" si="10"/>
        <x:v>0</x:v>
      </x:c>
      <x:c r="AE32" s="227">
        <x:f>'Rem. Anticipos R2'!E451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9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R1'!F75</x:f>
        <x:v>0</x:v>
      </x:c>
      <x:c r="E47" s="228">
        <x:f>'Reporte Componentes R1'!G75</x:f>
        <x:v>0</x:v>
      </x:c>
      <x:c r="F47" s="228">
        <x:f>'Reporte Componentes R1'!H75</x:f>
        <x:v>0</x:v>
      </x:c>
      <x:c r="G47" s="228">
        <x:f>'Reporte Componentes R1'!I75</x:f>
        <x:v>0</x:v>
      </x:c>
      <x:c r="H47" s="228">
        <x:f>'Reporte Componentes R1'!J75</x:f>
        <x:v>0</x:v>
      </x:c>
      <x:c r="I47" s="228">
        <x:f>'Reporte Componentes R1'!K75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R1'!L75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R1'!M75</x:f>
        <x:v>0</x:v>
      </x:c>
      <x:c r="V47" s="244">
        <x:f>'Reporte Componentes R1'!N75</x:f>
        <x:v>0</x:v>
      </x:c>
      <x:c r="W47" s="244">
        <x:f>'Reporte Componentes R1'!O75</x:f>
        <x:v>0</x:v>
      </x:c>
      <x:c r="X47" s="244">
        <x:f>'Reporte Componentes R1'!P75</x:f>
        <x:v>0</x:v>
      </x:c>
      <x:c r="Y47" s="245">
        <x:f>'Reporte Componentes R1'!Q75</x:f>
        <x:v>0</x:v>
      </x:c>
      <x:c r="Z47" s="246">
        <x:f>-L47</x:f>
        <x:v>0</x:v>
      </x:c>
      <x:c r="AA47" s="247">
        <x:f>'Reporte Componentes R1'!R75+'Reporte Componentes R1'!V75+'Reporte Componentes R1'!U75</x:f>
        <x:v>0</x:v>
      </x:c>
      <x:c r="AB47" s="230">
        <x:f>N47</x:f>
        <x:v>0</x:v>
      </x:c>
      <x:c r="AC47" s="247">
        <x:f>'Reporte Componentes R1'!T75+'Reporte Componentes R1'!S75+'Reporte Componentes R1'!W75+'Reporte Componentes R1'!X75+'Reporte Componentes R1'!Y75+'Reporte Componentes R1'!Z75</x:f>
        <x:v>0</x:v>
      </x:c>
      <x:c r="AD47" s="227">
        <x:f>-J47+AE47</x:f>
        <x:v>0</x:v>
      </x:c>
      <x:c r="AE47" s="227">
        <x:f>'Reporte Componentes R1'!F76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R1'!F228</x:f>
        <x:v>0</x:v>
      </x:c>
      <x:c r="E48" s="228">
        <x:f>'Reporte Componentes R1'!G228</x:f>
        <x:v>0</x:v>
      </x:c>
      <x:c r="F48" s="228">
        <x:f>'Reporte Componentes R1'!H228</x:f>
        <x:v>0</x:v>
      </x:c>
      <x:c r="G48" s="228">
        <x:f>'Reporte Componentes R1'!I228</x:f>
        <x:v>0</x:v>
      </x:c>
      <x:c r="H48" s="228">
        <x:f>'Reporte Componentes R1'!J228</x:f>
        <x:v>0</x:v>
      </x:c>
      <x:c r="I48" s="228">
        <x:f>'Reporte Componentes R1'!K228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R1'!L228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R1'!M228</x:f>
        <x:v>0</x:v>
      </x:c>
      <x:c r="V48" s="253">
        <x:f>'Reporte Componentes R1'!N228</x:f>
        <x:v>0</x:v>
      </x:c>
      <x:c r="W48" s="253">
        <x:f>'Reporte Componentes R1'!O228</x:f>
        <x:v>0</x:v>
      </x:c>
      <x:c r="X48" s="253">
        <x:f>'Reporte Componentes R1'!P228</x:f>
        <x:v>0</x:v>
      </x:c>
      <x:c r="Y48" s="254">
        <x:f>'Reporte Componentes R1'!Q228</x:f>
        <x:v>0</x:v>
      </x:c>
      <x:c r="Z48" s="255">
        <x:f>-L48</x:f>
        <x:v>0</x:v>
      </x:c>
      <x:c r="AA48" s="256">
        <x:f>'Reporte Componentes R1'!R228+'Reporte Componentes R1'!V228+'Reporte Componentes R1'!U228</x:f>
        <x:v>0</x:v>
      </x:c>
      <x:c r="AB48" s="230">
        <x:f>N48</x:f>
        <x:v>0</x:v>
      </x:c>
      <x:c r="AC48" s="256">
        <x:f>'Reporte Componentes R1'!T228+'Reporte Componentes R1'!S228+'Reporte Componentes R1'!W228+'Reporte Componentes R1'!X228+'Reporte Componentes R1'!Y228+'Reporte Componentes R1'!Z228</x:f>
        <x:v>0</x:v>
      </x:c>
      <x:c r="AD48" s="227">
        <x:f t="shared" ref="AD48:AD51" si="16">-J48+AE48</x:f>
        <x:v>0</x:v>
      </x:c>
      <x:c r="AE48" s="227">
        <x:f>'Reporte Componentes R1'!F229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7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R1'!F365</x:f>
        <x:v>0</x:v>
      </x:c>
      <x:c r="E49" s="228">
        <x:f>'Reporte Componentes R1'!G365</x:f>
        <x:v>0</x:v>
      </x:c>
      <x:c r="F49" s="228">
        <x:f>'Reporte Componentes R1'!H365</x:f>
        <x:v>0</x:v>
      </x:c>
      <x:c r="G49" s="228">
        <x:f>'Reporte Componentes R1'!I365</x:f>
        <x:v>0</x:v>
      </x:c>
      <x:c r="H49" s="228">
        <x:f>'Reporte Componentes R1'!J365</x:f>
        <x:v>0</x:v>
      </x:c>
      <x:c r="I49" s="228">
        <x:f>'Reporte Componentes R1'!K365</x:f>
        <x:v>0</x:v>
      </x:c>
      <x:c r="J49" s="224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R1'!L365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R1'!M365</x:f>
        <x:v>0</x:v>
      </x:c>
      <x:c r="V49" s="253">
        <x:f>'Reporte Componentes R1'!N365</x:f>
        <x:v>0</x:v>
      </x:c>
      <x:c r="W49" s="253">
        <x:f>'Reporte Componentes R1'!O365</x:f>
        <x:v>0</x:v>
      </x:c>
      <x:c r="X49" s="253">
        <x:f>'Reporte Componentes R1'!P365</x:f>
        <x:v>0</x:v>
      </x:c>
      <x:c r="Y49" s="254">
        <x:f>'Reporte Componentes R1'!Q365</x:f>
        <x:v>0</x:v>
      </x:c>
      <x:c r="Z49" s="255">
        <x:f>-L49</x:f>
        <x:v>0</x:v>
      </x:c>
      <x:c r="AA49" s="256">
        <x:f>'Reporte Componentes R1'!R365+'Reporte Componentes R1'!V365+'Reporte Componentes R1'!U365</x:f>
        <x:v>0</x:v>
      </x:c>
      <x:c r="AB49" s="230">
        <x:f>N49</x:f>
        <x:v>0</x:v>
      </x:c>
      <x:c r="AC49" s="256">
        <x:f>'Reporte Componentes R1'!T365+'Reporte Componentes R1'!S365+'Reporte Componentes R1'!W365+'Reporte Componentes R1'!X365+'Reporte Componentes R1'!Y365+'Reporte Componentes R1'!Z365</x:f>
        <x:v>0</x:v>
      </x:c>
      <x:c r="AD49" s="227">
        <x:f t="shared" si="16"/>
        <x:v>0</x:v>
      </x:c>
      <x:c r="AE49" s="227">
        <x:f>'Reporte Componentes R1'!F366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1" t="b">
        <x:f t="shared" si="17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R1'!F490</x:f>
        <x:v>0</x:v>
      </x:c>
      <x:c r="E50" s="228">
        <x:f>'Reporte Componentes R1'!G490</x:f>
        <x:v>0</x:v>
      </x:c>
      <x:c r="F50" s="228">
        <x:f>'Reporte Componentes R1'!H490</x:f>
        <x:v>0</x:v>
      </x:c>
      <x:c r="G50" s="228">
        <x:f>'Reporte Componentes R1'!I490</x:f>
        <x:v>0</x:v>
      </x:c>
      <x:c r="H50" s="228">
        <x:f>'Reporte Componentes R1'!J490</x:f>
        <x:v>0</x:v>
      </x:c>
      <x:c r="I50" s="228">
        <x:f>'Reporte Componentes R1'!K490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R1'!L490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R1'!M490</x:f>
        <x:v>0</x:v>
      </x:c>
      <x:c r="V50" s="253">
        <x:f>'Reporte Componentes R1'!N490</x:f>
        <x:v>0</x:v>
      </x:c>
      <x:c r="W50" s="253">
        <x:f>'Reporte Componentes R1'!O490</x:f>
        <x:v>0</x:v>
      </x:c>
      <x:c r="X50" s="253">
        <x:f>'Reporte Componentes R1'!P490</x:f>
        <x:v>0</x:v>
      </x:c>
      <x:c r="Y50" s="254">
        <x:f>'Reporte Componentes R1'!Q490</x:f>
        <x:v>0</x:v>
      </x:c>
      <x:c r="Z50" s="255">
        <x:f>-L50</x:f>
        <x:v>0</x:v>
      </x:c>
      <x:c r="AA50" s="256">
        <x:f>'Reporte Componentes R1'!R490+'Reporte Componentes R1'!V490+'Reporte Componentes R1'!U490</x:f>
        <x:v>0</x:v>
      </x:c>
      <x:c r="AB50" s="230">
        <x:f>N50</x:f>
        <x:v>0</x:v>
      </x:c>
      <x:c r="AC50" s="256">
        <x:f>'Reporte Componentes R1'!T490+'Reporte Componentes R1'!S490+'Reporte Componentes R1'!W490+'Reporte Componentes R1'!X490+'Reporte Componentes R1'!Y490+'Reporte Componentes R1'!Z490</x:f>
        <x:v>0</x:v>
      </x:c>
      <x:c r="AD50" s="227">
        <x:f t="shared" si="16"/>
        <x:v>0</x:v>
      </x:c>
      <x:c r="AE50" s="227">
        <x:f>'Reporte Componentes R1'!F491</x:f>
        <x:v>0</x:v>
      </x:c>
      <x:c r="AF50" s="258">
        <x:f t="shared" si="18"/>
        <x:v>0</x:v>
      </x:c>
      <x:c r="AG50" s="259">
        <x:f t="shared" si="19"/>
        <x:v>0</x:v>
      </x:c>
      <x:c r="AH50" s="1" t="b">
        <x:f t="shared" si="17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R1'!F580</x:f>
        <x:v>0</x:v>
      </x:c>
      <x:c r="E51" s="233">
        <x:f>'Reporte Componentes R1'!G580</x:f>
        <x:v>0</x:v>
      </x:c>
      <x:c r="F51" s="233">
        <x:f>'Reporte Componentes R1'!H580</x:f>
        <x:v>0</x:v>
      </x:c>
      <x:c r="G51" s="233">
        <x:f>'Reporte Componentes R1'!I580</x:f>
        <x:v>0</x:v>
      </x:c>
      <x:c r="H51" s="233">
        <x:f>'Reporte Componentes R1'!J580</x:f>
        <x:v>0</x:v>
      </x:c>
      <x:c r="I51" s="233">
        <x:f>'Reporte Componentes R1'!K580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R1'!L580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R1'!M580</x:f>
        <x:v>0</x:v>
      </x:c>
      <x:c r="V51" s="233">
        <x:f>'Reporte Componentes R1'!N580</x:f>
        <x:v>0</x:v>
      </x:c>
      <x:c r="W51" s="233">
        <x:f>'Reporte Componentes R1'!O580</x:f>
        <x:v>0</x:v>
      </x:c>
      <x:c r="X51" s="233">
        <x:f>'Reporte Componentes R1'!P580</x:f>
        <x:v>0</x:v>
      </x:c>
      <x:c r="Y51" s="225">
        <x:f>'Reporte Componentes R1'!Q580</x:f>
        <x:v>0</x:v>
      </x:c>
      <x:c r="Z51" s="255">
        <x:f>-L51</x:f>
        <x:v>0</x:v>
      </x:c>
      <x:c r="AA51" s="256">
        <x:f>'Reporte Componentes R1'!R580+'Reporte Componentes R1'!V580+'Reporte Componentes R1'!U580</x:f>
        <x:v>0</x:v>
      </x:c>
      <x:c r="AB51" s="230">
        <x:f>N51</x:f>
        <x:v>0</x:v>
      </x:c>
      <x:c r="AC51" s="256">
        <x:f>'Reporte Componentes R1'!T580+'Reporte Componentes R1'!S580+'Reporte Componentes R1'!W580+'Reporte Componentes R1'!X580+'Reporte Componentes R1'!Y580+'Reporte Componentes R1'!Z580</x:f>
        <x:v>0</x:v>
      </x:c>
      <x:c r="AD51" s="227">
        <x:f t="shared" si="16"/>
        <x:v>0</x:v>
      </x:c>
      <x:c r="AE51" s="227">
        <x:f>'Reporte Componentes R1'!F581</x:f>
        <x:v>0</x:v>
      </x:c>
      <x:c r="AF51" s="258">
        <x:f t="shared" si="18"/>
        <x:v>0</x:v>
      </x:c>
      <x:c r="AG51" s="262">
        <x:f t="shared" si="19"/>
        <x:v>0</x:v>
      </x:c>
      <x:c r="AH51" s="1" t="b">
        <x:f t="shared" si="17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ref="AC52" si="23">SUM(AC47:AC51)</x:f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1" t="b">
        <x:f t="shared" si="17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R4'!D85</x:f>
        <x:v>0</x:v>
      </x:c>
      <x:c r="E66" s="228">
        <x:f>'Reversion Pagos R4'!E85</x:f>
        <x:v>0</x:v>
      </x:c>
      <x:c r="F66" s="228">
        <x:f>'Reversion Pagos R4'!F85</x:f>
        <x:v>0</x:v>
      </x:c>
      <x:c r="G66" s="228">
        <x:f>'Reversion Pagos R4'!G85</x:f>
        <x:v>0</x:v>
      </x:c>
      <x:c r="H66" s="228">
        <x:f>'Reversion Pagos R4'!H85</x:f>
        <x:v>0</x:v>
      </x:c>
      <x:c r="I66" s="228">
        <x:f>'Reversion Pagos R4'!I85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R4'!P85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R4'!J85</x:f>
        <x:v>0</x:v>
      </x:c>
      <x:c r="V66" s="244">
        <x:f>'Reversion Pagos R4'!K85</x:f>
        <x:v>0</x:v>
      </x:c>
      <x:c r="W66" s="244">
        <x:f>'Reversion Pagos R4'!L85</x:f>
        <x:v>0</x:v>
      </x:c>
      <x:c r="X66" s="244">
        <x:f>'Reversion Pagos R4'!M85</x:f>
        <x:v>0</x:v>
      </x:c>
      <x:c r="Y66" s="244">
        <x:f>'Reversion Pagos R4'!N85</x:f>
        <x:v>0</x:v>
      </x:c>
      <x:c r="Z66" s="246">
        <x:f>-L66</x:f>
        <x:v>0</x:v>
      </x:c>
      <x:c r="AA66" s="256">
        <x:f>'Reversion Pagos R4'!O85</x:f>
        <x:v>0</x:v>
      </x:c>
      <x:c r="AB66" s="230">
        <x:f>N66</x:f>
        <x:v>0</x:v>
      </x:c>
      <x:c r="AC66" s="256">
        <x:f>+'Reversion Pagos R4'!Q85+'Reversion Pagos R4'!R85</x:f>
        <x:v>0</x:v>
      </x:c>
      <x:c r="AD66" s="227">
        <x:f>-J66+AE66</x:f>
        <x:v>0</x:v>
      </x:c>
      <x:c r="AE66" s="227">
        <x:f>'Reversion Pagos R4'!D86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R4'!D180</x:f>
        <x:v>0</x:v>
      </x:c>
      <x:c r="E67" s="228">
        <x:f>'Reversion Pagos R4'!E180</x:f>
        <x:v>0</x:v>
      </x:c>
      <x:c r="F67" s="228">
        <x:f>'Reversion Pagos R4'!F180</x:f>
        <x:v>0</x:v>
      </x:c>
      <x:c r="G67" s="228">
        <x:f>'Reversion Pagos R4'!G180</x:f>
        <x:v>0</x:v>
      </x:c>
      <x:c r="H67" s="228">
        <x:f>'Reversion Pagos R4'!H180</x:f>
        <x:v>0</x:v>
      </x:c>
      <x:c r="I67" s="228">
        <x:f>'Reversion Pagos R4'!I180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R4'!P180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R4'!J180</x:f>
        <x:v>0</x:v>
      </x:c>
      <x:c r="V67" s="253">
        <x:f>'Reversion Pagos R4'!K180</x:f>
        <x:v>0</x:v>
      </x:c>
      <x:c r="W67" s="253">
        <x:f>'Reversion Pagos R4'!L180</x:f>
        <x:v>0</x:v>
      </x:c>
      <x:c r="X67" s="253">
        <x:f>'Reversion Pagos R4'!M180</x:f>
        <x:v>0</x:v>
      </x:c>
      <x:c r="Y67" s="254">
        <x:f>'Reversion Pagos R4'!N180</x:f>
        <x:v>0</x:v>
      </x:c>
      <x:c r="Z67" s="255">
        <x:f t="shared" ref="Z67:Z70" si="26">-L67</x:f>
        <x:v>0</x:v>
      </x:c>
      <x:c r="AA67" s="256">
        <x:f>'Reversion Pagos R4'!O180</x:f>
        <x:v>0</x:v>
      </x:c>
      <x:c r="AB67" s="230">
        <x:f t="shared" ref="AB67:AB70" si="27">N67</x:f>
        <x:v>0</x:v>
      </x:c>
      <x:c r="AC67" s="256">
        <x:f>+'Reversion Pagos R4'!Q180+'Reversion Pagos R4'!R180</x:f>
        <x:v>0</x:v>
      </x:c>
      <x:c r="AD67" s="227">
        <x:f t="shared" ref="AD67:AD70" si="28">-J67+AE67</x:f>
        <x:v>0</x:v>
      </x:c>
      <x:c r="AE67" s="227">
        <x:f>'Reversion Pagos R4'!D181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R4'!D217</x:f>
        <x:v>0</x:v>
      </x:c>
      <x:c r="E68" s="228">
        <x:f>'Reversion Pagos R4'!E217</x:f>
        <x:v>0</x:v>
      </x:c>
      <x:c r="F68" s="228">
        <x:f>'Reversion Pagos R4'!F217</x:f>
        <x:v>0</x:v>
      </x:c>
      <x:c r="G68" s="228">
        <x:f>'Reversion Pagos R4'!G217</x:f>
        <x:v>0</x:v>
      </x:c>
      <x:c r="H68" s="228">
        <x:f>'Reversion Pagos R4'!H217</x:f>
        <x:v>0</x:v>
      </x:c>
      <x:c r="I68" s="228">
        <x:f>'Reversion Pagos R4'!I217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R4'!P217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R4'!J217</x:f>
        <x:v>0</x:v>
      </x:c>
      <x:c r="V68" s="253">
        <x:f>'Reversion Pagos R4'!K217</x:f>
        <x:v>0</x:v>
      </x:c>
      <x:c r="W68" s="253">
        <x:f>'Reversion Pagos R4'!L217</x:f>
        <x:v>0</x:v>
      </x:c>
      <x:c r="X68" s="253">
        <x:f>'Reversion Pagos R4'!M217</x:f>
        <x:v>0</x:v>
      </x:c>
      <x:c r="Y68" s="254">
        <x:f>'Reversion Pagos R4'!N217</x:f>
        <x:v>0</x:v>
      </x:c>
      <x:c r="Z68" s="255">
        <x:f t="shared" si="26"/>
        <x:v>0</x:v>
      </x:c>
      <x:c r="AA68" s="256">
        <x:f>'Reversion Pagos R4'!O217</x:f>
        <x:v>0</x:v>
      </x:c>
      <x:c r="AB68" s="230">
        <x:f t="shared" si="27"/>
        <x:v>0</x:v>
      </x:c>
      <x:c r="AC68" s="256">
        <x:f>+'Reversion Pagos R4'!Q217+'Reversion Pagos R4'!R217</x:f>
        <x:v>0</x:v>
      </x:c>
      <x:c r="AD68" s="227">
        <x:f t="shared" si="28"/>
        <x:v>0</x:v>
      </x:c>
      <x:c r="AE68" s="227">
        <x:f>'Reversion Pagos R4'!D218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R4'!D332</x:f>
        <x:v>0</x:v>
      </x:c>
      <x:c r="E69" s="228">
        <x:f>'Reversion Pagos R4'!E332</x:f>
        <x:v>0</x:v>
      </x:c>
      <x:c r="F69" s="228">
        <x:f>'Reversion Pagos R4'!F332</x:f>
        <x:v>0</x:v>
      </x:c>
      <x:c r="G69" s="228">
        <x:f>'Reversion Pagos R4'!G332</x:f>
        <x:v>0</x:v>
      </x:c>
      <x:c r="H69" s="228">
        <x:f>'Reversion Pagos R4'!H332</x:f>
        <x:v>0</x:v>
      </x:c>
      <x:c r="I69" s="228">
        <x:f>'Reversion Pagos R4'!I332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R4'!P332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R4'!J332</x:f>
        <x:v>0</x:v>
      </x:c>
      <x:c r="V69" s="253">
        <x:f>'Reversion Pagos R4'!K332</x:f>
        <x:v>0</x:v>
      </x:c>
      <x:c r="W69" s="253">
        <x:f>'Reversion Pagos R4'!L332</x:f>
        <x:v>0</x:v>
      </x:c>
      <x:c r="X69" s="253">
        <x:f>'Reversion Pagos R4'!M332</x:f>
        <x:v>0</x:v>
      </x:c>
      <x:c r="Y69" s="254">
        <x:f>'Reversion Pagos R4'!N332</x:f>
        <x:v>0</x:v>
      </x:c>
      <x:c r="Z69" s="255">
        <x:f t="shared" si="26"/>
        <x:v>0</x:v>
      </x:c>
      <x:c r="AA69" s="256">
        <x:f>'Reversion Pagos R4'!O332</x:f>
        <x:v>0</x:v>
      </x:c>
      <x:c r="AB69" s="230">
        <x:f t="shared" si="27"/>
        <x:v>0</x:v>
      </x:c>
      <x:c r="AC69" s="256">
        <x:f>+'Reversion Pagos R4'!Q332+'Reversion Pagos R4'!R332</x:f>
        <x:v>0</x:v>
      </x:c>
      <x:c r="AD69" s="227">
        <x:f t="shared" si="28"/>
        <x:v>0</x:v>
      </x:c>
      <x:c r="AE69" s="227">
        <x:f>'Reversion Pagos R4'!D333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R4'!D367</x:f>
        <x:v>0</x:v>
      </x:c>
      <x:c r="E70" s="233">
        <x:f>'Reversion Pagos R4'!E367</x:f>
        <x:v>0</x:v>
      </x:c>
      <x:c r="F70" s="233">
        <x:f>'Reversion Pagos R4'!F367</x:f>
        <x:v>0</x:v>
      </x:c>
      <x:c r="G70" s="233">
        <x:f>'Reversion Pagos R4'!G367</x:f>
        <x:v>0</x:v>
      </x:c>
      <x:c r="H70" s="233">
        <x:f>'Reversion Pagos R4'!H367</x:f>
        <x:v>0</x:v>
      </x:c>
      <x:c r="I70" s="233">
        <x:f>'Reversion Pagos R4'!I367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R4'!P367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R4'!J367</x:f>
        <x:v>0</x:v>
      </x:c>
      <x:c r="V70" s="233">
        <x:f>'Reversion Pagos R4'!K367</x:f>
        <x:v>0</x:v>
      </x:c>
      <x:c r="W70" s="233">
        <x:f>'Reversion Pagos R4'!L367</x:f>
        <x:v>0</x:v>
      </x:c>
      <x:c r="X70" s="233">
        <x:f>'Reversion Pagos R4'!M367</x:f>
        <x:v>0</x:v>
      </x:c>
      <x:c r="Y70" s="225">
        <x:f>'Reversion Pagos R4'!N367</x:f>
        <x:v>0</x:v>
      </x:c>
      <x:c r="Z70" s="255">
        <x:f t="shared" si="26"/>
        <x:v>0</x:v>
      </x:c>
      <x:c r="AA70" s="256">
        <x:f>'Reversion Pagos R4'!O367</x:f>
        <x:v>0</x:v>
      </x:c>
      <x:c r="AB70" s="230">
        <x:f t="shared" si="27"/>
        <x:v>0</x:v>
      </x:c>
      <x:c r="AC70" s="256">
        <x:f>+'Reversion Pagos R4'!Q367+'Reversion Pagos R4'!R367</x:f>
        <x:v>0</x:v>
      </x:c>
      <x:c r="AD70" s="227">
        <x:f t="shared" si="28"/>
        <x:v>0</x:v>
      </x:c>
      <x:c r="AE70" s="227">
        <x:f>'Reversion Pagos R4'!D368</x:f>
        <x:v>0</x:v>
      </x:c>
      <x:c r="AF70" s="258">
        <x:f t="shared" si="30"/>
        <x:v>0</x:v>
      </x:c>
      <x:c r="AG70" s="262">
        <x:f t="shared" si="31"/>
        <x:v>0</x:v>
      </x:c>
      <x:c r="AH70" s="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si="33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1" t="b">
        <x:f t="shared" si="29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v>0</x:v>
      </x:c>
      <x:c r="AA85" s="246">
        <x:v>0</x:v>
      </x:c>
      <x:c r="AB85" s="246">
        <x:v>0</x:v>
      </x:c>
      <x:c r="AC85" s="247">
        <x:v>0</x:v>
      </x:c>
      <x:c r="AD85" s="246">
        <x:v>0</x:v>
      </x:c>
      <x:c r="AE85" s="246">
        <x:v>0</x:v>
      </x:c>
      <x:c r="AF85" s="249">
        <x:f>SUM(U85:AD85)</x:f>
        <x:v>0</x:v>
      </x:c>
      <x:c r="AG85" s="247">
        <x:f>AF85-O85</x:f>
        <x:v>0</x:v>
      </x:c>
      <x:c r="AH85" s="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4">
        <x:v>0</x:v>
      </x:c>
      <x:c r="K86" s="231">
        <x:f t="shared" ref="K86:K89" si="34">D86-E86-F86-G86-H86-I86-J86</x:f>
        <x:v>0</x:v>
      </x:c>
      <x:c r="L86" s="230">
        <x:v>0</x:v>
      </x:c>
      <x:c r="M86" s="231">
        <x:f>K86-L86</x:f>
        <x:v>0</x:v>
      </x:c>
      <x:c r="N86" s="230">
        <x:v>0</x:v>
      </x:c>
      <x:c r="O86" s="231">
        <x:f t="shared" ref="O86:O89" si="35">M86+N86</x:f>
        <x:v>0</x:v>
      </x:c>
      <x:c r="Q86" s="242"/>
      <x:c r="S86" s="250">
        <x:v>2</x:v>
      </x:c>
      <x:c r="T86" s="251" t="s">
        <x:v>11</x:v>
      </x:c>
      <x:c r="U86" s="252">
        <x:v>0</x:v>
      </x:c>
      <x:c r="V86" s="253">
        <x:v>0</x:v>
      </x:c>
      <x:c r="W86" s="253">
        <x:v>0</x:v>
      </x:c>
      <x:c r="X86" s="253">
        <x:v>0</x:v>
      </x:c>
      <x:c r="Y86" s="254">
        <x:v>0</x:v>
      </x:c>
      <x:c r="Z86" s="255">
        <x:v>0</x:v>
      </x:c>
      <x:c r="AA86" s="255">
        <x:v>0</x:v>
      </x:c>
      <x:c r="AB86" s="255">
        <x:v>0</x:v>
      </x:c>
      <x:c r="AC86" s="256">
        <x:v>0</x:v>
      </x:c>
      <x:c r="AD86" s="255">
        <x:v>0</x:v>
      </x:c>
      <x:c r="AE86" s="255">
        <x:v>0</x:v>
      </x:c>
      <x:c r="AF86" s="258">
        <x:f>SUM(U86:AD86)</x:f>
        <x:v>0</x:v>
      </x:c>
      <x:c r="AG86" s="259">
        <x:f>AF86-O86</x:f>
        <x:v>0</x:v>
      </x:c>
      <x:c r="AH86" s="1" t="b">
        <x:f t="shared" ref="AH86:AH90" si="36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4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5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v>0</x:v>
      </x:c>
      <x:c r="AA87" s="255">
        <x:v>0</x:v>
      </x:c>
      <x:c r="AB87" s="255">
        <x:v>0</x:v>
      </x:c>
      <x:c r="AC87" s="256">
        <x:v>0</x:v>
      </x:c>
      <x:c r="AD87" s="255">
        <x:v>0</x:v>
      </x:c>
      <x:c r="AE87" s="255">
        <x:v>0</x:v>
      </x:c>
      <x:c r="AF87" s="258">
        <x:f t="shared" ref="AF87:AF89" si="37">SUM(U87:AD87)</x:f>
        <x:v>0</x:v>
      </x:c>
      <x:c r="AG87" s="259">
        <x:f>AF87-O87</x:f>
        <x:v>0</x:v>
      </x:c>
      <x:c r="AH87" s="1" t="b">
        <x:f t="shared" si="36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4">
        <x:v>0</x:v>
      </x:c>
      <x:c r="K88" s="231">
        <x:f t="shared" si="34"/>
        <x:v>0</x:v>
      </x:c>
      <x:c r="L88" s="230">
        <x:v>0</x:v>
      </x:c>
      <x:c r="M88" s="231">
        <x:f>K88-L88</x:f>
        <x:v>0</x:v>
      </x:c>
      <x:c r="N88" s="230">
        <x:v>0</x:v>
      </x:c>
      <x:c r="O88" s="231">
        <x:f t="shared" si="35"/>
        <x:v>0</x:v>
      </x:c>
      <x:c r="Q88" s="242"/>
      <x:c r="S88" s="250">
        <x:v>4</x:v>
      </x:c>
      <x:c r="T88" s="251" t="s">
        <x:v>13</x:v>
      </x:c>
      <x:c r="U88" s="252">
        <x:v>0</x:v>
      </x:c>
      <x:c r="V88" s="253">
        <x:v>0</x:v>
      </x:c>
      <x:c r="W88" s="253">
        <x:v>0</x:v>
      </x:c>
      <x:c r="X88" s="253">
        <x:v>0</x:v>
      </x:c>
      <x:c r="Y88" s="254">
        <x:v>0</x:v>
      </x:c>
      <x:c r="Z88" s="255">
        <x:v>0</x:v>
      </x:c>
      <x:c r="AA88" s="255">
        <x:v>0</x:v>
      </x:c>
      <x:c r="AB88" s="255">
        <x:v>0</x:v>
      </x:c>
      <x:c r="AC88" s="256">
        <x:v>0</x:v>
      </x:c>
      <x:c r="AD88" s="255">
        <x:v>0</x:v>
      </x:c>
      <x:c r="AE88" s="255">
        <x:v>0</x:v>
      </x:c>
      <x:c r="AF88" s="258">
        <x:f t="shared" si="37"/>
        <x:v>0</x:v>
      </x:c>
      <x:c r="AG88" s="259">
        <x:f>AF88-O88</x:f>
        <x:v>0</x:v>
      </x:c>
      <x:c r="AH88" s="1" t="b">
        <x:f t="shared" si="36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4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5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v>0</x:v>
      </x:c>
      <x:c r="AA89" s="255">
        <x:v>0</x:v>
      </x:c>
      <x:c r="AB89" s="255">
        <x:v>0</x:v>
      </x:c>
      <x:c r="AC89" s="256">
        <x:v>0</x:v>
      </x:c>
      <x:c r="AD89" s="255">
        <x:v>0</x:v>
      </x:c>
      <x:c r="AE89" s="255">
        <x:v>0</x:v>
      </x:c>
      <x:c r="AF89" s="258">
        <x:f t="shared" si="37"/>
        <x:v>0</x:v>
      </x:c>
      <x:c r="AG89" s="262">
        <x:f>AF89-O89</x:f>
        <x:v>0</x:v>
      </x:c>
      <x:c r="AH89" s="1" t="b">
        <x:f t="shared" si="36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38">SUM(D85:D89)</x:f>
        <x:v>0</x:v>
      </x:c>
      <x:c r="E90" s="226">
        <x:f t="shared" si="38"/>
        <x:v>0</x:v>
      </x:c>
      <x:c r="F90" s="226">
        <x:f t="shared" si="38"/>
        <x:v>0</x:v>
      </x:c>
      <x:c r="G90" s="226">
        <x:f t="shared" si="38"/>
        <x:v>0</x:v>
      </x:c>
      <x:c r="H90" s="226">
        <x:f t="shared" si="38"/>
        <x:v>0</x:v>
      </x:c>
      <x:c r="I90" s="226">
        <x:f t="shared" si="38"/>
        <x:v>0</x:v>
      </x:c>
      <x:c r="J90" s="226">
        <x:f t="shared" si="38"/>
        <x:v>0</x:v>
      </x:c>
      <x:c r="K90" s="236">
        <x:f t="shared" si="38"/>
        <x:v>0</x:v>
      </x:c>
      <x:c r="L90" s="237">
        <x:f t="shared" si="38"/>
        <x:v>0</x:v>
      </x:c>
      <x:c r="M90" s="238">
        <x:f t="shared" si="38"/>
        <x:v>0</x:v>
      </x:c>
      <x:c r="N90" s="237">
        <x:f t="shared" si="38"/>
        <x:v>0</x:v>
      </x:c>
      <x:c r="O90" s="238">
        <x:f t="shared" si="38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39">SUM(V85:V89)</x:f>
        <x:v>0</x:v>
      </x:c>
      <x:c r="W90" s="266">
        <x:f t="shared" si="39"/>
        <x:v>0</x:v>
      </x:c>
      <x:c r="X90" s="266">
        <x:f t="shared" si="39"/>
        <x:v>0</x:v>
      </x:c>
      <x:c r="Y90" s="266">
        <x:f t="shared" si="39"/>
        <x:v>0</x:v>
      </x:c>
      <x:c r="Z90" s="226">
        <x:f t="shared" si="39"/>
        <x:v>0</x:v>
      </x:c>
      <x:c r="AA90" s="226">
        <x:f t="shared" si="39"/>
        <x:v>0</x:v>
      </x:c>
      <x:c r="AB90" s="226">
        <x:f t="shared" si="39"/>
        <x:v>0</x:v>
      </x:c>
      <x:c r="AC90" s="226">
        <x:f t="shared" si="39"/>
        <x:v>0</x:v>
      </x:c>
      <x:c r="AD90" s="226">
        <x:f t="shared" si="39"/>
        <x:v>0</x:v>
      </x:c>
      <x:c r="AE90" s="226">
        <x:f t="shared" si="39"/>
        <x:v>0</x:v>
      </x:c>
      <x:c r="AF90" s="267">
        <x:f t="shared" si="39"/>
        <x:v>0</x:v>
      </x:c>
      <x:c r="AG90" s="268">
        <x:f t="shared" si="39"/>
        <x:v>0</x:v>
      </x:c>
      <x:c r="AH90" s="1" t="b">
        <x:f t="shared" si="36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219</x:v>
      </x:c>
      <x:c r="G101" s="58"/>
      <x:c r="H101" s="59"/>
      <x:c r="I101" s="60"/>
      <x:c r="J101" s="59"/>
      <x:c r="K101" s="60"/>
      <x:c r="L101" s="392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0">D9+D28+D47+D66+D85</x:f>
        <x:v>0</x:v>
      </x:c>
      <x:c r="E104" s="228">
        <x:f t="shared" si="40"/>
        <x:v>0</x:v>
      </x:c>
      <x:c r="F104" s="228">
        <x:f t="shared" si="40"/>
        <x:v>0</x:v>
      </x:c>
      <x:c r="G104" s="228">
        <x:f t="shared" si="40"/>
        <x:v>0</x:v>
      </x:c>
      <x:c r="H104" s="228">
        <x:f t="shared" si="40"/>
        <x:v>0</x:v>
      </x:c>
      <x:c r="I104" s="228">
        <x:f t="shared" si="40"/>
        <x:v>0</x:v>
      </x:c>
      <x:c r="J104" s="224">
        <x:f t="shared" si="40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B108" si="41">U9+U28+U47+U66+U85</x:f>
        <x:v>0</x:v>
      </x:c>
      <x:c r="V104" s="244">
        <x:f t="shared" si="41"/>
        <x:v>0</x:v>
      </x:c>
      <x:c r="W104" s="244">
        <x:f t="shared" si="41"/>
        <x:v>0</x:v>
      </x:c>
      <x:c r="X104" s="244">
        <x:f t="shared" si="41"/>
        <x:v>0</x:v>
      </x:c>
      <x:c r="Y104" s="245">
        <x:f t="shared" si="41"/>
        <x:v>0</x:v>
      </x:c>
      <x:c r="Z104" s="246">
        <x:f t="shared" si="41"/>
        <x:v>0</x:v>
      </x:c>
      <x:c r="AA104" s="247">
        <x:f t="shared" si="41"/>
        <x:v>0</x:v>
      </x:c>
      <x:c r="AB104" s="230">
        <x:f t="shared" si="41"/>
        <x:v>0</x:v>
      </x:c>
      <x:c r="AC104" s="248">
        <x:f t="shared" ref="AC104" si="42"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0"/>
        <x:v>0</x:v>
      </x:c>
      <x:c r="E105" s="228">
        <x:f t="shared" si="40"/>
        <x:v>0</x:v>
      </x:c>
      <x:c r="F105" s="228">
        <x:f t="shared" si="40"/>
        <x:v>0</x:v>
      </x:c>
      <x:c r="G105" s="228">
        <x:f t="shared" si="40"/>
        <x:v>0</x:v>
      </x:c>
      <x:c r="H105" s="228">
        <x:f t="shared" si="40"/>
        <x:v>0</x:v>
      </x:c>
      <x:c r="I105" s="228">
        <x:f t="shared" si="40"/>
        <x:v>0</x:v>
      </x:c>
      <x:c r="J105" s="224">
        <x:f t="shared" si="40"/>
        <x:v>0</x:v>
      </x:c>
      <x:c r="K105" s="231">
        <x:f t="shared" ref="K105:K108" si="43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4">M105+N105</x:f>
        <x:v>0</x:v>
      </x:c>
      <x:c r="Q105" s="242"/>
      <x:c r="S105" s="250">
        <x:v>2</x:v>
      </x:c>
      <x:c r="T105" s="251" t="s">
        <x:v>11</x:v>
      </x:c>
      <x:c r="U105" s="252">
        <x:f t="shared" si="41"/>
        <x:v>0</x:v>
      </x:c>
      <x:c r="V105" s="253">
        <x:f t="shared" si="41"/>
        <x:v>0</x:v>
      </x:c>
      <x:c r="W105" s="253">
        <x:f t="shared" si="41"/>
        <x:v>0</x:v>
      </x:c>
      <x:c r="X105" s="253">
        <x:f t="shared" si="41"/>
        <x:v>0</x:v>
      </x:c>
      <x:c r="Y105" s="254">
        <x:f t="shared" si="41"/>
        <x:v>0</x:v>
      </x:c>
      <x:c r="Z105" s="255">
        <x:f t="shared" si="41"/>
        <x:v>0</x:v>
      </x:c>
      <x:c r="AA105" s="256">
        <x:f t="shared" si="41"/>
        <x:v>0</x:v>
      </x:c>
      <x:c r="AB105" s="230">
        <x:f t="shared" si="41"/>
        <x:v>0</x:v>
      </x:c>
      <x:c r="AC105" s="257">
        <x:f t="shared" ref="AC105" si="45">AC10+AC29+AC48+AC67+AC86</x:f>
        <x:v>0</x:v>
      </x:c>
      <x:c r="AD105" s="227">
        <x:f t="shared" ref="AD105:AD107" si="46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ref="AH105:AH109" si="47">INT(AG105)=0</x:f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0"/>
        <x:v>0</x:v>
      </x:c>
      <x:c r="E106" s="228">
        <x:f t="shared" si="40"/>
        <x:v>0</x:v>
      </x:c>
      <x:c r="F106" s="228">
        <x:f t="shared" si="40"/>
        <x:v>0</x:v>
      </x:c>
      <x:c r="G106" s="228">
        <x:f t="shared" si="40"/>
        <x:v>0</x:v>
      </x:c>
      <x:c r="H106" s="228">
        <x:f t="shared" si="40"/>
        <x:v>0</x:v>
      </x:c>
      <x:c r="I106" s="228">
        <x:f t="shared" si="40"/>
        <x:v>0</x:v>
      </x:c>
      <x:c r="J106" s="224">
        <x:f t="shared" si="40"/>
        <x:v>0</x:v>
      </x:c>
      <x:c r="K106" s="231">
        <x:f t="shared" si="43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4"/>
        <x:v>0</x:v>
      </x:c>
      <x:c r="Q106" s="242"/>
      <x:c r="S106" s="250">
        <x:v>3</x:v>
      </x:c>
      <x:c r="T106" s="251" t="s">
        <x:v>12</x:v>
      </x:c>
      <x:c r="U106" s="252">
        <x:f t="shared" si="41"/>
        <x:v>0</x:v>
      </x:c>
      <x:c r="V106" s="253">
        <x:f t="shared" si="41"/>
        <x:v>0</x:v>
      </x:c>
      <x:c r="W106" s="253">
        <x:f t="shared" si="41"/>
        <x:v>0</x:v>
      </x:c>
      <x:c r="X106" s="253">
        <x:f t="shared" si="41"/>
        <x:v>0</x:v>
      </x:c>
      <x:c r="Y106" s="254">
        <x:f t="shared" si="41"/>
        <x:v>0</x:v>
      </x:c>
      <x:c r="Z106" s="255">
        <x:f t="shared" si="41"/>
        <x:v>0</x:v>
      </x:c>
      <x:c r="AA106" s="256">
        <x:f t="shared" si="41"/>
        <x:v>0</x:v>
      </x:c>
      <x:c r="AB106" s="230">
        <x:f t="shared" si="41"/>
        <x:v>0</x:v>
      </x:c>
      <x:c r="AC106" s="257">
        <x:f t="shared" ref="AC106" si="48">AC11+AC30+AC49+AC68+AC87</x:f>
        <x:v>0</x:v>
      </x:c>
      <x:c r="AD106" s="227">
        <x:f t="shared" si="46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7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0"/>
        <x:v>0</x:v>
      </x:c>
      <x:c r="E107" s="228">
        <x:f t="shared" si="40"/>
        <x:v>0</x:v>
      </x:c>
      <x:c r="F107" s="228">
        <x:f t="shared" si="40"/>
        <x:v>0</x:v>
      </x:c>
      <x:c r="G107" s="228">
        <x:f t="shared" si="40"/>
        <x:v>0</x:v>
      </x:c>
      <x:c r="H107" s="228">
        <x:f t="shared" si="40"/>
        <x:v>0</x:v>
      </x:c>
      <x:c r="I107" s="228">
        <x:f t="shared" si="40"/>
        <x:v>0</x:v>
      </x:c>
      <x:c r="J107" s="224">
        <x:f t="shared" si="40"/>
        <x:v>0</x:v>
      </x:c>
      <x:c r="K107" s="231">
        <x:f t="shared" si="43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4"/>
        <x:v>0</x:v>
      </x:c>
      <x:c r="Q107" s="242"/>
      <x:c r="S107" s="250">
        <x:v>4</x:v>
      </x:c>
      <x:c r="T107" s="251" t="s">
        <x:v>13</x:v>
      </x:c>
      <x:c r="U107" s="252">
        <x:f t="shared" si="41"/>
        <x:v>0</x:v>
      </x:c>
      <x:c r="V107" s="253">
        <x:f t="shared" si="41"/>
        <x:v>0</x:v>
      </x:c>
      <x:c r="W107" s="253">
        <x:f t="shared" si="41"/>
        <x:v>0</x:v>
      </x:c>
      <x:c r="X107" s="253">
        <x:f t="shared" si="41"/>
        <x:v>0</x:v>
      </x:c>
      <x:c r="Y107" s="254">
        <x:f t="shared" si="41"/>
        <x:v>0</x:v>
      </x:c>
      <x:c r="Z107" s="255">
        <x:f t="shared" si="41"/>
        <x:v>0</x:v>
      </x:c>
      <x:c r="AA107" s="256">
        <x:f t="shared" si="41"/>
        <x:v>0</x:v>
      </x:c>
      <x:c r="AB107" s="230">
        <x:f t="shared" si="41"/>
        <x:v>0</x:v>
      </x:c>
      <x:c r="AC107" s="257">
        <x:f t="shared" ref="AC107" si="49">AC12+AC31+AC50+AC69+AC88</x:f>
        <x:v>0</x:v>
      </x:c>
      <x:c r="AD107" s="227">
        <x:f t="shared" si="46"/>
        <x:v>0</x:v>
      </x:c>
      <x:c r="AE107" s="227">
        <x:f>AE12+AE31+AE50+AE69+AE88</x:f>
        <x:v>0</x:v>
      </x:c>
      <x:c r="AF107" s="258">
        <x:f>SUM(U107:AD107)</x:f>
        <x:v>0</x:v>
      </x:c>
      <x:c r="AG107" s="259">
        <x:f>AF107-O107</x:f>
        <x:v>0</x:v>
      </x:c>
      <x:c r="AH107" s="1" t="b">
        <x:f t="shared" si="47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0"/>
        <x:v>0</x:v>
      </x:c>
      <x:c r="F108" s="233">
        <x:f t="shared" si="40"/>
        <x:v>0</x:v>
      </x:c>
      <x:c r="G108" s="233">
        <x:f t="shared" si="40"/>
        <x:v>0</x:v>
      </x:c>
      <x:c r="H108" s="233">
        <x:f t="shared" si="40"/>
        <x:v>0</x:v>
      </x:c>
      <x:c r="I108" s="233">
        <x:f t="shared" si="40"/>
        <x:v>0</x:v>
      </x:c>
      <x:c r="J108" s="225">
        <x:f t="shared" si="40"/>
        <x:v>0</x:v>
      </x:c>
      <x:c r="K108" s="231">
        <x:f t="shared" si="43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4"/>
        <x:v>0</x:v>
      </x:c>
      <x:c r="Q108" s="242"/>
      <x:c r="S108" s="260">
        <x:v>5</x:v>
      </x:c>
      <x:c r="T108" s="261" t="s">
        <x:v>14</x:v>
      </x:c>
      <x:c r="U108" s="232">
        <x:f t="shared" si="41"/>
        <x:v>0</x:v>
      </x:c>
      <x:c r="V108" s="233">
        <x:f t="shared" si="41"/>
        <x:v>0</x:v>
      </x:c>
      <x:c r="W108" s="233">
        <x:f t="shared" si="41"/>
        <x:v>0</x:v>
      </x:c>
      <x:c r="X108" s="233">
        <x:f t="shared" si="41"/>
        <x:v>0</x:v>
      </x:c>
      <x:c r="Y108" s="225">
        <x:f t="shared" si="41"/>
        <x:v>0</x:v>
      </x:c>
      <x:c r="Z108" s="255">
        <x:f t="shared" si="41"/>
        <x:v>0</x:v>
      </x:c>
      <x:c r="AA108" s="256">
        <x:f t="shared" si="41"/>
        <x:v>0</x:v>
      </x:c>
      <x:c r="AB108" s="230">
        <x:f t="shared" si="41"/>
        <x:v>0</x:v>
      </x:c>
      <x:c r="AC108" s="257">
        <x:f t="shared" ref="AC108" si="50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7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51">SUM(D104:D108)</x:f>
        <x:v>0</x:v>
      </x:c>
      <x:c r="E109" s="226">
        <x:f t="shared" si="51"/>
        <x:v>0</x:v>
      </x:c>
      <x:c r="F109" s="226">
        <x:f t="shared" si="51"/>
        <x:v>0</x:v>
      </x:c>
      <x:c r="G109" s="226">
        <x:f t="shared" si="51"/>
        <x:v>0</x:v>
      </x:c>
      <x:c r="H109" s="226">
        <x:f t="shared" si="51"/>
        <x:v>0</x:v>
      </x:c>
      <x:c r="I109" s="226">
        <x:f t="shared" si="51"/>
        <x:v>0</x:v>
      </x:c>
      <x:c r="J109" s="226">
        <x:f t="shared" si="51"/>
        <x:v>0</x:v>
      </x:c>
      <x:c r="K109" s="236">
        <x:f t="shared" si="51"/>
        <x:v>0</x:v>
      </x:c>
      <x:c r="L109" s="237">
        <x:f t="shared" si="51"/>
        <x:v>0</x:v>
      </x:c>
      <x:c r="M109" s="238">
        <x:f t="shared" si="51"/>
        <x:v>0</x:v>
      </x:c>
      <x:c r="N109" s="237">
        <x:f t="shared" si="51"/>
        <x:v>0</x:v>
      </x:c>
      <x:c r="O109" s="238">
        <x:f t="shared" si="51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2">SUM(V104:V108)</x:f>
        <x:v>0</x:v>
      </x:c>
      <x:c r="W109" s="266">
        <x:f t="shared" si="52"/>
        <x:v>0</x:v>
      </x:c>
      <x:c r="X109" s="266">
        <x:f t="shared" si="52"/>
        <x:v>0</x:v>
      </x:c>
      <x:c r="Y109" s="266">
        <x:f t="shared" si="52"/>
        <x:v>0</x:v>
      </x:c>
      <x:c r="Z109" s="226">
        <x:f t="shared" si="52"/>
        <x:v>0</x:v>
      </x:c>
      <x:c r="AA109" s="226">
        <x:f t="shared" si="52"/>
        <x:v>0</x:v>
      </x:c>
      <x:c r="AB109" s="393">
        <x:f t="shared" si="52"/>
        <x:v>0</x:v>
      </x:c>
      <x:c r="AC109" s="226">
        <x:f t="shared" ref="AC109" si="53">SUM(AC104:AC108)</x:f>
        <x:v>0</x:v>
      </x:c>
      <x:c r="AD109" s="226">
        <x:f t="shared" si="52"/>
        <x:v>0</x:v>
      </x:c>
      <x:c r="AE109" s="226">
        <x:f>SUM(AE104:AE108)</x:f>
        <x:v>0</x:v>
      </x:c>
      <x:c r="AF109" s="267">
        <x:f t="shared" si="52"/>
        <x:v>0</x:v>
      </x:c>
      <x:c r="AG109" s="268">
        <x:f>SUM(AG104:AG108)</x:f>
        <x:v>0</x:v>
      </x:c>
      <x:c r="AH109" s="1" t="b">
        <x:f t="shared" si="47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x14ac:dyDescent="0.2">
      <x:c r="B125" s="270">
        <x:v>1</x:v>
      </x:c>
      <x:c r="C125" s="271" t="s">
        <x:v>10</x:v>
      </x:c>
      <x:c r="D125" s="244">
        <x:f>'ANTICIPOS USUARIOS'!O3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USUARIOS'!O12</x:f>
        <x:v>0</x:v>
      </x:c>
      <x:c r="L125" s="245">
        <x:f>-'ANTICIPOS USUARIOS'!O21</x:f>
        <x:v>0</x:v>
      </x:c>
      <x:c r="O125" s="273"/>
      <x:c r="Q125" s="242"/>
    </x:row>
    <x:row r="126" spans="1:35" s="241" customFormat="1" x14ac:dyDescent="0.2">
      <x:c r="B126" s="250">
        <x:v>2</x:v>
      </x:c>
      <x:c r="C126" s="274" t="s">
        <x:v>11</x:v>
      </x:c>
      <x:c r="D126" s="228">
        <x:f>'ANTICIPOS USUARIOS'!O4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4">D67+N67</x:f>
        <x:v>0</x:v>
      </x:c>
      <x:c r="K126" s="224">
        <x:f>'ANTICIPOS USUARIOS'!O13</x:f>
        <x:v>0</x:v>
      </x:c>
      <x:c r="L126" s="224">
        <x:f>-'ANTICIPOS USUARIOS'!O22</x:f>
        <x:v>0</x:v>
      </x:c>
      <x:c r="O126" s="273"/>
      <x:c r="Q126" s="242"/>
    </x:row>
    <x:row r="127" spans="1:35" s="241" customFormat="1" x14ac:dyDescent="0.2">
      <x:c r="B127" s="250">
        <x:v>3</x:v>
      </x:c>
      <x:c r="C127" s="274" t="s">
        <x:v>12</x:v>
      </x:c>
      <x:c r="D127" s="228">
        <x:f>'ANTICIPOS USUARIOS'!O5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4"/>
        <x:v>0</x:v>
      </x:c>
      <x:c r="K127" s="224">
        <x:f>'ANTICIPOS USUARIOS'!O14</x:f>
        <x:v>0</x:v>
      </x:c>
      <x:c r="L127" s="224">
        <x:f>-'ANTICIPOS USUARIOS'!O23</x:f>
        <x:v>0</x:v>
      </x:c>
      <x:c r="O127" s="273"/>
      <x:c r="Q127" s="242"/>
    </x:row>
    <x:row r="128" spans="1:35" s="241" customFormat="1" x14ac:dyDescent="0.2">
      <x:c r="B128" s="250">
        <x:v>4</x:v>
      </x:c>
      <x:c r="C128" s="274" t="s">
        <x:v>13</x:v>
      </x:c>
      <x:c r="D128" s="228">
        <x:f>'ANTICIPOS USUARIOS'!O6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4"/>
        <x:v>0</x:v>
      </x:c>
      <x:c r="K128" s="224">
        <x:f>'ANTICIPOS USUARIOS'!O15</x:f>
        <x:v>0</x:v>
      </x:c>
      <x:c r="L128" s="224">
        <x:f>-'ANTICIPOS USUARIOS'!O24</x:f>
        <x:v>0</x:v>
      </x:c>
      <x:c r="O128" s="273"/>
      <x:c r="Q128" s="242"/>
    </x:row>
    <x:row r="129" spans="1:18" s="241" customFormat="1" x14ac:dyDescent="0.2">
      <x:c r="B129" s="277">
        <x:v>5</x:v>
      </x:c>
      <x:c r="C129" s="278" t="s">
        <x:v>14</x:v>
      </x:c>
      <x:c r="D129" s="228">
        <x:f>'ANTICIPOS USUARIOS'!O7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4"/>
        <x:v>0</x:v>
      </x:c>
      <x:c r="K129" s="224">
        <x:f>'ANTICIPOS USUARIOS'!O16</x:f>
        <x:v>0</x:v>
      </x:c>
      <x:c r="L129" s="224">
        <x:f>-'ANTICIPOS USUARIOS'!O25</x:f>
        <x:v>0</x:v>
      </x:c>
      <x:c r="O129" s="273"/>
      <x:c r="Q129" s="242"/>
    </x:row>
    <x:row r="130" spans="1:18" s="241" customFormat="1" ht="12.75" thickBot="1" x14ac:dyDescent="0.25">
      <x:c r="B130" s="260" t="s">
        <x:v>89</x:v>
      </x:c>
      <x:c r="C130" s="281" t="s">
        <x:v>113</x:v>
      </x:c>
      <x:c r="D130" s="233"/>
      <x:c r="E130" s="225">
        <x:f>'Recaudo Directa Occidente'!F26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</x:row>
    <x:row r="131" spans="1:18" s="241" customFormat="1" ht="12.75" thickBot="1" x14ac:dyDescent="0.25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55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Directa Occidente'!F21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BANCO'!E75)</x:f>
        <x:v>0</x:v>
      </x:c>
      <x:c r="J142" s="103">
        <x:f t="shared" ref="J142:K146" si="56">G125</x:f>
        <x:v>0</x:v>
      </x:c>
      <x:c r="K142" s="104">
        <x:f t="shared" si="56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443">
        <x:f>D143-E143-F143-G143-J143-H143-I143</x:f>
        <x:v>0</x:v>
      </x:c>
      <x:c r="M143" s="1" t="b">
        <x:f t="shared" ref="M143:M147" si="57"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443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443">
        <x:f>D145-E145-F145-G145-J145-H145-I145</x:f>
        <x:v>0</x:v>
      </x:c>
      <x:c r="M145" s="1" t="b">
        <x:f t="shared" si="57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Directa Occidente'!F25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BANCO'!E79)</x:f>
        <x:v>0</x:v>
      </x:c>
      <x:c r="J146" s="123">
        <x:f t="shared" si="56"/>
        <x:v>0</x:v>
      </x:c>
      <x:c r="K146" s="125">
        <x:f t="shared" si="56"/>
        <x:v>0</x:v>
      </x:c>
      <x:c r="L146" s="443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443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241"/>
      <x:c r="N154" s="24"/>
      <x:c r="O154" s="24"/>
      <x:c r="Q154" s="24"/>
      <x:c r="T154" s="24"/>
    </x:row>
    <x:row r="155" spans="1:20" x14ac:dyDescent="0.2">
      <x:c r="E155" s="241"/>
      <x:c r="N155" s="24"/>
      <x:c r="O155" s="24"/>
      <x:c r="Q155" s="24"/>
      <x:c r="T155" s="24"/>
    </x:row>
    <x:row r="156" spans="1:20" x14ac:dyDescent="0.2">
      <x:c r="E156" s="241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E15" sqref="E15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Directa Occidente'!F21</x:f>
        <x:v>0</x:v>
      </x:c>
      <x:c r="D3" s="228">
        <x:f>'REMUNERACION_OCCIDENTE_ Directa'!G125</x:f>
        <x:v>0</x:v>
      </x:c>
      <x:c r="E3" s="228">
        <x:f>'REMUNERACION_OCCIDENTE_ Directa'!D28+'REMUNERACION_OCCIDENTE_ Directa'!N28</x:f>
        <x:v>0</x:v>
      </x:c>
      <x:c r="F3" s="228">
        <x:f>'REMUNERACION_OCCIDENTE_ Directa'!I142</x:f>
        <x:v>0</x:v>
      </x:c>
      <x:c r="G3" s="228">
        <x:f>'REMUNERACION_OCCIDENTE_ Directa'!H142</x:f>
        <x:v>0</x:v>
      </x:c>
      <x:c r="H3" s="276">
        <x:f>SUM(C3:G3)</x:f>
        <x:v>0</x:v>
      </x:c>
      <x:c r="I3" s="227">
        <x:f>'REMUNERACION_OCCIDENTE_ Directa'!D104</x:f>
        <x:v>0</x:v>
      </x:c>
      <x:c r="J3" s="228">
        <x:f>'REMUNERACION_OCCIDENTE_ Directa'!N104</x:f>
        <x:v>0</x:v>
      </x:c>
      <x:c r="K3" s="228">
        <x:f>'REMUNERACION_OCCIDENTE_ Directa'!D125</x:f>
        <x:v>0</x:v>
      </x:c>
      <x:c r="L3" s="289">
        <x:f>'REMUNERACION_OCCIDENTE_ Directa'!E125</x:f>
        <x:v>0</x:v>
      </x:c>
      <x:c r="M3" s="228">
        <x:f>-'REMUNERACION_OCCIDENTE_ Directa'!D66-'REMUNERACION_OCCIDENTE_ Directa'!N66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Directa Occidente'!F22</x:f>
        <x:v>0</x:v>
      </x:c>
      <x:c r="D4" s="228">
        <x:f>'REMUNERACION_OCCIDENTE_ Directa'!G126</x:f>
        <x:v>0</x:v>
      </x:c>
      <x:c r="E4" s="228">
        <x:f>'REMUNERACION_OCCIDENTE_ Directa'!D29+'REMUNERACION_OCCIDENTE_ Directa'!N29</x:f>
        <x:v>0</x:v>
      </x:c>
      <x:c r="F4" s="228">
        <x:f>'REMUNERACION_OCCIDENTE_ Directa'!I143</x:f>
        <x:v>0</x:v>
      </x:c>
      <x:c r="G4" s="228">
        <x:f>'REMUNERACION_OCCIDENTE_ Directa'!H143</x:f>
        <x:v>0</x:v>
      </x:c>
      <x:c r="H4" s="276">
        <x:f t="shared" ref="H4:H8" si="1">SUM(C4:G4)</x:f>
        <x:v>0</x:v>
      </x:c>
      <x:c r="I4" s="227">
        <x:f>'REMUNERACION_OCCIDENTE_ Directa'!D105</x:f>
        <x:v>0</x:v>
      </x:c>
      <x:c r="J4" s="228">
        <x:f>'REMUNERACION_OCCIDENTE_ Directa'!N105</x:f>
        <x:v>0</x:v>
      </x:c>
      <x:c r="K4" s="228">
        <x:f>'REMUNERACION_OCCIDENTE_ Directa'!D126</x:f>
        <x:v>0</x:v>
      </x:c>
      <x:c r="L4" s="289">
        <x:f>'REMUNERACION_OCCIDENTE_ Directa'!E126</x:f>
        <x:v>0</x:v>
      </x:c>
      <x:c r="M4" s="228">
        <x:f>-'REMUNERACION_OCCIDENTE_ Directa'!D67-'REMUNERACION_OCCIDENTE_ Directa'!N67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Directa Occidente'!F23</x:f>
        <x:v>0</x:v>
      </x:c>
      <x:c r="D5" s="228">
        <x:f>'REMUNERACION_OCCIDENTE_ Directa'!G127</x:f>
        <x:v>0</x:v>
      </x:c>
      <x:c r="E5" s="228">
        <x:f>'REMUNERACION_OCCIDENTE_ Directa'!D30+'REMUNERACION_OCCIDENTE_ Directa'!N30</x:f>
        <x:v>0</x:v>
      </x:c>
      <x:c r="F5" s="228">
        <x:f>'REMUNERACION_OCCIDENTE_ Directa'!I144</x:f>
        <x:v>0</x:v>
      </x:c>
      <x:c r="G5" s="228">
        <x:f>'REMUNERACION_OCCIDENTE_ Directa'!H144</x:f>
        <x:v>0</x:v>
      </x:c>
      <x:c r="H5" s="276">
        <x:f t="shared" si="1"/>
        <x:v>0</x:v>
      </x:c>
      <x:c r="I5" s="227">
        <x:f>'REMUNERACION_OCCIDENTE_ Directa'!D106</x:f>
        <x:v>0</x:v>
      </x:c>
      <x:c r="J5" s="228">
        <x:f>'REMUNERACION_OCCIDENTE_ Directa'!N106</x:f>
        <x:v>0</x:v>
      </x:c>
      <x:c r="K5" s="228">
        <x:f>'REMUNERACION_OCCIDENTE_ Directa'!D127</x:f>
        <x:v>0</x:v>
      </x:c>
      <x:c r="L5" s="289">
        <x:f>'REMUNERACION_OCCIDENTE_ Directa'!E127</x:f>
        <x:v>0</x:v>
      </x:c>
      <x:c r="M5" s="228">
        <x:f>-'REMUNERACION_OCCIDENTE_ Directa'!D68-'REMUNERACION_OCCIDENTE_ Directa'!N68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Directa Occidente'!F24</x:f>
        <x:v>0</x:v>
      </x:c>
      <x:c r="D6" s="228">
        <x:f>'REMUNERACION_OCCIDENTE_ Directa'!G128</x:f>
        <x:v>0</x:v>
      </x:c>
      <x:c r="E6" s="228">
        <x:f>'REMUNERACION_OCCIDENTE_ Directa'!D31+'REMUNERACION_OCCIDENTE_ Directa'!N31</x:f>
        <x:v>0</x:v>
      </x:c>
      <x:c r="F6" s="228">
        <x:f>'REMUNERACION_OCCIDENTE_ Directa'!I145</x:f>
        <x:v>0</x:v>
      </x:c>
      <x:c r="G6" s="228">
        <x:f>'REMUNERACION_OCCIDENTE_ Directa'!H145</x:f>
        <x:v>0</x:v>
      </x:c>
      <x:c r="H6" s="276">
        <x:f t="shared" si="1"/>
        <x:v>0</x:v>
      </x:c>
      <x:c r="I6" s="227">
        <x:f>'REMUNERACION_OCCIDENTE_ Directa'!D107</x:f>
        <x:v>0</x:v>
      </x:c>
      <x:c r="J6" s="228">
        <x:f>'REMUNERACION_OCCIDENTE_ Directa'!N107</x:f>
        <x:v>0</x:v>
      </x:c>
      <x:c r="K6" s="228">
        <x:f>'REMUNERACION_OCCIDENTE_ Directa'!D128</x:f>
        <x:v>0</x:v>
      </x:c>
      <x:c r="L6" s="289">
        <x:f>'REMUNERACION_OCCIDENTE_ Directa'!E128</x:f>
        <x:v>0</x:v>
      </x:c>
      <x:c r="M6" s="228">
        <x:f>-'REMUNERACION_OCCIDENTE_ Directa'!D69-'REMUNERACION_OCCIDENTE_ Directa'!N69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Directa Occidente'!F25</x:f>
        <x:v>0</x:v>
      </x:c>
      <x:c r="D7" s="228">
        <x:f>'REMUNERACION_OCCIDENTE_ Directa'!G129</x:f>
        <x:v>0</x:v>
      </x:c>
      <x:c r="E7" s="228">
        <x:f>'REMUNERACION_OCCIDENTE_ Directa'!D32+'REMUNERACION_OCCIDENTE_ Directa'!N32</x:f>
        <x:v>0</x:v>
      </x:c>
      <x:c r="F7" s="228">
        <x:f>'REMUNERACION_OCCIDENTE_ Directa'!I146</x:f>
        <x:v>0</x:v>
      </x:c>
      <x:c r="G7" s="228">
        <x:f>'REMUNERACION_OCCIDENTE_ Directa'!H146</x:f>
        <x:v>0</x:v>
      </x:c>
      <x:c r="H7" s="276">
        <x:f t="shared" si="1"/>
        <x:v>0</x:v>
      </x:c>
      <x:c r="I7" s="227">
        <x:f>'REMUNERACION_OCCIDENTE_ Directa'!D108</x:f>
        <x:v>0</x:v>
      </x:c>
      <x:c r="J7" s="228">
        <x:f>'REMUNERACION_OCCIDENTE_ Directa'!N108</x:f>
        <x:v>0</x:v>
      </x:c>
      <x:c r="K7" s="228">
        <x:f>'REMUNERACION_OCCIDENTE_ Directa'!D129</x:f>
        <x:v>0</x:v>
      </x:c>
      <x:c r="L7" s="289">
        <x:f>'REMUNERACION_OCCIDENTE_ Directa'!E129</x:f>
        <x:v>0</x:v>
      </x:c>
      <x:c r="M7" s="228">
        <x:f>-'REMUNERACION_OCCIDENTE_ Directa'!D70-'REMUNERACION_OCCIDENTE_ Directa'!N70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Directa Occidente'!F26</x:f>
        <x:v>0</x:v>
      </x:c>
      <x:c r="D8" s="292">
        <x:v>0</x:v>
      </x:c>
      <x:c r="E8" s="292">
        <x:v>0</x:v>
      </x:c>
      <x:c r="F8" s="228"/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'REMUNERACION_OCCIDENTE_ Directa'!E130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>SUM(E3:E8)</x:f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Recaudo'!D10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>
      <x:selection activeCell="H17" sqref="H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'REMUNERACION_OCCIDENTE_ Directa'!D101</x:f>
        <x:v>46238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223">
        <x:f>'REMUNERACION_OCCIDENTE_ Directa'!D102</x:f>
        <x:v>0.58333333333333337</x:v>
      </x:c>
      <x:c r="F7" s="2" t="s">
        <x:v>27</x:v>
      </x:c>
      <x:c r="G7" s="9">
        <x:f>'REMUNERACION_OCCIDENTE_ Directa'!G102</x:f>
        <x:v>46219</x:v>
      </x:c>
      <x:c r="J7" s="2" t="s">
        <x:v>28</x:v>
      </x:c>
      <x:c r="K7" s="9">
        <x:f>'REMUNERACION_OCCIDENTE_ Directa'!K102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05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'REMUNERACION_OCCIDENTE_ Directa'!G122</x:f>
        <x:v>46219</x:v>
      </x:c>
      <x:c r="J27" s="2" t="s">
        <x:v>28</x:v>
      </x:c>
      <x:c r="K27" s="9">
        <x:f>'REMUNERACION_OCCIDENTE_ Directa'!K122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'REMUNERACION_OCCIDENTE_ Directa'!D125</x:f>
        <x:v>0</x:v>
      </x:c>
      <x:c r="E30" s="104">
        <x:f>'REMUNERACION_OCCIDENTE_ Directa'!E125</x:f>
        <x:v>0</x:v>
      </x:c>
      <x:c r="G30" s="272">
        <x:f>'REMUNERACION_OCCIDENTE_ Directa'!G125</x:f>
        <x:v>0</x:v>
      </x:c>
      <x:c r="H30" s="246">
        <x:f>'REMUNERACION_OCCIDENTE_ Directa'!H125</x:f>
        <x:v>0</x:v>
      </x:c>
      <x:c r="I30" s="245">
        <x:f>'REMUNERACION_OCCIDENTE_ Directa'!I125</x:f>
        <x:v>0</x:v>
      </x:c>
      <x:c r="J30" s="245">
        <x:f>'REMUNERACION_OCCIDENTE_ Directa'!J125</x:f>
        <x:v>0</x:v>
      </x:c>
      <x:c r="K30" s="245">
        <x:f>'REMUNERACION_OCCIDENTE_ Directa'!K125</x:f>
        <x:v>0</x:v>
      </x:c>
      <x:c r="L30" s="245">
        <x:f>'REMUNERACION_OCCIDENTE_ Directa'!L125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275">
        <x:f>'REMUNERACION_OCCIDENTE_ Directa'!G126</x:f>
        <x:v>0</x:v>
      </x:c>
      <x:c r="H31" s="276">
        <x:f>'REMUNERACION_OCCIDENTE_ Directa'!H126</x:f>
        <x:v>0</x:v>
      </x:c>
      <x:c r="I31" s="224">
        <x:f>'REMUNERACION_OCCIDENTE_ Directa'!I126</x:f>
        <x:v>0</x:v>
      </x:c>
      <x:c r="J31" s="224">
        <x:f>'REMUNERACION_OCCIDENTE_ Directa'!J126</x:f>
        <x:v>0</x:v>
      </x:c>
      <x:c r="K31" s="224">
        <x:f>'REMUNERACION_OCCIDENTE_ Directa'!K126</x:f>
        <x:v>0</x:v>
      </x:c>
      <x:c r="L31" s="224">
        <x:f>'REMUNERACION_OCCIDENTE_ Directa'!L126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275">
        <x:f>'REMUNERACION_OCCIDENTE_ Directa'!G127</x:f>
        <x:v>0</x:v>
      </x:c>
      <x:c r="H32" s="276">
        <x:f>'REMUNERACION_OCCIDENTE_ Directa'!H127</x:f>
        <x:v>0</x:v>
      </x:c>
      <x:c r="I32" s="224">
        <x:f>'REMUNERACION_OCCIDENTE_ Directa'!I127</x:f>
        <x:v>0</x:v>
      </x:c>
      <x:c r="J32" s="224">
        <x:f>'REMUNERACION_OCCIDENTE_ Directa'!J127</x:f>
        <x:v>0</x:v>
      </x:c>
      <x:c r="K32" s="224">
        <x:f>'REMUNERACION_OCCIDENTE_ Directa'!K127</x:f>
        <x:v>0</x:v>
      </x:c>
      <x:c r="L32" s="224">
        <x:f>'REMUNERACION_OCCIDENTE_ Directa'!L127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275">
        <x:f>'REMUNERACION_OCCIDENTE_ Directa'!G128</x:f>
        <x:v>0</x:v>
      </x:c>
      <x:c r="H33" s="276">
        <x:f>'REMUNERACION_OCCIDENTE_ Directa'!H128</x:f>
        <x:v>0</x:v>
      </x:c>
      <x:c r="I33" s="224">
        <x:f>'REMUNERACION_OCCIDENTE_ Directa'!I128</x:f>
        <x:v>0</x:v>
      </x:c>
      <x:c r="J33" s="224">
        <x:f>'REMUNERACION_OCCIDENTE_ Directa'!J128</x:f>
        <x:v>0</x:v>
      </x:c>
      <x:c r="K33" s="224">
        <x:f>'REMUNERACION_OCCIDENTE_ Directa'!K128</x:f>
        <x:v>0</x:v>
      </x:c>
      <x:c r="L33" s="224">
        <x:f>'REMUNERACION_OCCIDENTE_ Directa'!L128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'REMUNERACION_OCCIDENTE_ Directa'!D129</x:f>
        <x:v>0</x:v>
      </x:c>
      <x:c r="E34" s="128">
        <x:f>'REMUNERACION_OCCIDENTE_ Directa'!E129</x:f>
        <x:v>0</x:v>
      </x:c>
      <x:c r="G34" s="275">
        <x:f>'REMUNERACION_OCCIDENTE_ Directa'!G129</x:f>
        <x:v>0</x:v>
      </x:c>
      <x:c r="H34" s="276">
        <x:f>'REMUNERACION_OCCIDENTE_ Directa'!H129</x:f>
        <x:v>0</x:v>
      </x:c>
      <x:c r="I34" s="224">
        <x:f>'REMUNERACION_OCCIDENTE_ Directa'!I129</x:f>
        <x:v>0</x:v>
      </x:c>
      <x:c r="J34" s="224">
        <x:f>'REMUNERACION_OCCIDENTE_ Directa'!J129</x:f>
        <x:v>0</x:v>
      </x:c>
      <x:c r="K34" s="224">
        <x:f>'REMUNERACION_OCCIDENTE_ Directa'!K129</x:f>
        <x:v>0</x:v>
      </x:c>
      <x:c r="L34" s="224">
        <x:f>'REMUNERACION_OCCIDENTE_ Directa'!L129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119</x:v>
      </x:c>
      <x:c r="D36" s="100">
        <x:f t="shared" ref="D36" si="5">SUM(D30:D34)</x:f>
        <x:v>0</x:v>
      </x:c>
      <x:c r="E36" s="100">
        <x:f>'REMUNERACION_OCCIDENTE_ Directa'!E131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08" t="b">
        <x:f>D14='REMUNERACION_OCCIDENTE_ Directa'!D109</x:f>
        <x:v>1</x:v>
      </x:c>
      <x:c r="E44" s="208" t="b">
        <x:f>E14='REMUNERACION_OCCIDENTE_ Directa'!E109</x:f>
        <x:v>1</x:v>
      </x:c>
      <x:c r="F44" s="208" t="b">
        <x:f>F14='REMUNERACION_OCCIDENTE_ Directa'!F109</x:f>
        <x:v>1</x:v>
      </x:c>
      <x:c r="G44" s="208" t="b">
        <x:f>G14='REMUNERACION_OCCIDENTE_ Directa'!G109</x:f>
        <x:v>1</x:v>
      </x:c>
      <x:c r="H44" s="208" t="b">
        <x:f>H14='REMUNERACION_OCCIDENTE_ Directa'!H109</x:f>
        <x:v>1</x:v>
      </x:c>
      <x:c r="I44" s="208" t="b">
        <x:f>I14='REMUNERACION_OCCIDENTE_ Directa'!I109</x:f>
        <x:v>1</x:v>
      </x:c>
      <x:c r="J44" s="208" t="b">
        <x:f>J14='REMUNERACION_OCCIDENTE_ Directa'!J109</x:f>
        <x:v>1</x:v>
      </x:c>
      <x:c r="K44" s="208" t="b">
        <x:f>K14='REMUNERACION_OCCIDENTE_ Directa'!K109</x:f>
        <x:v>1</x:v>
      </x:c>
      <x:c r="L44" s="208" t="b">
        <x:f>L14='REMUNERACION_OCCIDENTE_ Directa'!L109</x:f>
        <x:v>1</x:v>
      </x:c>
      <x:c r="M44" s="208" t="b">
        <x:f>M14='REMUNERACION_OCCIDENTE_ Directa'!M109</x:f>
        <x:v>1</x:v>
      </x:c>
      <x:c r="N44" s="208" t="b">
        <x:f>N14='REMUNERACION_OCCIDENTE_ Directa'!N109</x:f>
        <x:v>1</x:v>
      </x:c>
      <x:c r="O44" s="208" t="b">
        <x:f>O14='REMUNERACION_OCCIDENTE_ Directa'!O109</x:f>
        <x:v>1</x:v>
      </x:c>
      <x:c r="Q44" s="24"/>
      <x:c r="T44" s="24"/>
    </x:row>
    <x:row r="45" spans="1:20" x14ac:dyDescent="0.2">
      <x:c r="D45" s="208" t="b">
        <x:f>D36='REMUNERACION_OCCIDENTE_ Directa'!D131</x:f>
        <x:v>1</x:v>
      </x:c>
      <x:c r="E45" s="208" t="b">
        <x:f>E36='REMUNERACION_OCCIDENTE_ Directa'!E131</x:f>
        <x:v>1</x:v>
      </x:c>
      <x:c r="F45" s="208" t="b">
        <x:f>F36='REMUNERACION_OCCIDENTE_ Directa'!F131</x:f>
        <x:v>1</x:v>
      </x:c>
      <x:c r="G45" s="208" t="b">
        <x:f>G36='REMUNERACION_OCCIDENTE_ Directa'!G131</x:f>
        <x:v>1</x:v>
      </x:c>
      <x:c r="H45" s="208" t="b">
        <x:f>H36='REMUNERACION_OCCIDENTE_ Directa'!H131</x:f>
        <x:v>1</x:v>
      </x:c>
      <x:c r="I45" s="208" t="b">
        <x:f>I36='REMUNERACION_OCCIDENTE_ Directa'!I131</x:f>
        <x:v>1</x:v>
      </x:c>
      <x:c r="J45" s="208" t="b">
        <x:f>J36='REMUNERACION_OCCIDENTE_ Directa'!J131</x:f>
        <x:v>1</x:v>
      </x:c>
      <x:c r="K45" s="208" t="b">
        <x:f>K36='REMUNERACION_OCCIDENTE_ Directa'!K131</x:f>
        <x:v>1</x:v>
      </x:c>
      <x:c r="L45" s="208" t="b">
        <x:f>L36='REMUNERACION_OCCIDENTE_ Directa'!L131</x:f>
        <x:v>1</x:v>
      </x:c>
      <x:c r="M45" s="208" t="b">
        <x:f>M36='REMUNERACION_OCCIDENTE_ Directa'!M131</x:f>
        <x:v>1</x:v>
      </x:c>
      <x:c r="N45" s="208" t="b">
        <x:f>N36='REMUNERACION_OCCIDENTE_ Directa'!N131</x:f>
        <x:v>1</x:v>
      </x:c>
      <x:c r="O45" s="208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Z1" zoomScaleNormal="100" workbookViewId="0">
      <x:selection activeCell="AM17" sqref="AM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106</x:v>
      </x:c>
      <x:c r="AF8" s="39" t="s">
        <x:v>23</x:v>
      </x:c>
      <x:c r="AG8" s="13"/>
      <x:c r="AI8" s="4"/>
    </x:row>
    <x:row r="9" spans="2:35" s="241" customFormat="1" x14ac:dyDescent="0.2">
      <x:c r="B9" s="239">
        <x:v>1</x:v>
      </x:c>
      <x:c r="C9" s="240" t="s">
        <x:v>10</x:v>
      </x:c>
      <x:c r="D9" s="227">
        <x:f>'Reporte Componentes R1'!F78</x:f>
        <x:v>0</x:v>
      </x:c>
      <x:c r="E9" s="228">
        <x:f>'Reporte Componentes R1'!G78</x:f>
        <x:v>0</x:v>
      </x:c>
      <x:c r="F9" s="228">
        <x:f>'Reporte Componentes R1'!H78</x:f>
        <x:v>0</x:v>
      </x:c>
      <x:c r="G9" s="228">
        <x:f>'Reporte Componentes R1'!I78</x:f>
        <x:v>0</x:v>
      </x:c>
      <x:c r="H9" s="228">
        <x:f>'Reporte Componentes R1'!J78</x:f>
        <x:v>0</x:v>
      </x:c>
      <x:c r="I9" s="228">
        <x:f>'Reporte Componentes R1'!K78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R1'!L78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R1'!M78</x:f>
        <x:v>0</x:v>
      </x:c>
      <x:c r="V9" s="244">
        <x:f>'Reporte Componentes R1'!N78</x:f>
        <x:v>0</x:v>
      </x:c>
      <x:c r="W9" s="244">
        <x:f>'Reporte Componentes R1'!O78</x:f>
        <x:v>0</x:v>
      </x:c>
      <x:c r="X9" s="244">
        <x:f>'Reporte Componentes R1'!P78</x:f>
        <x:v>0</x:v>
      </x:c>
      <x:c r="Y9" s="245">
        <x:f>'Reporte Componentes R1'!Q78</x:f>
        <x:v>0</x:v>
      </x:c>
      <x:c r="Z9" s="246">
        <x:f>L9*-1</x:f>
        <x:v>0</x:v>
      </x:c>
      <x:c r="AA9" s="247">
        <x:f>'Reporte Componentes R1'!R78+'Reporte Componentes R1'!S78</x:f>
        <x:v>0</x:v>
      </x:c>
      <x:c r="AB9" s="230">
        <x:f>N9</x:f>
        <x:v>0</x:v>
      </x:c>
      <x:c r="AC9" s="247">
        <x:f>'Reporte Componentes R1'!Z78</x:f>
        <x:v>0</x:v>
      </x:c>
      <x:c r="AD9" s="227">
        <x:f>-J9+AE9</x:f>
        <x:v>0</x:v>
      </x:c>
      <x:c r="AE9" s="227">
        <x:f>'Reporte Componentes R1'!F79</x:f>
        <x:v>0</x:v>
      </x:c>
      <x:c r="AF9" s="249">
        <x:f>SUM(U9:AD9)</x:f>
        <x:v>0</x:v>
      </x:c>
      <x:c r="AG9" s="247">
        <x:f>(AF9-O9)</x:f>
        <x:v>0</x:v>
      </x:c>
      <x:c r="AH9" s="24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'Reporte Componentes R1'!F231</x:f>
        <x:v>0</x:v>
      </x:c>
      <x:c r="E10" s="228">
        <x:f>'Reporte Componentes R1'!G231</x:f>
        <x:v>0</x:v>
      </x:c>
      <x:c r="F10" s="228">
        <x:f>'Reporte Componentes R1'!H231</x:f>
        <x:v>0</x:v>
      </x:c>
      <x:c r="G10" s="228">
        <x:f>'Reporte Componentes R1'!I231</x:f>
        <x:v>0</x:v>
      </x:c>
      <x:c r="H10" s="228">
        <x:f>'Reporte Componentes R1'!J231</x:f>
        <x:v>0</x:v>
      </x:c>
      <x:c r="I10" s="228">
        <x:f>'Reporte Componentes R1'!K231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R1'!L231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R1'!M231</x:f>
        <x:v>0</x:v>
      </x:c>
      <x:c r="V10" s="253">
        <x:f>'Reporte Componentes R1'!N231</x:f>
        <x:v>0</x:v>
      </x:c>
      <x:c r="W10" s="253">
        <x:f>'Reporte Componentes R1'!O231</x:f>
        <x:v>0</x:v>
      </x:c>
      <x:c r="X10" s="253">
        <x:f>'Reporte Componentes R1'!P231</x:f>
        <x:v>0</x:v>
      </x:c>
      <x:c r="Y10" s="254">
        <x:f>'Reporte Componentes R1'!Q231</x:f>
        <x:v>0</x:v>
      </x:c>
      <x:c r="Z10" s="255">
        <x:f>L10*-1</x:f>
        <x:v>0</x:v>
      </x:c>
      <x:c r="AA10" s="256">
        <x:f>'Reporte Componentes R1'!R231+'Reporte Componentes R1'!S231+'Reporte Componentes R1'!T231</x:f>
        <x:v>0</x:v>
      </x:c>
      <x:c r="AB10" s="230">
        <x:f>N10</x:f>
        <x:v>0</x:v>
      </x:c>
      <x:c r="AC10" s="256">
        <x:f>'Reporte Componentes R1'!Z231</x:f>
        <x:v>0</x:v>
      </x:c>
      <x:c r="AD10" s="227">
        <x:f t="shared" ref="AD10:AD13" si="2">-J10+AE10</x:f>
        <x:v>0</x:v>
      </x:c>
      <x:c r="AE10" s="227">
        <x:f>'Reporte Componentes R1'!F232</x:f>
        <x:v>0</x:v>
      </x:c>
      <x:c r="AF10" s="258">
        <x:f>SUM(U10:AD10)</x:f>
        <x:v>0</x:v>
      </x:c>
      <x:c r="AG10" s="259">
        <x:f>(AF10-O10)</x:f>
        <x:v>0</x:v>
      </x:c>
      <x:c r="AH10" s="241" t="b">
        <x:f t="shared" ref="AH10:AH13" si="3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'Reporte Componentes R1'!F368</x:f>
        <x:v>0</x:v>
      </x:c>
      <x:c r="E11" s="228">
        <x:f>'Reporte Componentes R1'!G368</x:f>
        <x:v>0</x:v>
      </x:c>
      <x:c r="F11" s="228">
        <x:f>'Reporte Componentes R1'!H368</x:f>
        <x:v>0</x:v>
      </x:c>
      <x:c r="G11" s="228">
        <x:f>'Reporte Componentes R1'!I368</x:f>
        <x:v>0</x:v>
      </x:c>
      <x:c r="H11" s="228">
        <x:f>'Reporte Componentes R1'!J368</x:f>
        <x:v>0</x:v>
      </x:c>
      <x:c r="I11" s="228">
        <x:f>'Reporte Componentes R1'!K368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R1'!L368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R1'!M368</x:f>
        <x:v>0</x:v>
      </x:c>
      <x:c r="V11" s="253">
        <x:f>'Reporte Componentes R1'!N368</x:f>
        <x:v>0</x:v>
      </x:c>
      <x:c r="W11" s="253">
        <x:f>'Reporte Componentes R1'!O368</x:f>
        <x:v>0</x:v>
      </x:c>
      <x:c r="X11" s="253">
        <x:f>'Reporte Componentes R1'!P368</x:f>
        <x:v>0</x:v>
      </x:c>
      <x:c r="Y11" s="254">
        <x:f>'Reporte Componentes R1'!Q368</x:f>
        <x:v>0</x:v>
      </x:c>
      <x:c r="Z11" s="255">
        <x:f>L11*-1</x:f>
        <x:v>0</x:v>
      </x:c>
      <x:c r="AA11" s="256">
        <x:f>'Reporte Componentes R1'!R368+'Reporte Componentes R1'!S368+'Reporte Componentes R1'!T368</x:f>
        <x:v>0</x:v>
      </x:c>
      <x:c r="AB11" s="230">
        <x:f>N11</x:f>
        <x:v>0</x:v>
      </x:c>
      <x:c r="AC11" s="256">
        <x:f>'Reporte Componentes R1'!X368</x:f>
        <x:v>0</x:v>
      </x:c>
      <x:c r="AD11" s="227">
        <x:f t="shared" si="2"/>
        <x:v>0</x:v>
      </x:c>
      <x:c r="AE11" s="227">
        <x:f>'Reporte Componentes R1'!F369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241" t="b">
        <x:f t="shared" si="3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'Reporte Componentes R1'!F493</x:f>
        <x:v>0</x:v>
      </x:c>
      <x:c r="E12" s="228">
        <x:f>'Reporte Componentes R1'!G493</x:f>
        <x:v>0</x:v>
      </x:c>
      <x:c r="F12" s="228">
        <x:f>'Reporte Componentes R1'!H493</x:f>
        <x:v>0</x:v>
      </x:c>
      <x:c r="G12" s="228">
        <x:f>'Reporte Componentes R1'!I493</x:f>
        <x:v>0</x:v>
      </x:c>
      <x:c r="H12" s="228">
        <x:f>'Reporte Componentes R1'!J493</x:f>
        <x:v>0</x:v>
      </x:c>
      <x:c r="I12" s="228">
        <x:f>'Reporte Componentes R1'!K493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R1'!L493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R1'!M493</x:f>
        <x:v>0</x:v>
      </x:c>
      <x:c r="V12" s="253">
        <x:f>'Reporte Componentes R1'!N493</x:f>
        <x:v>0</x:v>
      </x:c>
      <x:c r="W12" s="253">
        <x:f>'Reporte Componentes R1'!O493</x:f>
        <x:v>0</x:v>
      </x:c>
      <x:c r="X12" s="253">
        <x:f>'Reporte Componentes R1'!P493</x:f>
        <x:v>0</x:v>
      </x:c>
      <x:c r="Y12" s="254">
        <x:f>'Reporte Componentes R1'!Q493</x:f>
        <x:v>0</x:v>
      </x:c>
      <x:c r="Z12" s="255">
        <x:f>L12*-1</x:f>
        <x:v>0</x:v>
      </x:c>
      <x:c r="AA12" s="256">
        <x:f>'Reporte Componentes R1'!R493+'Reporte Componentes R1'!S493</x:f>
        <x:v>0</x:v>
      </x:c>
      <x:c r="AB12" s="230">
        <x:f>N12</x:f>
        <x:v>0</x:v>
      </x:c>
      <x:c r="AC12" s="256">
        <x:f>'Reporte Componentes R1'!X493</x:f>
        <x:v>0</x:v>
      </x:c>
      <x:c r="AD12" s="227">
        <x:f t="shared" si="2"/>
        <x:v>0</x:v>
      </x:c>
      <x:c r="AE12" s="227">
        <x:f>'Reporte Componentes R1'!F494</x:f>
        <x:v>0</x:v>
      </x:c>
      <x:c r="AF12" s="258">
        <x:f t="shared" si="4"/>
        <x:v>0</x:v>
      </x:c>
      <x:c r="AG12" s="259">
        <x:f>(AF12-O12)</x:f>
        <x:v>0</x:v>
      </x:c>
      <x:c r="AH12" s="241" t="b">
        <x:f t="shared" si="3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32">
        <x:f>'Reporte Componentes R1'!F583</x:f>
        <x:v>0</x:v>
      </x:c>
      <x:c r="E13" s="233">
        <x:f>'Reporte Componentes R1'!G583</x:f>
        <x:v>0</x:v>
      </x:c>
      <x:c r="F13" s="233">
        <x:f>'Reporte Componentes R1'!H583</x:f>
        <x:v>0</x:v>
      </x:c>
      <x:c r="G13" s="233">
        <x:f>'Reporte Componentes R1'!I583</x:f>
        <x:v>0</x:v>
      </x:c>
      <x:c r="H13" s="233">
        <x:f>'Reporte Componentes R1'!J583</x:f>
        <x:v>0</x:v>
      </x:c>
      <x:c r="I13" s="233">
        <x:f>'Reporte Componentes R1'!K583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R1'!L583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R1'!M583</x:f>
        <x:v>0</x:v>
      </x:c>
      <x:c r="V13" s="233">
        <x:f>'Reporte Componentes R1'!N583</x:f>
        <x:v>0</x:v>
      </x:c>
      <x:c r="W13" s="233">
        <x:f>'Reporte Componentes R1'!O583</x:f>
        <x:v>0</x:v>
      </x:c>
      <x:c r="X13" s="233">
        <x:f>'Reporte Componentes R1'!P583</x:f>
        <x:v>0</x:v>
      </x:c>
      <x:c r="Y13" s="225">
        <x:f>'Reporte Componentes R1'!Q583</x:f>
        <x:v>0</x:v>
      </x:c>
      <x:c r="Z13" s="255">
        <x:f>L13*-1</x:f>
        <x:v>0</x:v>
      </x:c>
      <x:c r="AA13" s="256">
        <x:f>'Reporte Componentes R1'!R583+'Reporte Componentes R1'!S583+'Reporte Componentes R1'!T583</x:f>
        <x:v>0</x:v>
      </x:c>
      <x:c r="AB13" s="230">
        <x:f>N13</x:f>
        <x:v>0</x:v>
      </x:c>
      <x:c r="AC13" s="256">
        <x:f>'Reporte Componentes R1'!X583</x:f>
        <x:v>0</x:v>
      </x:c>
      <x:c r="AD13" s="227">
        <x:f t="shared" si="2"/>
        <x:v>0</x:v>
      </x:c>
      <x:c r="AE13" s="227">
        <x:f>'Reporte Componentes R1'!F584</x:f>
        <x:v>0</x:v>
      </x:c>
      <x:c r="AF13" s="258">
        <x:f t="shared" si="4"/>
        <x:v>0</x:v>
      </x:c>
      <x:c r="AG13" s="262">
        <x:f>(AF13-O13)</x:f>
        <x:v>0</x:v>
      </x:c>
      <x:c r="AH13" s="241" t="b">
        <x:f t="shared" si="3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241" t="b">
        <x:f>INT(AG14)=0</x:f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106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R2'!E58</x:f>
        <x:v>0</x:v>
      </x:c>
      <x:c r="E28" s="228">
        <x:f>'Rem. Anticipos R2'!F58</x:f>
        <x:v>0</x:v>
      </x:c>
      <x:c r="F28" s="228">
        <x:f>'Rem. Anticipos R2'!G58</x:f>
        <x:v>0</x:v>
      </x:c>
      <x:c r="G28" s="228">
        <x:f>'Rem. Anticipos R2'!H58</x:f>
        <x:v>0</x:v>
      </x:c>
      <x:c r="H28" s="228">
        <x:f>'Rem. Anticipos R2'!I58</x:f>
        <x:v>0</x:v>
      </x:c>
      <x:c r="I28" s="228">
        <x:f>'Rem. Anticipos R2'!J58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R2'!K58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R2'!L58</x:f>
        <x:v>0</x:v>
      </x:c>
      <x:c r="V28" s="244">
        <x:f>'Rem. Anticipos R2'!M58</x:f>
        <x:v>0</x:v>
      </x:c>
      <x:c r="W28" s="244">
        <x:f>'Rem. Anticipos R2'!N58</x:f>
        <x:v>0</x:v>
      </x:c>
      <x:c r="X28" s="244">
        <x:f>'Rem. Anticipos R2'!O58</x:f>
        <x:v>0</x:v>
      </x:c>
      <x:c r="Y28" s="244">
        <x:f>'Rem. Anticipos R2'!P58</x:f>
        <x:v>0</x:v>
      </x:c>
      <x:c r="Z28" s="246">
        <x:f>L28*-1</x:f>
        <x:v>0</x:v>
      </x:c>
      <x:c r="AA28" s="247">
        <x:f>'Rem. Anticipos R2'!Q58</x:f>
        <x:v>0</x:v>
      </x:c>
      <x:c r="AB28" s="230">
        <x:f>N28</x:f>
        <x:v>0</x:v>
      </x:c>
      <x:c r="AC28" s="247">
        <x:v>0</x:v>
      </x:c>
      <x:c r="AD28" s="227">
        <x:f>-J28+AE28</x:f>
        <x:v>0</x:v>
      </x:c>
      <x:c r="AE28" s="227">
        <x:f>'Rem. Anticipos R2'!E59</x:f>
        <x:v>0</x:v>
      </x:c>
      <x:c r="AF28" s="249">
        <x:f>SUM(U28:AD28)</x:f>
        <x:v>0</x:v>
      </x:c>
      <x:c r="AG28" s="247">
        <x:f>(AF28-O28)</x:f>
        <x:v>0</x:v>
      </x:c>
      <x:c r="AH28" s="24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R2'!E154</x:f>
        <x:v>0</x:v>
      </x:c>
      <x:c r="E29" s="228">
        <x:f>'Rem. Anticipos R2'!F154</x:f>
        <x:v>0</x:v>
      </x:c>
      <x:c r="F29" s="228">
        <x:f>'Rem. Anticipos R2'!G154</x:f>
        <x:v>0</x:v>
      </x:c>
      <x:c r="G29" s="228">
        <x:f>'Rem. Anticipos R2'!H154</x:f>
        <x:v>0</x:v>
      </x:c>
      <x:c r="H29" s="228">
        <x:f>'Rem. Anticipos R2'!I154</x:f>
        <x:v>0</x:v>
      </x:c>
      <x:c r="I29" s="228">
        <x:f>'Rem. Anticipos R2'!J154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R2'!K154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R2'!L154</x:f>
        <x:v>0</x:v>
      </x:c>
      <x:c r="V29" s="253">
        <x:f>'Rem. Anticipos R2'!M154</x:f>
        <x:v>0</x:v>
      </x:c>
      <x:c r="W29" s="253">
        <x:f>'Rem. Anticipos R2'!N154</x:f>
        <x:v>0</x:v>
      </x:c>
      <x:c r="X29" s="253">
        <x:f>'Rem. Anticipos R2'!O154</x:f>
        <x:v>0</x:v>
      </x:c>
      <x:c r="Y29" s="254">
        <x:f>'Rem. Anticipos R2'!P154</x:f>
        <x:v>0</x:v>
      </x:c>
      <x:c r="Z29" s="255">
        <x:f>L29*-1</x:f>
        <x:v>0</x:v>
      </x:c>
      <x:c r="AA29" s="256">
        <x:f>'Rem. Anticipos R2'!Q154</x:f>
        <x:v>0</x:v>
      </x:c>
      <x:c r="AB29" s="230">
        <x:f>N29</x:f>
        <x:v>0</x:v>
      </x:c>
      <x:c r="AC29" s="256">
        <x:v>0</x:v>
      </x:c>
      <x:c r="AD29" s="227">
        <x:f>-J29+AE29</x:f>
        <x:v>0</x:v>
      </x:c>
      <x:c r="AE29" s="227">
        <x:f>'Rem. Anticipos R2'!E155</x:f>
        <x:v>0</x:v>
      </x:c>
      <x:c r="AF29" s="258">
        <x:f>SUM(U29:AD29)</x:f>
        <x:v>0</x:v>
      </x:c>
      <x:c r="AG29" s="259">
        <x:f>(AF29-O29)</x:f>
        <x:v>0</x:v>
      </x:c>
      <x:c r="AH29" s="241" t="b">
        <x:f t="shared" ref="AH29:AH32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R2'!E271</x:f>
        <x:v>0</x:v>
      </x:c>
      <x:c r="E30" s="228">
        <x:f>'Rem. Anticipos R2'!F271</x:f>
        <x:v>0</x:v>
      </x:c>
      <x:c r="F30" s="228">
        <x:f>'Rem. Anticipos R2'!G271</x:f>
        <x:v>0</x:v>
      </x:c>
      <x:c r="G30" s="228">
        <x:f>'Rem. Anticipos R2'!H271</x:f>
        <x:v>0</x:v>
      </x:c>
      <x:c r="H30" s="228">
        <x:f>'Rem. Anticipos R2'!I271</x:f>
        <x:v>0</x:v>
      </x:c>
      <x:c r="I30" s="228">
        <x:f>'Rem. Anticipos R2'!J271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R2'!K271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R2'!L271</x:f>
        <x:v>0</x:v>
      </x:c>
      <x:c r="V30" s="253">
        <x:f>'Rem. Anticipos R2'!M271</x:f>
        <x:v>0</x:v>
      </x:c>
      <x:c r="W30" s="253">
        <x:f>'Rem. Anticipos R2'!N271</x:f>
        <x:v>0</x:v>
      </x:c>
      <x:c r="X30" s="253">
        <x:f>'Rem. Anticipos R2'!O271</x:f>
        <x:v>0</x:v>
      </x:c>
      <x:c r="Y30" s="254">
        <x:f>'Rem. Anticipos R2'!P271</x:f>
        <x:v>0</x:v>
      </x:c>
      <x:c r="Z30" s="255">
        <x:f>L30*-1</x:f>
        <x:v>0</x:v>
      </x:c>
      <x:c r="AA30" s="256">
        <x:f>'Rem. Anticipos R2'!Q271</x:f>
        <x:v>0</x:v>
      </x:c>
      <x:c r="AB30" s="230">
        <x:f>N30</x:f>
        <x:v>0</x:v>
      </x:c>
      <x:c r="AC30" s="256">
        <x:v>0</x:v>
      </x:c>
      <x:c r="AD30" s="227">
        <x:f t="shared" ref="AD30:AD32" si="10">-J30+AE30</x:f>
        <x:v>0</x:v>
      </x:c>
      <x:c r="AE30" s="227">
        <x:f>'Rem. Anticipos R2'!E272</x:f>
        <x:v>0</x:v>
      </x:c>
      <x:c r="AF30" s="258">
        <x:f>SUM(U30:AD30)</x:f>
        <x:v>0</x:v>
      </x:c>
      <x:c r="AG30" s="259">
        <x:f>(AF30-O30)</x:f>
        <x:v>0</x:v>
      </x:c>
      <x:c r="AH30" s="24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R2'!E373</x:f>
        <x:v>0</x:v>
      </x:c>
      <x:c r="E31" s="228">
        <x:f>'Rem. Anticipos R2'!F373</x:f>
        <x:v>0</x:v>
      </x:c>
      <x:c r="F31" s="228">
        <x:f>'Rem. Anticipos R2'!G373</x:f>
        <x:v>0</x:v>
      </x:c>
      <x:c r="G31" s="228">
        <x:f>'Rem. Anticipos R2'!H373</x:f>
        <x:v>0</x:v>
      </x:c>
      <x:c r="H31" s="228">
        <x:f>'Rem. Anticipos R2'!I373</x:f>
        <x:v>0</x:v>
      </x:c>
      <x:c r="I31" s="228">
        <x:f>'Rem. Anticipos R2'!J373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R2'!K373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R2'!L373</x:f>
        <x:v>0</x:v>
      </x:c>
      <x:c r="V31" s="253">
        <x:f>'Rem. Anticipos R2'!M373</x:f>
        <x:v>0</x:v>
      </x:c>
      <x:c r="W31" s="253">
        <x:f>'Rem. Anticipos R2'!N373</x:f>
        <x:v>0</x:v>
      </x:c>
      <x:c r="X31" s="253">
        <x:f>'Rem. Anticipos R2'!O373</x:f>
        <x:v>0</x:v>
      </x:c>
      <x:c r="Y31" s="254">
        <x:f>'Rem. Anticipos R2'!P373</x:f>
        <x:v>0</x:v>
      </x:c>
      <x:c r="Z31" s="255">
        <x:f>L31*-1</x:f>
        <x:v>0</x:v>
      </x:c>
      <x:c r="AA31" s="256">
        <x:f>'Rem. Anticipos R2'!Q373</x:f>
        <x:v>0</x:v>
      </x:c>
      <x:c r="AB31" s="230">
        <x:f>N31</x:f>
        <x:v>0</x:v>
      </x:c>
      <x:c r="AC31" s="256">
        <x:v>0</x:v>
      </x:c>
      <x:c r="AD31" s="227">
        <x:f t="shared" si="10"/>
        <x:v>0</x:v>
      </x:c>
      <x:c r="AE31" s="227">
        <x:f>'Rem. Anticipos R2'!E374</x:f>
        <x:v>0</x:v>
      </x:c>
      <x:c r="AF31" s="258">
        <x:f>SUM(U31:AD31)</x:f>
        <x:v>0</x:v>
      </x:c>
      <x:c r="AG31" s="259">
        <x:f t="shared" ref="AG31" si="11">(AF31-O31)</x:f>
        <x:v>0</x:v>
      </x:c>
      <x:c r="AH31" s="24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R2'!E453</x:f>
        <x:v>0</x:v>
      </x:c>
      <x:c r="E32" s="233">
        <x:f>'Rem. Anticipos R2'!F453</x:f>
        <x:v>0</x:v>
      </x:c>
      <x:c r="F32" s="233">
        <x:f>'Rem. Anticipos R2'!G453</x:f>
        <x:v>0</x:v>
      </x:c>
      <x:c r="G32" s="233">
        <x:f>'Rem. Anticipos R2'!H453</x:f>
        <x:v>0</x:v>
      </x:c>
      <x:c r="H32" s="233">
        <x:f>'Rem. Anticipos R2'!I453</x:f>
        <x:v>0</x:v>
      </x:c>
      <x:c r="I32" s="233">
        <x:f>'Rem. Anticipos R2'!J453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R2'!K453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R2'!L453</x:f>
        <x:v>0</x:v>
      </x:c>
      <x:c r="V32" s="233">
        <x:f>'Rem. Anticipos R2'!M453</x:f>
        <x:v>0</x:v>
      </x:c>
      <x:c r="W32" s="233">
        <x:f>'Rem. Anticipos R2'!N453</x:f>
        <x:v>0</x:v>
      </x:c>
      <x:c r="X32" s="233">
        <x:f>'Rem. Anticipos R2'!O453</x:f>
        <x:v>0</x:v>
      </x:c>
      <x:c r="Y32" s="225">
        <x:f>'Rem. Anticipos R2'!P453</x:f>
        <x:v>0</x:v>
      </x:c>
      <x:c r="Z32" s="255">
        <x:f>L32*-1</x:f>
        <x:v>0</x:v>
      </x:c>
      <x:c r="AA32" s="256">
        <x:f>'Rem. Anticipos R2'!Q453</x:f>
        <x:v>0</x:v>
      </x:c>
      <x:c r="AB32" s="230">
        <x:f>N32</x:f>
        <x:v>0</x:v>
      </x:c>
      <x:c r="AC32" s="256">
        <x:v>0</x:v>
      </x:c>
      <x:c r="AD32" s="227">
        <x:f t="shared" si="10"/>
        <x:v>0</x:v>
      </x:c>
      <x:c r="AE32" s="227">
        <x:f>'Rem. Anticipos R2'!E454</x:f>
        <x:v>0</x:v>
      </x:c>
      <x:c r="AF32" s="258">
        <x:f>SUM(U32:AD32)</x:f>
        <x:v>0</x:v>
      </x:c>
      <x:c r="AG32" s="262">
        <x:f>(AF32-O32)</x:f>
        <x:v>0</x:v>
      </x:c>
      <x:c r="AH32" s="24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241" t="b">
        <x:f>INT(AG33)=0</x:f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106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R1'!F80</x:f>
        <x:v>0</x:v>
      </x:c>
      <x:c r="E47" s="228">
        <x:f>'Reporte Componentes R1'!G80</x:f>
        <x:v>0</x:v>
      </x:c>
      <x:c r="F47" s="228">
        <x:f>'Reporte Componentes R1'!H80</x:f>
        <x:v>0</x:v>
      </x:c>
      <x:c r="G47" s="228">
        <x:f>'Reporte Componentes R1'!I80</x:f>
        <x:v>0</x:v>
      </x:c>
      <x:c r="H47" s="228">
        <x:f>'Reporte Componentes R1'!J80</x:f>
        <x:v>0</x:v>
      </x:c>
      <x:c r="I47" s="228">
        <x:f>'Reporte Componentes R1'!K80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R1'!L80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R1'!M80</x:f>
        <x:v>0</x:v>
      </x:c>
      <x:c r="V47" s="244">
        <x:f>'Reporte Componentes R1'!N80</x:f>
        <x:v>0</x:v>
      </x:c>
      <x:c r="W47" s="244">
        <x:f>'Reporte Componentes R1'!O80</x:f>
        <x:v>0</x:v>
      </x:c>
      <x:c r="X47" s="244">
        <x:f>'Reporte Componentes R1'!P80</x:f>
        <x:v>0</x:v>
      </x:c>
      <x:c r="Y47" s="245">
        <x:f>'Reporte Componentes R1'!Q80</x:f>
        <x:v>0</x:v>
      </x:c>
      <x:c r="Z47" s="246">
        <x:f>-L47</x:f>
        <x:v>0</x:v>
      </x:c>
      <x:c r="AA47" s="247">
        <x:f>'Reporte Componentes R1'!R80+'Reporte Componentes R1'!S80</x:f>
        <x:v>0</x:v>
      </x:c>
      <x:c r="AB47" s="230">
        <x:f>N47</x:f>
        <x:v>0</x:v>
      </x:c>
      <x:c r="AC47" s="247">
        <x:v>0</x:v>
      </x:c>
      <x:c r="AD47" s="227">
        <x:f>-J47+AE47</x:f>
        <x:v>0</x:v>
      </x:c>
      <x:c r="AE47" s="227">
        <x:f>'Reporte Componentes R1'!F81</x:f>
        <x:v>0</x:v>
      </x:c>
      <x:c r="AF47" s="249">
        <x:f>SUM(U47:AD47)</x:f>
        <x:v>0</x:v>
      </x:c>
      <x:c r="AG47" s="247">
        <x:f>(AF47-O47)</x:f>
        <x:v>0</x:v>
      </x:c>
      <x:c r="AH47" s="24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R1'!F233</x:f>
        <x:v>0</x:v>
      </x:c>
      <x:c r="E48" s="228">
        <x:f>'Reporte Componentes R1'!G233</x:f>
        <x:v>0</x:v>
      </x:c>
      <x:c r="F48" s="228">
        <x:f>'Reporte Componentes R1'!H233</x:f>
        <x:v>0</x:v>
      </x:c>
      <x:c r="G48" s="228">
        <x:f>'Reporte Componentes R1'!I233</x:f>
        <x:v>0</x:v>
      </x:c>
      <x:c r="H48" s="228">
        <x:f>'Reporte Componentes R1'!J233</x:f>
        <x:v>0</x:v>
      </x:c>
      <x:c r="I48" s="228">
        <x:f>'Reporte Componentes R1'!K233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R1'!L233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R1'!M233</x:f>
        <x:v>0</x:v>
      </x:c>
      <x:c r="V48" s="253">
        <x:f>'Reporte Componentes R1'!N233</x:f>
        <x:v>0</x:v>
      </x:c>
      <x:c r="W48" s="253">
        <x:f>'Reporte Componentes R1'!O233</x:f>
        <x:v>0</x:v>
      </x:c>
      <x:c r="X48" s="253">
        <x:f>'Reporte Componentes R1'!P233</x:f>
        <x:v>0</x:v>
      </x:c>
      <x:c r="Y48" s="254">
        <x:f>'Reporte Componentes R1'!Q233</x:f>
        <x:v>0</x:v>
      </x:c>
      <x:c r="Z48" s="255">
        <x:f>-L48</x:f>
        <x:v>0</x:v>
      </x:c>
      <x:c r="AA48" s="256">
        <x:f>'Reporte Componentes R1'!R233+'Reporte Componentes R1'!S233+'Reporte Componentes R1'!T233</x:f>
        <x:v>0</x:v>
      </x:c>
      <x:c r="AB48" s="230">
        <x:f>N48</x:f>
        <x:v>0</x:v>
      </x:c>
      <x:c r="AC48" s="256">
        <x:v>0</x:v>
      </x:c>
      <x:c r="AD48" s="227">
        <x:f t="shared" ref="AD48:AD51" si="16">-J48+AE48</x:f>
        <x:v>0</x:v>
      </x:c>
      <x:c r="AE48" s="227">
        <x:f>'Reporte Componentes R1'!F234</x:f>
        <x:v>0</x:v>
      </x:c>
      <x:c r="AF48" s="258">
        <x:f>SUM(U48:AD48)</x:f>
        <x:v>0</x:v>
      </x:c>
      <x:c r="AG48" s="259">
        <x:f>(AF48-O48)</x:f>
        <x:v>0</x:v>
      </x:c>
      <x:c r="AH48" s="241" t="b">
        <x:f t="shared" ref="AH48:AH51" si="17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R1'!F370</x:f>
        <x:v>0</x:v>
      </x:c>
      <x:c r="E49" s="228">
        <x:f>'Reporte Componentes R1'!G370</x:f>
        <x:v>0</x:v>
      </x:c>
      <x:c r="F49" s="228">
        <x:f>'Reporte Componentes R1'!H370</x:f>
        <x:v>0</x:v>
      </x:c>
      <x:c r="G49" s="228">
        <x:f>'Reporte Componentes R1'!I370</x:f>
        <x:v>0</x:v>
      </x:c>
      <x:c r="H49" s="228">
        <x:f>'Reporte Componentes R1'!J370</x:f>
        <x:v>0</x:v>
      </x:c>
      <x:c r="I49" s="228">
        <x:f>'Reporte Componentes R1'!K370</x:f>
        <x:v>0</x:v>
      </x:c>
      <x:c r="J49" s="224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R1'!L370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R1'!M370</x:f>
        <x:v>0</x:v>
      </x:c>
      <x:c r="V49" s="253">
        <x:f>'Reporte Componentes R1'!N370</x:f>
        <x:v>0</x:v>
      </x:c>
      <x:c r="W49" s="253">
        <x:f>'Reporte Componentes R1'!O370</x:f>
        <x:v>0</x:v>
      </x:c>
      <x:c r="X49" s="253">
        <x:f>'Reporte Componentes R1'!P370</x:f>
        <x:v>0</x:v>
      </x:c>
      <x:c r="Y49" s="254">
        <x:f>'Reporte Componentes R1'!Q370</x:f>
        <x:v>0</x:v>
      </x:c>
      <x:c r="Z49" s="255">
        <x:f>-L49</x:f>
        <x:v>0</x:v>
      </x:c>
      <x:c r="AA49" s="256">
        <x:f>'Reporte Componentes R1'!R370+'Reporte Componentes R1'!S370+'Reporte Componentes R1'!T370</x:f>
        <x:v>0</x:v>
      </x:c>
      <x:c r="AB49" s="230">
        <x:f>N49</x:f>
        <x:v>0</x:v>
      </x:c>
      <x:c r="AC49" s="256">
        <x:v>0</x:v>
      </x:c>
      <x:c r="AD49" s="227">
        <x:f t="shared" si="16"/>
        <x:v>0</x:v>
      </x:c>
      <x:c r="AE49" s="227">
        <x:f>'Reporte Componentes R1'!F371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241" t="b">
        <x:f t="shared" si="17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R1'!F495</x:f>
        <x:v>0</x:v>
      </x:c>
      <x:c r="E50" s="228">
        <x:f>'Reporte Componentes R1'!G495</x:f>
        <x:v>0</x:v>
      </x:c>
      <x:c r="F50" s="228">
        <x:f>'Reporte Componentes R1'!H495</x:f>
        <x:v>0</x:v>
      </x:c>
      <x:c r="G50" s="228">
        <x:f>'Reporte Componentes R1'!I495</x:f>
        <x:v>0</x:v>
      </x:c>
      <x:c r="H50" s="228">
        <x:f>'Reporte Componentes R1'!J495</x:f>
        <x:v>0</x:v>
      </x:c>
      <x:c r="I50" s="228">
        <x:f>'Reporte Componentes R1'!K495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R1'!L495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R1'!M495</x:f>
        <x:v>0</x:v>
      </x:c>
      <x:c r="V50" s="253">
        <x:f>'Reporte Componentes R1'!N495</x:f>
        <x:v>0</x:v>
      </x:c>
      <x:c r="W50" s="253">
        <x:f>'Reporte Componentes R1'!O495</x:f>
        <x:v>0</x:v>
      </x:c>
      <x:c r="X50" s="253">
        <x:f>'Reporte Componentes R1'!P495</x:f>
        <x:v>0</x:v>
      </x:c>
      <x:c r="Y50" s="254">
        <x:f>'Reporte Componentes R1'!Q495</x:f>
        <x:v>0</x:v>
      </x:c>
      <x:c r="Z50" s="255">
        <x:f>-L50</x:f>
        <x:v>0</x:v>
      </x:c>
      <x:c r="AA50" s="256">
        <x:f>'Reporte Componentes R1'!R495+'Reporte Componentes R1'!S495</x:f>
        <x:v>0</x:v>
      </x:c>
      <x:c r="AB50" s="230">
        <x:f>N50</x:f>
        <x:v>0</x:v>
      </x:c>
      <x:c r="AC50" s="256">
        <x:v>0</x:v>
      </x:c>
      <x:c r="AD50" s="227">
        <x:f t="shared" si="16"/>
        <x:v>0</x:v>
      </x:c>
      <x:c r="AE50" s="227">
        <x:f>'Reporte Componentes R1'!F496</x:f>
        <x:v>0</x:v>
      </x:c>
      <x:c r="AF50" s="258">
        <x:f t="shared" si="18"/>
        <x:v>0</x:v>
      </x:c>
      <x:c r="AG50" s="259">
        <x:f t="shared" si="19"/>
        <x:v>0</x:v>
      </x:c>
      <x:c r="AH50" s="241" t="b">
        <x:f t="shared" si="17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R1'!F585</x:f>
        <x:v>0</x:v>
      </x:c>
      <x:c r="E51" s="233">
        <x:f>'Reporte Componentes R1'!G585</x:f>
        <x:v>0</x:v>
      </x:c>
      <x:c r="F51" s="233">
        <x:f>'Reporte Componentes R1'!H585</x:f>
        <x:v>0</x:v>
      </x:c>
      <x:c r="G51" s="233">
        <x:f>'Reporte Componentes R1'!I585</x:f>
        <x:v>0</x:v>
      </x:c>
      <x:c r="H51" s="233">
        <x:f>'Reporte Componentes R1'!J585</x:f>
        <x:v>0</x:v>
      </x:c>
      <x:c r="I51" s="233">
        <x:f>'Reporte Componentes R1'!K585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R1'!L585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R1'!M585</x:f>
        <x:v>0</x:v>
      </x:c>
      <x:c r="V51" s="233">
        <x:f>'Reporte Componentes R1'!N585</x:f>
        <x:v>0</x:v>
      </x:c>
      <x:c r="W51" s="233">
        <x:f>'Reporte Componentes R1'!O585</x:f>
        <x:v>0</x:v>
      </x:c>
      <x:c r="X51" s="233">
        <x:f>'Reporte Componentes R1'!P585</x:f>
        <x:v>0</x:v>
      </x:c>
      <x:c r="Y51" s="225">
        <x:f>'Reporte Componentes R1'!Q585</x:f>
        <x:v>0</x:v>
      </x:c>
      <x:c r="Z51" s="255">
        <x:f>-L51</x:f>
        <x:v>0</x:v>
      </x:c>
      <x:c r="AA51" s="256">
        <x:f>'Reporte Componentes R1'!R585+'Reporte Componentes R1'!S585+'Reporte Componentes R1'!T585</x:f>
        <x:v>0</x:v>
      </x:c>
      <x:c r="AB51" s="230">
        <x:f>N51</x:f>
        <x:v>0</x:v>
      </x:c>
      <x:c r="AC51" s="256">
        <x:v>0</x:v>
      </x:c>
      <x:c r="AD51" s="227">
        <x:f t="shared" si="16"/>
        <x:v>0</x:v>
      </x:c>
      <x:c r="AE51" s="227">
        <x:f>'Reporte Componentes R1'!F586</x:f>
        <x:v>0</x:v>
      </x:c>
      <x:c r="AF51" s="258">
        <x:f t="shared" si="18"/>
        <x:v>0</x:v>
      </x:c>
      <x:c r="AG51" s="262">
        <x:f t="shared" si="19"/>
        <x:v>0</x:v>
      </x:c>
      <x:c r="AH51" s="241" t="b">
        <x:f t="shared" si="17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ref="AC52" si="23">SUM(AC47:AC51)</x:f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241" t="b">
        <x:f>INT(AG52)=0</x:f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106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R4'!D88</x:f>
        <x:v>0</x:v>
      </x:c>
      <x:c r="E66" s="228">
        <x:f>'Reversion Pagos R4'!E88</x:f>
        <x:v>0</x:v>
      </x:c>
      <x:c r="F66" s="228">
        <x:f>'Reversion Pagos R4'!F88</x:f>
        <x:v>0</x:v>
      </x:c>
      <x:c r="G66" s="228">
        <x:f>'Reversion Pagos R4'!G88</x:f>
        <x:v>0</x:v>
      </x:c>
      <x:c r="H66" s="228">
        <x:f>'Reversion Pagos R4'!H88</x:f>
        <x:v>0</x:v>
      </x:c>
      <x:c r="I66" s="228">
        <x:f>'Reversion Pagos R4'!I88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R4'!P88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R4'!J88</x:f>
        <x:v>0</x:v>
      </x:c>
      <x:c r="V66" s="244">
        <x:f>'Reversion Pagos R4'!K88</x:f>
        <x:v>0</x:v>
      </x:c>
      <x:c r="W66" s="244">
        <x:f>'Reversion Pagos R4'!L88</x:f>
        <x:v>0</x:v>
      </x:c>
      <x:c r="X66" s="244">
        <x:f>'Reversion Pagos R4'!M88</x:f>
        <x:v>0</x:v>
      </x:c>
      <x:c r="Y66" s="244">
        <x:f>'Reversion Pagos R4'!N88</x:f>
        <x:v>0</x:v>
      </x:c>
      <x:c r="Z66" s="246">
        <x:f>-L66</x:f>
        <x:v>0</x:v>
      </x:c>
      <x:c r="AA66" s="247">
        <x:f>'Reversion Pagos R4'!O88+'Reversion Pagos R4'!Q88</x:f>
        <x:v>0</x:v>
      </x:c>
      <x:c r="AB66" s="230">
        <x:f>N66</x:f>
        <x:v>0</x:v>
      </x:c>
      <x:c r="AC66" s="247">
        <x:v>0</x:v>
      </x:c>
      <x:c r="AD66" s="227">
        <x:f>-J66+AE66</x:f>
        <x:v>0</x:v>
      </x:c>
      <x:c r="AE66" s="227">
        <x:f>'Reversion Pagos R4'!D89</x:f>
        <x:v>0</x:v>
      </x:c>
      <x:c r="AF66" s="249">
        <x:f>SUM(U66:AD66)</x:f>
        <x:v>0</x:v>
      </x:c>
      <x:c r="AG66" s="247">
        <x:f>(AF66-O66)</x:f>
        <x:v>0</x:v>
      </x:c>
      <x:c r="AH66" s="24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R4'!D183</x:f>
        <x:v>0</x:v>
      </x:c>
      <x:c r="E67" s="228">
        <x:f>'Reversion Pagos R4'!E183</x:f>
        <x:v>0</x:v>
      </x:c>
      <x:c r="F67" s="228">
        <x:f>'Reversion Pagos R4'!F183</x:f>
        <x:v>0</x:v>
      </x:c>
      <x:c r="G67" s="228">
        <x:f>'Reversion Pagos R4'!G183</x:f>
        <x:v>0</x:v>
      </x:c>
      <x:c r="H67" s="228">
        <x:f>'Reversion Pagos R4'!H183</x:f>
        <x:v>0</x:v>
      </x:c>
      <x:c r="I67" s="228">
        <x:f>'Reversion Pagos R4'!I183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R4'!P183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R4'!J183</x:f>
        <x:v>0</x:v>
      </x:c>
      <x:c r="V67" s="253">
        <x:f>'Reversion Pagos R4'!K183</x:f>
        <x:v>0</x:v>
      </x:c>
      <x:c r="W67" s="253">
        <x:f>'Reversion Pagos R4'!L183</x:f>
        <x:v>0</x:v>
      </x:c>
      <x:c r="X67" s="253">
        <x:f>'Reversion Pagos R4'!M183</x:f>
        <x:v>0</x:v>
      </x:c>
      <x:c r="Y67" s="254">
        <x:f>'Reversion Pagos R4'!N183</x:f>
        <x:v>0</x:v>
      </x:c>
      <x:c r="Z67" s="255">
        <x:f t="shared" ref="Z67:Z70" si="26">-L67</x:f>
        <x:v>0</x:v>
      </x:c>
      <x:c r="AA67" s="256">
        <x:f>'Reversion Pagos R4'!O183</x:f>
        <x:v>0</x:v>
      </x:c>
      <x:c r="AB67" s="230">
        <x:f t="shared" ref="AB67:AB70" si="27">N67</x:f>
        <x:v>0</x:v>
      </x:c>
      <x:c r="AC67" s="256">
        <x:v>0</x:v>
      </x:c>
      <x:c r="AD67" s="227">
        <x:f t="shared" ref="AD67:AD70" si="28">-J67+AE67</x:f>
        <x:v>0</x:v>
      </x:c>
      <x:c r="AE67" s="227">
        <x:f>'Reversion Pagos R4'!D184</x:f>
        <x:v>0</x:v>
      </x:c>
      <x:c r="AF67" s="258">
        <x:f>SUM(U67:AD67)</x:f>
        <x:v>0</x:v>
      </x:c>
      <x:c r="AG67" s="259">
        <x:f>(AF67-O67)</x:f>
        <x:v>0</x:v>
      </x:c>
      <x:c r="AH67" s="241" t="b">
        <x:f t="shared" ref="AH67:AH70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R4'!D220</x:f>
        <x:v>0</x:v>
      </x:c>
      <x:c r="E68" s="228">
        <x:f>'Reversion Pagos R4'!E220</x:f>
        <x:v>0</x:v>
      </x:c>
      <x:c r="F68" s="228">
        <x:f>'Reversion Pagos R4'!F220</x:f>
        <x:v>0</x:v>
      </x:c>
      <x:c r="G68" s="228">
        <x:f>'Reversion Pagos R4'!G220</x:f>
        <x:v>0</x:v>
      </x:c>
      <x:c r="H68" s="228">
        <x:f>'Reversion Pagos R4'!H220</x:f>
        <x:v>0</x:v>
      </x:c>
      <x:c r="I68" s="228">
        <x:f>'Reversion Pagos R4'!I220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R4'!P220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R4'!J220</x:f>
        <x:v>0</x:v>
      </x:c>
      <x:c r="V68" s="253">
        <x:f>'Reversion Pagos R4'!K220</x:f>
        <x:v>0</x:v>
      </x:c>
      <x:c r="W68" s="253">
        <x:f>'Reversion Pagos R4'!L220</x:f>
        <x:v>0</x:v>
      </x:c>
      <x:c r="X68" s="253">
        <x:f>'Reversion Pagos R4'!M220</x:f>
        <x:v>0</x:v>
      </x:c>
      <x:c r="Y68" s="254">
        <x:f>'Reversion Pagos R4'!N220</x:f>
        <x:v>0</x:v>
      </x:c>
      <x:c r="Z68" s="255">
        <x:f t="shared" si="26"/>
        <x:v>0</x:v>
      </x:c>
      <x:c r="AA68" s="256">
        <x:f>'Reversion Pagos R4'!O220</x:f>
        <x:v>0</x:v>
      </x:c>
      <x:c r="AB68" s="230">
        <x:f t="shared" si="27"/>
        <x:v>0</x:v>
      </x:c>
      <x:c r="AC68" s="256">
        <x:v>0</x:v>
      </x:c>
      <x:c r="AD68" s="227">
        <x:f t="shared" si="28"/>
        <x:v>0</x:v>
      </x:c>
      <x:c r="AE68" s="227">
        <x:f>'Reversion Pagos R4'!D221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24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R4'!D335</x:f>
        <x:v>0</x:v>
      </x:c>
      <x:c r="E69" s="228">
        <x:f>'Reversion Pagos R4'!E335</x:f>
        <x:v>0</x:v>
      </x:c>
      <x:c r="F69" s="228">
        <x:f>'Reversion Pagos R4'!F335</x:f>
        <x:v>0</x:v>
      </x:c>
      <x:c r="G69" s="228">
        <x:f>'Reversion Pagos R4'!G335</x:f>
        <x:v>0</x:v>
      </x:c>
      <x:c r="H69" s="228">
        <x:f>'Reversion Pagos R4'!H335</x:f>
        <x:v>0</x:v>
      </x:c>
      <x:c r="I69" s="228">
        <x:f>'Reversion Pagos R4'!I335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R4'!P335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R4'!J335</x:f>
        <x:v>0</x:v>
      </x:c>
      <x:c r="V69" s="253">
        <x:f>'Reversion Pagos R4'!K335</x:f>
        <x:v>0</x:v>
      </x:c>
      <x:c r="W69" s="253">
        <x:f>'Reversion Pagos R4'!L335</x:f>
        <x:v>0</x:v>
      </x:c>
      <x:c r="X69" s="253">
        <x:f>'Reversion Pagos R4'!M335</x:f>
        <x:v>0</x:v>
      </x:c>
      <x:c r="Y69" s="254">
        <x:f>'Reversion Pagos R4'!N335</x:f>
        <x:v>0</x:v>
      </x:c>
      <x:c r="Z69" s="255">
        <x:f t="shared" si="26"/>
        <x:v>0</x:v>
      </x:c>
      <x:c r="AA69" s="256">
        <x:f>'Reversion Pagos R4'!O335</x:f>
        <x:v>0</x:v>
      </x:c>
      <x:c r="AB69" s="230">
        <x:f t="shared" si="27"/>
        <x:v>0</x:v>
      </x:c>
      <x:c r="AC69" s="256">
        <x:v>0</x:v>
      </x:c>
      <x:c r="AD69" s="227">
        <x:f t="shared" si="28"/>
        <x:v>0</x:v>
      </x:c>
      <x:c r="AE69" s="227">
        <x:f>'Reversion Pagos R4'!D336</x:f>
        <x:v>0</x:v>
      </x:c>
      <x:c r="AF69" s="258">
        <x:f>SUM(U69:AD69)</x:f>
        <x:v>0</x:v>
      </x:c>
      <x:c r="AG69" s="259">
        <x:f>(AF69-O69)</x:f>
        <x:v>0</x:v>
      </x:c>
      <x:c r="AH69" s="24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R4'!D370</x:f>
        <x:v>0</x:v>
      </x:c>
      <x:c r="E70" s="233">
        <x:f>'Reversion Pagos R4'!E370</x:f>
        <x:v>0</x:v>
      </x:c>
      <x:c r="F70" s="233">
        <x:f>'Reversion Pagos R4'!F370</x:f>
        <x:v>0</x:v>
      </x:c>
      <x:c r="G70" s="233">
        <x:f>'Reversion Pagos R4'!G370</x:f>
        <x:v>0</x:v>
      </x:c>
      <x:c r="H70" s="233">
        <x:f>'Reversion Pagos R4'!H370</x:f>
        <x:v>0</x:v>
      </x:c>
      <x:c r="I70" s="233">
        <x:f>'Reversion Pagos R4'!I370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R4'!P370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R4'!J370</x:f>
        <x:v>0</x:v>
      </x:c>
      <x:c r="V70" s="233">
        <x:f>'Reversion Pagos R4'!K370</x:f>
        <x:v>0</x:v>
      </x:c>
      <x:c r="W70" s="233">
        <x:f>'Reversion Pagos R4'!L370</x:f>
        <x:v>0</x:v>
      </x:c>
      <x:c r="X70" s="233">
        <x:f>'Reversion Pagos R4'!M370</x:f>
        <x:v>0</x:v>
      </x:c>
      <x:c r="Y70" s="225">
        <x:f>'Reversion Pagos R4'!N370</x:f>
        <x:v>0</x:v>
      </x:c>
      <x:c r="Z70" s="255">
        <x:f t="shared" si="26"/>
        <x:v>0</x:v>
      </x:c>
      <x:c r="AA70" s="256">
        <x:f>'Reversion Pagos R4'!O370</x:f>
        <x:v>0</x:v>
      </x:c>
      <x:c r="AB70" s="230">
        <x:f t="shared" si="27"/>
        <x:v>0</x:v>
      </x:c>
      <x:c r="AC70" s="256">
        <x:v>0</x:v>
      </x:c>
      <x:c r="AD70" s="227">
        <x:f t="shared" si="28"/>
        <x:v>0</x:v>
      </x:c>
      <x:c r="AE70" s="227">
        <x:f>'Reversion Pagos R4'!D371</x:f>
        <x:v>0</x:v>
      </x:c>
      <x:c r="AF70" s="258">
        <x:f t="shared" si="30"/>
        <x:v>0</x:v>
      </x:c>
      <x:c r="AG70" s="262">
        <x:f t="shared" si="31"/>
        <x:v>0</x:v>
      </x:c>
      <x:c r="AH70" s="24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si="33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241" t="b">
        <x:f>INT(AG71)=0</x:f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f>-L85</x:f>
        <x:v>0</x:v>
      </x:c>
      <x:c r="AA85" s="247">
        <x:v>0</x:v>
      </x:c>
      <x:c r="AB85" s="230">
        <x:f>N85</x:f>
        <x:v>0</x:v>
      </x:c>
      <x:c r="AC85" s="247">
        <x:v>0</x:v>
      </x:c>
      <x:c r="AD85" s="227">
        <x:f>-J85+AE85</x:f>
        <x:v>0</x:v>
      </x:c>
      <x:c r="AE85" s="227">
        <x:v>0</x:v>
      </x:c>
      <x:c r="AF85" s="249">
        <x:f>SUM(U85:AD85)</x:f>
        <x:v>0</x:v>
      </x:c>
      <x:c r="AG85" s="247">
        <x:f>AF85-O85</x:f>
        <x:v>0</x:v>
      </x:c>
      <x:c r="AH85" s="24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4">
        <x:v>0</x:v>
      </x:c>
      <x:c r="K86" s="231">
        <x:f t="shared" ref="K86:K89" si="34">D86-E86-F86-G86-H86-I86-J86</x:f>
        <x:v>0</x:v>
      </x:c>
      <x:c r="L86" s="230">
        <x:v>0</x:v>
      </x:c>
      <x:c r="M86" s="231">
        <x:f>K86-L86</x:f>
        <x:v>0</x:v>
      </x:c>
      <x:c r="N86" s="230">
        <x:v>0</x:v>
      </x:c>
      <x:c r="O86" s="231">
        <x:f t="shared" ref="O86:O89" si="35">M86+N86</x:f>
        <x:v>0</x:v>
      </x:c>
      <x:c r="Q86" s="242"/>
      <x:c r="S86" s="250">
        <x:v>2</x:v>
      </x:c>
      <x:c r="T86" s="251" t="s">
        <x:v>11</x:v>
      </x:c>
      <x:c r="U86" s="252">
        <x:v>0</x:v>
      </x:c>
      <x:c r="V86" s="253">
        <x:v>0</x:v>
      </x:c>
      <x:c r="W86" s="253">
        <x:v>0</x:v>
      </x:c>
      <x:c r="X86" s="253">
        <x:v>0</x:v>
      </x:c>
      <x:c r="Y86" s="254">
        <x:v>0</x:v>
      </x:c>
      <x:c r="Z86" s="255">
        <x:f>-L86</x:f>
        <x:v>0</x:v>
      </x:c>
      <x:c r="AA86" s="256">
        <x:v>0</x:v>
      </x:c>
      <x:c r="AB86" s="230">
        <x:f>N86</x:f>
        <x:v>0</x:v>
      </x:c>
      <x:c r="AC86" s="256">
        <x:v>0</x:v>
      </x:c>
      <x:c r="AD86" s="227">
        <x:f t="shared" ref="AD86:AD89" si="36">-J86+AE86</x:f>
        <x:v>0</x:v>
      </x:c>
      <x:c r="AE86" s="227">
        <x:v>0</x:v>
      </x:c>
      <x:c r="AF86" s="258">
        <x:f>SUM(U86:AD86)</x:f>
        <x:v>0</x:v>
      </x:c>
      <x:c r="AG86" s="259">
        <x:f>AF86-O86</x:f>
        <x:v>0</x:v>
      </x:c>
      <x:c r="AH86" s="241" t="b">
        <x:f t="shared" ref="AH86:AH89" si="37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4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5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f>-L87</x:f>
        <x:v>0</x:v>
      </x:c>
      <x:c r="AA87" s="256">
        <x:v>0</x:v>
      </x:c>
      <x:c r="AB87" s="230">
        <x:f>N87</x:f>
        <x:v>0</x:v>
      </x:c>
      <x:c r="AC87" s="256">
        <x:v>0</x:v>
      </x:c>
      <x:c r="AD87" s="227">
        <x:f t="shared" si="36"/>
        <x:v>0</x:v>
      </x:c>
      <x:c r="AE87" s="227">
        <x:v>0</x:v>
      </x:c>
      <x:c r="AF87" s="258">
        <x:f t="shared" ref="AF87:AF89" si="38">SUM(U87:AD87)</x:f>
        <x:v>0</x:v>
      </x:c>
      <x:c r="AG87" s="259">
        <x:f>AF87-O87</x:f>
        <x:v>0</x:v>
      </x:c>
      <x:c r="AH87" s="241" t="b">
        <x:f t="shared" si="37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4">
        <x:v>0</x:v>
      </x:c>
      <x:c r="K88" s="231">
        <x:f t="shared" si="34"/>
        <x:v>0</x:v>
      </x:c>
      <x:c r="L88" s="230">
        <x:v>0</x:v>
      </x:c>
      <x:c r="M88" s="231">
        <x:f>K88-L88</x:f>
        <x:v>0</x:v>
      </x:c>
      <x:c r="N88" s="230">
        <x:v>0</x:v>
      </x:c>
      <x:c r="O88" s="231">
        <x:f t="shared" si="35"/>
        <x:v>0</x:v>
      </x:c>
      <x:c r="Q88" s="242"/>
      <x:c r="S88" s="250">
        <x:v>4</x:v>
      </x:c>
      <x:c r="T88" s="251" t="s">
        <x:v>13</x:v>
      </x:c>
      <x:c r="U88" s="252">
        <x:v>0</x:v>
      </x:c>
      <x:c r="V88" s="253">
        <x:v>0</x:v>
      </x:c>
      <x:c r="W88" s="253">
        <x:v>0</x:v>
      </x:c>
      <x:c r="X88" s="253">
        <x:v>0</x:v>
      </x:c>
      <x:c r="Y88" s="254">
        <x:v>0</x:v>
      </x:c>
      <x:c r="Z88" s="255">
        <x:f>-L88</x:f>
        <x:v>0</x:v>
      </x:c>
      <x:c r="AA88" s="256">
        <x:v>0</x:v>
      </x:c>
      <x:c r="AB88" s="230">
        <x:f>N88</x:f>
        <x:v>0</x:v>
      </x:c>
      <x:c r="AC88" s="256">
        <x:v>0</x:v>
      </x:c>
      <x:c r="AD88" s="227">
        <x:f t="shared" si="36"/>
        <x:v>0</x:v>
      </x:c>
      <x:c r="AE88" s="227">
        <x:v>0</x:v>
      </x:c>
      <x:c r="AF88" s="258">
        <x:f t="shared" si="38"/>
        <x:v>0</x:v>
      </x:c>
      <x:c r="AG88" s="259">
        <x:f>AF88-O88</x:f>
        <x:v>0</x:v>
      </x:c>
      <x:c r="AH88" s="241" t="b">
        <x:f t="shared" si="37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4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5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f>-L89</x:f>
        <x:v>0</x:v>
      </x:c>
      <x:c r="AA89" s="256">
        <x:v>0</x:v>
      </x:c>
      <x:c r="AB89" s="230">
        <x:f>N89</x:f>
        <x:v>0</x:v>
      </x:c>
      <x:c r="AC89" s="256">
        <x:v>0</x:v>
      </x:c>
      <x:c r="AD89" s="227">
        <x:f t="shared" si="36"/>
        <x:v>0</x:v>
      </x:c>
      <x:c r="AE89" s="227">
        <x:v>0</x:v>
      </x:c>
      <x:c r="AF89" s="258">
        <x:f t="shared" si="38"/>
        <x:v>0</x:v>
      </x:c>
      <x:c r="AG89" s="262">
        <x:f>AF89-O89</x:f>
        <x:v>0</x:v>
      </x:c>
      <x:c r="AH89" s="241" t="b">
        <x:f t="shared" si="37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39">SUM(D85:D89)</x:f>
        <x:v>0</x:v>
      </x:c>
      <x:c r="E90" s="226">
        <x:f t="shared" si="39"/>
        <x:v>0</x:v>
      </x:c>
      <x:c r="F90" s="226">
        <x:f t="shared" si="39"/>
        <x:v>0</x:v>
      </x:c>
      <x:c r="G90" s="226">
        <x:f t="shared" si="39"/>
        <x:v>0</x:v>
      </x:c>
      <x:c r="H90" s="226">
        <x:f t="shared" si="39"/>
        <x:v>0</x:v>
      </x:c>
      <x:c r="I90" s="226">
        <x:f t="shared" si="39"/>
        <x:v>0</x:v>
      </x:c>
      <x:c r="J90" s="226">
        <x:f t="shared" si="39"/>
        <x:v>0</x:v>
      </x:c>
      <x:c r="K90" s="236">
        <x:f t="shared" si="39"/>
        <x:v>0</x:v>
      </x:c>
      <x:c r="L90" s="237">
        <x:f t="shared" si="39"/>
        <x:v>0</x:v>
      </x:c>
      <x:c r="M90" s="238">
        <x:f t="shared" si="39"/>
        <x:v>0</x:v>
      </x:c>
      <x:c r="N90" s="237">
        <x:f t="shared" si="39"/>
        <x:v>0</x:v>
      </x:c>
      <x:c r="O90" s="238">
        <x:f t="shared" si="39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0">SUM(V85:V89)</x:f>
        <x:v>0</x:v>
      </x:c>
      <x:c r="W90" s="266">
        <x:f t="shared" si="40"/>
        <x:v>0</x:v>
      </x:c>
      <x:c r="X90" s="266">
        <x:f t="shared" si="40"/>
        <x:v>0</x:v>
      </x:c>
      <x:c r="Y90" s="266">
        <x:f t="shared" si="40"/>
        <x:v>0</x:v>
      </x:c>
      <x:c r="Z90" s="226">
        <x:f t="shared" si="40"/>
        <x:v>0</x:v>
      </x:c>
      <x:c r="AA90" s="226">
        <x:f t="shared" si="40"/>
        <x:v>0</x:v>
      </x:c>
      <x:c r="AB90" s="226">
        <x:f t="shared" si="40"/>
        <x:v>0</x:v>
      </x:c>
      <x:c r="AC90" s="226">
        <x:f t="shared" si="40"/>
        <x:v>0</x:v>
      </x:c>
      <x:c r="AD90" s="226">
        <x:f t="shared" si="40"/>
        <x:v>0</x:v>
      </x:c>
      <x:c r="AE90" s="226">
        <x:f t="shared" si="40"/>
        <x:v>0</x:v>
      </x:c>
      <x:c r="AF90" s="267">
        <x:f t="shared" si="40"/>
        <x:v>0</x:v>
      </x:c>
      <x:c r="AG90" s="268">
        <x:f t="shared" si="40"/>
        <x:v>0</x:v>
      </x:c>
      <x:c r="AH90" s="241" t="b">
        <x:f>INT(AG90)=0</x:f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220</x:v>
      </x:c>
      <x:c r="G101" s="58"/>
      <x:c r="H101" s="59"/>
      <x:c r="I101" s="60"/>
      <x:c r="J101" s="59"/>
      <x:c r="K101" s="60"/>
      <x:c r="L101" s="90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1">D9+D28+D47+D66+D85</x:f>
        <x:v>0</x:v>
      </x:c>
      <x:c r="E104" s="228">
        <x:f t="shared" si="41"/>
        <x:v>0</x:v>
      </x:c>
      <x:c r="F104" s="228">
        <x:f t="shared" si="41"/>
        <x:v>0</x:v>
      </x:c>
      <x:c r="G104" s="228">
        <x:f t="shared" si="41"/>
        <x:v>0</x:v>
      </x:c>
      <x:c r="H104" s="228">
        <x:f t="shared" si="41"/>
        <x:v>0</x:v>
      </x:c>
      <x:c r="I104" s="228">
        <x:f t="shared" si="41"/>
        <x:v>0</x:v>
      </x:c>
      <x:c r="J104" s="224">
        <x:f t="shared" si="41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B108" si="42">U9+U28+U47+U66+U85</x:f>
        <x:v>0</x:v>
      </x:c>
      <x:c r="V104" s="244">
        <x:f t="shared" si="42"/>
        <x:v>0</x:v>
      </x:c>
      <x:c r="W104" s="244">
        <x:f t="shared" si="42"/>
        <x:v>0</x:v>
      </x:c>
      <x:c r="X104" s="244">
        <x:f t="shared" si="42"/>
        <x:v>0</x:v>
      </x:c>
      <x:c r="Y104" s="245">
        <x:f t="shared" si="42"/>
        <x:v>0</x:v>
      </x:c>
      <x:c r="Z104" s="246">
        <x:f t="shared" si="42"/>
        <x:v>0</x:v>
      </x:c>
      <x:c r="AA104" s="247">
        <x:f t="shared" si="42"/>
        <x:v>0</x:v>
      </x:c>
      <x:c r="AB104" s="230">
        <x:f t="shared" si="42"/>
        <x:v>0</x:v>
      </x:c>
      <x:c r="AC104" s="247">
        <x:f t="shared" ref="AC104" si="43"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 t="shared" ref="AH104:AH109" si="44">INT(ABS(AG104))=0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1"/>
        <x:v>0</x:v>
      </x:c>
      <x:c r="E105" s="228">
        <x:f t="shared" si="41"/>
        <x:v>0</x:v>
      </x:c>
      <x:c r="F105" s="228">
        <x:f t="shared" si="41"/>
        <x:v>0</x:v>
      </x:c>
      <x:c r="G105" s="228">
        <x:f t="shared" si="41"/>
        <x:v>0</x:v>
      </x:c>
      <x:c r="H105" s="228">
        <x:f t="shared" si="41"/>
        <x:v>0</x:v>
      </x:c>
      <x:c r="I105" s="228">
        <x:f t="shared" si="41"/>
        <x:v>0</x:v>
      </x:c>
      <x:c r="J105" s="224">
        <x:f t="shared" si="41"/>
        <x:v>0</x:v>
      </x:c>
      <x:c r="K105" s="231">
        <x:f t="shared" ref="K105:K108" si="45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6">M105+N105</x:f>
        <x:v>0</x:v>
      </x:c>
      <x:c r="Q105" s="242"/>
      <x:c r="S105" s="250">
        <x:v>2</x:v>
      </x:c>
      <x:c r="T105" s="251" t="s">
        <x:v>11</x:v>
      </x:c>
      <x:c r="U105" s="252">
        <x:f t="shared" si="42"/>
        <x:v>0</x:v>
      </x:c>
      <x:c r="V105" s="253">
        <x:f t="shared" si="42"/>
        <x:v>0</x:v>
      </x:c>
      <x:c r="W105" s="253">
        <x:f t="shared" si="42"/>
        <x:v>0</x:v>
      </x:c>
      <x:c r="X105" s="253">
        <x:f t="shared" si="42"/>
        <x:v>0</x:v>
      </x:c>
      <x:c r="Y105" s="254">
        <x:f t="shared" si="42"/>
        <x:v>0</x:v>
      </x:c>
      <x:c r="Z105" s="255">
        <x:f t="shared" si="42"/>
        <x:v>0</x:v>
      </x:c>
      <x:c r="AA105" s="256">
        <x:f t="shared" si="42"/>
        <x:v>0</x:v>
      </x:c>
      <x:c r="AB105" s="230">
        <x:f t="shared" si="42"/>
        <x:v>0</x:v>
      </x:c>
      <x:c r="AC105" s="256">
        <x:f t="shared" ref="AC105" si="47">AC10+AC29+AC48+AC67+AC86</x:f>
        <x:v>0</x:v>
      </x:c>
      <x:c r="AD105" s="227">
        <x:f t="shared" ref="AD105:AD107" si="48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si="44"/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1"/>
        <x:v>0</x:v>
      </x:c>
      <x:c r="E106" s="228">
        <x:f t="shared" si="41"/>
        <x:v>0</x:v>
      </x:c>
      <x:c r="F106" s="228">
        <x:f t="shared" si="41"/>
        <x:v>0</x:v>
      </x:c>
      <x:c r="G106" s="228">
        <x:f t="shared" si="41"/>
        <x:v>0</x:v>
      </x:c>
      <x:c r="H106" s="228">
        <x:f t="shared" si="41"/>
        <x:v>0</x:v>
      </x:c>
      <x:c r="I106" s="228">
        <x:f t="shared" si="41"/>
        <x:v>0</x:v>
      </x:c>
      <x:c r="J106" s="224">
        <x:f t="shared" si="41"/>
        <x:v>0</x:v>
      </x:c>
      <x:c r="K106" s="231">
        <x:f t="shared" si="45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6"/>
        <x:v>0</x:v>
      </x:c>
      <x:c r="Q106" s="242"/>
      <x:c r="S106" s="250">
        <x:v>3</x:v>
      </x:c>
      <x:c r="T106" s="251" t="s">
        <x:v>12</x:v>
      </x:c>
      <x:c r="U106" s="252">
        <x:f t="shared" si="42"/>
        <x:v>0</x:v>
      </x:c>
      <x:c r="V106" s="253">
        <x:f t="shared" si="42"/>
        <x:v>0</x:v>
      </x:c>
      <x:c r="W106" s="253">
        <x:f t="shared" si="42"/>
        <x:v>0</x:v>
      </x:c>
      <x:c r="X106" s="253">
        <x:f t="shared" si="42"/>
        <x:v>0</x:v>
      </x:c>
      <x:c r="Y106" s="254">
        <x:f t="shared" si="42"/>
        <x:v>0</x:v>
      </x:c>
      <x:c r="Z106" s="255">
        <x:f t="shared" si="42"/>
        <x:v>0</x:v>
      </x:c>
      <x:c r="AA106" s="256">
        <x:f t="shared" si="42"/>
        <x:v>0</x:v>
      </x:c>
      <x:c r="AB106" s="230">
        <x:f t="shared" si="42"/>
        <x:v>0</x:v>
      </x:c>
      <x:c r="AC106" s="256">
        <x:f t="shared" ref="AC106" si="49">AC11+AC30+AC49+AC68+AC87</x:f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4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1"/>
        <x:v>0</x:v>
      </x:c>
      <x:c r="E107" s="228">
        <x:f t="shared" si="41"/>
        <x:v>0</x:v>
      </x:c>
      <x:c r="F107" s="228">
        <x:f t="shared" si="41"/>
        <x:v>0</x:v>
      </x:c>
      <x:c r="G107" s="228">
        <x:f t="shared" si="41"/>
        <x:v>0</x:v>
      </x:c>
      <x:c r="H107" s="228">
        <x:f t="shared" si="41"/>
        <x:v>0</x:v>
      </x:c>
      <x:c r="I107" s="228">
        <x:f t="shared" si="41"/>
        <x:v>0</x:v>
      </x:c>
      <x:c r="J107" s="224">
        <x:f t="shared" si="41"/>
        <x:v>0</x:v>
      </x:c>
      <x:c r="K107" s="231">
        <x:f t="shared" si="45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6"/>
        <x:v>0</x:v>
      </x:c>
      <x:c r="Q107" s="242"/>
      <x:c r="S107" s="250">
        <x:v>4</x:v>
      </x:c>
      <x:c r="T107" s="251" t="s">
        <x:v>13</x:v>
      </x:c>
      <x:c r="U107" s="252">
        <x:f t="shared" si="42"/>
        <x:v>0</x:v>
      </x:c>
      <x:c r="V107" s="253">
        <x:f t="shared" si="42"/>
        <x:v>0</x:v>
      </x:c>
      <x:c r="W107" s="253">
        <x:f t="shared" si="42"/>
        <x:v>0</x:v>
      </x:c>
      <x:c r="X107" s="253">
        <x:f t="shared" si="42"/>
        <x:v>0</x:v>
      </x:c>
      <x:c r="Y107" s="254">
        <x:f t="shared" si="42"/>
        <x:v>0</x:v>
      </x:c>
      <x:c r="Z107" s="255">
        <x:f t="shared" si="42"/>
        <x:v>0</x:v>
      </x:c>
      <x:c r="AA107" s="256">
        <x:f t="shared" si="42"/>
        <x:v>0</x:v>
      </x:c>
      <x:c r="AB107" s="230">
        <x:f t="shared" si="42"/>
        <x:v>0</x:v>
      </x:c>
      <x:c r="AC107" s="256">
        <x:f t="shared" ref="AC107" si="50">AC12+AC31+AC50+AC69+AC88</x:f>
        <x:v>0</x:v>
      </x:c>
      <x:c r="AD107" s="227">
        <x:f t="shared" si="48"/>
        <x:v>0</x:v>
      </x:c>
      <x:c r="AE107" s="227">
        <x:f>AE12+AE31+AE50+AE69+AE88</x:f>
        <x:v>0</x:v>
      </x:c>
      <x:c r="AF107" s="258">
        <x:f>SUM(U107:AD107)</x:f>
        <x:v>0</x:v>
      </x:c>
      <x:c r="AG107" s="259">
        <x:f>AF107-O107</x:f>
        <x:v>0</x:v>
      </x:c>
      <x:c r="AH107" s="1" t="b">
        <x:f t="shared" si="44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1"/>
        <x:v>0</x:v>
      </x:c>
      <x:c r="F108" s="233">
        <x:f t="shared" si="41"/>
        <x:v>0</x:v>
      </x:c>
      <x:c r="G108" s="233">
        <x:f t="shared" si="41"/>
        <x:v>0</x:v>
      </x:c>
      <x:c r="H108" s="233">
        <x:f t="shared" si="41"/>
        <x:v>0</x:v>
      </x:c>
      <x:c r="I108" s="233">
        <x:f t="shared" si="41"/>
        <x:v>0</x:v>
      </x:c>
      <x:c r="J108" s="225">
        <x:f t="shared" si="41"/>
        <x:v>0</x:v>
      </x:c>
      <x:c r="K108" s="231">
        <x:f t="shared" si="45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6"/>
        <x:v>0</x:v>
      </x:c>
      <x:c r="Q108" s="242"/>
      <x:c r="S108" s="260">
        <x:v>5</x:v>
      </x:c>
      <x:c r="T108" s="261" t="s">
        <x:v>14</x:v>
      </x:c>
      <x:c r="U108" s="232">
        <x:f t="shared" si="42"/>
        <x:v>0</x:v>
      </x:c>
      <x:c r="V108" s="233">
        <x:f t="shared" si="42"/>
        <x:v>0</x:v>
      </x:c>
      <x:c r="W108" s="233">
        <x:f t="shared" si="42"/>
        <x:v>0</x:v>
      </x:c>
      <x:c r="X108" s="233">
        <x:f t="shared" si="42"/>
        <x:v>0</x:v>
      </x:c>
      <x:c r="Y108" s="225">
        <x:f t="shared" si="42"/>
        <x:v>0</x:v>
      </x:c>
      <x:c r="Z108" s="255">
        <x:f t="shared" si="42"/>
        <x:v>0</x:v>
      </x:c>
      <x:c r="AA108" s="256">
        <x:f t="shared" si="42"/>
        <x:v>0</x:v>
      </x:c>
      <x:c r="AB108" s="230">
        <x:f t="shared" si="42"/>
        <x:v>0</x:v>
      </x:c>
      <x:c r="AC108" s="256">
        <x:f t="shared" ref="AC108" si="51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4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52">SUM(D104:D108)</x:f>
        <x:v>0</x:v>
      </x:c>
      <x:c r="E109" s="226">
        <x:f t="shared" si="52"/>
        <x:v>0</x:v>
      </x:c>
      <x:c r="F109" s="226">
        <x:f t="shared" si="52"/>
        <x:v>0</x:v>
      </x:c>
      <x:c r="G109" s="226">
        <x:f t="shared" si="52"/>
        <x:v>0</x:v>
      </x:c>
      <x:c r="H109" s="226">
        <x:f t="shared" si="52"/>
        <x:v>0</x:v>
      </x:c>
      <x:c r="I109" s="226">
        <x:f t="shared" si="52"/>
        <x:v>0</x:v>
      </x:c>
      <x:c r="J109" s="226">
        <x:f t="shared" si="52"/>
        <x:v>0</x:v>
      </x:c>
      <x:c r="K109" s="236">
        <x:f t="shared" si="52"/>
        <x:v>0</x:v>
      </x:c>
      <x:c r="L109" s="237">
        <x:f t="shared" si="52"/>
        <x:v>0</x:v>
      </x:c>
      <x:c r="M109" s="238">
        <x:f t="shared" si="52"/>
        <x:v>0</x:v>
      </x:c>
      <x:c r="N109" s="237">
        <x:f t="shared" si="52"/>
        <x:v>0</x:v>
      </x:c>
      <x:c r="O109" s="238">
        <x:f t="shared" si="52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3">SUM(V104:V108)</x:f>
        <x:v>0</x:v>
      </x:c>
      <x:c r="W109" s="266">
        <x:f t="shared" si="53"/>
        <x:v>0</x:v>
      </x:c>
      <x:c r="X109" s="266">
        <x:f t="shared" si="53"/>
        <x:v>0</x:v>
      </x:c>
      <x:c r="Y109" s="266">
        <x:f t="shared" si="53"/>
        <x:v>0</x:v>
      </x:c>
      <x:c r="Z109" s="226">
        <x:f t="shared" si="53"/>
        <x:v>0</x:v>
      </x:c>
      <x:c r="AA109" s="226">
        <x:f t="shared" si="53"/>
        <x:v>0</x:v>
      </x:c>
      <x:c r="AB109" s="226">
        <x:f t="shared" si="53"/>
        <x:v>0</x:v>
      </x:c>
      <x:c r="AC109" s="226">
        <x:f t="shared" ref="AC109" si="54">SUM(AC104:AC108)</x:f>
        <x:v>0</x:v>
      </x:c>
      <x:c r="AD109" s="226">
        <x:f t="shared" si="53"/>
        <x:v>0</x:v>
      </x:c>
      <x:c r="AE109" s="226">
        <x:f>SUM(AE104:AE108)</x:f>
        <x:v>0</x:v>
      </x:c>
      <x:c r="AF109" s="267">
        <x:f t="shared" si="53"/>
        <x:v>0</x:v>
      </x:c>
      <x:c r="AG109" s="268">
        <x:f>SUM(AG104:AG108)</x:f>
        <x:v>0</x:v>
      </x:c>
      <x:c r="AH109" s="1" t="b">
        <x:f t="shared" si="44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189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x14ac:dyDescent="0.2">
      <x:c r="B125" s="270">
        <x:v>1</x:v>
      </x:c>
      <x:c r="C125" s="271" t="s">
        <x:v>10</x:v>
      </x:c>
      <x:c r="D125" s="244">
        <x:f>'ANTICIPOS USUARIOS'!R3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USUARIOS'!R12</x:f>
        <x:v>0</x:v>
      </x:c>
      <x:c r="L125" s="245">
        <x:f>-'ANTICIPOS USUARIOS'!R21</x:f>
        <x:v>0</x:v>
      </x:c>
      <x:c r="O125" s="273"/>
      <x:c r="Q125" s="242"/>
    </x:row>
    <x:row r="126" spans="1:35" s="241" customFormat="1" x14ac:dyDescent="0.2">
      <x:c r="B126" s="250">
        <x:v>2</x:v>
      </x:c>
      <x:c r="C126" s="274" t="s">
        <x:v>11</x:v>
      </x:c>
      <x:c r="D126" s="228">
        <x:f>'ANTICIPOS USUARIOS'!R4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5">D67+N67</x:f>
        <x:v>0</x:v>
      </x:c>
      <x:c r="K126" s="224">
        <x:f>'ANTICIPOS USUARIOS'!R13</x:f>
        <x:v>0</x:v>
      </x:c>
      <x:c r="L126" s="224">
        <x:f>-'ANTICIPOS USUARIOS'!R22</x:f>
        <x:v>0</x:v>
      </x:c>
      <x:c r="O126" s="273"/>
      <x:c r="Q126" s="242"/>
    </x:row>
    <x:row r="127" spans="1:35" s="241" customFormat="1" x14ac:dyDescent="0.2">
      <x:c r="B127" s="250">
        <x:v>3</x:v>
      </x:c>
      <x:c r="C127" s="274" t="s">
        <x:v>12</x:v>
      </x:c>
      <x:c r="D127" s="228">
        <x:f>'ANTICIPOS USUARIOS'!R5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5"/>
        <x:v>0</x:v>
      </x:c>
      <x:c r="K127" s="224">
        <x:f>'ANTICIPOS USUARIOS'!R14</x:f>
        <x:v>0</x:v>
      </x:c>
      <x:c r="L127" s="224">
        <x:f>-'ANTICIPOS USUARIOS'!R23</x:f>
        <x:v>0</x:v>
      </x:c>
      <x:c r="O127" s="273"/>
      <x:c r="Q127" s="242"/>
    </x:row>
    <x:row r="128" spans="1:35" s="241" customFormat="1" x14ac:dyDescent="0.2">
      <x:c r="B128" s="250">
        <x:v>4</x:v>
      </x:c>
      <x:c r="C128" s="274" t="s">
        <x:v>13</x:v>
      </x:c>
      <x:c r="D128" s="228">
        <x:f>'ANTICIPOS USUARIOS'!R6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5"/>
        <x:v>0</x:v>
      </x:c>
      <x:c r="K128" s="224">
        <x:f>'ANTICIPOS USUARIOS'!R15</x:f>
        <x:v>0</x:v>
      </x:c>
      <x:c r="L128" s="224">
        <x:f>-'ANTICIPOS USUARIOS'!R24</x:f>
        <x:v>0</x:v>
      </x:c>
      <x:c r="O128" s="273"/>
      <x:c r="Q128" s="242"/>
    </x:row>
    <x:row r="129" spans="1:19" s="241" customFormat="1" x14ac:dyDescent="0.2">
      <x:c r="B129" s="277">
        <x:v>5</x:v>
      </x:c>
      <x:c r="C129" s="278" t="s">
        <x:v>14</x:v>
      </x:c>
      <x:c r="D129" s="228">
        <x:f>'ANTICIPOS USUARIOS'!R7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5"/>
        <x:v>0</x:v>
      </x:c>
      <x:c r="K129" s="224">
        <x:f>'ANTICIPOS USUARIOS'!R16</x:f>
        <x:v>0</x:v>
      </x:c>
      <x:c r="L129" s="224">
        <x:f>-'ANTICIPOS USUARIOS'!R25</x:f>
        <x:v>0</x:v>
      </x:c>
      <x:c r="O129" s="273"/>
      <x:c r="Q129" s="242"/>
    </x:row>
    <x:row r="130" spans="1:19" s="241" customFormat="1" ht="12.75" thickBot="1" x14ac:dyDescent="0.25">
      <x:c r="B130" s="260" t="s">
        <x:v>89</x:v>
      </x:c>
      <x:c r="C130" s="281" t="s">
        <x:v>113</x:v>
      </x:c>
      <x:c r="D130" s="233"/>
      <x:c r="E130" s="225">
        <x:f>'Recaudo EAAB + Ciud Limp'!D26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</x:row>
    <x:row r="131" spans="1:19" s="241" customFormat="1" ht="12.75" thickBot="1" x14ac:dyDescent="0.25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56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</x:row>
    <x:row r="132" spans="1:19" x14ac:dyDescent="0.2">
      <x:c r="B132" s="2"/>
      <x:c r="C132" s="2"/>
      <x:c r="D132" s="24"/>
      <x:c r="Q132" s="4"/>
    </x:row>
    <x:row r="133" spans="1:19" x14ac:dyDescent="0.2">
      <x:c r="B133" s="2"/>
      <x:c r="C133" s="2"/>
      <x:c r="D133" s="24"/>
      <x:c r="L133" s="1" t="s">
        <x:v>1</x:v>
      </x:c>
      <x:c r="Q133" s="4"/>
    </x:row>
    <x:row r="134" spans="1:19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241" customFormat="1" x14ac:dyDescent="0.2">
      <x:c r="B142" s="270">
        <x:v>1</x:v>
      </x:c>
      <x:c r="C142" s="271" t="s">
        <x:v>10</x:v>
      </x:c>
      <x:c r="D142" s="244">
        <x:f>D104+N104+D125+E125</x:f>
        <x:v>0</x:v>
      </x:c>
      <x:c r="E142" s="244">
        <x:f>'Recaudo EAAB + Ciud Limp'!D21</x:f>
        <x:v>0</x:v>
      </x:c>
      <x:c r="F142" s="244">
        <x:f>D28+N28</x:f>
        <x:v>0</x:v>
      </x:c>
      <x:c r="G142" s="244">
        <x:f>D66+N66</x:f>
        <x:v>0</x:v>
      </x:c>
      <x:c r="H142" s="244">
        <x:f>D85+N85</x:f>
        <x:v>0</x:v>
      </x:c>
      <x:c r="I142" s="244">
        <x:v>0</x:v>
      </x:c>
      <x:c r="J142" s="244">
        <x:f t="shared" ref="J142:K146" si="57">G125</x:f>
        <x:v>0</x:v>
      </x:c>
      <x:c r="K142" s="245">
        <x:f t="shared" si="57"/>
        <x:v>0</x:v>
      </x:c>
      <x:c r="L142" s="443">
        <x:f>D142-E142-F142-G142-J142-H142-I142</x:f>
        <x:v>0</x:v>
      </x:c>
      <x:c r="M142" s="1" t="b">
        <x:f t="shared" ref="M142:M147" si="58">INT(ABS(L142))=0</x:f>
        <x:v>1</x:v>
      </x:c>
      <x:c r="P142" s="296"/>
      <x:c r="Q142" s="297"/>
      <x:c r="R142" s="296"/>
      <x:c r="S142" s="1"/>
    </x:row>
    <x:row r="143" spans="1:19" s="241" customFormat="1" x14ac:dyDescent="0.2">
      <x:c r="B143" s="250">
        <x:v>2</x:v>
      </x:c>
      <x:c r="C143" s="274" t="s">
        <x:v>11</x:v>
      </x:c>
      <x:c r="D143" s="253">
        <x:f>D105+N105+D126+E126</x:f>
        <x:v>0</x:v>
      </x:c>
      <x:c r="E143" s="253">
        <x:f>'Recaudo EAAB + Ciud Limp'!D22</x:f>
        <x:v>0</x:v>
      </x:c>
      <x:c r="F143" s="253">
        <x:f>D29+N29</x:f>
        <x:v>0</x:v>
      </x:c>
      <x:c r="G143" s="253">
        <x:f>D67+N67</x:f>
        <x:v>0</x:v>
      </x:c>
      <x:c r="H143" s="253">
        <x:f>D86+N86</x:f>
        <x:v>0</x:v>
      </x:c>
      <x:c r="I143" s="253">
        <x:v>0</x:v>
      </x:c>
      <x:c r="J143" s="253">
        <x:f t="shared" si="57"/>
        <x:v>0</x:v>
      </x:c>
      <x:c r="K143" s="254">
        <x:f t="shared" si="57"/>
        <x:v>0</x:v>
      </x:c>
      <x:c r="L143" s="443">
        <x:f>D143-E143-F143-G143-J143-H143-I143</x:f>
        <x:v>0</x:v>
      </x:c>
      <x:c r="M143" s="1" t="b">
        <x:f t="shared" si="58"/>
        <x:v>1</x:v>
      </x:c>
      <x:c r="P143" s="296"/>
      <x:c r="Q143" s="297"/>
      <x:c r="R143" s="296"/>
      <x:c r="S143" s="1"/>
    </x:row>
    <x:row r="144" spans="1:19" s="241" customFormat="1" x14ac:dyDescent="0.2">
      <x:c r="B144" s="250">
        <x:v>3</x:v>
      </x:c>
      <x:c r="C144" s="274" t="s">
        <x:v>12</x:v>
      </x:c>
      <x:c r="D144" s="253">
        <x:f>D106+N106+D127+E127</x:f>
        <x:v>0</x:v>
      </x:c>
      <x:c r="E144" s="253">
        <x:f>'Recaudo EAAB + Ciud Limp'!D23</x:f>
        <x:v>0</x:v>
      </x:c>
      <x:c r="F144" s="253">
        <x:f>D30+N30</x:f>
        <x:v>0</x:v>
      </x:c>
      <x:c r="G144" s="253">
        <x:f>D68+N68</x:f>
        <x:v>0</x:v>
      </x:c>
      <x:c r="H144" s="253">
        <x:f>D87+N87</x:f>
        <x:v>0</x:v>
      </x:c>
      <x:c r="I144" s="253">
        <x:v>0</x:v>
      </x:c>
      <x:c r="J144" s="253">
        <x:f t="shared" si="57"/>
        <x:v>0</x:v>
      </x:c>
      <x:c r="K144" s="254">
        <x:f t="shared" si="57"/>
        <x:v>0</x:v>
      </x:c>
      <x:c r="L144" s="443">
        <x:f>D144-E144-F144-G144-J144-H144-I144</x:f>
        <x:v>0</x:v>
      </x:c>
      <x:c r="M144" s="1" t="b">
        <x:f t="shared" si="58"/>
        <x:v>1</x:v>
      </x:c>
      <x:c r="P144" s="296"/>
      <x:c r="Q144" s="297"/>
      <x:c r="R144" s="296"/>
      <x:c r="S144" s="1"/>
    </x:row>
    <x:row r="145" spans="1:20" s="241" customFormat="1" x14ac:dyDescent="0.2">
      <x:c r="B145" s="250">
        <x:v>4</x:v>
      </x:c>
      <x:c r="C145" s="274" t="s">
        <x:v>13</x:v>
      </x:c>
      <x:c r="D145" s="253">
        <x:f>D107+N107+D128+E128</x:f>
        <x:v>0</x:v>
      </x:c>
      <x:c r="E145" s="253">
        <x:f>'Recaudo EAAB + Ciud Limp'!D24</x:f>
        <x:v>0</x:v>
      </x:c>
      <x:c r="F145" s="253">
        <x:f>D31+N31</x:f>
        <x:v>0</x:v>
      </x:c>
      <x:c r="G145" s="253">
        <x:f>D69+N69</x:f>
        <x:v>0</x:v>
      </x:c>
      <x:c r="H145" s="253">
        <x:f>D88+N88</x:f>
        <x:v>0</x:v>
      </x:c>
      <x:c r="I145" s="253">
        <x:v>0</x:v>
      </x:c>
      <x:c r="J145" s="253">
        <x:f t="shared" si="57"/>
        <x:v>0</x:v>
      </x:c>
      <x:c r="K145" s="254">
        <x:f t="shared" si="57"/>
        <x:v>0</x:v>
      </x:c>
      <x:c r="L145" s="443">
        <x:f>D145-E145-F145-G145-J145-H145-I145</x:f>
        <x:v>0</x:v>
      </x:c>
      <x:c r="M145" s="1" t="b">
        <x:f t="shared" si="58"/>
        <x:v>1</x:v>
      </x:c>
      <x:c r="P145" s="296"/>
      <x:c r="Q145" s="297"/>
      <x:c r="R145" s="296"/>
      <x:c r="S145" s="1"/>
    </x:row>
    <x:row r="146" spans="1:20" s="241" customFormat="1" ht="12.75" thickBot="1" x14ac:dyDescent="0.25">
      <x:c r="B146" s="277">
        <x:v>5</x:v>
      </x:c>
      <x:c r="C146" s="278" t="s">
        <x:v>14</x:v>
      </x:c>
      <x:c r="D146" s="292">
        <x:f>D108+N108+D129+E129</x:f>
        <x:v>0</x:v>
      </x:c>
      <x:c r="E146" s="253">
        <x:f>'Recaudo EAAB + Ciud Limp'!D25</x:f>
        <x:v>0</x:v>
      </x:c>
      <x:c r="F146" s="292">
        <x:f>D32+N32</x:f>
        <x:v>0</x:v>
      </x:c>
      <x:c r="G146" s="292">
        <x:f>D70+N70</x:f>
        <x:v>0</x:v>
      </x:c>
      <x:c r="H146" s="292">
        <x:f>D89+N89</x:f>
        <x:v>0</x:v>
      </x:c>
      <x:c r="I146" s="292">
        <x:v>0</x:v>
      </x:c>
      <x:c r="J146" s="292">
        <x:f t="shared" si="57"/>
        <x:v>0</x:v>
      </x:c>
      <x:c r="K146" s="294">
        <x:f t="shared" si="57"/>
        <x:v>0</x:v>
      </x:c>
      <x:c r="L146" s="443">
        <x:f>D146-E146-F146-G146-J146-H146-I146</x:f>
        <x:v>0</x:v>
      </x:c>
      <x:c r="M146" s="1" t="b">
        <x:f t="shared" si="58"/>
        <x:v>1</x:v>
      </x:c>
      <x:c r="P146" s="296"/>
      <x:c r="Q146" s="297"/>
      <x:c r="R146" s="296"/>
      <x:c r="S146" s="1"/>
    </x:row>
    <x:row r="147" spans="1:20" s="241" customFormat="1" ht="12.75" thickBot="1" x14ac:dyDescent="0.25">
      <x:c r="B147" s="263"/>
      <x:c r="C147" s="264" t="s">
        <x:v>2</x:v>
      </x:c>
      <x:c r="D147" s="298">
        <x:f>SUM(D142:D146)</x:f>
        <x:v>0</x:v>
      </x:c>
      <x:c r="E147" s="298">
        <x:f>SUM(E142:E146)</x:f>
        <x:v>0</x:v>
      </x:c>
      <x:c r="F147" s="298">
        <x:f t="shared" ref="F147:K147" si="59">SUM(F142:F146)</x:f>
        <x:v>0</x:v>
      </x:c>
      <x:c r="G147" s="298">
        <x:f t="shared" si="59"/>
        <x:v>0</x:v>
      </x:c>
      <x:c r="H147" s="298">
        <x:f t="shared" si="59"/>
        <x:v>0</x:v>
      </x:c>
      <x:c r="I147" s="298">
        <x:f t="shared" si="59"/>
        <x:v>0</x:v>
      </x:c>
      <x:c r="J147" s="298">
        <x:f t="shared" si="59"/>
        <x:v>0</x:v>
      </x:c>
      <x:c r="K147" s="298">
        <x:f t="shared" si="59"/>
        <x:v>0</x:v>
      </x:c>
      <x:c r="L147" s="443">
        <x:f>SUM(L142:L146)</x:f>
        <x:v>0</x:v>
      </x:c>
      <x:c r="M147" s="1" t="b">
        <x:f t="shared" si="58"/>
        <x:v>1</x:v>
      </x:c>
      <x:c r="P147" s="296"/>
      <x:c r="Q147" s="297"/>
      <x:c r="R147" s="296"/>
      <x:c r="S147" s="1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topLeftCell="C1" zoomScale="90" zoomScaleNormal="90" workbookViewId="0">
      <x:selection activeCell="M14" sqref="M14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EAAB + Ciud Limp'!D21</x:f>
        <x:v>0</x:v>
      </x:c>
      <x:c r="D3" s="228">
        <x:f>'REMUNERACION_EAAB-CL'!G125</x:f>
        <x:v>0</x:v>
      </x:c>
      <x:c r="E3" s="228">
        <x:f>'REMUNERACION_EAAB-CL'!H125</x:f>
        <x:v>0</x:v>
      </x:c>
      <x:c r="F3" s="228">
        <x:v>0</x:v>
      </x:c>
      <x:c r="G3" s="228">
        <x:f>'REMUNERACION_EAAB-CL'!I125</x:f>
        <x:v>0</x:v>
      </x:c>
      <x:c r="H3" s="276">
        <x:f t="shared" ref="H3:H8" si="0">SUM(C3:G3)</x:f>
        <x:v>0</x:v>
      </x:c>
      <x:c r="I3" s="227">
        <x:f>'REMUNERACION_EAAB-CL'!D104</x:f>
        <x:v>0</x:v>
      </x:c>
      <x:c r="J3" s="228">
        <x:f>'REMUNERACION_EAAB-CL'!N104</x:f>
        <x:v>0</x:v>
      </x:c>
      <x:c r="K3" s="228">
        <x:f>'REMUNERACION_EAAB-CL'!D125</x:f>
        <x:v>0</x:v>
      </x:c>
      <x:c r="L3" s="289">
        <x:f>'REMUNERACION_EAAB-CL'!E125</x:f>
        <x:v>0</x:v>
      </x:c>
      <x:c r="M3" s="228">
        <x:f>-'REMUNERACION_EAAB-CL'!D66+'REMUNERACION_EAAB-CL'!N66</x:f>
        <x:v>0</x:v>
      </x:c>
      <x:c r="N3" s="224">
        <x:f>SUM(I3:M3)</x:f>
        <x:v>0</x:v>
      </x:c>
      <x:c r="O3" s="290">
        <x:f t="shared" ref="O3:O8" si="1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EAAB + Ciud Limp'!D22</x:f>
        <x:v>0</x:v>
      </x:c>
      <x:c r="D4" s="228">
        <x:f>'REMUNERACION_EAAB-CL'!G126</x:f>
        <x:v>0</x:v>
      </x:c>
      <x:c r="E4" s="228">
        <x:f>'REMUNERACION_EAAB-CL'!H126</x:f>
        <x:v>0</x:v>
      </x:c>
      <x:c r="F4" s="228">
        <x:v>0</x:v>
      </x:c>
      <x:c r="G4" s="228">
        <x:f>'REMUNERACION_EAAB-CL'!I126</x:f>
        <x:v>0</x:v>
      </x:c>
      <x:c r="H4" s="276">
        <x:f t="shared" si="0"/>
        <x:v>0</x:v>
      </x:c>
      <x:c r="I4" s="227">
        <x:f>'REMUNERACION_EAAB-CL'!D105</x:f>
        <x:v>0</x:v>
      </x:c>
      <x:c r="J4" s="228">
        <x:f>'REMUNERACION_EAAB-CL'!N105</x:f>
        <x:v>0</x:v>
      </x:c>
      <x:c r="K4" s="228">
        <x:f>'REMUNERACION_EAAB-CL'!D126</x:f>
        <x:v>0</x:v>
      </x:c>
      <x:c r="L4" s="289">
        <x:f>'REMUNERACION_EAAB-CL'!E126</x:f>
        <x:v>0</x:v>
      </x:c>
      <x:c r="M4" s="228">
        <x:f>-'REMUNERACION_EAAB-CL'!D67+'REMUNERACION_EAAB-CL'!N67</x:f>
        <x:v>0</x:v>
      </x:c>
      <x:c r="N4" s="254">
        <x:f>SUM(I4:M4)</x:f>
        <x:v>0</x:v>
      </x:c>
      <x:c r="O4" s="290">
        <x:f t="shared" si="1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EAAB + Ciud Limp'!D23</x:f>
        <x:v>0</x:v>
      </x:c>
      <x:c r="D5" s="228">
        <x:f>'REMUNERACION_EAAB-CL'!G127</x:f>
        <x:v>0</x:v>
      </x:c>
      <x:c r="E5" s="228">
        <x:f>'REMUNERACION_EAAB-CL'!H127</x:f>
        <x:v>0</x:v>
      </x:c>
      <x:c r="F5" s="228">
        <x:v>0</x:v>
      </x:c>
      <x:c r="G5" s="228">
        <x:f>'REMUNERACION_EAAB-CL'!I127</x:f>
        <x:v>0</x:v>
      </x:c>
      <x:c r="H5" s="276">
        <x:f t="shared" si="0"/>
        <x:v>0</x:v>
      </x:c>
      <x:c r="I5" s="227">
        <x:f>'REMUNERACION_EAAB-CL'!D106</x:f>
        <x:v>0</x:v>
      </x:c>
      <x:c r="J5" s="228">
        <x:f>'REMUNERACION_EAAB-CL'!N106</x:f>
        <x:v>0</x:v>
      </x:c>
      <x:c r="K5" s="228">
        <x:f>'REMUNERACION_EAAB-CL'!D127</x:f>
        <x:v>0</x:v>
      </x:c>
      <x:c r="L5" s="289">
        <x:f>'REMUNERACION_EAAB-CL'!E127</x:f>
        <x:v>0</x:v>
      </x:c>
      <x:c r="M5" s="228">
        <x:f>-'REMUNERACION_EAAB-CL'!D68+'REMUNERACION_EAAB-CL'!N68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EAAB + Ciud Limp'!D24</x:f>
        <x:v>0</x:v>
      </x:c>
      <x:c r="D6" s="228">
        <x:f>'REMUNERACION_EAAB-CL'!G128</x:f>
        <x:v>0</x:v>
      </x:c>
      <x:c r="E6" s="228">
        <x:f>'REMUNERACION_EAAB-CL'!H128</x:f>
        <x:v>0</x:v>
      </x:c>
      <x:c r="F6" s="228">
        <x:v>0</x:v>
      </x:c>
      <x:c r="G6" s="228">
        <x:f>'REMUNERACION_EAAB-CL'!I128</x:f>
        <x:v>0</x:v>
      </x:c>
      <x:c r="H6" s="276">
        <x:f t="shared" si="0"/>
        <x:v>0</x:v>
      </x:c>
      <x:c r="I6" s="227">
        <x:f>'REMUNERACION_EAAB-CL'!D107</x:f>
        <x:v>0</x:v>
      </x:c>
      <x:c r="J6" s="228">
        <x:f>'REMUNERACION_EAAB-CL'!N107</x:f>
        <x:v>0</x:v>
      </x:c>
      <x:c r="K6" s="228">
        <x:f>'REMUNERACION_EAAB-CL'!D128</x:f>
        <x:v>0</x:v>
      </x:c>
      <x:c r="L6" s="289">
        <x:f>'REMUNERACION_EAAB-CL'!E128</x:f>
        <x:v>0</x:v>
      </x:c>
      <x:c r="M6" s="228">
        <x:f>-'REMUNERACION_EAAB-CL'!D69+'REMUNERACION_EAAB-CL'!N69</x:f>
        <x:v>0</x:v>
      </x:c>
      <x:c r="N6" s="254">
        <x:f t="shared" ref="N6:N7" si="3">SUM(I6:M6)</x:f>
        <x:v>0</x:v>
      </x:c>
      <x:c r="O6" s="290">
        <x:f t="shared" si="1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EAAB + Ciud Limp'!D25</x:f>
        <x:v>0</x:v>
      </x:c>
      <x:c r="D7" s="228">
        <x:f>'REMUNERACION_EAAB-CL'!G129</x:f>
        <x:v>0</x:v>
      </x:c>
      <x:c r="E7" s="228">
        <x:f>'REMUNERACION_EAAB-CL'!H129</x:f>
        <x:v>0</x:v>
      </x:c>
      <x:c r="F7" s="228">
        <x:v>0</x:v>
      </x:c>
      <x:c r="G7" s="228">
        <x:f>'REMUNERACION_EAAB-CL'!I129</x:f>
        <x:v>0</x:v>
      </x:c>
      <x:c r="H7" s="276">
        <x:f t="shared" si="0"/>
        <x:v>0</x:v>
      </x:c>
      <x:c r="I7" s="227">
        <x:f>'REMUNERACION_EAAB-CL'!D108</x:f>
        <x:v>0</x:v>
      </x:c>
      <x:c r="J7" s="228">
        <x:f>'REMUNERACION_EAAB-CL'!N108</x:f>
        <x:v>0</x:v>
      </x:c>
      <x:c r="K7" s="228">
        <x:f>'REMUNERACION_EAAB-CL'!D129</x:f>
        <x:v>0</x:v>
      </x:c>
      <x:c r="L7" s="289">
        <x:f>'REMUNERACION_EAAB-CL'!E129</x:f>
        <x:v>0</x:v>
      </x:c>
      <x:c r="M7" s="228">
        <x:f>-'REMUNERACION_EAAB-CL'!D70+'REMUNERACION_EAAB-CL'!N70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EAAB + Ciud Limp'!F26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0"/>
        <x:v>0</x:v>
      </x:c>
      <x:c r="I8" s="293">
        <x:v>0</x:v>
      </x:c>
      <x:c r="J8" s="279">
        <x:v>0</x:v>
      </x:c>
      <x:c r="K8" s="279">
        <x:v>0</x:v>
      </x:c>
      <x:c r="L8" s="289">
        <x:f>'REMUNERACION_EAAB-CL'!E130</x:f>
        <x:v>0</x:v>
      </x:c>
      <x:c r="M8" s="228">
        <x:v>0</x:v>
      </x:c>
      <x:c r="N8" s="294">
        <x:f>SUM(I8:L8)-M8</x:f>
        <x:v>0</x:v>
      </x:c>
      <x:c r="O8" s="290">
        <x:f t="shared" si="1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96" t="s">
        <x:v>1</x:v>
      </x:c>
    </x:row>
    <x:row r="14" spans="2:16" x14ac:dyDescent="0.2">
      <x:c r="C14" s="200">
        <x:f>'Valida - Control Recaudo'!E3+'Valida - Control Recaudo'!E5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topLeftCell="V1" zoomScale="98" zoomScaleNormal="98" workbookViewId="0">
      <x:selection activeCell="L17" sqref="L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'CONSOLIDADO_TOTAL RECAUDO'!D101</x:f>
        <x:v>46238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2" t="s">
        <x:v>0</x:v>
      </x:c>
      <x:c r="D7" s="198">
        <x:f>'CONSOLIDADO_TOTAL RECAUDO'!D102</x:f>
        <x:v>0.58333333333333337</x:v>
      </x:c>
      <x:c r="F7" s="2" t="s">
        <x:v>27</x:v>
      </x:c>
      <x:c r="G7" s="9">
        <x:f>'CONSOLIDADO_TOTAL RECAUDO'!G102</x:f>
        <x:v>46219</x:v>
      </x:c>
      <x:c r="J7" s="2" t="s">
        <x:v>28</x:v>
      </x:c>
      <x:c r="K7" s="9">
        <x:f>'CONSOLIDADO_TOTAL RECAUDO'!K102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241" customFormat="1" x14ac:dyDescent="0.2">
      <x:c r="B9" s="239">
        <x:v>1</x:v>
      </x:c>
      <x:c r="C9" s="240" t="s">
        <x:v>10</x:v>
      </x:c>
      <x:c r="D9" s="227">
        <x:f>'REMUNERACION_EAAB-CL'!D104</x:f>
        <x:v>0</x:v>
      </x:c>
      <x:c r="E9" s="227">
        <x:f>'REMUNERACION_EAAB-CL'!E104</x:f>
        <x:v>0</x:v>
      </x:c>
      <x:c r="F9" s="227">
        <x:f>'REMUNERACION_EAAB-CL'!F104</x:f>
        <x:v>0</x:v>
      </x:c>
      <x:c r="G9" s="227">
        <x:f>'REMUNERACION_EAAB-CL'!G104</x:f>
        <x:v>0</x:v>
      </x:c>
      <x:c r="H9" s="227">
        <x:f>'REMUNERACION_EAAB-CL'!H104</x:f>
        <x:v>0</x:v>
      </x:c>
      <x:c r="I9" s="227">
        <x:f>'REMUNERACION_EAAB-CL'!I104</x:f>
        <x:v>0</x:v>
      </x:c>
      <x:c r="J9" s="227">
        <x:f>'REMUNERACION_EAAB-CL'!J104</x:f>
        <x:v>0</x:v>
      </x:c>
      <x:c r="K9" s="229">
        <x:f>D9-E9-F9-G9-H9-I9-J9</x:f>
        <x:v>0</x:v>
      </x:c>
      <x:c r="L9" s="227">
        <x:f>'REMUNERACION_EAAB-CL'!L104</x:f>
        <x:v>0</x:v>
      </x:c>
      <x:c r="M9" s="229">
        <x:f>K9-L9</x:f>
        <x:v>0</x:v>
      </x:c>
      <x:c r="N9" s="227">
        <x:f>'REMUNERACION_EAAB-CL'!N104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27">
        <x:f>'REMUNERACION_EAAB-CL'!U104</x:f>
        <x:v>0</x:v>
      </x:c>
      <x:c r="V9" s="227">
        <x:f>'REMUNERACION_EAAB-CL'!V104</x:f>
        <x:v>0</x:v>
      </x:c>
      <x:c r="W9" s="227">
        <x:f>'REMUNERACION_EAAB-CL'!W104</x:f>
        <x:v>0</x:v>
      </x:c>
      <x:c r="X9" s="227">
        <x:f>'REMUNERACION_EAAB-CL'!X104</x:f>
        <x:v>0</x:v>
      </x:c>
      <x:c r="Y9" s="227">
        <x:f>'REMUNERACION_EAAB-CL'!Y104</x:f>
        <x:v>0</x:v>
      </x:c>
      <x:c r="Z9" s="227">
        <x:f>'REMUNERACION_EAAB-CL'!Z104</x:f>
        <x:v>0</x:v>
      </x:c>
      <x:c r="AA9" s="227">
        <x:f>'REMUNERACION_EAAB-CL'!AA104</x:f>
        <x:v>0</x:v>
      </x:c>
      <x:c r="AB9" s="227">
        <x:f>'REMUNERACION_EAAB-CL'!AB104</x:f>
        <x:v>0</x:v>
      </x:c>
      <x:c r="AC9" s="227">
        <x:f>'REMUNERACION_EAAB-CL'!AC104</x:f>
        <x:v>0</x:v>
      </x:c>
      <x:c r="AD9" s="227">
        <x:f>'REMUNERACION_EAAB-CL'!AD104</x:f>
        <x:v>0</x:v>
      </x:c>
      <x:c r="AE9" s="227">
        <x:f>'REMUNERACION_EAAB-CL'!AE104</x:f>
        <x:v>0</x:v>
      </x:c>
      <x:c r="AF9" s="299">
        <x:f>SUM(U9:AD9)</x:f>
        <x:v>0</x:v>
      </x:c>
      <x:c r="AG9" s="300">
        <x:f>AF9-O9</x:f>
        <x:v>0</x:v>
      </x:c>
      <x:c r="AH9" s="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'REMUNERACION_EAAB-CL'!D105</x:f>
        <x:v>0</x:v>
      </x:c>
      <x:c r="E10" s="227">
        <x:f>'REMUNERACION_EAAB-CL'!E105</x:f>
        <x:v>0</x:v>
      </x:c>
      <x:c r="F10" s="227">
        <x:f>'REMUNERACION_EAAB-CL'!F105</x:f>
        <x:v>0</x:v>
      </x:c>
      <x:c r="G10" s="227">
        <x:f>'REMUNERACION_EAAB-CL'!G105</x:f>
        <x:v>0</x:v>
      </x:c>
      <x:c r="H10" s="227">
        <x:f>'REMUNERACION_EAAB-CL'!H105</x:f>
        <x:v>0</x:v>
      </x:c>
      <x:c r="I10" s="227">
        <x:f>'REMUNERACION_EAAB-CL'!I105</x:f>
        <x:v>0</x:v>
      </x:c>
      <x:c r="J10" s="227">
        <x:f>'REMUNERACION_EAAB-CL'!J105</x:f>
        <x:v>0</x:v>
      </x:c>
      <x:c r="K10" s="231">
        <x:f t="shared" ref="K10:K13" si="0">D10-E10-F10-G10-H10-I10-J10</x:f>
        <x:v>0</x:v>
      </x:c>
      <x:c r="L10" s="227">
        <x:f>'REMUNERACION_EAAB-CL'!L105</x:f>
        <x:v>0</x:v>
      </x:c>
      <x:c r="M10" s="231">
        <x:f>K10-L10</x:f>
        <x:v>0</x:v>
      </x:c>
      <x:c r="N10" s="227">
        <x:f>'REMUNERACION_EAAB-CL'!N105</x:f>
        <x:v>0</x:v>
      </x:c>
      <x:c r="O10" s="231">
        <x:f t="shared" ref="O10:O13" si="1">M10+N10</x:f>
        <x:v>0</x:v>
      </x:c>
      <x:c r="Q10" s="242"/>
      <x:c r="S10" s="250">
        <x:v>2</x:v>
      </x:c>
      <x:c r="T10" s="251" t="s">
        <x:v>11</x:v>
      </x:c>
      <x:c r="U10" s="227">
        <x:f>'REMUNERACION_EAAB-CL'!U105</x:f>
        <x:v>0</x:v>
      </x:c>
      <x:c r="V10" s="227">
        <x:f>'REMUNERACION_EAAB-CL'!V105</x:f>
        <x:v>0</x:v>
      </x:c>
      <x:c r="W10" s="227">
        <x:f>'REMUNERACION_EAAB-CL'!W105</x:f>
        <x:v>0</x:v>
      </x:c>
      <x:c r="X10" s="227">
        <x:f>'REMUNERACION_EAAB-CL'!X105</x:f>
        <x:v>0</x:v>
      </x:c>
      <x:c r="Y10" s="227">
        <x:f>'REMUNERACION_EAAB-CL'!Y105</x:f>
        <x:v>0</x:v>
      </x:c>
      <x:c r="Z10" s="227">
        <x:f>'REMUNERACION_EAAB-CL'!Z105</x:f>
        <x:v>0</x:v>
      </x:c>
      <x:c r="AA10" s="227">
        <x:f>'REMUNERACION_EAAB-CL'!AA105</x:f>
        <x:v>0</x:v>
      </x:c>
      <x:c r="AB10" s="227">
        <x:f>'REMUNERACION_EAAB-CL'!AB105</x:f>
        <x:v>0</x:v>
      </x:c>
      <x:c r="AC10" s="227">
        <x:f>'REMUNERACION_EAAB-CL'!AC105</x:f>
        <x:v>0</x:v>
      </x:c>
      <x:c r="AD10" s="227">
        <x:f>'REMUNERACION_EAAB-CL'!AD105</x:f>
        <x:v>0</x:v>
      </x:c>
      <x:c r="AE10" s="227">
        <x:f>'REMUNERACION_EAAB-CL'!AE105</x:f>
        <x:v>0</x:v>
      </x:c>
      <x:c r="AF10" s="301">
        <x:f>SUM(U10:AD10)</x:f>
        <x:v>0</x:v>
      </x:c>
      <x:c r="AG10" s="302">
        <x:f>AF10-O10</x:f>
        <x:v>0</x:v>
      </x:c>
      <x:c r="AH10" s="1" t="b">
        <x:f t="shared" ref="AH10:AH14" si="2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'REMUNERACION_EAAB-CL'!D106</x:f>
        <x:v>0</x:v>
      </x:c>
      <x:c r="E11" s="227">
        <x:f>'REMUNERACION_EAAB-CL'!E106</x:f>
        <x:v>0</x:v>
      </x:c>
      <x:c r="F11" s="227">
        <x:f>'REMUNERACION_EAAB-CL'!F106</x:f>
        <x:v>0</x:v>
      </x:c>
      <x:c r="G11" s="227">
        <x:f>'REMUNERACION_EAAB-CL'!G106</x:f>
        <x:v>0</x:v>
      </x:c>
      <x:c r="H11" s="227">
        <x:f>'REMUNERACION_EAAB-CL'!H106</x:f>
        <x:v>0</x:v>
      </x:c>
      <x:c r="I11" s="227">
        <x:f>'REMUNERACION_EAAB-CL'!I106</x:f>
        <x:v>0</x:v>
      </x:c>
      <x:c r="J11" s="227">
        <x:f>'REMUNERACION_EAAB-CL'!J106</x:f>
        <x:v>0</x:v>
      </x:c>
      <x:c r="K11" s="231">
        <x:f t="shared" si="0"/>
        <x:v>0</x:v>
      </x:c>
      <x:c r="L11" s="227">
        <x:f>'REMUNERACION_EAAB-CL'!L106</x:f>
        <x:v>0</x:v>
      </x:c>
      <x:c r="M11" s="231">
        <x:f>K11-L11</x:f>
        <x:v>0</x:v>
      </x:c>
      <x:c r="N11" s="227">
        <x:f>'REMUNERACION_EAAB-CL'!N106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27">
        <x:f>'REMUNERACION_EAAB-CL'!U106</x:f>
        <x:v>0</x:v>
      </x:c>
      <x:c r="V11" s="227">
        <x:f>'REMUNERACION_EAAB-CL'!V106</x:f>
        <x:v>0</x:v>
      </x:c>
      <x:c r="W11" s="227">
        <x:f>'REMUNERACION_EAAB-CL'!W106</x:f>
        <x:v>0</x:v>
      </x:c>
      <x:c r="X11" s="227">
        <x:f>'REMUNERACION_EAAB-CL'!X106</x:f>
        <x:v>0</x:v>
      </x:c>
      <x:c r="Y11" s="227">
        <x:f>'REMUNERACION_EAAB-CL'!Y106</x:f>
        <x:v>0</x:v>
      </x:c>
      <x:c r="Z11" s="227">
        <x:f>'REMUNERACION_EAAB-CL'!Z106</x:f>
        <x:v>0</x:v>
      </x:c>
      <x:c r="AA11" s="227">
        <x:f>'REMUNERACION_EAAB-CL'!AA106</x:f>
        <x:v>0</x:v>
      </x:c>
      <x:c r="AB11" s="227">
        <x:f>'REMUNERACION_EAAB-CL'!AB106</x:f>
        <x:v>0</x:v>
      </x:c>
      <x:c r="AC11" s="227">
        <x:f>'REMUNERACION_EAAB-CL'!AC106</x:f>
        <x:v>0</x:v>
      </x:c>
      <x:c r="AD11" s="227">
        <x:f>'REMUNERACION_EAAB-CL'!AD106</x:f>
        <x:v>0</x:v>
      </x:c>
      <x:c r="AE11" s="227">
        <x:f>'REMUNERACION_EAAB-CL'!AE106</x:f>
        <x:v>0</x:v>
      </x:c>
      <x:c r="AF11" s="301">
        <x:f>SUM(U11:AD11)</x:f>
        <x:v>0</x:v>
      </x:c>
      <x:c r="AG11" s="302">
        <x:f>AF11-O11</x:f>
        <x:v>0</x:v>
      </x:c>
      <x:c r="AH11" s="1" t="b">
        <x:f t="shared" si="2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'REMUNERACION_EAAB-CL'!D107</x:f>
        <x:v>0</x:v>
      </x:c>
      <x:c r="E12" s="227">
        <x:f>'REMUNERACION_EAAB-CL'!E107</x:f>
        <x:v>0</x:v>
      </x:c>
      <x:c r="F12" s="227">
        <x:f>'REMUNERACION_EAAB-CL'!F107</x:f>
        <x:v>0</x:v>
      </x:c>
      <x:c r="G12" s="227">
        <x:f>'REMUNERACION_EAAB-CL'!G107</x:f>
        <x:v>0</x:v>
      </x:c>
      <x:c r="H12" s="227">
        <x:f>'REMUNERACION_EAAB-CL'!H107</x:f>
        <x:v>0</x:v>
      </x:c>
      <x:c r="I12" s="227">
        <x:f>'REMUNERACION_EAAB-CL'!I107</x:f>
        <x:v>0</x:v>
      </x:c>
      <x:c r="J12" s="227">
        <x:f>'REMUNERACION_EAAB-CL'!J107</x:f>
        <x:v>0</x:v>
      </x:c>
      <x:c r="K12" s="231">
        <x:f t="shared" si="0"/>
        <x:v>0</x:v>
      </x:c>
      <x:c r="L12" s="227">
        <x:f>'REMUNERACION_EAAB-CL'!L107</x:f>
        <x:v>0</x:v>
      </x:c>
      <x:c r="M12" s="231">
        <x:f>K12-L12</x:f>
        <x:v>0</x:v>
      </x:c>
      <x:c r="N12" s="227">
        <x:f>'REMUNERACION_EAAB-CL'!N107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27">
        <x:f>'REMUNERACION_EAAB-CL'!U107</x:f>
        <x:v>0</x:v>
      </x:c>
      <x:c r="V12" s="227">
        <x:f>'REMUNERACION_EAAB-CL'!V107</x:f>
        <x:v>0</x:v>
      </x:c>
      <x:c r="W12" s="227">
        <x:f>'REMUNERACION_EAAB-CL'!W107</x:f>
        <x:v>0</x:v>
      </x:c>
      <x:c r="X12" s="227">
        <x:f>'REMUNERACION_EAAB-CL'!X107</x:f>
        <x:v>0</x:v>
      </x:c>
      <x:c r="Y12" s="227">
        <x:f>'REMUNERACION_EAAB-CL'!Y107</x:f>
        <x:v>0</x:v>
      </x:c>
      <x:c r="Z12" s="227">
        <x:f>'REMUNERACION_EAAB-CL'!Z107</x:f>
        <x:v>0</x:v>
      </x:c>
      <x:c r="AA12" s="227">
        <x:f>'REMUNERACION_EAAB-CL'!AA107</x:f>
        <x:v>0</x:v>
      </x:c>
      <x:c r="AB12" s="227">
        <x:f>'REMUNERACION_EAAB-CL'!AB107</x:f>
        <x:v>0</x:v>
      </x:c>
      <x:c r="AC12" s="227">
        <x:f>'REMUNERACION_EAAB-CL'!AC107</x:f>
        <x:v>0</x:v>
      </x:c>
      <x:c r="AD12" s="227">
        <x:f>'REMUNERACION_EAAB-CL'!AD107</x:f>
        <x:v>0</x:v>
      </x:c>
      <x:c r="AE12" s="227">
        <x:f>'REMUNERACION_EAAB-CL'!AE107</x:f>
        <x:v>0</x:v>
      </x:c>
      <x:c r="AF12" s="301">
        <x:f>SUM(U12:AD12)</x:f>
        <x:v>0</x:v>
      </x:c>
      <x:c r="AG12" s="302">
        <x:f>AF12-O12</x:f>
        <x:v>0</x:v>
      </x:c>
      <x:c r="AH12" s="1" t="b">
        <x:f t="shared" si="2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27">
        <x:f>'REMUNERACION_EAAB-CL'!D108</x:f>
        <x:v>0</x:v>
      </x:c>
      <x:c r="E13" s="227">
        <x:f>'REMUNERACION_EAAB-CL'!E108</x:f>
        <x:v>0</x:v>
      </x:c>
      <x:c r="F13" s="227">
        <x:f>'REMUNERACION_EAAB-CL'!F108</x:f>
        <x:v>0</x:v>
      </x:c>
      <x:c r="G13" s="227">
        <x:f>'REMUNERACION_EAAB-CL'!G108</x:f>
        <x:v>0</x:v>
      </x:c>
      <x:c r="H13" s="227">
        <x:f>'REMUNERACION_EAAB-CL'!H108</x:f>
        <x:v>0</x:v>
      </x:c>
      <x:c r="I13" s="227">
        <x:f>'REMUNERACION_EAAB-CL'!I108</x:f>
        <x:v>0</x:v>
      </x:c>
      <x:c r="J13" s="227">
        <x:f>'REMUNERACION_EAAB-CL'!J108</x:f>
        <x:v>0</x:v>
      </x:c>
      <x:c r="K13" s="231">
        <x:f t="shared" si="0"/>
        <x:v>0</x:v>
      </x:c>
      <x:c r="L13" s="227">
        <x:f>'REMUNERACION_EAAB-CL'!L108</x:f>
        <x:v>0</x:v>
      </x:c>
      <x:c r="M13" s="234">
        <x:f>K13-L13</x:f>
        <x:v>0</x:v>
      </x:c>
      <x:c r="N13" s="227">
        <x:f>'REMUNERACION_EAAB-CL'!N108</x:f>
        <x:v>0</x:v>
      </x:c>
      <x:c r="O13" s="234">
        <x:f t="shared" si="1"/>
        <x:v>0</x:v>
      </x:c>
      <x:c r="Q13" s="242"/>
      <x:c r="S13" s="260">
        <x:v>5</x:v>
      </x:c>
      <x:c r="T13" s="261" t="s">
        <x:v>14</x:v>
      </x:c>
      <x:c r="U13" s="227">
        <x:f>'REMUNERACION_EAAB-CL'!U108</x:f>
        <x:v>0</x:v>
      </x:c>
      <x:c r="V13" s="227">
        <x:f>'REMUNERACION_EAAB-CL'!V108</x:f>
        <x:v>0</x:v>
      </x:c>
      <x:c r="W13" s="227">
        <x:f>'REMUNERACION_EAAB-CL'!W108</x:f>
        <x:v>0</x:v>
      </x:c>
      <x:c r="X13" s="227">
        <x:f>'REMUNERACION_EAAB-CL'!X108</x:f>
        <x:v>0</x:v>
      </x:c>
      <x:c r="Y13" s="227">
        <x:f>'REMUNERACION_EAAB-CL'!Y108</x:f>
        <x:v>0</x:v>
      </x:c>
      <x:c r="Z13" s="227">
        <x:f>'REMUNERACION_EAAB-CL'!Z108</x:f>
        <x:v>0</x:v>
      </x:c>
      <x:c r="AA13" s="227">
        <x:f>'REMUNERACION_EAAB-CL'!AA108</x:f>
        <x:v>0</x:v>
      </x:c>
      <x:c r="AB13" s="227">
        <x:f>'REMUNERACION_EAAB-CL'!AB108</x:f>
        <x:v>0</x:v>
      </x:c>
      <x:c r="AC13" s="227">
        <x:f>'REMUNERACION_EAAB-CL'!AC108</x:f>
        <x:v>0</x:v>
      </x:c>
      <x:c r="AD13" s="227">
        <x:f>'REMUNERACION_EAAB-CL'!AD108</x:f>
        <x:v>0</x:v>
      </x:c>
      <x:c r="AE13" s="227">
        <x:f>'REMUNERACION_EAAB-CL'!AE108</x:f>
        <x:v>0</x:v>
      </x:c>
      <x:c r="AF13" s="301">
        <x:f>SUM(U13:AD13)</x:f>
        <x:v>0</x:v>
      </x:c>
      <x:c r="AG13" s="302">
        <x:f>AF13-O13</x:f>
        <x:v>0</x:v>
      </x:c>
      <x:c r="AH13" s="1" t="b">
        <x:f t="shared" si="2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 t="shared" ref="D14:O14" si="3">SUM(D9:D13)</x:f>
        <x:v>0</x:v>
      </x:c>
      <x:c r="E14" s="226">
        <x:f t="shared" si="3"/>
        <x:v>0</x:v>
      </x:c>
      <x:c r="F14" s="226">
        <x:f t="shared" si="3"/>
        <x:v>0</x:v>
      </x:c>
      <x:c r="G14" s="226">
        <x:f t="shared" si="3"/>
        <x:v>0</x:v>
      </x:c>
      <x:c r="H14" s="226">
        <x:f t="shared" si="3"/>
        <x:v>0</x:v>
      </x:c>
      <x:c r="I14" s="226">
        <x:f t="shared" si="3"/>
        <x:v>0</x:v>
      </x:c>
      <x:c r="J14" s="226">
        <x:f t="shared" si="3"/>
        <x:v>0</x:v>
      </x:c>
      <x:c r="K14" s="236">
        <x:f t="shared" si="3"/>
        <x:v>0</x:v>
      </x:c>
      <x:c r="L14" s="237">
        <x:f t="shared" si="3"/>
        <x:v>0</x:v>
      </x:c>
      <x:c r="M14" s="238">
        <x:f t="shared" si="3"/>
        <x:v>0</x:v>
      </x:c>
      <x:c r="N14" s="237">
        <x:f t="shared" si="3"/>
        <x:v>0</x:v>
      </x:c>
      <x:c r="O14" s="238">
        <x:f t="shared" si="3"/>
        <x:v>0</x:v>
      </x:c>
      <x:c r="P14" s="265"/>
      <x:c r="Q14" s="242"/>
      <x:c r="S14" s="263"/>
      <x:c r="T14" s="264" t="s">
        <x:v>2</x:v>
      </x:c>
      <x:c r="U14" s="226">
        <x:f>SUM(U9:U13)</x:f>
        <x:v>0</x:v>
      </x:c>
      <x:c r="V14" s="226">
        <x:f t="shared" ref="V14:AG14" si="4">SUM(V9:V13)</x:f>
        <x:v>0</x:v>
      </x:c>
      <x:c r="W14" s="226">
        <x:f t="shared" si="4"/>
        <x:v>0</x:v>
      </x:c>
      <x:c r="X14" s="226">
        <x:f t="shared" si="4"/>
        <x:v>0</x:v>
      </x:c>
      <x:c r="Y14" s="226">
        <x:f t="shared" si="4"/>
        <x:v>0</x:v>
      </x:c>
      <x:c r="Z14" s="226">
        <x:f t="shared" si="4"/>
        <x:v>0</x:v>
      </x:c>
      <x:c r="AA14" s="226">
        <x:f t="shared" si="4"/>
        <x:v>0</x:v>
      </x:c>
      <x:c r="AB14" s="226">
        <x:f t="shared" si="4"/>
        <x:v>0</x:v>
      </x:c>
      <x:c r="AC14" s="226">
        <x:f t="shared" si="4"/>
        <x:v>0</x:v>
      </x:c>
      <x:c r="AD14" s="226">
        <x:f t="shared" si="4"/>
        <x:v>0</x:v>
      </x:c>
      <x:c r="AE14" s="226">
        <x:f>SUM(AE9:AE13)</x:f>
        <x:v>0</x:v>
      </x:c>
      <x:c r="AF14" s="267">
        <x:f t="shared" si="4"/>
        <x:v>0</x:v>
      </x:c>
      <x:c r="AG14" s="226">
        <x:f t="shared" si="4"/>
        <x:v>0</x:v>
      </x:c>
      <x:c r="AH14" s="1" t="b">
        <x:f t="shared" si="2"/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189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46219</x:v>
      </x:c>
      <x:c r="J27" s="2" t="s">
        <x:v>28</x:v>
      </x:c>
      <x:c r="K27" s="9">
        <x:f>'CONSOLIDADO_TOTAL RECAUDO'!K122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98" t="s">
        <x:v>38</x:v>
      </x:c>
      <x:c r="E29" s="98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241" customFormat="1" x14ac:dyDescent="0.2">
      <x:c r="B30" s="270">
        <x:v>1</x:v>
      </x:c>
      <x:c r="C30" s="303" t="s">
        <x:v>10</x:v>
      </x:c>
      <x:c r="D30" s="243">
        <x:f>'REMUNERACION_EAAB-CL'!D125</x:f>
        <x:v>0</x:v>
      </x:c>
      <x:c r="E30" s="245">
        <x:f>'REMUNERACION_EAAB-CL'!E125</x:f>
        <x:v>0</x:v>
      </x:c>
      <x:c r="G30" s="272">
        <x:f>'REMUNERACION_EAAB-CL'!G125</x:f>
        <x:v>0</x:v>
      </x:c>
      <x:c r="H30" s="246">
        <x:f>'REMUNERACION_EAAB-CL'!H125</x:f>
        <x:v>0</x:v>
      </x:c>
      <x:c r="I30" s="245">
        <x:f>'REMUNERACION_EAAB-CL'!I125</x:f>
        <x:v>0</x:v>
      </x:c>
      <x:c r="J30" s="245">
        <x:f>'REMUNERACION_EAAB-CL'!J125</x:f>
        <x:v>0</x:v>
      </x:c>
      <x:c r="K30" s="245">
        <x:f>'REMUNERACION_EAAB-CL'!K125</x:f>
        <x:v>0</x:v>
      </x:c>
      <x:c r="L30" s="245">
        <x:f>'REMUNERACION_EAAB-CL'!L125</x:f>
        <x:v>0</x:v>
      </x:c>
      <x:c r="O30" s="273"/>
      <x:c r="Q30" s="242"/>
    </x:row>
    <x:row r="31" spans="1:35" s="241" customFormat="1" x14ac:dyDescent="0.2">
      <x:c r="B31" s="250">
        <x:v>2</x:v>
      </x:c>
      <x:c r="C31" s="251" t="s">
        <x:v>11</x:v>
      </x:c>
      <x:c r="D31" s="252">
        <x:f>'REMUNERACION_EAAB-CL'!D126</x:f>
        <x:v>0</x:v>
      </x:c>
      <x:c r="E31" s="254">
        <x:f>'REMUNERACION_EAAB-CL'!E126</x:f>
        <x:v>0</x:v>
      </x:c>
      <x:c r="G31" s="275">
        <x:f>'REMUNERACION_EAAB-CL'!G126</x:f>
        <x:v>0</x:v>
      </x:c>
      <x:c r="H31" s="276">
        <x:f>'REMUNERACION_EAAB-CL'!H126</x:f>
        <x:v>0</x:v>
      </x:c>
      <x:c r="I31" s="224">
        <x:f>'REMUNERACION_EAAB-CL'!I126</x:f>
        <x:v>0</x:v>
      </x:c>
      <x:c r="J31" s="224">
        <x:f>'REMUNERACION_EAAB-CL'!J126</x:f>
        <x:v>0</x:v>
      </x:c>
      <x:c r="K31" s="224">
        <x:f>'REMUNERACION_EAAB-CL'!K126</x:f>
        <x:v>0</x:v>
      </x:c>
      <x:c r="L31" s="224">
        <x:f>'REMUNERACION_EAAB-CL'!L126</x:f>
        <x:v>0</x:v>
      </x:c>
      <x:c r="O31" s="273"/>
      <x:c r="Q31" s="242"/>
    </x:row>
    <x:row r="32" spans="1:35" s="241" customFormat="1" x14ac:dyDescent="0.2">
      <x:c r="B32" s="250">
        <x:v>3</x:v>
      </x:c>
      <x:c r="C32" s="251" t="s">
        <x:v>12</x:v>
      </x:c>
      <x:c r="D32" s="252">
        <x:f>'REMUNERACION_EAAB-CL'!D127</x:f>
        <x:v>0</x:v>
      </x:c>
      <x:c r="E32" s="254">
        <x:f>'REMUNERACION_EAAB-CL'!E127</x:f>
        <x:v>0</x:v>
      </x:c>
      <x:c r="G32" s="275">
        <x:f>'REMUNERACION_EAAB-CL'!G127</x:f>
        <x:v>0</x:v>
      </x:c>
      <x:c r="H32" s="276">
        <x:f>'REMUNERACION_EAAB-CL'!H127</x:f>
        <x:v>0</x:v>
      </x:c>
      <x:c r="I32" s="224">
        <x:f>'REMUNERACION_EAAB-CL'!I127</x:f>
        <x:v>0</x:v>
      </x:c>
      <x:c r="J32" s="224">
        <x:f>'REMUNERACION_EAAB-CL'!J127</x:f>
        <x:v>0</x:v>
      </x:c>
      <x:c r="K32" s="224">
        <x:f>'REMUNERACION_EAAB-CL'!K127</x:f>
        <x:v>0</x:v>
      </x:c>
      <x:c r="L32" s="224">
        <x:f>'REMUNERACION_EAAB-CL'!L127</x:f>
        <x:v>0</x:v>
      </x:c>
      <x:c r="O32" s="273"/>
      <x:c r="Q32" s="242"/>
    </x:row>
    <x:row r="33" spans="1:35" s="241" customFormat="1" x14ac:dyDescent="0.2">
      <x:c r="B33" s="250">
        <x:v>4</x:v>
      </x:c>
      <x:c r="C33" s="251" t="s">
        <x:v>13</x:v>
      </x:c>
      <x:c r="D33" s="252">
        <x:f>'REMUNERACION_EAAB-CL'!D128</x:f>
        <x:v>0</x:v>
      </x:c>
      <x:c r="E33" s="254">
        <x:f>'REMUNERACION_EAAB-CL'!E128</x:f>
        <x:v>0</x:v>
      </x:c>
      <x:c r="G33" s="275">
        <x:f>'REMUNERACION_EAAB-CL'!G128</x:f>
        <x:v>0</x:v>
      </x:c>
      <x:c r="H33" s="276">
        <x:f>'REMUNERACION_EAAB-CL'!H128</x:f>
        <x:v>0</x:v>
      </x:c>
      <x:c r="I33" s="224">
        <x:f>'REMUNERACION_EAAB-CL'!I128</x:f>
        <x:v>0</x:v>
      </x:c>
      <x:c r="J33" s="224">
        <x:f>'REMUNERACION_EAAB-CL'!J128</x:f>
        <x:v>0</x:v>
      </x:c>
      <x:c r="K33" s="224">
        <x:f>'REMUNERACION_EAAB-CL'!K128</x:f>
        <x:v>0</x:v>
      </x:c>
      <x:c r="L33" s="224">
        <x:f>'REMUNERACION_EAAB-CL'!L128</x:f>
        <x:v>0</x:v>
      </x:c>
      <x:c r="O33" s="273"/>
      <x:c r="Q33" s="242"/>
    </x:row>
    <x:row r="34" spans="1:35" s="241" customFormat="1" x14ac:dyDescent="0.2">
      <x:c r="B34" s="277">
        <x:v>5</x:v>
      </x:c>
      <x:c r="C34" s="304" t="s">
        <x:v>14</x:v>
      </x:c>
      <x:c r="D34" s="252">
        <x:f>'REMUNERACION_EAAB-CL'!D129</x:f>
        <x:v>0</x:v>
      </x:c>
      <x:c r="E34" s="254">
        <x:f>'REMUNERACION_EAAB-CL'!E129</x:f>
        <x:v>0</x:v>
      </x:c>
      <x:c r="G34" s="275">
        <x:f>'REMUNERACION_EAAB-CL'!G129</x:f>
        <x:v>0</x:v>
      </x:c>
      <x:c r="H34" s="276">
        <x:f>'REMUNERACION_EAAB-CL'!H129</x:f>
        <x:v>0</x:v>
      </x:c>
      <x:c r="I34" s="224">
        <x:f>'REMUNERACION_EAAB-CL'!I129</x:f>
        <x:v>0</x:v>
      </x:c>
      <x:c r="J34" s="224">
        <x:f>'REMUNERACION_EAAB-CL'!J129</x:f>
        <x:v>0</x:v>
      </x:c>
      <x:c r="K34" s="224">
        <x:f>'REMUNERACION_EAAB-CL'!K129</x:f>
        <x:v>0</x:v>
      </x:c>
      <x:c r="L34" s="224">
        <x:f>'REMUNERACION_EAAB-CL'!L129</x:f>
        <x:v>0</x:v>
      </x:c>
      <x:c r="O34" s="273"/>
      <x:c r="Q34" s="242"/>
    </x:row>
    <x:row r="35" spans="1:35" s="241" customFormat="1" ht="12.75" thickBot="1" x14ac:dyDescent="0.25">
      <x:c r="B35" s="260" t="s">
        <x:v>89</x:v>
      </x:c>
      <x:c r="C35" s="261" t="s">
        <x:v>113</x:v>
      </x:c>
      <x:c r="D35" s="232">
        <x:f>'REMUNERACION_EAAB-CL'!D130</x:f>
        <x:v>0</x:v>
      </x:c>
      <x:c r="E35" s="225">
        <x:f>'REMUNERACION_EAAB-CL'!E130</x:f>
        <x:v>0</x:v>
      </x:c>
      <x:c r="G35" s="282"/>
      <x:c r="H35" s="283"/>
      <x:c r="I35" s="225"/>
      <x:c r="J35" s="225"/>
      <x:c r="K35" s="225"/>
      <x:c r="L35" s="225"/>
      <x:c r="O35" s="273"/>
      <x:c r="Q35" s="242"/>
    </x:row>
    <x:row r="36" spans="1:35" s="241" customFormat="1" ht="12.75" thickBot="1" x14ac:dyDescent="0.25">
      <x:c r="B36" s="284"/>
      <x:c r="C36" s="285" t="s">
        <x:v>2</x:v>
      </x:c>
      <x:c r="D36" s="286">
        <x:f t="shared" ref="D36:E36" si="5">SUM(D30:D34)</x:f>
        <x:v>0</x:v>
      </x:c>
      <x:c r="E36" s="286">
        <x:f t="shared" si="5"/>
        <x:v>0</x:v>
      </x:c>
      <x:c r="F36" s="287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287"/>
      <x:c r="N36" s="287"/>
      <x:c r="O36" s="288"/>
      <x:c r="P36" s="265"/>
      <x:c r="Q36" s="242"/>
    </x:row>
    <x:row r="37" spans="1:35" x14ac:dyDescent="0.2">
      <x:c r="B37" s="2"/>
      <x:c r="C37" s="2"/>
      <x:c r="D37" s="24"/>
      <x:c r="Q37" s="4"/>
      <x:c r="AI37" s="241"/>
    </x:row>
    <x:row r="38" spans="1:35" x14ac:dyDescent="0.2">
      <x:c r="B38" s="2"/>
      <x:c r="C38" s="2"/>
      <x:c r="D38" s="24"/>
      <x:c r="L38" s="1" t="s">
        <x:v>1</x:v>
      </x:c>
      <x:c r="Q38" s="4"/>
      <x:c r="AI38" s="241"/>
    </x:row>
    <x:row r="39" spans="1:35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241"/>
    </x:row>
    <x:row r="40" spans="1:35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08" t="b">
        <x:f>D14='REMUNERACION_EAAB-CL'!D109</x:f>
        <x:v>1</x:v>
      </x:c>
      <x:c r="E44" s="208" t="b">
        <x:f>E14='REMUNERACION_EAAB-CL'!E109</x:f>
        <x:v>1</x:v>
      </x:c>
      <x:c r="F44" s="208" t="b">
        <x:f>F14='REMUNERACION_EAAB-CL'!F109</x:f>
        <x:v>1</x:v>
      </x:c>
      <x:c r="G44" s="208" t="b">
        <x:f>G14='REMUNERACION_EAAB-CL'!G109</x:f>
        <x:v>1</x:v>
      </x:c>
      <x:c r="H44" s="208" t="b">
        <x:f>H14='REMUNERACION_EAAB-CL'!H109</x:f>
        <x:v>1</x:v>
      </x:c>
      <x:c r="I44" s="208" t="b">
        <x:f>I14='REMUNERACION_EAAB-CL'!I109</x:f>
        <x:v>1</x:v>
      </x:c>
      <x:c r="J44" s="208" t="b">
        <x:f>J14='REMUNERACION_EAAB-CL'!J109</x:f>
        <x:v>1</x:v>
      </x:c>
      <x:c r="K44" s="208" t="b">
        <x:f>K14='REMUNERACION_EAAB-CL'!K109</x:f>
        <x:v>1</x:v>
      </x:c>
      <x:c r="L44" s="208" t="b">
        <x:f>L14='REMUNERACION_EAAB-CL'!L109</x:f>
        <x:v>1</x:v>
      </x:c>
      <x:c r="M44" s="208" t="b">
        <x:f>M14='REMUNERACION_EAAB-CL'!M109</x:f>
        <x:v>1</x:v>
      </x:c>
      <x:c r="N44" s="208" t="b">
        <x:f>N14='REMUNERACION_EAAB-CL'!N109</x:f>
        <x:v>1</x:v>
      </x:c>
      <x:c r="O44" s="208" t="b">
        <x:f>O14='REMUNERACION_EAAB-CL'!O109</x:f>
        <x:v>1</x:v>
      </x:c>
      <x:c r="Q44" s="24"/>
      <x:c r="T44" s="24"/>
    </x:row>
    <x:row r="45" spans="1:35" x14ac:dyDescent="0.2">
      <x:c r="D45" s="208" t="b">
        <x:f>D36='REMUNERACION_EAAB-CL'!D131</x:f>
        <x:v>1</x:v>
      </x:c>
      <x:c r="E45" s="208" t="b">
        <x:f>E36='REMUNERACION_EAAB-CL'!E131</x:f>
        <x:v>1</x:v>
      </x:c>
      <x:c r="F45" s="208" t="b">
        <x:f>F36='REMUNERACION_EAAB-CL'!F131</x:f>
        <x:v>1</x:v>
      </x:c>
      <x:c r="G45" s="208" t="b">
        <x:f>G36='REMUNERACION_EAAB-CL'!G131</x:f>
        <x:v>1</x:v>
      </x:c>
      <x:c r="H45" s="208" t="b">
        <x:f>H36='REMUNERACION_EAAB-CL'!H131</x:f>
        <x:v>1</x:v>
      </x:c>
      <x:c r="I45" s="208" t="b">
        <x:f>I36='REMUNERACION_EAAB-CL'!I131</x:f>
        <x:v>1</x:v>
      </x:c>
      <x:c r="J45" s="208" t="b">
        <x:f>J36='REMUNERACION_EAAB-CL'!J131</x:f>
        <x:v>1</x:v>
      </x:c>
      <x:c r="K45" s="208" t="b">
        <x:f>K36='REMUNERACION_EAAB-CL'!K131</x:f>
        <x:v>1</x:v>
      </x:c>
      <x:c r="L45" s="208" t="b">
        <x:f>L36='REMUNERACION_EAAB-CL'!L131</x:f>
        <x:v>1</x:v>
      </x:c>
      <x:c r="M45" s="208" t="b">
        <x:f>M36='REMUNERACION_EAAB-CL'!M131</x:f>
        <x:v>1</x:v>
      </x:c>
      <x:c r="N45" s="208" t="b">
        <x:f>N36='REMUNERACION_EAAB-CL'!N131</x:f>
        <x:v>1</x:v>
      </x:c>
      <x:c r="O45" s="208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workbookViewId="0">
      <x:selection activeCell="D39" sqref="D39"/>
    </x:sheetView>
  </x:sheetViews>
  <x:sheetFormatPr baseColWidth="10" defaultColWidth="11.42578125" defaultRowHeight="15" x14ac:dyDescent="0.25"/>
  <x:cols>
    <x:col min="1" max="1" width="2.7109375" style="520" customWidth="1"/>
    <x:col min="2" max="2" width="7.28515625" style="520" customWidth="1"/>
    <x:col min="3" max="3" width="42.7109375" style="520" customWidth="1"/>
    <x:col min="4" max="15" width="28.5703125" style="520" customWidth="1"/>
    <x:col min="16" max="16384" width="11.42578125" style="520"/>
  </x:cols>
  <x:sheetData>
    <x:row r="1" spans="2:20" customFormat="1" ht="12.75" x14ac:dyDescent="0.2"/>
    <x:row r="2" spans="2:20" customFormat="1" ht="12.75" x14ac:dyDescent="0.2">
      <x:c r="T2" s="131" t="s">
        <x:v>329</x:v>
      </x:c>
    </x:row>
    <x:row r="3" spans="2:20" customFormat="1" x14ac:dyDescent="0.2">
      <x:c r="F3" s="540" t="s">
        <x:v>8</x:v>
      </x:c>
      <x:c r="H3" s="540" t="s">
        <x:v>16</x:v>
      </x:c>
      <x:c r="L3" s="540" t="s">
        <x:v>228</x:v>
      </x:c>
      <x:c r="M3" s="540" t="s">
        <x:v>339</x:v>
      </x:c>
      <x:c r="T3" s="131"/>
    </x:row>
    <x:row r="4" spans="2:20" customFormat="1" x14ac:dyDescent="0.2">
      <x:c r="F4" s="540" t="s">
        <x:v>29</x:v>
      </x:c>
    </x:row>
    <x:row r="5" spans="2:20" customFormat="1" x14ac:dyDescent="0.2">
      <x:c r="F5" s="540" t="s">
        <x:v>229</x:v>
      </x:c>
    </x:row>
    <x:row r="6" spans="2:20" customFormat="1" x14ac:dyDescent="0.2">
      <x:c r="C6" s="540" t="s">
        <x:v>230</x:v>
      </x:c>
      <x:c r="D6" s="540" t="inlineStr">
        <x:is>
          <x:t>04/08/2026</x:t>
        </x:is>
      </x:c>
      <x:c r="F6" s="540" t="s">
        <x:v>231</x:v>
      </x:c>
    </x:row>
    <x:row r="7" spans="2:20" customFormat="1" x14ac:dyDescent="0.2">
      <x:c r="C7" s="540" t="s">
        <x:v>232</x:v>
      </x:c>
      <x:c r="D7" s="540" t="inlineStr">
        <x:is>
          <x:t>10:15 AM</x:t>
        </x:is>
      </x:c>
      <x:c r="F7" s="540" t="s">
        <x:v>27</x:v>
      </x:c>
      <x:c r="G7" s="540" t="s">
        <x:v>342</x:v>
      </x:c>
      <x:c r="I7" s="540" t="s">
        <x:v>233</x:v>
      </x:c>
      <x:c r="J7" s="540" t="s">
        <x:v>343</x:v>
      </x:c>
    </x:row>
    <x:row r="8" spans="2:20" customFormat="1" ht="45" x14ac:dyDescent="0.2">
      <x:c r="B8" s="541" t="s">
        <x:v>3</x:v>
      </x:c>
      <x:c r="C8" s="541" t="s">
        <x:v>234</x:v>
      </x:c>
      <x:c r="D8" s="541" t="s">
        <x:v>235</x:v>
      </x:c>
      <x:c r="E8" s="541" t="s">
        <x:v>236</x:v>
      </x:c>
      <x:c r="F8" s="541" t="s">
        <x:v>237</x:v>
      </x:c>
      <x:c r="G8" s="541" t="s">
        <x:v>238</x:v>
      </x:c>
      <x:c r="H8" s="541" t="s">
        <x:v>239</x:v>
      </x:c>
      <x:c r="I8" s="541" t="s">
        <x:v>240</x:v>
      </x:c>
      <x:c r="J8" s="541" t="s">
        <x:v>241</x:v>
      </x:c>
      <x:c r="K8" s="541" t="s">
        <x:v>242</x:v>
      </x:c>
      <x:c r="L8" s="541" t="s">
        <x:v>243</x:v>
      </x:c>
      <x:c r="M8" s="541" t="s">
        <x:v>244</x:v>
      </x:c>
      <x:c r="N8" s="541" t="s">
        <x:v>245</x:v>
      </x:c>
      <x:c r="O8" s="541" t="s">
        <x:v>246</x:v>
      </x:c>
    </x:row>
    <x:row r="9" spans="2:20" customFormat="1" ht="12.75" x14ac:dyDescent="0.2">
      <x:c r="B9" s="525" t="s">
        <x:v>115</x:v>
      </x:c>
      <x:c r="C9" s="525" t="s">
        <x:v>10</x:v>
      </x:c>
      <x:c r="D9" s="731" t="n">
        <x:v>17450228673</x:v>
      </x:c>
      <x:c r="E9" s="731">
        <x:v>0</x:v>
      </x:c>
      <x:c r="F9" s="731">
        <x:v>0</x:v>
      </x:c>
      <x:c r="G9" s="731">
        <x:v>0</x:v>
      </x:c>
      <x:c r="H9" s="731">
        <x:v>0</x:v>
      </x:c>
      <x:c r="I9" s="731">
        <x:v>0</x:v>
      </x:c>
      <x:c r="J9" s="731" t="n">
        <x:v>-3589454666</x:v>
      </x:c>
      <x:c r="K9" s="731">
        <x:v>0</x:v>
      </x:c>
      <x:c r="L9" s="731" t="n">
        <x:v>189185988</x:v>
      </x:c>
      <x:c r="M9" s="731">
        <x:v>0</x:v>
      </x:c>
      <x:c r="N9" s="731">
        <x:v>0</x:v>
      </x:c>
      <x:c r="O9" s="731">
        <x:v>0</x:v>
      </x:c>
    </x:row>
    <x:row r="10" spans="2:20" customFormat="1" ht="12.75" x14ac:dyDescent="0.2">
      <x:c r="B10" s="525" t="s">
        <x:v>116</x:v>
      </x:c>
      <x:c r="C10" s="525" t="s">
        <x:v>11</x:v>
      </x:c>
      <x:c r="D10" s="731" t="n">
        <x:v>20516143970</x:v>
      </x:c>
      <x:c r="E10" s="731">
        <x:v>0</x:v>
      </x:c>
      <x:c r="F10" s="731">
        <x:v>0</x:v>
      </x:c>
      <x:c r="G10" s="731">
        <x:v>0</x:v>
      </x:c>
      <x:c r="H10" s="731">
        <x:v>0</x:v>
      </x:c>
      <x:c r="I10" s="731">
        <x:v>0</x:v>
      </x:c>
      <x:c r="J10" s="731" t="n">
        <x:v>-3241193714</x:v>
      </x:c>
      <x:c r="K10" s="731">
        <x:v>0</x:v>
      </x:c>
      <x:c r="L10" s="731" t="n">
        <x:v>266580256</x:v>
      </x:c>
      <x:c r="M10" s="731">
        <x:v>0</x:v>
      </x:c>
      <x:c r="N10" s="731">
        <x:v>0</x:v>
      </x:c>
      <x:c r="O10" s="731">
        <x:v>0</x:v>
      </x:c>
    </x:row>
    <x:row r="11" spans="2:20" customFormat="1" ht="12.75" x14ac:dyDescent="0.2">
      <x:c r="B11" s="525" t="s">
        <x:v>117</x:v>
      </x:c>
      <x:c r="C11" s="525" t="s">
        <x:v>247</x:v>
      </x:c>
      <x:c r="D11" s="731" t="n">
        <x:v>15221896467</x:v>
      </x:c>
      <x:c r="E11" s="731">
        <x:v>0</x:v>
      </x:c>
      <x:c r="F11" s="731">
        <x:v>0</x:v>
      </x:c>
      <x:c r="G11" s="731">
        <x:v>0</x:v>
      </x:c>
      <x:c r="H11" s="731">
        <x:v>0</x:v>
      </x:c>
      <x:c r="I11" s="731">
        <x:v>0</x:v>
      </x:c>
      <x:c r="J11" s="731" t="n">
        <x:v>-853244565</x:v>
      </x:c>
      <x:c r="K11" s="731">
        <x:v>0</x:v>
      </x:c>
      <x:c r="L11" s="731" t="n">
        <x:v>154788536</x:v>
      </x:c>
      <x:c r="M11" s="731">
        <x:v>0</x:v>
      </x:c>
      <x:c r="N11" s="731">
        <x:v>0</x:v>
      </x:c>
      <x:c r="O11" s="731">
        <x:v>0</x:v>
      </x:c>
    </x:row>
    <x:row r="12" spans="2:20" customFormat="1" ht="12.75" x14ac:dyDescent="0.2">
      <x:c r="B12" s="525" t="s">
        <x:v>248</x:v>
      </x:c>
      <x:c r="C12" s="525" t="s">
        <x:v>13</x:v>
      </x:c>
      <x:c r="D12" s="731" t="n">
        <x:v>7179595396</x:v>
      </x:c>
      <x:c r="E12" s="731">
        <x:v>0</x:v>
      </x:c>
      <x:c r="F12" s="731">
        <x:v>0</x:v>
      </x:c>
      <x:c r="G12" s="731">
        <x:v>0</x:v>
      </x:c>
      <x:c r="H12" s="731">
        <x:v>0</x:v>
      </x:c>
      <x:c r="I12" s="731">
        <x:v>0</x:v>
      </x:c>
      <x:c r="J12" s="731" t="n">
        <x:v>-699882713</x:v>
      </x:c>
      <x:c r="K12" s="731">
        <x:v>0</x:v>
      </x:c>
      <x:c r="L12" s="731" t="n">
        <x:v>120391083</x:v>
      </x:c>
      <x:c r="M12" s="731">
        <x:v>0</x:v>
      </x:c>
      <x:c r="N12" s="731">
        <x:v>0</x:v>
      </x:c>
      <x:c r="O12" s="731">
        <x:v>0</x:v>
      </x:c>
    </x:row>
    <x:row r="13" spans="2:20" customFormat="1" ht="13.5" thickBot="1" x14ac:dyDescent="0.25">
      <x:c r="B13" s="525" t="s">
        <x:v>118</x:v>
      </x:c>
      <x:c r="C13" s="729" t="s">
        <x:v>14</x:v>
      </x:c>
      <x:c r="D13" s="732" t="n">
        <x:v>12073344662</x:v>
      </x:c>
      <x:c r="E13" s="732">
        <x:v>0</x:v>
      </x:c>
      <x:c r="F13" s="732">
        <x:v>0</x:v>
      </x:c>
      <x:c r="G13" s="732">
        <x:v>0</x:v>
      </x:c>
      <x:c r="H13" s="732">
        <x:v>0</x:v>
      </x:c>
      <x:c r="I13" s="732">
        <x:v>0</x:v>
      </x:c>
      <x:c r="J13" s="732" t="n">
        <x:v>-1293384652</x:v>
      </x:c>
      <x:c r="K13" s="732">
        <x:v>0</x:v>
      </x:c>
      <x:c r="L13" s="732" t="n">
        <x:v>128990446</x:v>
      </x:c>
      <x:c r="M13" s="732">
        <x:v>0</x:v>
      </x:c>
      <x:c r="N13" s="732">
        <x:v>0</x:v>
      </x:c>
      <x:c r="O13" s="732">
        <x:v>0</x:v>
      </x:c>
    </x:row>
    <x:row r="14" spans="2:20" customFormat="1" ht="13.5" thickBot="1" x14ac:dyDescent="0.25">
      <x:c r="B14" s="728" t="s">
        <x:v>249</x:v>
      </x:c>
      <x:c r="C14" s="730" t="s">
        <x:v>70</x:v>
      </x:c>
      <x:c r="D14" s="733" t="n">
        <x:v>72441209168</x:v>
      </x:c>
      <x:c r="E14" s="733">
        <x:v>0</x:v>
      </x:c>
      <x:c r="F14" s="733">
        <x:v>0</x:v>
      </x:c>
      <x:c r="G14" s="733">
        <x:v>0</x:v>
      </x:c>
      <x:c r="H14" s="733">
        <x:v>0</x:v>
      </x:c>
      <x:c r="I14" s="733">
        <x:v>0</x:v>
      </x:c>
      <x:c r="J14" s="733">
        <x:v>0</x:v>
      </x:c>
      <x:c r="K14" s="733">
        <x:v>0</x:v>
      </x:c>
      <x:c r="L14" s="733">
        <x:v>0</x:v>
      </x:c>
      <x:c r="M14" s="733">
        <x:v>0</x:v>
      </x:c>
      <x:c r="N14" s="733">
        <x:v>0</x:v>
      </x:c>
      <x:c r="O14" s="734">
        <x:v>0</x:v>
      </x:c>
    </x:row>
    <x:row r="15" spans="2:20" customFormat="1" ht="12.75" x14ac:dyDescent="0.2"/>
    <x:row r="16" spans="2:20" customFormat="1" ht="12.75" x14ac:dyDescent="0.2">
      <x:c r="C16" s="542"/>
    </x:row>
    <x:row r="18" spans="2:15" x14ac:dyDescent="0.25">
      <x:c r="E18" s="522" t="s">
        <x:v>250</x:v>
      </x:c>
    </x:row>
    <x:row r="19" spans="2:15" x14ac:dyDescent="0.25">
      <x:c r="F19" s="522" t="s">
        <x:v>25</x:v>
      </x:c>
    </x:row>
    <x:row r="22" spans="2:15" ht="36" x14ac:dyDescent="0.25">
      <x:c r="C22" s="529" t="s">
        <x:v>9</x:v>
      </x:c>
      <x:c r="D22" s="529" t="s">
        <x:v>4</x:v>
      </x:c>
      <x:c r="E22" s="529" t="s">
        <x:v>5</x:v>
      </x:c>
      <x:c r="F22" s="529" t="s">
        <x:v>6</x:v>
      </x:c>
      <x:c r="G22" s="529" t="s">
        <x:v>159</x:v>
      </x:c>
      <x:c r="H22" s="529" t="s">
        <x:v>18</x:v>
      </x:c>
      <x:c r="I22" s="529" t="s">
        <x:v>24</x:v>
      </x:c>
      <x:c r="J22" s="529" t="s">
        <x:v>19</x:v>
      </x:c>
      <x:c r="K22" s="530" t="s">
        <x:v>20</x:v>
      </x:c>
      <x:c r="L22" s="529" t="s">
        <x:v>21</x:v>
      </x:c>
      <x:c r="M22" s="530" t="s">
        <x:v>22</x:v>
      </x:c>
      <x:c r="N22" s="529" t="s">
        <x:v>7</x:v>
      </x:c>
      <x:c r="O22" s="530" t="s">
        <x:v>23</x:v>
      </x:c>
    </x:row>
    <x:row r="23" spans="2:15" x14ac:dyDescent="0.25">
      <x:c r="B23" s="521" t="s">
        <x:v>115</x:v>
      </x:c>
      <x:c r="C23" s="521" t="s">
        <x:v>10</x:v>
      </x:c>
      <x:c r="D23" s="531">
        <x:f>D9-'CONSOLIDADO_TOTAL RECAUDO'!D104</x:f>
        <x:v>0</x:v>
      </x:c>
      <x:c r="E23" s="531">
        <x:f>E9-'CONSOLIDADO_TOTAL RECAUDO'!E104</x:f>
        <x:v>0</x:v>
      </x:c>
      <x:c r="F23" s="531">
        <x:f>F9-'CONSOLIDADO_TOTAL RECAUDO'!F104</x:f>
        <x:v>0</x:v>
      </x:c>
      <x:c r="G23" s="531">
        <x:f>G9-'CONSOLIDADO_TOTAL RECAUDO'!G104</x:f>
        <x:v>0</x:v>
      </x:c>
      <x:c r="H23" s="531">
        <x:f>H9-'CONSOLIDADO_TOTAL RECAUDO'!H104</x:f>
        <x:v>0</x:v>
      </x:c>
      <x:c r="I23" s="531">
        <x:f>I9-'CONSOLIDADO_TOTAL RECAUDO'!I104</x:f>
        <x:v>0</x:v>
      </x:c>
      <x:c r="J23" s="531">
        <x:f>J9-'CONSOLIDADO_TOTAL RECAUDO'!J104</x:f>
        <x:v>0</x:v>
      </x:c>
      <x:c r="K23" s="531">
        <x:f>K9-'CONSOLIDADO_TOTAL RECAUDO'!K104</x:f>
        <x:v>0</x:v>
      </x:c>
      <x:c r="L23" s="531">
        <x:f>L9-'CONSOLIDADO_TOTAL RECAUDO'!L104</x:f>
        <x:v>-189185988</x:v>
      </x:c>
      <x:c r="M23" s="531">
        <x:f>M9-'CONSOLIDADO_TOTAL RECAUDO'!M104</x:f>
        <x:v>189185988</x:v>
      </x:c>
      <x:c r="N23" s="531">
        <x:f>N9-'CONSOLIDADO_TOTAL RECAUDO'!N104</x:f>
        <x:v>0</x:v>
      </x:c>
      <x:c r="O23" s="531">
        <x:f>O9-'CONSOLIDADO_TOTAL RECAUDO'!O104</x:f>
        <x:v>189185988</x:v>
      </x:c>
    </x:row>
    <x:row r="24" spans="2:15" x14ac:dyDescent="0.25">
      <x:c r="B24" s="521" t="s">
        <x:v>116</x:v>
      </x:c>
      <x:c r="C24" s="521" t="s">
        <x:v>11</x:v>
      </x:c>
      <x:c r="D24" s="531">
        <x:f>D10-'CONSOLIDADO_TOTAL RECAUDO'!D105</x:f>
        <x:v>0</x:v>
      </x:c>
      <x:c r="E24" s="531">
        <x:f>E10-'CONSOLIDADO_TOTAL RECAUDO'!E105</x:f>
        <x:v>0</x:v>
      </x:c>
      <x:c r="F24" s="531">
        <x:f>F10-'CONSOLIDADO_TOTAL RECAUDO'!F105</x:f>
        <x:v>0</x:v>
      </x:c>
      <x:c r="G24" s="531">
        <x:f>G10-'CONSOLIDADO_TOTAL RECAUDO'!G105</x:f>
        <x:v>0</x:v>
      </x:c>
      <x:c r="H24" s="531">
        <x:f>H10-'CONSOLIDADO_TOTAL RECAUDO'!H105</x:f>
        <x:v>0</x:v>
      </x:c>
      <x:c r="I24" s="531">
        <x:f>I10-'CONSOLIDADO_TOTAL RECAUDO'!I105</x:f>
        <x:v>0</x:v>
      </x:c>
      <x:c r="J24" s="531">
        <x:f>J10-'CONSOLIDADO_TOTAL RECAUDO'!J105</x:f>
        <x:v>0</x:v>
      </x:c>
      <x:c r="K24" s="531">
        <x:f>K10-'CONSOLIDADO_TOTAL RECAUDO'!K105</x:f>
        <x:v>0</x:v>
      </x:c>
      <x:c r="L24" s="531">
        <x:f>L10-'CONSOLIDADO_TOTAL RECAUDO'!L105</x:f>
        <x:v>-266580256</x:v>
      </x:c>
      <x:c r="M24" s="531">
        <x:f>M10-'CONSOLIDADO_TOTAL RECAUDO'!M105</x:f>
        <x:v>266580256</x:v>
      </x:c>
      <x:c r="N24" s="531">
        <x:f>N10-'CONSOLIDADO_TOTAL RECAUDO'!N105</x:f>
        <x:v>0</x:v>
      </x:c>
      <x:c r="O24" s="531">
        <x:f>O10-'CONSOLIDADO_TOTAL RECAUDO'!O105</x:f>
        <x:v>266580256</x:v>
      </x:c>
    </x:row>
    <x:row r="25" spans="2:15" x14ac:dyDescent="0.25">
      <x:c r="B25" s="521" t="s">
        <x:v>117</x:v>
      </x:c>
      <x:c r="C25" s="521" t="s">
        <x:v>247</x:v>
      </x:c>
      <x:c r="D25" s="531">
        <x:f>D11-'CONSOLIDADO_TOTAL RECAUDO'!D106</x:f>
        <x:v>0</x:v>
      </x:c>
      <x:c r="E25" s="531">
        <x:f>E11-'CONSOLIDADO_TOTAL RECAUDO'!E106</x:f>
        <x:v>0</x:v>
      </x:c>
      <x:c r="F25" s="531">
        <x:f>F11-'CONSOLIDADO_TOTAL RECAUDO'!F106</x:f>
        <x:v>0</x:v>
      </x:c>
      <x:c r="G25" s="531">
        <x:f>G11-'CONSOLIDADO_TOTAL RECAUDO'!G106</x:f>
        <x:v>0</x:v>
      </x:c>
      <x:c r="H25" s="531">
        <x:f>H11-'CONSOLIDADO_TOTAL RECAUDO'!H106</x:f>
        <x:v>0</x:v>
      </x:c>
      <x:c r="I25" s="531">
        <x:f>I11-'CONSOLIDADO_TOTAL RECAUDO'!I106</x:f>
        <x:v>0</x:v>
      </x:c>
      <x:c r="J25" s="531">
        <x:f>J11-'CONSOLIDADO_TOTAL RECAUDO'!J106</x:f>
        <x:v>0</x:v>
      </x:c>
      <x:c r="K25" s="531">
        <x:f>K11-'CONSOLIDADO_TOTAL RECAUDO'!K106</x:f>
        <x:v>0</x:v>
      </x:c>
      <x:c r="L25" s="531">
        <x:f>L11-'CONSOLIDADO_TOTAL RECAUDO'!L106</x:f>
        <x:v>-154788536</x:v>
      </x:c>
      <x:c r="M25" s="531">
        <x:f>M11-'CONSOLIDADO_TOTAL RECAUDO'!M106</x:f>
        <x:v>154788536</x:v>
      </x:c>
      <x:c r="N25" s="531">
        <x:f>N11-'CONSOLIDADO_TOTAL RECAUDO'!N106</x:f>
        <x:v>0</x:v>
      </x:c>
      <x:c r="O25" s="531">
        <x:f>O11-'CONSOLIDADO_TOTAL RECAUDO'!O106</x:f>
        <x:v>154788536</x:v>
      </x:c>
    </x:row>
    <x:row r="26" spans="2:15" x14ac:dyDescent="0.25">
      <x:c r="B26" s="521" t="s">
        <x:v>248</x:v>
      </x:c>
      <x:c r="C26" s="521" t="s">
        <x:v>13</x:v>
      </x:c>
      <x:c r="D26" s="531">
        <x:f>D12-'CONSOLIDADO_TOTAL RECAUDO'!D107</x:f>
        <x:v>0</x:v>
      </x:c>
      <x:c r="E26" s="531">
        <x:f>E12-'CONSOLIDADO_TOTAL RECAUDO'!E107</x:f>
        <x:v>0</x:v>
      </x:c>
      <x:c r="F26" s="531">
        <x:f>F12-'CONSOLIDADO_TOTAL RECAUDO'!F107</x:f>
        <x:v>0</x:v>
      </x:c>
      <x:c r="G26" s="531">
        <x:f>G12-'CONSOLIDADO_TOTAL RECAUDO'!G107</x:f>
        <x:v>0</x:v>
      </x:c>
      <x:c r="H26" s="531">
        <x:f>H12-'CONSOLIDADO_TOTAL RECAUDO'!H107</x:f>
        <x:v>0</x:v>
      </x:c>
      <x:c r="I26" s="531">
        <x:f>I12-'CONSOLIDADO_TOTAL RECAUDO'!I107</x:f>
        <x:v>0</x:v>
      </x:c>
      <x:c r="J26" s="531">
        <x:f>J12-'CONSOLIDADO_TOTAL RECAUDO'!J107</x:f>
        <x:v>0</x:v>
      </x:c>
      <x:c r="K26" s="531">
        <x:f>K12-'CONSOLIDADO_TOTAL RECAUDO'!K107</x:f>
        <x:v>0</x:v>
      </x:c>
      <x:c r="L26" s="531">
        <x:f>L12-'CONSOLIDADO_TOTAL RECAUDO'!L107</x:f>
        <x:v>-120391083</x:v>
      </x:c>
      <x:c r="M26" s="531">
        <x:f>M12-'CONSOLIDADO_TOTAL RECAUDO'!M107</x:f>
        <x:v>120391083</x:v>
      </x:c>
      <x:c r="N26" s="531">
        <x:f>N12-'CONSOLIDADO_TOTAL RECAUDO'!N107</x:f>
        <x:v>0</x:v>
      </x:c>
      <x:c r="O26" s="531">
        <x:f>O12-'CONSOLIDADO_TOTAL RECAUDO'!O107</x:f>
        <x:v>120391083</x:v>
      </x:c>
    </x:row>
    <x:row r="27" spans="2:15" ht="15.75" thickBot="1" x14ac:dyDescent="0.3">
      <x:c r="B27" s="521" t="s">
        <x:v>118</x:v>
      </x:c>
      <x:c r="C27" s="521" t="s">
        <x:v>14</x:v>
      </x:c>
      <x:c r="D27" s="531">
        <x:f>D13-'CONSOLIDADO_TOTAL RECAUDO'!D108</x:f>
        <x:v>0</x:v>
      </x:c>
      <x:c r="E27" s="531">
        <x:f>E13-'CONSOLIDADO_TOTAL RECAUDO'!E108</x:f>
        <x:v>0</x:v>
      </x:c>
      <x:c r="F27" s="531">
        <x:f>F13-'CONSOLIDADO_TOTAL RECAUDO'!F108</x:f>
        <x:v>0</x:v>
      </x:c>
      <x:c r="G27" s="531">
        <x:f>G13-'CONSOLIDADO_TOTAL RECAUDO'!G108</x:f>
        <x:v>0</x:v>
      </x:c>
      <x:c r="H27" s="531">
        <x:f>H13-'CONSOLIDADO_TOTAL RECAUDO'!H108</x:f>
        <x:v>0</x:v>
      </x:c>
      <x:c r="I27" s="531">
        <x:f>I13-'CONSOLIDADO_TOTAL RECAUDO'!I108</x:f>
        <x:v>0</x:v>
      </x:c>
      <x:c r="J27" s="531">
        <x:f>J13-'CONSOLIDADO_TOTAL RECAUDO'!J108</x:f>
        <x:v>0</x:v>
      </x:c>
      <x:c r="K27" s="531">
        <x:f>K13-'CONSOLIDADO_TOTAL RECAUDO'!K108</x:f>
        <x:v>0</x:v>
      </x:c>
      <x:c r="L27" s="531">
        <x:f>L13-'CONSOLIDADO_TOTAL RECAUDO'!L108</x:f>
        <x:v>-128990446</x:v>
      </x:c>
      <x:c r="M27" s="531">
        <x:f>M13-'CONSOLIDADO_TOTAL RECAUDO'!M108</x:f>
        <x:v>128990446</x:v>
      </x:c>
      <x:c r="N27" s="531">
        <x:f>N13-'CONSOLIDADO_TOTAL RECAUDO'!N108</x:f>
        <x:v>0</x:v>
      </x:c>
      <x:c r="O27" s="531">
        <x:f>O13-'CONSOLIDADO_TOTAL RECAUDO'!O108</x:f>
        <x:v>128990446</x:v>
      </x:c>
    </x:row>
    <x:row r="28" spans="2:15" customFormat="1" ht="13.5" thickBot="1" x14ac:dyDescent="0.25">
      <x:c r="B28" s="728" t="s">
        <x:v>249</x:v>
      </x:c>
      <x:c r="C28" s="730" t="s">
        <x:v>70</x:v>
      </x:c>
      <x:c r="D28" s="735">
        <x:f>D14-'CONSOLIDADO_TOTAL RECAUDO'!D109</x:f>
        <x:v>0</x:v>
      </x:c>
      <x:c r="E28" s="735">
        <x:f>E14-'CONSOLIDADO_TOTAL RECAUDO'!E109</x:f>
        <x:v>0</x:v>
      </x:c>
      <x:c r="F28" s="735">
        <x:f>F14-'CONSOLIDADO_TOTAL RECAUDO'!F109</x:f>
        <x:v>0</x:v>
      </x:c>
      <x:c r="G28" s="735">
        <x:f>G14-'CONSOLIDADO_TOTAL RECAUDO'!G109</x:f>
        <x:v>0</x:v>
      </x:c>
      <x:c r="H28" s="735">
        <x:f>H14-'CONSOLIDADO_TOTAL RECAUDO'!H109</x:f>
        <x:v>0</x:v>
      </x:c>
      <x:c r="I28" s="735">
        <x:f>I14-'CONSOLIDADO_TOTAL RECAUDO'!I109</x:f>
        <x:v>0</x:v>
      </x:c>
      <x:c r="J28" s="735">
        <x:f>J14-'CONSOLIDADO_TOTAL RECAUDO'!J109</x:f>
        <x:v>0</x:v>
      </x:c>
      <x:c r="K28" s="735">
        <x:f>K14-'CONSOLIDADO_TOTAL RECAUDO'!K109</x:f>
        <x:v>0</x:v>
      </x:c>
      <x:c r="L28" s="735">
        <x:f>L14-'CONSOLIDADO_TOTAL RECAUDO'!L109</x:f>
        <x:v>-859936309</x:v>
      </x:c>
      <x:c r="M28" s="735">
        <x:f>M14-'CONSOLIDADO_TOTAL RECAUDO'!M109</x:f>
        <x:v>859936309</x:v>
      </x:c>
      <x:c r="N28" s="735">
        <x:f>N14-'CONSOLIDADO_TOTAL RECAUDO'!N109</x:f>
        <x:v>0</x:v>
      </x:c>
      <x:c r="O28" s="736">
        <x:f>O14-'CONSOLIDADO_TOTAL RECAUDO'!O109</x:f>
        <x:v>859936309</x:v>
      </x:c>
    </x:row>
    <x:row r="31" spans="2:15" ht="36" x14ac:dyDescent="0.25">
      <x:c r="C31" s="529" t="s">
        <x:v>9</x:v>
      </x:c>
      <x:c r="D31" s="529" t="s">
        <x:v>4</x:v>
      </x:c>
      <x:c r="E31" s="529" t="s">
        <x:v>5</x:v>
      </x:c>
      <x:c r="F31" s="529" t="s">
        <x:v>6</x:v>
      </x:c>
      <x:c r="G31" s="529" t="s">
        <x:v>159</x:v>
      </x:c>
      <x:c r="H31" s="529" t="s">
        <x:v>18</x:v>
      </x:c>
      <x:c r="I31" s="529" t="s">
        <x:v>24</x:v>
      </x:c>
      <x:c r="J31" s="581" t="s">
        <x:v>19</x:v>
      </x:c>
      <x:c r="K31" s="530" t="s">
        <x:v>20</x:v>
      </x:c>
      <x:c r="L31" s="581" t="s">
        <x:v>21</x:v>
      </x:c>
      <x:c r="M31" s="530" t="s">
        <x:v>22</x:v>
      </x:c>
      <x:c r="N31" s="529" t="s">
        <x:v>7</x:v>
      </x:c>
      <x:c r="O31" s="530" t="s">
        <x:v>23</x:v>
      </x:c>
    </x:row>
    <x:row r="32" spans="2:15" x14ac:dyDescent="0.25">
      <x:c r="B32" s="521" t="s">
        <x:v>115</x:v>
      </x:c>
      <x:c r="C32" s="274" t="s">
        <x:v>10</x:v>
      </x:c>
      <x:c r="D32" s="534" t="b">
        <x:f>+D23+'Reporte Componentes R1'!F53+'Rem. Anticipos R2'!E43+'Reversion Pagos R4'!D73+'Reporte Componentes R1'!F55+'AJUSTES - SF-T'!D47=D9</x:f>
        <x:v>1</x:v>
      </x:c>
      <x:c r="E32" s="534" t="b">
        <x:f>+E23+'Reporte Componentes R1'!G53+'Rem. Anticipos R2'!F43+'Reversion Pagos R4'!E73+'Reporte Componentes R1'!G55+'AJUSTES - SF-T'!E47=E9</x:f>
        <x:v>1</x:v>
      </x:c>
      <x:c r="F32" s="534" t="b">
        <x:f>+F23+'Reporte Componentes R1'!H53+'Rem. Anticipos R2'!G43+'Reversion Pagos R4'!F73+'Reporte Componentes R1'!H55+'AJUSTES - SF-T'!F47=F9</x:f>
        <x:v>1</x:v>
      </x:c>
      <x:c r="G32" s="534" t="b">
        <x:f>+G23+'Reporte Componentes R1'!I53+'Rem. Anticipos R2'!H43+'Reversion Pagos R4'!G73+'Reporte Componentes R1'!I55+'AJUSTES - SF-T'!G47=G9</x:f>
        <x:v>1</x:v>
      </x:c>
      <x:c r="H32" s="534" t="b">
        <x:f>+H23+'Reporte Componentes R1'!J53+'Rem. Anticipos R2'!I43+'Reversion Pagos R4'!H73+'Reporte Componentes R1'!J55+'AJUSTES - SF-T'!H47=H9</x:f>
        <x:v>1</x:v>
      </x:c>
      <x:c r="I32" s="534" t="b">
        <x:f>+I23+'Reporte Componentes R1'!K53+'Rem. Anticipos R2'!J43+'Reversion Pagos R4'!I73+'Reporte Componentes R1'!K55+'AJUSTES - SF-T'!I47=I9</x:f>
        <x:v>1</x:v>
      </x:c>
      <x:c r="J32" s="534" t="b">
        <x:f>+'BCE SC POR FACT.'!F3+J23=J9</x:f>
        <x:v>1</x:v>
      </x:c>
      <x:c r="K32" s="534" t="b">
        <x:f>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FACT.'!F3)+K23)+'AJUSTES - SF-T'!K47=K9</x:f>
        <x:v>1</x:v>
      </x:c>
      <x:c r="L32" s="577" t="b">
        <x:f>INTERVENTORIA!F15+L23=L9</x:f>
        <x:v>1</x:v>
      </x:c>
      <x:c r="M32" s="531" t="b">
        <x: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FACT.'!F3))-INTERVENTORIA!F15)+M23)+'AJUSTES - SF-T'!M47=M9</x:f>
        <x:v>1</x:v>
      </x:c>
      <x:c r="N32" s="531" t="b">
        <x:f>'Reporte Componentes R1'!L53+'Rem. Anticipos R2'!K43+'Reversion Pagos R4'!P73+'Reporte Componentes R1'!L55+N23=N9</x:f>
        <x:v>1</x:v>
      </x:c>
      <x:c r="O32" s="531" t="b">
        <x: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FACT.'!F3))-INTERVENTORIA!F15))+'Reporte Componentes R1'!L53+'Rem. Anticipos R2'!K43+'Reversion Pagos R4'!P73+'Reporte Componentes R1'!L55+O23+'AJUSTES - SF-T'!O47=O9</x:f>
        <x:v>1</x:v>
      </x:c>
    </x:row>
    <x:row r="33" spans="2:15" x14ac:dyDescent="0.25">
      <x:c r="B33" s="521" t="s">
        <x:v>116</x:v>
      </x:c>
      <x:c r="C33" s="274" t="s">
        <x:v>11</x:v>
      </x:c>
      <x:c r="D33" s="534" t="b">
        <x:f>+D24+'Reporte Componentes R1'!F206+'Rem. Anticipos R2'!E139+'Reversion Pagos R4'!D168+'Reporte Componentes R1'!F208+'AJUSTES - SF-T'!D48=D10</x:f>
        <x:v>1</x:v>
      </x:c>
      <x:c r="E33" s="534" t="b">
        <x:f>+E24+'Reporte Componentes R1'!G206+'Rem. Anticipos R2'!F139+'Reversion Pagos R4'!E168+'Reporte Componentes R1'!G208+'AJUSTES - SF-T'!E48=E10</x:f>
        <x:v>1</x:v>
      </x:c>
      <x:c r="F33" s="534" t="b">
        <x:f>+F24+'Reporte Componentes R1'!H206+'Rem. Anticipos R2'!G139+'Reversion Pagos R4'!F168+'Reporte Componentes R1'!H208+'AJUSTES - SF-T'!F48=F10</x:f>
        <x:v>1</x:v>
      </x:c>
      <x:c r="G33" s="534" t="b">
        <x:f>+G24+'Reporte Componentes R1'!I206+'Rem. Anticipos R2'!H139+'Reversion Pagos R4'!G168+'Reporte Componentes R1'!I208+'AJUSTES - SF-T'!G48=G10</x:f>
        <x:v>1</x:v>
      </x:c>
      <x:c r="H33" s="534" t="b">
        <x:f>+H24+'Reporte Componentes R1'!J206+'Rem. Anticipos R2'!I139+'Reversion Pagos R4'!H168+'Reporte Componentes R1'!J208+'AJUSTES - SF-T'!H48=H10</x:f>
        <x:v>1</x:v>
      </x:c>
      <x:c r="I33" s="534" t="b">
        <x:f>+I24+'Reporte Componentes R1'!K206+'Rem. Anticipos R2'!J139+'Reversion Pagos R4'!I168+'Reporte Componentes R1'!K208+'AJUSTES - SF-T'!I48=I10</x:f>
        <x:v>1</x:v>
      </x:c>
      <x:c r="J33" s="534" t="b">
        <x:f>+'BCE SC POR FACT.'!F4+J24=J10</x:f>
        <x:v>1</x:v>
      </x:c>
      <x:c r="K33" s="531" t="b">
        <x:f>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FACT.'!F4)+K24)+'AJUSTES - SF-T'!K48=K10</x:f>
        <x:v>1</x:v>
      </x:c>
      <x:c r="L33" s="577" t="b">
        <x:f>INTERVENTORIA!F16+L24=L10</x:f>
        <x:v>1</x:v>
      </x:c>
      <x:c r="M33" s="531" t="b">
        <x: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FACT.'!F4))+M24)-INTERVENTORIA!F16)+'AJUSTES - SF-T'!M48=M10</x:f>
        <x:v>1</x:v>
      </x:c>
      <x:c r="N33" s="531" t="b">
        <x:f>+'Reporte Componentes R1'!L206+'Rem. Anticipos R2'!K139+'Reversion Pagos R4'!P168+'Reporte Componentes R1'!L208+N24=N10</x:f>
        <x:v>1</x:v>
      </x:c>
      <x:c r="O33" s="531" t="b">
        <x: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FACT.'!F4)))-INTERVENTORIA!F16)+O24+'Reporte Componentes R1'!L206+'Rem. Anticipos R2'!K139+'Reversion Pagos R4'!P168+'Reporte Componentes R1'!L208+'AJUSTES - SF-T'!O48=O10</x:f>
        <x:v>1</x:v>
      </x:c>
    </x:row>
    <x:row r="34" spans="2:15" x14ac:dyDescent="0.25">
      <x:c r="B34" s="521" t="s">
        <x:v>117</x:v>
      </x:c>
      <x:c r="C34" s="274" t="s">
        <x:v>12</x:v>
      </x:c>
      <x:c r="D34" s="534" t="b">
        <x:f>+'Reporte Componentes R1'!F343+'Reporte Componentes R1'!F345+'Rem. Anticipos R2'!E256+'Reversion Pagos R4'!D205+D25+'AJUSTES - SF-T'!D49=D11</x:f>
        <x:v>1</x:v>
      </x:c>
      <x:c r="E34" s="534" t="b">
        <x:f>+'Reporte Componentes R1'!G343+'Reporte Componentes R1'!G345+'Rem. Anticipos R2'!F256+'Reversion Pagos R4'!E205+E25+'AJUSTES - SF-T'!E49=E11</x:f>
        <x:v>1</x:v>
      </x:c>
      <x:c r="F34" s="534" t="b">
        <x:f>+'Reporte Componentes R1'!H343+'Reporte Componentes R1'!H345+'Rem. Anticipos R2'!G256+'Reversion Pagos R4'!F205+F25+'AJUSTES - SF-T'!F49=F11</x:f>
        <x:v>1</x:v>
      </x:c>
      <x:c r="G34" s="534" t="b">
        <x:f>+'Reporte Componentes R1'!I343+'Reporte Componentes R1'!I345+'Rem. Anticipos R2'!H256+'Reversion Pagos R4'!G205+G25+'AJUSTES - SF-T'!G49=G11</x:f>
        <x:v>1</x:v>
      </x:c>
      <x:c r="H34" s="534" t="b">
        <x:f>+'Reporte Componentes R1'!J343+'Reporte Componentes R1'!J345+'Rem. Anticipos R2'!I256+'Reversion Pagos R4'!H205+H25+'AJUSTES - SF-T'!H49=H11</x:f>
        <x:v>1</x:v>
      </x:c>
      <x:c r="I34" s="534" t="b">
        <x:f>+'Reporte Componentes R1'!K343+'Reporte Componentes R1'!K345+'Rem. Anticipos R2'!J256+'Reversion Pagos R4'!I205+I25+'AJUSTES - SF-T'!I49=I11</x:f>
        <x:v>1</x:v>
      </x:c>
      <x:c r="J34" s="534" t="b">
        <x:f>+'BCE SC POR FACT.'!F5+J25=J11</x:f>
        <x:v>1</x:v>
      </x:c>
      <x:c r="K34" s="531" t="b">
        <x:f>+'Reporte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FACT.'!F5)+K25+'AJUSTES - SF-T'!K49=K11</x:f>
        <x:v>1</x:v>
      </x:c>
      <x:c r="L34" s="577" t="b">
        <x:f>INTERVENTORIA!F17+L25=L11</x:f>
        <x:v>1</x:v>
      </x:c>
      <x:c r="M34" s="531" t="b">
        <x: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FACT.'!F5))+M25)-INTERVENTORIA!F17)+'AJUSTES - SF-T'!M49=M11</x:f>
        <x:v>1</x:v>
      </x:c>
      <x:c r="N34" s="531" t="b">
        <x:f>+'Reporte Componentes R1'!L343+'Reporte Componentes R1'!L345+'Rem. Anticipos R2'!K256+'Reversion Pagos R4'!P205+N25=N11</x:f>
        <x:v>1</x:v>
      </x:c>
      <x:c r="O34" s="531" t="b">
        <x: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FACT.'!F5)))-INTERVENTORIA!F17)++'Reporte Componentes R1'!L343+'Reporte Componentes R1'!L345+'Rem. Anticipos R2'!K256+'Reversion Pagos R4'!P205+O25+'AJUSTES - SF-T'!O49=O11</x:f>
        <x:v>1</x:v>
      </x:c>
    </x:row>
    <x:row r="35" spans="2:15" x14ac:dyDescent="0.25">
      <x:c r="B35" s="521" t="s">
        <x:v>248</x:v>
      </x:c>
      <x:c r="C35" s="274" t="s">
        <x:v>13</x:v>
      </x:c>
      <x:c r="D35" s="534" t="b">
        <x:f>+'Reporte Componentes R1'!F468+'Reporte Componentes R1'!F470+'Rem. Anticipos R2'!E358+'Reversion Pagos R4'!D320+D26+'AJUSTES - SF-T'!D50=D12</x:f>
        <x:v>1</x:v>
      </x:c>
      <x:c r="E35" s="534" t="b">
        <x:f>+'Reporte Componentes R1'!G468+'Reporte Componentes R1'!G470+'Rem. Anticipos R2'!F358+'Reversion Pagos R4'!E320+E26+'AJUSTES - SF-T'!E50=E12</x:f>
        <x:v>1</x:v>
      </x:c>
      <x:c r="F35" s="534" t="b">
        <x:f>+'Reporte Componentes R1'!H468+'Reporte Componentes R1'!H470+'Rem. Anticipos R2'!G358+'Reversion Pagos R4'!F320+F26+'AJUSTES - SF-T'!F50=F12</x:f>
        <x:v>1</x:v>
      </x:c>
      <x:c r="G35" s="534" t="b">
        <x:f>+'Reporte Componentes R1'!I468+'Reporte Componentes R1'!I470+'Rem. Anticipos R2'!H358+'Reversion Pagos R4'!G320+G26+'AJUSTES - SF-T'!G50=G12</x:f>
        <x:v>1</x:v>
      </x:c>
      <x:c r="H35" s="534" t="b">
        <x:f>+'Reporte Componentes R1'!J468+'Reporte Componentes R1'!J470+'Rem. Anticipos R2'!I358+'Reversion Pagos R4'!H320+H26+'AJUSTES - SF-T'!H50=H12</x:f>
        <x:v>1</x:v>
      </x:c>
      <x:c r="I35" s="534" t="b">
        <x:f>+'Reporte Componentes R1'!K468+'Reporte Componentes R1'!K470+'Rem. Anticipos R2'!J358+'Reversion Pagos R4'!I320+I26+'AJUSTES - SF-T'!I50=I12</x:f>
        <x:v>1</x:v>
      </x:c>
      <x:c r="J35" s="534" t="b">
        <x:f>+J26+'BCE SC POR FACT.'!F6=J12</x:f>
        <x:v>1</x:v>
      </x:c>
      <x:c r="K35" s="531" t="b">
        <x:f>+'Reporte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FACT.'!F6)+K26+'AJUSTES - SF-T'!K50=K12</x:f>
        <x:v>1</x:v>
      </x:c>
      <x:c r="L35" s="577" t="b">
        <x:f>INTERVENTORIA!F18+L26=L12</x:f>
        <x:v>1</x:v>
      </x:c>
      <x:c r="M35" s="531" t="b">
        <x: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FACT.'!F6))+M26)-INTERVENTORIA!F18)+'AJUSTES - SF-T'!M50=M12</x:f>
        <x:v>1</x:v>
      </x:c>
      <x:c r="N35" s="531" t="b">
        <x:f>+'Reporte Componentes R1'!L468+'Reporte Componentes R1'!L470+'Rem. Anticipos R2'!K358+'Reversion Pagos R4'!P320+N26=N12</x:f>
        <x:v>1</x:v>
      </x:c>
      <x:c r="O35" s="531" t="b">
        <x: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FACT.'!F6)))-INTERVENTORIA!F18)+'Reporte Componentes R1'!L468+'Reporte Componentes R1'!L470+'Rem. Anticipos R2'!K358+'Reversion Pagos R4'!P320+O26+'AJUSTES - SF-T'!O50=O12</x:f>
        <x:v>1</x:v>
      </x:c>
    </x:row>
    <x:row r="36" spans="2:15" x14ac:dyDescent="0.25">
      <x:c r="B36" s="521" t="s">
        <x:v>118</x:v>
      </x:c>
      <x:c r="C36" s="274" t="s">
        <x:v>14</x:v>
      </x:c>
      <x:c r="D36" s="534" t="b">
        <x:f>+D27+'Reporte Componentes R1'!F558+'Reporte Componentes R1'!F560+'Rem. Anticipos R2'!E438+'Reversion Pagos R4'!D355+'AJUSTES - SF-T'!D51=D13</x:f>
        <x:v>1</x:v>
      </x:c>
      <x:c r="E36" s="534" t="b">
        <x:f>+E27+'Reporte Componentes R1'!G558+'Reporte Componentes R1'!G560+'Rem. Anticipos R2'!F438+'Reversion Pagos R4'!E355+'AJUSTES - SF-T'!E51=E13</x:f>
        <x:v>1</x:v>
      </x:c>
      <x:c r="F36" s="534" t="b">
        <x:f>+F27+'Reporte Componentes R1'!H558+'Reporte Componentes R1'!H560+'Rem. Anticipos R2'!G438+'Reversion Pagos R4'!F355+'AJUSTES - SF-T'!F51=F13</x:f>
        <x:v>1</x:v>
      </x:c>
      <x:c r="G36" s="534" t="b">
        <x:f>+G27+'Reporte Componentes R1'!I558+'Reporte Componentes R1'!I560+'Rem. Anticipos R2'!H438+'Reversion Pagos R4'!G355+'AJUSTES - SF-T'!G51=G13</x:f>
        <x:v>1</x:v>
      </x:c>
      <x:c r="H36" s="534" t="b">
        <x:f>+H27+'Reporte Componentes R1'!J558+'Reporte Componentes R1'!J560+'Rem. Anticipos R2'!I438+'Reversion Pagos R4'!H355+'AJUSTES - SF-T'!H51=H13</x:f>
        <x:v>1</x:v>
      </x:c>
      <x:c r="I36" s="534" t="b">
        <x:f>+I27+'Reporte Componentes R1'!K558+'Reporte Componentes R1'!K560+'Rem. Anticipos R2'!J438+'Reversion Pagos R4'!I355+'AJUSTES - SF-T'!I51=I13</x:f>
        <x:v>1</x:v>
      </x:c>
      <x:c r="J36" s="534" t="b">
        <x:f>+'BCE SC POR FACT.'!F7+J27=J13</x:f>
        <x:v>1</x:v>
      </x:c>
      <x:c r="K36" s="531" t="b">
        <x:f>+'Reporte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FACT.'!F7)+K27+'AJUSTES - SF-T'!K51=K13</x:f>
        <x:v>1</x:v>
      </x:c>
      <x:c r="L36" s="577" t="b">
        <x:f>INTERVENTORIA!F19+L27=L13</x:f>
        <x:v>1</x:v>
      </x:c>
      <x:c r="M36" s="531" t="b">
        <x: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FACT.'!F7))+M27)-INTERVENTORIA!F19)+'AJUSTES - SF-T'!M51=M13</x:f>
        <x:v>1</x:v>
      </x:c>
      <x:c r="N36" s="531" t="b">
        <x:f>+'Reporte Componentes R1'!L558+'Reporte Componentes R1'!L560+'Rem. Anticipos R2'!K438+'Reversion Pagos R4'!P355+N27=N13</x:f>
        <x:v>1</x:v>
      </x:c>
      <x:c r="O36" s="531" t="b">
        <x: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FACT.'!F7)))-INTERVENTORIA!F19)+'Reporte Componentes R1'!L558+'Reporte Componentes R1'!L560+'Rem. Anticipos R2'!K438+'Reversion Pagos R4'!P355+O27+'AJUSTES - SF-T'!O51=O13</x:f>
        <x:v>1</x:v>
      </x:c>
    </x:row>
    <x:row r="38" spans="2:15" x14ac:dyDescent="0.25">
      <x:c r="N38" s="535"/>
    </x:row>
    <x:row r="39" spans="2:15" x14ac:dyDescent="0.25">
      <x:c r="D39" s="535"/>
      <x:c r="L39" s="576"/>
    </x:row>
  </x:sheetData>
  <x:conditionalFormatting sqref="D32:K36 M32:O36">
    <x:cfRule type="cellIs" dxfId="7" priority="1" operator="notEqual">
      <x:formula>TRUE</x:formula>
    </x:cfRule>
  </x:conditionalFormatting>
  <x:conditionalFormatting sqref="D23:O27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J1" workbookViewId="0">
      <x:selection activeCell="O25" sqref="O25"/>
    </x:sheetView>
  </x:sheetViews>
  <x:sheetFormatPr baseColWidth="10" defaultColWidth="11.42578125" defaultRowHeight="15" x14ac:dyDescent="0.25"/>
  <x:cols>
    <x:col min="1" max="1" width="2.7109375" style="520" customWidth="1"/>
    <x:col min="2" max="2" width="7.28515625" style="520" customWidth="1"/>
    <x:col min="3" max="3" width="42.7109375" style="520" customWidth="1"/>
    <x:col min="4" max="15" width="28.5703125" style="520" customWidth="1"/>
    <x:col min="16" max="16384" width="11.42578125" style="520"/>
  </x:cols>
  <x:sheetData>
    <x:row r="1" spans="2:15" customFormat="1" ht="12.75" x14ac:dyDescent="0.2"/>
    <x:row r="2" spans="2:15" customFormat="1" ht="12.75" x14ac:dyDescent="0.2"/>
    <x:row r="3" spans="2:15" customFormat="1" x14ac:dyDescent="0.2">
      <x:c r="F3" s="540" t="s">
        <x:v>8</x:v>
      </x:c>
      <x:c r="H3" s="540" t="s">
        <x:v>16</x:v>
      </x:c>
      <x:c r="J3" s="540" t="s">
        <x:v>228</x:v>
      </x:c>
      <x:c r="K3" s="540" t="s">
        <x:v>339</x:v>
      </x:c>
    </x:row>
    <x:row r="4" spans="2:15" customFormat="1" x14ac:dyDescent="0.2">
      <x:c r="F4" s="540" t="s">
        <x:v>29</x:v>
      </x:c>
    </x:row>
    <x:row r="5" spans="2:15" customFormat="1" x14ac:dyDescent="0.2">
      <x:c r="F5" s="540" t="s">
        <x:v>229</x:v>
      </x:c>
    </x:row>
    <x:row r="6" spans="2:15" customFormat="1" x14ac:dyDescent="0.2">
      <x:c r="C6" s="540" t="s">
        <x:v>230</x:v>
      </x:c>
      <x:c r="D6" s="540" t="inlineStr">
        <x:is>
          <x:t>04/08/2026</x:t>
        </x:is>
      </x:c>
      <x:c r="F6" s="540" t="s">
        <x:v>231</x:v>
      </x:c>
    </x:row>
    <x:row r="7" spans="2:15" customFormat="1" x14ac:dyDescent="0.2">
      <x:c r="C7" s="540" t="s">
        <x:v>232</x:v>
      </x:c>
      <x:c r="D7" s="540" t="inlineStr">
        <x:is>
          <x:t>10:15 AM</x:t>
        </x:is>
      </x:c>
      <x:c r="F7" s="540" t="s">
        <x:v>27</x:v>
      </x:c>
      <x:c r="G7" s="540" t="s">
        <x:v>342</x:v>
      </x:c>
      <x:c r="I7" s="540" t="s">
        <x:v>233</x:v>
      </x:c>
      <x:c r="J7" s="540" t="s">
        <x:v>343</x:v>
      </x:c>
    </x:row>
    <x:row r="8" spans="2:15" customFormat="1" ht="45" x14ac:dyDescent="0.2">
      <x:c r="B8" s="541" t="s">
        <x:v>3</x:v>
      </x:c>
      <x:c r="C8" s="541" t="s">
        <x:v>234</x:v>
      </x:c>
      <x:c r="D8" s="541" t="s">
        <x:v>251</x:v>
      </x:c>
      <x:c r="E8" s="541" t="s">
        <x:v>252</x:v>
      </x:c>
      <x:c r="F8" s="541" t="s">
        <x:v>253</x:v>
      </x:c>
      <x:c r="G8" s="541" t="s">
        <x:v>254</x:v>
      </x:c>
      <x:c r="H8" s="541" t="s">
        <x:v>255</x:v>
      </x:c>
      <x:c r="I8" s="541" t="s">
        <x:v>256</x:v>
      </x:c>
      <x:c r="J8" s="541" t="s">
        <x:v>257</x:v>
      </x:c>
      <x:c r="K8" s="541" t="s">
        <x:v>245</x:v>
      </x:c>
      <x:c r="L8" s="541" t="s">
        <x:v>258</x:v>
      </x:c>
      <x:c r="M8" s="541" t="s">
        <x:v>259</x:v>
      </x:c>
      <x:c r="N8" s="541" t="s">
        <x:v>246</x:v>
      </x:c>
      <x:c r="O8" s="541" t="s">
        <x:v>260</x:v>
      </x:c>
    </x:row>
    <x:row r="9" spans="2:15" customFormat="1" ht="12.75" x14ac:dyDescent="0.2">
      <x:c r="B9" s="525" t="s">
        <x:v>115</x:v>
      </x:c>
      <x:c r="C9" s="525" t="s">
        <x:v>10</x:v>
      </x:c>
      <x:c r="D9" s="737">
        <x:v>0</x:v>
      </x:c>
      <x:c r="E9" s="737">
        <x:v>0</x:v>
      </x:c>
      <x:c r="F9" s="737">
        <x:v>0</x:v>
      </x:c>
      <x:c r="G9" s="737">
        <x:v>0</x:v>
      </x:c>
      <x:c r="H9" s="737">
        <x:v>0</x:v>
      </x:c>
      <x:c r="I9" s="737" t="n">
        <x:v>-189185988</x:v>
      </x:c>
      <x:c r="J9" s="737">
        <x:v>0</x:v>
      </x:c>
      <x:c r="K9" s="737">
        <x:v>0</x:v>
      </x:c>
      <x:c r="L9" s="737">
        <x:v>0</x:v>
      </x:c>
      <x:c r="M9" s="737">
        <x:v>0</x:v>
      </x:c>
      <x:c r="N9" s="737">
        <x:v>0</x:v>
      </x:c>
      <x:c r="O9" s="737" t="n">
        <x:v>0</x:v>
      </x:c>
    </x:row>
    <x:row r="10" spans="2:15" customFormat="1" ht="12.75" x14ac:dyDescent="0.2">
      <x:c r="B10" s="525" t="s">
        <x:v>116</x:v>
      </x:c>
      <x:c r="C10" s="525" t="s">
        <x:v>11</x:v>
      </x:c>
      <x:c r="D10" s="737">
        <x:v>0</x:v>
      </x:c>
      <x:c r="E10" s="737">
        <x:v>0</x:v>
      </x:c>
      <x:c r="F10" s="737">
        <x:v>0</x:v>
      </x:c>
      <x:c r="G10" s="737">
        <x:v>0</x:v>
      </x:c>
      <x:c r="H10" s="737">
        <x:v>0</x:v>
      </x:c>
      <x:c r="I10" s="737" t="n">
        <x:v>-266580256</x:v>
      </x:c>
      <x:c r="J10" s="737">
        <x:v>0</x:v>
      </x:c>
      <x:c r="K10" s="737">
        <x:v>0</x:v>
      </x:c>
      <x:c r="L10" s="737">
        <x:v>0</x:v>
      </x:c>
      <x:c r="M10" s="737">
        <x:v>0</x:v>
      </x:c>
      <x:c r="N10" s="737">
        <x:v>0</x:v>
      </x:c>
      <x:c r="O10" s="737" t="n">
        <x:v>0</x:v>
      </x:c>
    </x:row>
    <x:row r="11" spans="2:15" customFormat="1" ht="12.75" x14ac:dyDescent="0.2">
      <x:c r="B11" s="525" t="s">
        <x:v>117</x:v>
      </x:c>
      <x:c r="C11" s="525" t="s">
        <x:v>247</x:v>
      </x:c>
      <x:c r="D11" s="737">
        <x:v>0</x:v>
      </x:c>
      <x:c r="E11" s="737">
        <x:v>0</x:v>
      </x:c>
      <x:c r="F11" s="737">
        <x:v>0</x:v>
      </x:c>
      <x:c r="G11" s="737">
        <x:v>0</x:v>
      </x:c>
      <x:c r="H11" s="737">
        <x:v>0</x:v>
      </x:c>
      <x:c r="I11" s="737" t="n">
        <x:v>-154788536</x:v>
      </x:c>
      <x:c r="J11" s="737">
        <x:v>0</x:v>
      </x:c>
      <x:c r="K11" s="737">
        <x:v>0</x:v>
      </x:c>
      <x:c r="L11" s="737">
        <x:v>0</x:v>
      </x:c>
      <x:c r="M11" s="737">
        <x:v>0</x:v>
      </x:c>
      <x:c r="N11" s="737">
        <x:v>0</x:v>
      </x:c>
      <x:c r="O11" s="737" t="n">
        <x:v>0</x:v>
      </x:c>
    </x:row>
    <x:row r="12" spans="2:15" customFormat="1" ht="12.75" x14ac:dyDescent="0.2">
      <x:c r="B12" s="525" t="s">
        <x:v>248</x:v>
      </x:c>
      <x:c r="C12" s="525" t="s">
        <x:v>13</x:v>
      </x:c>
      <x:c r="D12" s="737">
        <x:v>0</x:v>
      </x:c>
      <x:c r="E12" s="737">
        <x:v>0</x:v>
      </x:c>
      <x:c r="F12" s="737">
        <x:v>0</x:v>
      </x:c>
      <x:c r="G12" s="737">
        <x:v>0</x:v>
      </x:c>
      <x:c r="H12" s="737">
        <x:v>0</x:v>
      </x:c>
      <x:c r="I12" s="737" t="n">
        <x:v>-120391083</x:v>
      </x:c>
      <x:c r="J12" s="737">
        <x:v>0</x:v>
      </x:c>
      <x:c r="K12" s="737">
        <x:v>0</x:v>
      </x:c>
      <x:c r="L12" s="737">
        <x:v>0</x:v>
      </x:c>
      <x:c r="M12" s="737">
        <x:v>0</x:v>
      </x:c>
      <x:c r="N12" s="737">
        <x:v>0</x:v>
      </x:c>
      <x:c r="O12" s="737" t="n">
        <x:v>0</x:v>
      </x:c>
    </x:row>
    <x:row r="13" spans="2:15" customFormat="1" ht="13.5" thickBot="1" x14ac:dyDescent="0.25">
      <x:c r="B13" s="525" t="s">
        <x:v>118</x:v>
      </x:c>
      <x:c r="C13" s="525" t="s">
        <x:v>14</x:v>
      </x:c>
      <x:c r="D13" s="737">
        <x:v>0</x:v>
      </x:c>
      <x:c r="E13" s="737">
        <x:v>0</x:v>
      </x:c>
      <x:c r="F13" s="737">
        <x:v>0</x:v>
      </x:c>
      <x:c r="G13" s="737">
        <x:v>0</x:v>
      </x:c>
      <x:c r="H13" s="737">
        <x:v>0</x:v>
      </x:c>
      <x:c r="I13" s="737" t="n">
        <x:v>-128990446</x:v>
      </x:c>
      <x:c r="J13" s="737">
        <x:v>0</x:v>
      </x:c>
      <x:c r="K13" s="737">
        <x:v>0</x:v>
      </x:c>
      <x:c r="L13" s="737">
        <x:v>0</x:v>
      </x:c>
      <x:c r="M13" s="737">
        <x:v>0</x:v>
      </x:c>
      <x:c r="N13" s="737">
        <x:v>0</x:v>
      </x:c>
      <x:c r="O13" s="737" t="n">
        <x:v>0</x:v>
      </x:c>
    </x:row>
    <x:row r="14" spans="2:15" customFormat="1" ht="13.5" thickBot="1" x14ac:dyDescent="0.25">
      <x:c r="B14" s="728" t="s">
        <x:v>249</x:v>
      </x:c>
      <x:c r="C14" s="730" t="s">
        <x:v>70</x:v>
      </x:c>
      <x:c r="D14" s="735">
        <x:v>0</x:v>
      </x:c>
      <x:c r="E14" s="735">
        <x:v>0</x:v>
      </x:c>
      <x:c r="F14" s="735">
        <x:v>0</x:v>
      </x:c>
      <x:c r="G14" s="735">
        <x:v>0</x:v>
      </x:c>
      <x:c r="H14" s="735">
        <x:v>0</x:v>
      </x:c>
      <x:c r="I14" s="735">
        <x:v>0</x:v>
      </x:c>
      <x:c r="J14" s="735">
        <x:v>0</x:v>
      </x:c>
      <x:c r="K14" s="735">
        <x:v>0</x:v>
      </x:c>
      <x:c r="L14" s="735">
        <x:v>0</x:v>
      </x:c>
      <x:c r="M14" s="735">
        <x:v>0</x:v>
      </x:c>
      <x:c r="N14" s="735">
        <x:v>0</x:v>
      </x:c>
      <x:c r="O14" s="736">
        <x:v>0</x:v>
      </x:c>
    </x:row>
    <x:row r="16" spans="2:15" x14ac:dyDescent="0.25">
      <x:c r="B16" s="521" t="s">
        <x:v>115</x:v>
      </x:c>
      <x:c r="C16" s="521" t="s">
        <x:v>10</x:v>
      </x:c>
      <x:c r="D16" s="531">
        <x:f>D9-'CONSOLIDADO_TOTAL RECAUDO'!U104</x:f>
        <x:v>0</x:v>
      </x:c>
      <x:c r="E16" s="531">
        <x:f>E9-'CONSOLIDADO_TOTAL RECAUDO'!V104</x:f>
        <x:v>0</x:v>
      </x:c>
      <x:c r="F16" s="531">
        <x:f>F9-'CONSOLIDADO_TOTAL RECAUDO'!W104</x:f>
        <x:v>0</x:v>
      </x:c>
      <x:c r="G16" s="531">
        <x:f>G9-'CONSOLIDADO_TOTAL RECAUDO'!X104</x:f>
        <x:v>0</x:v>
      </x:c>
      <x:c r="H16" s="531">
        <x:f>H9-'CONSOLIDADO_TOTAL RECAUDO'!Y104</x:f>
        <x:v>0</x:v>
      </x:c>
      <x:c r="I16" s="531">
        <x:f>I9-'CONSOLIDADO_TOTAL RECAUDO'!Z104</x:f>
        <x:v>189185988</x:v>
      </x:c>
      <x:c r="J16" s="531">
        <x:f>J9-'CONSOLIDADO_TOTAL RECAUDO'!AA104-'CONSOLIDADO_TOTAL RECAUDO'!AC104</x:f>
        <x:v>0</x:v>
      </x:c>
      <x:c r="K16" s="531">
        <x:f>K9-'CONSOLIDADO_TOTAL RECAUDO'!AB104</x:f>
        <x:v>0</x:v>
      </x:c>
      <x:c r="L16" s="531">
        <x:f>L9-'CONSOLIDADO_TOTAL RECAUDO'!AE104</x:f>
        <x:v>0</x:v>
      </x:c>
      <x:c r="M16" s="531">
        <x:f>M9-'CONSOLIDADO_TOTAL RECAUDO'!AD104</x:f>
        <x:v>0</x:v>
      </x:c>
      <x:c r="N16" s="531">
        <x:f>N9-'CONSOLIDADO_TOTAL RECAUDO'!AF104</x:f>
        <x:v>189185988</x:v>
      </x:c>
      <x:c r="O16" s="531">
        <x:f>O9-'CONSOLIDADO_TOTAL RECAUDO'!AG104</x:f>
        <x:v>0</x:v>
      </x:c>
    </x:row>
    <x:row r="17" spans="2:16" x14ac:dyDescent="0.25">
      <x:c r="B17" s="521" t="s">
        <x:v>116</x:v>
      </x:c>
      <x:c r="C17" s="521" t="s">
        <x:v>11</x:v>
      </x:c>
      <x:c r="D17" s="531">
        <x:f>D10-'CONSOLIDADO_TOTAL RECAUDO'!U105</x:f>
        <x:v>0</x:v>
      </x:c>
      <x:c r="E17" s="531">
        <x:f>E10-'CONSOLIDADO_TOTAL RECAUDO'!V105</x:f>
        <x:v>0</x:v>
      </x:c>
      <x:c r="F17" s="531">
        <x:f>F10-'CONSOLIDADO_TOTAL RECAUDO'!W105</x:f>
        <x:v>0</x:v>
      </x:c>
      <x:c r="G17" s="531">
        <x:f>G10-'CONSOLIDADO_TOTAL RECAUDO'!X105</x:f>
        <x:v>0</x:v>
      </x:c>
      <x:c r="H17" s="531">
        <x:f>H10-'CONSOLIDADO_TOTAL RECAUDO'!Y105</x:f>
        <x:v>0</x:v>
      </x:c>
      <x:c r="I17" s="531">
        <x:f>I10-'CONSOLIDADO_TOTAL RECAUDO'!Z105</x:f>
        <x:v>266580256</x:v>
      </x:c>
      <x:c r="J17" s="531">
        <x:f>J10-'CONSOLIDADO_TOTAL RECAUDO'!AA105-'CONSOLIDADO_TOTAL RECAUDO'!AC105</x:f>
        <x:v>0</x:v>
      </x:c>
      <x:c r="K17" s="531">
        <x:f>K10-'CONSOLIDADO_TOTAL RECAUDO'!AB105</x:f>
        <x:v>0</x:v>
      </x:c>
      <x:c r="L17" s="531">
        <x:f>L10-'CONSOLIDADO_TOTAL RECAUDO'!AE105</x:f>
        <x:v>0</x:v>
      </x:c>
      <x:c r="M17" s="531">
        <x:f>M10-'CONSOLIDADO_TOTAL RECAUDO'!AD105</x:f>
        <x:v>0</x:v>
      </x:c>
      <x:c r="N17" s="531">
        <x:f>N10-'CONSOLIDADO_TOTAL RECAUDO'!AF105</x:f>
        <x:v>266580256</x:v>
      </x:c>
      <x:c r="O17" s="531">
        <x:f>O10-'CONSOLIDADO_TOTAL RECAUDO'!AG105</x:f>
        <x:v>0</x:v>
      </x:c>
    </x:row>
    <x:row r="18" spans="2:16" x14ac:dyDescent="0.25">
      <x:c r="B18" s="521" t="s">
        <x:v>117</x:v>
      </x:c>
      <x:c r="C18" s="521" t="s">
        <x:v>247</x:v>
      </x:c>
      <x:c r="D18" s="531">
        <x:f>D11-'CONSOLIDADO_TOTAL RECAUDO'!U106</x:f>
        <x:v>0</x:v>
      </x:c>
      <x:c r="E18" s="531">
        <x:f>E11-'CONSOLIDADO_TOTAL RECAUDO'!V106</x:f>
        <x:v>0</x:v>
      </x:c>
      <x:c r="F18" s="531">
        <x:f>F11-'CONSOLIDADO_TOTAL RECAUDO'!W106</x:f>
        <x:v>0</x:v>
      </x:c>
      <x:c r="G18" s="531">
        <x:f>G11-'CONSOLIDADO_TOTAL RECAUDO'!X106</x:f>
        <x:v>0</x:v>
      </x:c>
      <x:c r="H18" s="531">
        <x:f>H11-'CONSOLIDADO_TOTAL RECAUDO'!Y106</x:f>
        <x:v>0</x:v>
      </x:c>
      <x:c r="I18" s="531">
        <x:f>I11-'CONSOLIDADO_TOTAL RECAUDO'!Z106</x:f>
        <x:v>154788536</x:v>
      </x:c>
      <x:c r="J18" s="531">
        <x:f>J11-'CONSOLIDADO_TOTAL RECAUDO'!AA106-'CONSOLIDADO_TOTAL RECAUDO'!AC106</x:f>
        <x:v>0</x:v>
      </x:c>
      <x:c r="K18" s="531">
        <x:f>K11-'CONSOLIDADO_TOTAL RECAUDO'!AB106</x:f>
        <x:v>0</x:v>
      </x:c>
      <x:c r="L18" s="531">
        <x:f>L11-'CONSOLIDADO_TOTAL RECAUDO'!AE106</x:f>
        <x:v>0</x:v>
      </x:c>
      <x:c r="M18" s="531">
        <x:f>M11-'CONSOLIDADO_TOTAL RECAUDO'!AD106</x:f>
        <x:v>0</x:v>
      </x:c>
      <x:c r="N18" s="531">
        <x:f>N11-'CONSOLIDADO_TOTAL RECAUDO'!AF106</x:f>
        <x:v>154788536</x:v>
      </x:c>
      <x:c r="O18" s="531">
        <x:f>O11-'CONSOLIDADO_TOTAL RECAUDO'!AG106</x:f>
        <x:v>0</x:v>
      </x:c>
    </x:row>
    <x:row r="19" spans="2:16" x14ac:dyDescent="0.25">
      <x:c r="B19" s="521" t="s">
        <x:v>248</x:v>
      </x:c>
      <x:c r="C19" s="521" t="s">
        <x:v>13</x:v>
      </x:c>
      <x:c r="D19" s="531">
        <x:f>D12-'CONSOLIDADO_TOTAL RECAUDO'!U107</x:f>
        <x:v>0</x:v>
      </x:c>
      <x:c r="E19" s="531">
        <x:f>E12-'CONSOLIDADO_TOTAL RECAUDO'!V107</x:f>
        <x:v>0</x:v>
      </x:c>
      <x:c r="F19" s="531">
        <x:f>F12-'CONSOLIDADO_TOTAL RECAUDO'!W107</x:f>
        <x:v>0</x:v>
      </x:c>
      <x:c r="G19" s="531">
        <x:f>G12-'CONSOLIDADO_TOTAL RECAUDO'!X107</x:f>
        <x:v>0</x:v>
      </x:c>
      <x:c r="H19" s="531">
        <x:f>H12-'CONSOLIDADO_TOTAL RECAUDO'!Y107</x:f>
        <x:v>0</x:v>
      </x:c>
      <x:c r="I19" s="531">
        <x:f>I12-'CONSOLIDADO_TOTAL RECAUDO'!Z107</x:f>
        <x:v>120391083</x:v>
      </x:c>
      <x:c r="J19" s="531">
        <x:f>J12-'CONSOLIDADO_TOTAL RECAUDO'!AA107-'CONSOLIDADO_TOTAL RECAUDO'!AC107</x:f>
        <x:v>0</x:v>
      </x:c>
      <x:c r="K19" s="531">
        <x:f>K12-'CONSOLIDADO_TOTAL RECAUDO'!AB107</x:f>
        <x:v>0</x:v>
      </x:c>
      <x:c r="L19" s="531">
        <x:f>L12-'CONSOLIDADO_TOTAL RECAUDO'!AE107</x:f>
        <x:v>0</x:v>
      </x:c>
      <x:c r="M19" s="531">
        <x:f>M12-'CONSOLIDADO_TOTAL RECAUDO'!AD107</x:f>
        <x:v>0</x:v>
      </x:c>
      <x:c r="N19" s="531">
        <x:f>N12-'CONSOLIDADO_TOTAL RECAUDO'!AF107</x:f>
        <x:v>120391083</x:v>
      </x:c>
      <x:c r="O19" s="531">
        <x:f>O12-'CONSOLIDADO_TOTAL RECAUDO'!AG107</x:f>
        <x:v>0</x:v>
      </x:c>
    </x:row>
    <x:row r="20" spans="2:16" ht="15.75" thickBot="1" x14ac:dyDescent="0.3">
      <x:c r="B20" s="521" t="s">
        <x:v>118</x:v>
      </x:c>
      <x:c r="C20" s="521" t="s">
        <x:v>14</x:v>
      </x:c>
      <x:c r="D20" s="531">
        <x:f>D13-'CONSOLIDADO_TOTAL RECAUDO'!U108</x:f>
        <x:v>0</x:v>
      </x:c>
      <x:c r="E20" s="531">
        <x:f>E13-'CONSOLIDADO_TOTAL RECAUDO'!V108</x:f>
        <x:v>0</x:v>
      </x:c>
      <x:c r="F20" s="531">
        <x:f>F13-'CONSOLIDADO_TOTAL RECAUDO'!W108</x:f>
        <x:v>0</x:v>
      </x:c>
      <x:c r="G20" s="531">
        <x:f>G13-'CONSOLIDADO_TOTAL RECAUDO'!X108</x:f>
        <x:v>0</x:v>
      </x:c>
      <x:c r="H20" s="531">
        <x:f>H13-'CONSOLIDADO_TOTAL RECAUDO'!Y108</x:f>
        <x:v>0</x:v>
      </x:c>
      <x:c r="I20" s="531">
        <x:f>I13-'CONSOLIDADO_TOTAL RECAUDO'!Z108</x:f>
        <x:v>128990446</x:v>
      </x:c>
      <x:c r="J20" s="531">
        <x:f>J13-'CONSOLIDADO_TOTAL RECAUDO'!AA108-'CONSOLIDADO_TOTAL RECAUDO'!AC108</x:f>
        <x:v>0</x:v>
      </x:c>
      <x:c r="K20" s="531">
        <x:f>K13-'CONSOLIDADO_TOTAL RECAUDO'!AB108</x:f>
        <x:v>0</x:v>
      </x:c>
      <x:c r="L20" s="531">
        <x:f>L13-'CONSOLIDADO_TOTAL RECAUDO'!AE108</x:f>
        <x:v>0</x:v>
      </x:c>
      <x:c r="M20" s="531">
        <x:f>M13-'CONSOLIDADO_TOTAL RECAUDO'!AD108</x:f>
        <x:v>0</x:v>
      </x:c>
      <x:c r="N20" s="531">
        <x:f>N13-'CONSOLIDADO_TOTAL RECAUDO'!AF108</x:f>
        <x:v>128990446</x:v>
      </x:c>
      <x:c r="O20" s="531">
        <x:f>O13-'CONSOLIDADO_TOTAL RECAUDO'!AG108</x:f>
        <x:v>0</x:v>
      </x:c>
    </x:row>
    <x:row r="21" spans="2:16" customFormat="1" ht="13.5" thickBot="1" x14ac:dyDescent="0.25">
      <x:c r="B21" s="728" t="s">
        <x:v>249</x:v>
      </x:c>
      <x:c r="C21" s="730" t="s">
        <x:v>70</x:v>
      </x:c>
      <x:c r="D21" s="735">
        <x:f>D14-'CONSOLIDADO_TOTAL RECAUDO'!U109</x:f>
        <x:v>0</x:v>
      </x:c>
      <x:c r="E21" s="735">
        <x:f>E14-'CONSOLIDADO_TOTAL RECAUDO'!V109</x:f>
        <x:v>0</x:v>
      </x:c>
      <x:c r="F21" s="735">
        <x:f>F14-'CONSOLIDADO_TOTAL RECAUDO'!W109</x:f>
        <x:v>0</x:v>
      </x:c>
      <x:c r="G21" s="735">
        <x:f>G14-'CONSOLIDADO_TOTAL RECAUDO'!X109</x:f>
        <x:v>0</x:v>
      </x:c>
      <x:c r="H21" s="735">
        <x:f>H14-'CONSOLIDADO_TOTAL RECAUDO'!Y109</x:f>
        <x:v>0</x:v>
      </x:c>
      <x:c r="I21" s="735">
        <x:f>I14-'CONSOLIDADO_TOTAL RECAUDO'!Z109</x:f>
        <x:v>859936309</x:v>
      </x:c>
      <x:c r="J21" s="735">
        <x:f>J14-'CONSOLIDADO_TOTAL RECAUDO'!AA109-'CONSOLIDADO_TOTAL RECAUDO'!AC109</x:f>
        <x:v>0</x:v>
      </x:c>
      <x:c r="K21" s="735">
        <x:f>K14-'CONSOLIDADO_TOTAL RECAUDO'!AB109</x:f>
        <x:v>0</x:v>
      </x:c>
      <x:c r="L21" s="735">
        <x:f>L14-'CONSOLIDADO_TOTAL RECAUDO'!AE109</x:f>
        <x:v>0</x:v>
      </x:c>
      <x:c r="M21" s="735">
        <x:f>M14-'CONSOLIDADO_TOTAL RECAUDO'!AD109</x:f>
        <x:v>0</x:v>
      </x:c>
      <x:c r="N21" s="735">
        <x:f>N14-'CONSOLIDADO_TOTAL RECAUDO'!AF109</x:f>
        <x:v>859936309</x:v>
      </x:c>
      <x:c r="O21" s="736">
        <x:f>O14-'CONSOLIDADO_TOTAL RECAUDO'!AG109</x:f>
        <x:v>0</x:v>
      </x:c>
    </x:row>
    <x:row r="22" spans="2:16" ht="15.75" thickBot="1" x14ac:dyDescent="0.3">
      <x:c r="M22" s="535"/>
    </x:row>
    <x:row r="23" spans="2:16" ht="36.75" thickBot="1" x14ac:dyDescent="0.3">
      <x:c r="C23" s="27" t="s">
        <x:v>9</x:v>
      </x:c>
      <x:c r="D23" s="146" t="s">
        <x:v>39</x:v>
      </x:c>
      <x:c r="E23" s="497" t="s">
        <x:v>40</x:v>
      </x:c>
      <x:c r="F23" s="497" t="s">
        <x:v>41</x:v>
      </x:c>
      <x:c r="G23" s="147" t="s">
        <x:v>42</x:v>
      </x:c>
      <x:c r="H23" s="148" t="s">
        <x:v>43</x:v>
      </x:c>
      <x:c r="I23" s="472" t="s">
        <x:v>21</x:v>
      </x:c>
      <x:c r="J23" s="65" t="s">
        <x:v>46</x:v>
      </x:c>
      <x:c r="K23" s="65" t="s">
        <x:v>7</x:v>
      </x:c>
      <x:c r="L23" s="85" t="s">
        <x:v>167</x:v>
      </x:c>
      <x:c r="M23" s="114" t="s">
        <x:v>105</x:v>
      </x:c>
      <x:c r="N23" s="114" t="s">
        <x:v>104</x:v>
      </x:c>
      <x:c r="O23" s="39" t="s">
        <x:v>23</x:v>
      </x:c>
    </x:row>
    <x:row r="24" spans="2:16" x14ac:dyDescent="0.25">
      <x:c r="B24" s="521" t="s">
        <x:v>115</x:v>
      </x:c>
      <x:c r="C24" s="274" t="s">
        <x:v>10</x:v>
      </x:c>
      <x:c r="D24" s="543" t="b">
        <x:f>+'Reporte Componentes R1'!M53+'Reporte Componentes R1'!M55+'Rem. Anticipos R2'!L43+'Reversion Pagos R4'!J73+D16+'AJUSTES - SF-T'!U47=D9</x:f>
        <x:v>1</x:v>
      </x:c>
      <x:c r="E24" s="531" t="b">
        <x:f>+'Reporte Componentes R1'!N53+'Reporte Componentes R1'!N55+'Rem. Anticipos R2'!M43+'Reversion Pagos R4'!K73+E16+'AJUSTES - SF-T'!V47=E9</x:f>
        <x:v>1</x:v>
      </x:c>
      <x:c r="F24" s="531" t="b">
        <x:f>+'Reporte Componentes R1'!O53+'Reporte Componentes R1'!O55+'Rem. Anticipos R2'!N43+'Reversion Pagos R4'!L73+F16+'AJUSTES - SF-T'!W47=F9</x:f>
        <x:v>1</x:v>
      </x:c>
      <x:c r="G24" s="531" t="b">
        <x:f>+'Reporte Componentes R1'!P53+'Reporte Componentes R1'!P55+'Rem. Anticipos R2'!O43+'Reversion Pagos R4'!M73+G16+'AJUSTES - SF-T'!X47=G9</x:f>
        <x:v>1</x:v>
      </x:c>
      <x:c r="H24" s="531" t="b">
        <x:f>+'Reporte Componentes R1'!Q53+'Reporte Componentes R1'!Q55+'Rem. Anticipos R2'!P43+'Reversion Pagos R4'!N73+H16+'AJUSTES - SF-T'!Y47=H9</x:f>
        <x:v>1</x:v>
      </x:c>
      <x:c r="I24" s="577" t="b">
        <x:f>-INTERVENTORIA!F15+I16=I9</x:f>
        <x:v>1</x:v>
      </x:c>
      <x:c r="J24" s="531" t="b">
        <x: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SF-T'!AA47+J16=J9</x:f>
        <x:v>1</x:v>
      </x:c>
      <x:c r="K24" s="531" t="b">
        <x:f>+DetRetri2026072!N32</x:f>
        <x:v>1</x:v>
      </x:c>
      <x:c r="L24" s="531" t="b">
        <x:f>'Reporte Componentes R1'!F54+'Rem. Anticipos R2'!E44+'Reporte Componentes R1'!F56+'Reversion Pagos R4'!D74+'AJUSTES - SF-T'!AD47+L16=L9</x:f>
        <x:v>1</x:v>
      </x:c>
      <x:c r="M24" s="531" t="b">
        <x:f>-'BCE SC POR FACT.'!F3+'Reporte Componentes R1'!F54+'Rem. Anticipos R2'!E44+'Reporte Componentes R1'!F56+'Reversion Pagos R4'!D74+'AJUSTES - SF-T'!AD47+M16=M9</x:f>
        <x:v>1</x:v>
      </x:c>
      <x:c r="N24" s="531" t="b">
        <x:f>'Reporte Componentes R1'!F54+'Rem. Anticipos R2'!E44+'Reporte Componentes R1'!F56+'Reversion Pagos R4'!D74+'AJUSTES - SF-T'!AD47+L16=L9</x:f>
        <x:v>1</x:v>
      </x:c>
      <x:c r="O24" s="531" t="b">
        <x: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R4'!N73-INTERVENTORIA!J4+'Reporte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SF-T'!AD47+N16=N9</x:f>
        <x:v>1</x:v>
      </x:c>
    </x:row>
    <x:row r="25" spans="2:16" x14ac:dyDescent="0.25">
      <x:c r="B25" s="521" t="s">
        <x:v>116</x:v>
      </x:c>
      <x:c r="C25" s="274" t="s">
        <x:v>11</x:v>
      </x:c>
      <x:c r="D25" s="537" t="b">
        <x:f>+'Reporte Componentes R1'!M206+'Rem. Anticipos R2'!L139+'Reversion Pagos R4'!J168+'Reporte Componentes R1'!M208+D17+'AJUSTES - SF-T'!U48=D10</x:f>
        <x:v>1</x:v>
      </x:c>
      <x:c r="E25" s="537" t="b">
        <x:f>+'Reporte Componentes R1'!N206+'Rem. Anticipos R2'!M139+'Reversion Pagos R4'!K168+'Reporte Componentes R1'!N208+E17+'AJUSTES - SF-T'!V48=E10</x:f>
        <x:v>1</x:v>
      </x:c>
      <x:c r="F25" s="537" t="b">
        <x:f>+'Reporte Componentes R1'!O206+'Rem. Anticipos R2'!N139+'Reversion Pagos R4'!L168+'Reporte Componentes R1'!O208+F17+'AJUSTES - SF-T'!W48=F10</x:f>
        <x:v>1</x:v>
      </x:c>
      <x:c r="G25" s="537" t="b">
        <x:f>+'Reporte Componentes R1'!P206+'Rem. Anticipos R2'!O139+'Reversion Pagos R4'!M168+'Reporte Componentes R1'!P208+G17+'AJUSTES - SF-T'!X48=G10</x:f>
        <x:v>1</x:v>
      </x:c>
      <x:c r="H25" s="537" t="b">
        <x:f>+'Reporte Componentes R1'!Q206+'Rem. Anticipos R2'!P139+'Reversion Pagos R4'!N168+'Reporte Componentes R1'!Q208+H17+'AJUSTES - SF-T'!Y48=H10</x:f>
        <x:v>1</x:v>
      </x:c>
      <x:c r="I25" s="577" t="b">
        <x:f>-INTERVENTORIA!F16+I17=I10</x:f>
        <x:v>1</x:v>
      </x:c>
      <x:c r="J25" s="537" t="b">
        <x:f>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SF-T'!AA48+J17=J10</x:f>
        <x:v>1</x:v>
      </x:c>
      <x:c r="K25" s="537" t="b">
        <x:f>+DetRetri2026072!N33</x:f>
        <x:v>1</x:v>
      </x:c>
      <x:c r="L25" s="531" t="b">
        <x:f>+'Reporte Componentes R1'!F207+'Rem. Anticipos R2'!E140+'Reporte Componentes R1'!F209+'Reversion Pagos R4'!D169+'AJUSTES - SF-T'!AD48+L17=L10</x:f>
        <x:v>1</x:v>
      </x:c>
      <x:c r="M25" s="585" t="b">
        <x:f>-'BCE SC POR FACT.'!F4+'Reporte Componentes R1'!F207+'Rem. Anticipos R2'!E140+'Reporte Componentes R1'!F209+'Reversion Pagos R4'!D169+'AJUSTES - SF-T'!AD48+M17=M10</x:f>
        <x:v>1</x:v>
      </x:c>
      <x:c r="N25" s="531" t="b">
        <x:f>'Reporte Componentes R1'!F207+'Rem. Anticipos R2'!E140+'Reporte Componentes R1'!F209+'Reversion Pagos R4'!D169+'AJUSTES - SF-T'!AD48+L17=L10</x:f>
        <x:v>1</x:v>
      </x:c>
      <x:c r="O25" s="531" t="b">
        <x:f>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R1'!Q208-INTERVENTORIA!I5+'Reporte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SF-T'!AD48+N17=N10</x:f>
        <x:v>0</x:v>
      </x:c>
      <x:c r="P25" s="536"/>
    </x:row>
    <x:row r="26" spans="2:16" x14ac:dyDescent="0.25">
      <x:c r="B26" s="521" t="s">
        <x:v>117</x:v>
      </x:c>
      <x:c r="C26" s="274" t="s">
        <x:v>12</x:v>
      </x:c>
      <x:c r="D26" s="531" t="b">
        <x:f>+'Reporte Componentes R1'!M343+'Reporte Componentes R1'!M345+'Rem. Anticipos R2'!L256+'Reversion Pagos R4'!J205+D18+'AJUSTES - SF-T'!U49=D11</x:f>
        <x:v>1</x:v>
      </x:c>
      <x:c r="E26" s="531" t="b">
        <x:f>+'Reporte Componentes R1'!N343+'Reporte Componentes R1'!N345+'Rem. Anticipos R2'!M256+'Reversion Pagos R4'!K205+E18+'AJUSTES - SF-T'!V49=E11</x:f>
        <x:v>1</x:v>
      </x:c>
      <x:c r="F26" s="531" t="b">
        <x:f>+'Reporte Componentes R1'!O343+'Reporte Componentes R1'!O345+'Rem. Anticipos R2'!N256+'Reversion Pagos R4'!L205+F18+'AJUSTES - SF-T'!W49=F11</x:f>
        <x:v>1</x:v>
      </x:c>
      <x:c r="G26" s="531" t="b">
        <x:f>+'Reporte Componentes R1'!P343+'Reporte Componentes R1'!P345+'Rem. Anticipos R2'!O256+'Reversion Pagos R4'!M205+G18+'AJUSTES - SF-T'!X49=G11</x:f>
        <x:v>1</x:v>
      </x:c>
      <x:c r="H26" s="531" t="b">
        <x:f>+'Reporte Componentes R1'!Q343+'Reporte Componentes R1'!Q345+'Rem. Anticipos R2'!P256+'Reversion Pagos R4'!N205+H18+'AJUSTES - SF-T'!Y49=H11</x:f>
        <x:v>1</x:v>
      </x:c>
      <x:c r="I26" s="577" t="b">
        <x:f>-INTERVENTORIA!F17+I18=I11</x:f>
        <x:v>1</x:v>
      </x:c>
      <x:c r="J26" s="531" t="b">
        <x:f>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SF-T'!AA49+J18=J11</x:f>
        <x:v>1</x:v>
      </x:c>
      <x:c r="K26" s="531" t="b">
        <x:f>+DetRetri2026072!N34</x:f>
        <x:v>1</x:v>
      </x:c>
      <x:c r="L26" s="531" t="b">
        <x:f>+'Reporte Componentes R1'!F344+'Rem. Anticipos R2'!E257+'Reporte Componentes R1'!F346+'Reversion Pagos R4'!D206+'AJUSTES - SF-T'!AD49+L18=L11</x:f>
        <x:v>1</x:v>
      </x:c>
      <x:c r="M26" s="585" t="b">
        <x:f>-'BCE SC POR FACT.'!F5+'Reporte Componentes R1'!F344+'Rem. Anticipos R2'!E257+'Reporte Componentes R1'!F346+'Reversion Pagos R4'!D206+'AJUSTES - SF-T'!AD49+M18=M11</x:f>
        <x:v>1</x:v>
      </x:c>
      <x:c r="N26" s="531" t="b">
        <x:f>'Reporte Componentes R1'!F344+'Rem. Anticipos R2'!E257+'Reporte Componentes R1'!F346+'Reversion Pagos R4'!D206+'AJUSTES - SF-T'!AD49+L18=L11</x:f>
        <x:v>1</x:v>
      </x:c>
      <x:c r="O26" s="583" t="b">
        <x:f>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R4'!N205-INTERVENTORIA!I6+'Reporte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SF-T'!AD49+N18=N11</x:f>
        <x:v>0</x:v>
      </x:c>
    </x:row>
    <x:row r="27" spans="2:16" x14ac:dyDescent="0.25">
      <x:c r="B27" s="521" t="s">
        <x:v>248</x:v>
      </x:c>
      <x:c r="C27" s="274" t="s">
        <x:v>13</x:v>
      </x:c>
      <x:c r="D27" s="531" t="b">
        <x:f>+'Reporte Componentes R1'!M468+'Reporte Componentes R1'!M470+'Rem. Anticipos R2'!L358+'Reversion Pagos R4'!J320+D19+'AJUSTES - SF-T'!U50=D12</x:f>
        <x:v>1</x:v>
      </x:c>
      <x:c r="E27" s="531" t="b">
        <x:f>+'Reporte Componentes R1'!N468+'Reporte Componentes R1'!N470+'Rem. Anticipos R2'!M358+'Reversion Pagos R4'!K320+E19+'AJUSTES - SF-T'!V50=E12</x:f>
        <x:v>1</x:v>
      </x:c>
      <x:c r="F27" s="531" t="b">
        <x:f>+'Reporte Componentes R1'!O468+'Reporte Componentes R1'!O470+'Rem. Anticipos R2'!N358+'Reversion Pagos R4'!L320+F19+'AJUSTES - SF-T'!W50=F12</x:f>
        <x:v>1</x:v>
      </x:c>
      <x:c r="G27" s="531" t="b">
        <x:f>+'Reporte Componentes R1'!P468+'Reporte Componentes R1'!P470+'Rem. Anticipos R2'!O358+'Reversion Pagos R4'!M320+G19+'AJUSTES - SF-T'!X50=G12</x:f>
        <x:v>1</x:v>
      </x:c>
      <x:c r="H27" s="531" t="b">
        <x:f>+'Reporte Componentes R1'!Q468+'Reporte Componentes R1'!Q470+'Rem. Anticipos R2'!P358+'Reversion Pagos R4'!N320+H19+'AJUSTES - SF-T'!Y50=H12</x:f>
        <x:v>1</x:v>
      </x:c>
      <x:c r="I27" s="577" t="b">
        <x:f>-INTERVENTORIA!F18+I19=I12</x:f>
        <x:v>1</x:v>
      </x:c>
      <x:c r="J27" s="531" t="b">
        <x:f>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SF-T'!AA49+J19=J12</x:f>
        <x:v>1</x:v>
      </x:c>
      <x:c r="K27" s="531" t="b">
        <x:f>+DetRetri2026072!N35</x:f>
        <x:v>1</x:v>
      </x:c>
      <x:c r="L27" s="531" t="b">
        <x:f>+'Reporte Componentes R1'!F469+'Rem. Anticipos R2'!E359+'Reporte Componentes R1'!F471+'Reversion Pagos R4'!D321+'AJUSTES - SF-T'!AD50+L19=L12</x:f>
        <x:v>1</x:v>
      </x:c>
      <x:c r="M27" s="585" t="b">
        <x:f>-'BCE SC POR FACT.'!F6+'Reporte Componentes R1'!F469+'Rem. Anticipos R2'!E359+'Reporte Componentes R1'!F471+'Reversion Pagos R4'!D321+'AJUSTES - SF-T'!AD50+M19=M12</x:f>
        <x:v>1</x:v>
      </x:c>
      <x:c r="N27" s="531" t="b">
        <x:f>'Reporte Componentes R1'!F469+'Rem. Anticipos R2'!E359+'Reporte Componentes R1'!F471+'Reversion Pagos R4'!D321+'AJUSTES - SF-T'!AD50+L19=L12</x:f>
        <x:v>1</x:v>
      </x:c>
      <x:c r="O27" s="583" t="b">
        <x:f>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R4'!N320-INTERVENTORIA!I7+'Reporte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SF-T'!AD50+N19=N12</x:f>
        <x:v>1</x:v>
      </x:c>
    </x:row>
    <x:row r="28" spans="2:16" x14ac:dyDescent="0.25">
      <x:c r="B28" s="521" t="s">
        <x:v>118</x:v>
      </x:c>
      <x:c r="C28" s="274" t="s">
        <x:v>14</x:v>
      </x:c>
      <x:c r="D28" s="531" t="b">
        <x:f>+'Reporte Componentes R1'!M558+'Reporte Componentes R1'!M560+'Rem. Anticipos R2'!L438+'Reversion Pagos R4'!J355+D20+'AJUSTES - SF-T'!U51=D13</x:f>
        <x:v>1</x:v>
      </x:c>
      <x:c r="E28" s="531" t="b">
        <x:f>+'Reporte Componentes R1'!N558+'Reporte Componentes R1'!N560+'Rem. Anticipos R2'!M438+'Reversion Pagos R4'!K355+E20+'AJUSTES - SF-T'!V51=E13</x:f>
        <x:v>1</x:v>
      </x:c>
      <x:c r="F28" s="531" t="b">
        <x:f>+'Reporte Componentes R1'!O558+'Reporte Componentes R1'!O560+'Rem. Anticipos R2'!N438+'Reversion Pagos R4'!L355+F20+'AJUSTES - SF-T'!W51=F13</x:f>
        <x:v>1</x:v>
      </x:c>
      <x:c r="G28" s="531" t="b">
        <x:f>+'Reporte Componentes R1'!P558+'Reporte Componentes R1'!P560+'Rem. Anticipos R2'!O438+'Reversion Pagos R4'!M355+G20+'AJUSTES - SF-T'!X51=G13</x:f>
        <x:v>1</x:v>
      </x:c>
      <x:c r="H28" s="531" t="b">
        <x:f>+'Reporte Componentes R1'!Q558+'Reporte Componentes R1'!Q560+'Rem. Anticipos R2'!P438+'Reversion Pagos R4'!N355+H20+'AJUSTES - SF-T'!Y51=H13</x:f>
        <x:v>1</x:v>
      </x:c>
      <x:c r="I28" s="577" t="b">
        <x:f>-INTERVENTORIA!F19+I20=I13</x:f>
        <x:v>1</x:v>
      </x:c>
      <x:c r="J28" s="533" t="b">
        <x:f>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SF-T'!AA50+J20=J13</x:f>
        <x:v>1</x:v>
      </x:c>
      <x:c r="K28" s="531" t="b">
        <x:f>+DetRetri2026072!N36</x:f>
        <x:v>1</x:v>
      </x:c>
      <x:c r="L28" s="531" t="b">
        <x:f>+'Reporte Componentes R1'!F559+'Rem. Anticipos R2'!E439+'Reporte Componentes R1'!F561+'Reversion Pagos R4'!D356+'AJUSTES - SF-T'!AD51+L20=L13</x:f>
        <x:v>1</x:v>
      </x:c>
      <x:c r="M28" s="531" t="b">
        <x:f>-'BCE SC POR FACT.'!F7+'Reporte Componentes R1'!F559+'Rem. Anticipos R2'!E439+'Reporte Componentes R1'!F561+'Reversion Pagos R4'!D356+'AJUSTES - SF-T'!AD51+M20=M13</x:f>
        <x:v>1</x:v>
      </x:c>
      <x:c r="N28" s="531" t="b">
        <x:f>'Reporte Componentes R1'!F559+'Rem. Anticipos R2'!E439+'Reporte Componentes R1'!F561+'Reversion Pagos R4'!D356+'AJUSTES - SF-T'!AD51+L20=L13</x:f>
        <x:v>1</x:v>
      </x:c>
      <x:c r="O28" s="531" t="b">
        <x:f>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R4'!N355-INTERVENTORIA!I8+'Reporte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SF-T'!AD51+N20=N13</x:f>
        <x:v>0</x:v>
      </x:c>
    </x:row>
    <x:row r="29" spans="2:16" x14ac:dyDescent="0.25">
      <x:c r="C29" s="532" t="s">
        <x:v>2</x:v>
      </x:c>
      <x:c r="D29" s="531" t="b">
        <x:f>'Reporte Componentes R1'!M53+'Reporte Componentes R1'!M55+'Rem. Anticipos R2'!L43+'Reversion Pagos R4'!J73+'Reporte Componentes R1'!M206+'Rem. Anticipos R2'!L139+'Reversion Pagos R4'!J168+'Reporte Componentes R1'!M208+'Reporte Componentes R1'!M343+'Reporte Componentes R1'!M345+'Rem. Anticipos R2'!L256+'Reversion Pagos R4'!J205+'Reporte Componentes R1'!M468+'Reporte Componentes R1'!M470+'Rem. Anticipos R2'!L358+'Reversion Pagos R4'!J320+'Reporte Componentes R1'!M558+'Reporte Componentes R1'!M560+'Rem. Anticipos R2'!L438+'Reversion Pagos R4'!J355+D21+'AJUSTES - SF-T'!U52=D14</x:f>
        <x:v>1</x:v>
      </x:c>
      <x:c r="E29" s="531" t="b">
        <x:f>'Reporte Componentes R1'!N53+'Reporte Componentes R1'!N55+'Rem. Anticipos R2'!M43+'Reversion Pagos R4'!K73+'Reporte Componentes R1'!N206+'Rem. Anticipos R2'!M139+'Reversion Pagos R4'!K168+'Reporte Componentes R1'!N208+'Reporte Componentes R1'!N343+'Reporte Componentes R1'!N345+'Rem. Anticipos R2'!M256+'Reversion Pagos R4'!K205+'Reporte Componentes R1'!N468+'Reporte Componentes R1'!N470+'Rem. Anticipos R2'!M358+'Reversion Pagos R4'!K320+'Reporte Componentes R1'!N558+'Reporte Componentes R1'!N560+'Rem. Anticipos R2'!M438+'Reversion Pagos R4'!K355+E21+'AJUSTES - SF-T'!V52=E14</x:f>
        <x:v>1</x:v>
      </x:c>
      <x:c r="F29" s="531" t="b">
        <x:f>'Reporte Componentes R1'!O53+'Reporte Componentes R1'!O55+'Rem. Anticipos R2'!N43+'Reversion Pagos R4'!L73+'Reporte Componentes R1'!O206+'Rem. Anticipos R2'!N139+'Reversion Pagos R4'!L168+'Reporte Componentes R1'!O208+'Reporte Componentes R1'!O343+'Reporte Componentes R1'!O345+'Rem. Anticipos R2'!N256+'Reversion Pagos R4'!L205+'Reporte Componentes R1'!O468+'Reporte Componentes R1'!O470+'Rem. Anticipos R2'!N358+'Reversion Pagos R4'!L320+'Reporte Componentes R1'!O558+'Reporte Componentes R1'!O560+'Rem. Anticipos R2'!N438+'Reversion Pagos R4'!L355+F21+'AJUSTES - SF-T'!W52=F14</x:f>
        <x:v>1</x:v>
      </x:c>
      <x:c r="G29" s="531" t="b">
        <x:f>'Reporte Componentes R1'!P53+'Reporte Componentes R1'!P55+'Rem. Anticipos R2'!O43+'Reversion Pagos R4'!M73+'Reporte Componentes R1'!P206+'Rem. Anticipos R2'!O139+'Reversion Pagos R4'!M168+'Reporte Componentes R1'!P208+'Reporte Componentes R1'!P343+'Reporte Componentes R1'!P345+'Rem. Anticipos R2'!O256+'Reversion Pagos R4'!M205+'Reporte Componentes R1'!P468+'Reporte Componentes R1'!P470+'Rem. Anticipos R2'!O358+'Reversion Pagos R4'!M320+'Reporte Componentes R1'!P558+'Reporte Componentes R1'!P560+'Rem. Anticipos R2'!O438+'Reversion Pagos R4'!M355+G21+'AJUSTES - SF-T'!X52=G14</x:f>
        <x:v>1</x:v>
      </x:c>
      <x:c r="H29" s="531" t="b">
        <x:f>'Reporte Componentes R1'!Q53+'Reporte Componentes R1'!Q55+'Rem. Anticipos R2'!P43+'Reversion Pagos R4'!N73+'Reporte Componentes R1'!Q206+'Rem. Anticipos R2'!P139+'Reversion Pagos R4'!N168+'Reporte Componentes R1'!Q208+'Reporte Componentes R1'!Q343+'Reporte Componentes R1'!Q345+'Rem. Anticipos R2'!P256+'Reversion Pagos R4'!N205+'Reporte Componentes R1'!Q468+'Reporte Componentes R1'!Q470+'Rem. Anticipos R2'!P358+'Reversion Pagos R4'!N320+'Reporte Componentes R1'!Q558+'Reporte Componentes R1'!Q560+'Rem. Anticipos R2'!P438+'Reversion Pagos R4'!N355+H21+'AJUSTES - SF-T'!Y52=H14</x:f>
        <x:v>1</x:v>
      </x:c>
      <x:c r="I29" s="577" t="b">
        <x:f>-INTERVENTORIA!F20+I21=I14</x:f>
        <x:v>1</x:v>
      </x:c>
      <x:c r="J29" s="531" t="b">
        <x: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SF-T'!AA51+J21=J14</x:f>
        <x:v>1</x:v>
      </x:c>
      <x:c r="K29" s="531" t="b">
        <x:f>'Reporte Componentes R1'!L53+'Rem. Anticipos R2'!K43+'Reversion Pagos R4'!P73+'Reporte Componentes R1'!L55+'Reporte Componentes R1'!L206+'Rem. Anticipos R2'!K139+'Reversion Pagos R4'!P168+'Reporte Componentes R1'!L208+'Reporte Componentes R1'!L343+'Reporte Componentes R1'!L345+'Rem. Anticipos R2'!K256+'Reversion Pagos R4'!P205+'Reporte Componentes R1'!L468+'Reporte Componentes R1'!L470+'Rem. Anticipos R2'!K358+'Reversion Pagos R4'!P320+'Reporte Componentes R1'!L558+'Reporte Componentes R1'!L560+'Rem. Anticipos R2'!K438+'Reversion Pagos R4'!P355+K21=K14</x:f>
        <x:v>1</x:v>
      </x:c>
      <x:c r="L29" s="582" t="b">
        <x: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x:f>
        <x:v>1</x:v>
      </x:c>
      <x:c r="M29" s="531" t="b">
        <x:f>-'BCE SC POR FACT.'!F3+'Reporte Componentes R1'!F54+'Rem. Anticipos R2'!E44+'Reporte Componentes R1'!F56+'Reversion Pagos R4'!D74+'AJUSTES - SF-T'!AD47-'BCE SC POR FACT.'!F4+'Reporte Componentes R1'!F207+'Rem. Anticipos R2'!E140+'Reporte Componentes R1'!F209+'Reversion Pagos R4'!D169+'AJUSTES - SF-T'!AD48-'BCE SC POR FACT.'!F5+'Reporte Componentes R1'!F344+'Rem. Anticipos R2'!E257+'Reporte Componentes R1'!F346+'Reversion Pagos R4'!D206+'AJUSTES - SF-T'!AD49-'BCE SC POR FACT.'!F6+'Reporte Componentes R1'!F469+'Rem. Anticipos R2'!E359+'Reporte Componentes R1'!F471+'Reversion Pagos R4'!D321+'AJUSTES - SF-T'!AD50-'BCE SC POR FACT.'!F7+'Reporte Componentes R1'!F559+'Rem. Anticipos R2'!E439+'Reporte Componentes R1'!F561+'Reversion Pagos R4'!D356+'AJUSTES - SF-T'!AD51+M21=M14</x:f>
        <x:v>1</x:v>
      </x:c>
      <x:c r="N29" s="531" t="b">
        <x: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x:f>
        <x:v>1</x:v>
      </x:c>
      <x:c r="O29" s="531" t="b">
        <x: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R4'!N73-INTERVENTORIA!K15+'Reporte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R1'!Q208-INTERVENTORIA!K16+'Reporte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R4'!N205-INTERVENTORIA!K17+'Reporte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R4'!N320-INTERVENTORIA!K18+'Reporte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R4'!N355-INTERVENTORIA!Q19+'Reporte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SF-T'!AD51+N21=N14</x:f>
        <x:v>0</x:v>
      </x:c>
    </x:row>
    <x:row r="30" spans="2:16" x14ac:dyDescent="0.25">
      <x:c r="M30" s="538"/>
    </x:row>
    <x:row r="31" spans="2:16" x14ac:dyDescent="0.25">
      <x:c r="I31" s="576"/>
      <x:c r="J31" s="578"/>
    </x:row>
    <x:row r="32" spans="2:16" x14ac:dyDescent="0.25">
      <x:c r="J32" s="579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G125" sqref="G125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3.7109375" style="1" bestFit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2:39" ht="12.75" thickBot="1" x14ac:dyDescent="0.25">
      <x:c r="Q1" s="4"/>
      <x:c r="AI1" s="4"/>
    </x:row>
    <x:row r="2" spans="2:39" x14ac:dyDescent="0.2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5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75" x14ac:dyDescent="0.25">
      <x:c r="B6" s="8"/>
      <x:c r="C6" s="2"/>
      <x:c r="D6" s="9"/>
      <x:c r="F6" s="394" t="s">
        <x:v>121</x:v>
      </x:c>
      <x:c r="G6" s="394"/>
      <x:c r="H6" s="395"/>
      <x:c r="I6" s="396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75" thickBot="1" x14ac:dyDescent="0.25">
      <x:c r="B7" s="8"/>
      <x:c r="C7" s="2"/>
      <x:c r="D7" s="198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09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105</x:v>
      </x:c>
      <x:c r="AE8" s="114" t="s">
        <x:v>104</x:v>
      </x:c>
      <x:c r="AF8" s="39" t="s">
        <x:v>23</x:v>
      </x:c>
      <x:c r="AG8" s="214"/>
      <x:c r="AI8" s="4"/>
    </x:row>
    <x:row r="9" spans="2:39" s="241" customFormat="1" x14ac:dyDescent="0.2">
      <x:c r="B9" s="239">
        <x:v>1</x:v>
      </x:c>
      <x:c r="C9" s="240" t="s">
        <x:v>10</x:v>
      </x:c>
      <x:c r="D9" s="227">
        <x:f>'CONSOLIDADO_TOTAL RECAUDO'!D104</x:f>
        <x:v>0</x:v>
      </x:c>
      <x:c r="E9" s="228">
        <x:f>'CONSOLIDADO_TOTAL RECAUDO'!E104</x:f>
        <x:v>0</x:v>
      </x:c>
      <x:c r="F9" s="228">
        <x:f>'CONSOLIDADO_TOTAL RECAUDO'!F104</x:f>
        <x:v>0</x:v>
      </x:c>
      <x:c r="G9" s="228">
        <x:f>'CONSOLIDADO_TOTAL RECAUDO'!G104</x:f>
        <x:v>0</x:v>
      </x:c>
      <x:c r="H9" s="228">
        <x:f>'CONSOLIDADO_TOTAL RECAUDO'!H104</x:f>
        <x:v>0</x:v>
      </x:c>
      <x:c r="I9" s="228">
        <x:f>'CONSOLIDADO_TOTAL RECAUDO'!I104</x:f>
        <x:v>0</x:v>
      </x:c>
      <x:c r="J9" s="224">
        <x:f>'CONSOLIDADO_TOTAL RECAUDO'!J104</x:f>
        <x:v>0</x:v>
      </x:c>
      <x:c r="K9" s="229">
        <x:f>'CONSOLIDADO_TOTAL RECAUDO'!K104</x:f>
        <x:v>0</x:v>
      </x:c>
      <x:c r="L9" s="230">
        <x:f>'CONSOLIDADO_TOTAL RECAUDO'!L104</x:f>
        <x:v>189185988</x:v>
      </x:c>
      <x:c r="M9" s="229">
        <x:f>'CONSOLIDADO_TOTAL RECAUDO'!M104</x:f>
        <x:v>-189185988</x:v>
      </x:c>
      <x:c r="N9" s="230">
        <x:f>'CONSOLIDADO_TOTAL RECAUDO'!N104</x:f>
        <x:v>0</x:v>
      </x:c>
      <x:c r="O9" s="229">
        <x:f>'CONSOLIDADO_TOTAL RECAUDO'!O104</x:f>
        <x:v>-189185988</x:v>
      </x:c>
      <x:c r="Q9" s="242"/>
      <x:c r="S9" s="239">
        <x:v>1</x:v>
      </x:c>
      <x:c r="T9" s="240" t="s">
        <x:v>10</x:v>
      </x:c>
      <x:c r="U9" s="243">
        <x:f>'CONSOLIDADO_TOTAL RECAUDO'!U104</x:f>
        <x:v>0</x:v>
      </x:c>
      <x:c r="V9" s="244">
        <x:f>'CONSOLIDADO_TOTAL RECAUDO'!V104</x:f>
        <x:v>0</x:v>
      </x:c>
      <x:c r="W9" s="244">
        <x:f>'CONSOLIDADO_TOTAL RECAUDO'!W104</x:f>
        <x:v>0</x:v>
      </x:c>
      <x:c r="X9" s="244">
        <x:f>'CONSOLIDADO_TOTAL RECAUDO'!X104</x:f>
        <x:v>0</x:v>
      </x:c>
      <x:c r="Y9" s="245">
        <x:f>'CONSOLIDADO_TOTAL RECAUDO'!Y104</x:f>
        <x:v>0</x:v>
      </x:c>
      <x:c r="Z9" s="246">
        <x:f>'CONSOLIDADO_TOTAL RECAUDO'!Z104</x:f>
        <x:v>-189185988</x:v>
      </x:c>
      <x:c r="AA9" s="247">
        <x:f>'CONSOLIDADO_TOTAL RECAUDO'!AA104</x:f>
        <x:v>0</x:v>
      </x:c>
      <x:c r="AB9" s="230">
        <x:f>'CONSOLIDADO_TOTAL RECAUDO'!AB104</x:f>
        <x:v>0</x:v>
      </x:c>
      <x:c r="AC9" s="247">
        <x:f>'CONSOLIDADO_TOTAL RECAUDO'!AC104</x:f>
        <x:v>0</x:v>
      </x:c>
      <x:c r="AD9" s="227">
        <x:f>'CONSOLIDADO_TOTAL RECAUDO'!AD104</x:f>
        <x:v>0</x:v>
      </x:c>
      <x:c r="AE9" s="227">
        <x:f>'CONSOLIDADO_TOTAL RECAUDO'!AE104</x:f>
        <x:v>0</x:v>
      </x:c>
      <x:c r="AF9" s="249">
        <x:f>'CONSOLIDADO_TOTAL RECAUDO'!AF104</x:f>
        <x:v>-189185988</x:v>
      </x:c>
      <x:c r="AG9" s="439">
        <x:f>'CONSOLIDADO_TOTAL RECAUDO'!AG104</x:f>
        <x:v>0</x:v>
      </x:c>
      <x:c r="AH9" s="1" t="s">
        <x:v>1</x:v>
      </x:c>
      <x:c r="AI9" s="242"/>
      <x:c r="AM9" s="269"/>
    </x:row>
    <x:row r="10" spans="2:39" s="241" customFormat="1" x14ac:dyDescent="0.2">
      <x:c r="B10" s="250">
        <x:v>2</x:v>
      </x:c>
      <x:c r="C10" s="251" t="s">
        <x:v>11</x:v>
      </x:c>
      <x:c r="D10" s="227">
        <x:f>'CONSOLIDADO_TOTAL RECAUDO'!D105</x:f>
        <x:v>0</x:v>
      </x:c>
      <x:c r="E10" s="228">
        <x:f>'CONSOLIDADO_TOTAL RECAUDO'!E105</x:f>
        <x:v>0</x:v>
      </x:c>
      <x:c r="F10" s="228">
        <x:f>'CONSOLIDADO_TOTAL RECAUDO'!F105</x:f>
        <x:v>0</x:v>
      </x:c>
      <x:c r="G10" s="228">
        <x:f>'CONSOLIDADO_TOTAL RECAUDO'!G105</x:f>
        <x:v>0</x:v>
      </x:c>
      <x:c r="H10" s="228">
        <x:f>'CONSOLIDADO_TOTAL RECAUDO'!H105</x:f>
        <x:v>0</x:v>
      </x:c>
      <x:c r="I10" s="228">
        <x:f>'CONSOLIDADO_TOTAL RECAUDO'!I105</x:f>
        <x:v>0</x:v>
      </x:c>
      <x:c r="J10" s="224">
        <x:f>'CONSOLIDADO_TOTAL RECAUDO'!J105</x:f>
        <x:v>0</x:v>
      </x:c>
      <x:c r="K10" s="231">
        <x:f>'CONSOLIDADO_TOTAL RECAUDO'!K105</x:f>
        <x:v>0</x:v>
      </x:c>
      <x:c r="L10" s="230">
        <x:f>'CONSOLIDADO_TOTAL RECAUDO'!L105</x:f>
        <x:v>266580256</x:v>
      </x:c>
      <x:c r="M10" s="231">
        <x:f>'CONSOLIDADO_TOTAL RECAUDO'!M105</x:f>
        <x:v>-266580256</x:v>
      </x:c>
      <x:c r="N10" s="230">
        <x:f>'CONSOLIDADO_TOTAL RECAUDO'!N105</x:f>
        <x:v>0</x:v>
      </x:c>
      <x:c r="O10" s="231">
        <x:f>'CONSOLIDADO_TOTAL RECAUDO'!O105</x:f>
        <x:v>-266580256</x:v>
      </x:c>
      <x:c r="Q10" s="242"/>
      <x:c r="S10" s="250">
        <x:v>2</x:v>
      </x:c>
      <x:c r="T10" s="251" t="s">
        <x:v>11</x:v>
      </x:c>
      <x:c r="U10" s="252">
        <x:f>'CONSOLIDADO_TOTAL RECAUDO'!U105</x:f>
        <x:v>0</x:v>
      </x:c>
      <x:c r="V10" s="253">
        <x:f>'CONSOLIDADO_TOTAL RECAUDO'!V105</x:f>
        <x:v>0</x:v>
      </x:c>
      <x:c r="W10" s="253">
        <x:f>'CONSOLIDADO_TOTAL RECAUDO'!W105</x:f>
        <x:v>0</x:v>
      </x:c>
      <x:c r="X10" s="253">
        <x:f>'CONSOLIDADO_TOTAL RECAUDO'!X105</x:f>
        <x:v>0</x:v>
      </x:c>
      <x:c r="Y10" s="254">
        <x:f>'CONSOLIDADO_TOTAL RECAUDO'!Y105</x:f>
        <x:v>0</x:v>
      </x:c>
      <x:c r="Z10" s="255">
        <x:f>'CONSOLIDADO_TOTAL RECAUDO'!Z105</x:f>
        <x:v>-266580256</x:v>
      </x:c>
      <x:c r="AA10" s="256">
        <x:f>'CONSOLIDADO_TOTAL RECAUDO'!AA105</x:f>
        <x:v>0</x:v>
      </x:c>
      <x:c r="AB10" s="230">
        <x:f>'CONSOLIDADO_TOTAL RECAUDO'!AB105</x:f>
        <x:v>0</x:v>
      </x:c>
      <x:c r="AC10" s="256">
        <x:f>'CONSOLIDADO_TOTAL RECAUDO'!AC105</x:f>
        <x:v>0</x:v>
      </x:c>
      <x:c r="AD10" s="227">
        <x:f>'CONSOLIDADO_TOTAL RECAUDO'!AD105</x:f>
        <x:v>0</x:v>
      </x:c>
      <x:c r="AE10" s="227">
        <x:f>'CONSOLIDADO_TOTAL RECAUDO'!AE105</x:f>
        <x:v>0</x:v>
      </x:c>
      <x:c r="AF10" s="258">
        <x:f>'CONSOLIDADO_TOTAL RECAUDO'!AF105</x:f>
        <x:v>-266580256</x:v>
      </x:c>
      <x:c r="AG10" s="440">
        <x:f>'CONSOLIDADO_TOTAL RECAUDO'!AG105</x:f>
        <x:v>0</x:v>
      </x:c>
      <x:c r="AH10" s="1" t="s">
        <x:v>1</x:v>
      </x:c>
      <x:c r="AI10" s="242"/>
      <x:c r="AM10" s="269"/>
    </x:row>
    <x:row r="11" spans="2:39" s="241" customFormat="1" x14ac:dyDescent="0.2">
      <x:c r="B11" s="250">
        <x:v>3</x:v>
      </x:c>
      <x:c r="C11" s="251" t="s">
        <x:v>12</x:v>
      </x:c>
      <x:c r="D11" s="227">
        <x:f>'CONSOLIDADO_TOTAL RECAUDO'!D106</x:f>
        <x:v>0</x:v>
      </x:c>
      <x:c r="E11" s="228">
        <x:f>'CONSOLIDADO_TOTAL RECAUDO'!E106</x:f>
        <x:v>0</x:v>
      </x:c>
      <x:c r="F11" s="228">
        <x:f>'CONSOLIDADO_TOTAL RECAUDO'!F106</x:f>
        <x:v>0</x:v>
      </x:c>
      <x:c r="G11" s="228">
        <x:f>'CONSOLIDADO_TOTAL RECAUDO'!G106</x:f>
        <x:v>0</x:v>
      </x:c>
      <x:c r="H11" s="228">
        <x:f>'CONSOLIDADO_TOTAL RECAUDO'!H106</x:f>
        <x:v>0</x:v>
      </x:c>
      <x:c r="I11" s="228">
        <x:f>'CONSOLIDADO_TOTAL RECAUDO'!I106</x:f>
        <x:v>0</x:v>
      </x:c>
      <x:c r="J11" s="224">
        <x:f>'CONSOLIDADO_TOTAL RECAUDO'!J106</x:f>
        <x:v>0</x:v>
      </x:c>
      <x:c r="K11" s="231">
        <x:f>'CONSOLIDADO_TOTAL RECAUDO'!K106</x:f>
        <x:v>0</x:v>
      </x:c>
      <x:c r="L11" s="230">
        <x:f>'CONSOLIDADO_TOTAL RECAUDO'!L106</x:f>
        <x:v>154788536</x:v>
      </x:c>
      <x:c r="M11" s="231">
        <x:f>'CONSOLIDADO_TOTAL RECAUDO'!M106</x:f>
        <x:v>-154788536</x:v>
      </x:c>
      <x:c r="N11" s="230">
        <x:f>'CONSOLIDADO_TOTAL RECAUDO'!N106</x:f>
        <x:v>0</x:v>
      </x:c>
      <x:c r="O11" s="231">
        <x:f>'CONSOLIDADO_TOTAL RECAUDO'!O106</x:f>
        <x:v>-154788536</x:v>
      </x:c>
      <x:c r="Q11" s="242"/>
      <x:c r="S11" s="250">
        <x:v>3</x:v>
      </x:c>
      <x:c r="T11" s="251" t="s">
        <x:v>12</x:v>
      </x:c>
      <x:c r="U11" s="252">
        <x:f>'CONSOLIDADO_TOTAL RECAUDO'!U106</x:f>
        <x:v>0</x:v>
      </x:c>
      <x:c r="V11" s="253">
        <x:f>'CONSOLIDADO_TOTAL RECAUDO'!V106</x:f>
        <x:v>0</x:v>
      </x:c>
      <x:c r="W11" s="253">
        <x:f>'CONSOLIDADO_TOTAL RECAUDO'!W106</x:f>
        <x:v>0</x:v>
      </x:c>
      <x:c r="X11" s="253">
        <x:f>'CONSOLIDADO_TOTAL RECAUDO'!X106</x:f>
        <x:v>0</x:v>
      </x:c>
      <x:c r="Y11" s="254">
        <x:f>'CONSOLIDADO_TOTAL RECAUDO'!Y106</x:f>
        <x:v>0</x:v>
      </x:c>
      <x:c r="Z11" s="255">
        <x:f>'CONSOLIDADO_TOTAL RECAUDO'!Z106</x:f>
        <x:v>-154788536</x:v>
      </x:c>
      <x:c r="AA11" s="256">
        <x:f>'CONSOLIDADO_TOTAL RECAUDO'!AA106</x:f>
        <x:v>0</x:v>
      </x:c>
      <x:c r="AB11" s="230">
        <x:f>'CONSOLIDADO_TOTAL RECAUDO'!AB106</x:f>
        <x:v>0</x:v>
      </x:c>
      <x:c r="AC11" s="256">
        <x:f>'CONSOLIDADO_TOTAL RECAUDO'!AC106</x:f>
        <x:v>0</x:v>
      </x:c>
      <x:c r="AD11" s="227">
        <x:f>'CONSOLIDADO_TOTAL RECAUDO'!AD106</x:f>
        <x:v>0</x:v>
      </x:c>
      <x:c r="AE11" s="227">
        <x:f>'CONSOLIDADO_TOTAL RECAUDO'!AE106</x:f>
        <x:v>0</x:v>
      </x:c>
      <x:c r="AF11" s="258">
        <x:f>'CONSOLIDADO_TOTAL RECAUDO'!AF106</x:f>
        <x:v>-154788536</x:v>
      </x:c>
      <x:c r="AG11" s="440">
        <x:f>'CONSOLIDADO_TOTAL RECAUDO'!AG106</x:f>
        <x:v>0</x:v>
      </x:c>
      <x:c r="AH11" s="1" t="s">
        <x:v>1</x:v>
      </x:c>
      <x:c r="AI11" s="242"/>
      <x:c r="AM11" s="269"/>
    </x:row>
    <x:row r="12" spans="2:39" s="241" customFormat="1" x14ac:dyDescent="0.2">
      <x:c r="B12" s="250">
        <x:v>4</x:v>
      </x:c>
      <x:c r="C12" s="251" t="s">
        <x:v>13</x:v>
      </x:c>
      <x:c r="D12" s="227">
        <x:f>'CONSOLIDADO_TOTAL RECAUDO'!D107</x:f>
        <x:v>0</x:v>
      </x:c>
      <x:c r="E12" s="228">
        <x:f>'CONSOLIDADO_TOTAL RECAUDO'!E107</x:f>
        <x:v>0</x:v>
      </x:c>
      <x:c r="F12" s="228">
        <x:f>'CONSOLIDADO_TOTAL RECAUDO'!F107</x:f>
        <x:v>0</x:v>
      </x:c>
      <x:c r="G12" s="228">
        <x:f>'CONSOLIDADO_TOTAL RECAUDO'!G107</x:f>
        <x:v>0</x:v>
      </x:c>
      <x:c r="H12" s="228">
        <x:f>'CONSOLIDADO_TOTAL RECAUDO'!H107</x:f>
        <x:v>0</x:v>
      </x:c>
      <x:c r="I12" s="228">
        <x:f>'CONSOLIDADO_TOTAL RECAUDO'!I107</x:f>
        <x:v>0</x:v>
      </x:c>
      <x:c r="J12" s="224">
        <x:f>'CONSOLIDADO_TOTAL RECAUDO'!J107</x:f>
        <x:v>0</x:v>
      </x:c>
      <x:c r="K12" s="231">
        <x:f>'CONSOLIDADO_TOTAL RECAUDO'!K107</x:f>
        <x:v>0</x:v>
      </x:c>
      <x:c r="L12" s="230">
        <x:f>'CONSOLIDADO_TOTAL RECAUDO'!L107</x:f>
        <x:v>120391083</x:v>
      </x:c>
      <x:c r="M12" s="231">
        <x:f>'CONSOLIDADO_TOTAL RECAUDO'!M107</x:f>
        <x:v>-120391083</x:v>
      </x:c>
      <x:c r="N12" s="230">
        <x:f>'CONSOLIDADO_TOTAL RECAUDO'!N107</x:f>
        <x:v>0</x:v>
      </x:c>
      <x:c r="O12" s="231">
        <x:f>'CONSOLIDADO_TOTAL RECAUDO'!O107</x:f>
        <x:v>-120391083</x:v>
      </x:c>
      <x:c r="Q12" s="242"/>
      <x:c r="S12" s="250">
        <x:v>4</x:v>
      </x:c>
      <x:c r="T12" s="251" t="s">
        <x:v>13</x:v>
      </x:c>
      <x:c r="U12" s="252">
        <x:f>'CONSOLIDADO_TOTAL RECAUDO'!U107</x:f>
        <x:v>0</x:v>
      </x:c>
      <x:c r="V12" s="253">
        <x:f>'CONSOLIDADO_TOTAL RECAUDO'!V107</x:f>
        <x:v>0</x:v>
      </x:c>
      <x:c r="W12" s="253">
        <x:f>'CONSOLIDADO_TOTAL RECAUDO'!W107</x:f>
        <x:v>0</x:v>
      </x:c>
      <x:c r="X12" s="253">
        <x:f>'CONSOLIDADO_TOTAL RECAUDO'!X107</x:f>
        <x:v>0</x:v>
      </x:c>
      <x:c r="Y12" s="254">
        <x:f>'CONSOLIDADO_TOTAL RECAUDO'!Y107</x:f>
        <x:v>0</x:v>
      </x:c>
      <x:c r="Z12" s="255">
        <x:f>'CONSOLIDADO_TOTAL RECAUDO'!Z107</x:f>
        <x:v>-120391083</x:v>
      </x:c>
      <x:c r="AA12" s="256">
        <x:f>'CONSOLIDADO_TOTAL RECAUDO'!AA107</x:f>
        <x:v>0</x:v>
      </x:c>
      <x:c r="AB12" s="230">
        <x:f>'CONSOLIDADO_TOTAL RECAUDO'!AB107</x:f>
        <x:v>0</x:v>
      </x:c>
      <x:c r="AC12" s="256">
        <x:f>'CONSOLIDADO_TOTAL RECAUDO'!AC107</x:f>
        <x:v>0</x:v>
      </x:c>
      <x:c r="AD12" s="227">
        <x:f>'CONSOLIDADO_TOTAL RECAUDO'!AD107</x:f>
        <x:v>0</x:v>
      </x:c>
      <x:c r="AE12" s="227">
        <x:f>'CONSOLIDADO_TOTAL RECAUDO'!AE107</x:f>
        <x:v>0</x:v>
      </x:c>
      <x:c r="AF12" s="258">
        <x:f>'CONSOLIDADO_TOTAL RECAUDO'!AF107</x:f>
        <x:v>-120391083</x:v>
      </x:c>
      <x:c r="AG12" s="440">
        <x:f>'CONSOLIDADO_TOTAL RECAUDO'!AG107</x:f>
        <x:v>0</x:v>
      </x:c>
      <x:c r="AH12" s="1" t="s">
        <x:v>1</x:v>
      </x:c>
      <x:c r="AI12" s="242"/>
      <x:c r="AM12" s="269"/>
    </x:row>
    <x:row r="13" spans="2:39" s="241" customFormat="1" ht="12.75" thickBot="1" x14ac:dyDescent="0.25">
      <x:c r="B13" s="260">
        <x:v>5</x:v>
      </x:c>
      <x:c r="C13" s="261" t="s">
        <x:v>14</x:v>
      </x:c>
      <x:c r="D13" s="232">
        <x:f>'CONSOLIDADO_TOTAL RECAUDO'!D108</x:f>
        <x:v>0</x:v>
      </x:c>
      <x:c r="E13" s="233">
        <x:f>'CONSOLIDADO_TOTAL RECAUDO'!E108</x:f>
        <x:v>0</x:v>
      </x:c>
      <x:c r="F13" s="233">
        <x:f>'CONSOLIDADO_TOTAL RECAUDO'!F108</x:f>
        <x:v>0</x:v>
      </x:c>
      <x:c r="G13" s="233">
        <x:f>'CONSOLIDADO_TOTAL RECAUDO'!G108</x:f>
        <x:v>0</x:v>
      </x:c>
      <x:c r="H13" s="233">
        <x:f>'CONSOLIDADO_TOTAL RECAUDO'!H108</x:f>
        <x:v>0</x:v>
      </x:c>
      <x:c r="I13" s="233">
        <x:f>'CONSOLIDADO_TOTAL RECAUDO'!I108</x:f>
        <x:v>0</x:v>
      </x:c>
      <x:c r="J13" s="225">
        <x:f>'CONSOLIDADO_TOTAL RECAUDO'!J108</x:f>
        <x:v>0</x:v>
      </x:c>
      <x:c r="K13" s="231">
        <x:f>'CONSOLIDADO_TOTAL RECAUDO'!K108</x:f>
        <x:v>0</x:v>
      </x:c>
      <x:c r="L13" s="230">
        <x:f>'CONSOLIDADO_TOTAL RECAUDO'!L108</x:f>
        <x:v>128990446</x:v>
      </x:c>
      <x:c r="M13" s="234">
        <x:f>'CONSOLIDADO_TOTAL RECAUDO'!M108</x:f>
        <x:v>-128990446</x:v>
      </x:c>
      <x:c r="N13" s="235">
        <x:f>'CONSOLIDADO_TOTAL RECAUDO'!N108</x:f>
        <x:v>0</x:v>
      </x:c>
      <x:c r="O13" s="234">
        <x:f>'CONSOLIDADO_TOTAL RECAUDO'!O108</x:f>
        <x:v>-128990446</x:v>
      </x:c>
      <x:c r="Q13" s="242"/>
      <x:c r="S13" s="260">
        <x:v>5</x:v>
      </x:c>
      <x:c r="T13" s="261" t="s">
        <x:v>14</x:v>
      </x:c>
      <x:c r="U13" s="232">
        <x:f>'CONSOLIDADO_TOTAL RECAUDO'!U108</x:f>
        <x:v>0</x:v>
      </x:c>
      <x:c r="V13" s="233">
        <x:f>'CONSOLIDADO_TOTAL RECAUDO'!V108</x:f>
        <x:v>0</x:v>
      </x:c>
      <x:c r="W13" s="233">
        <x:f>'CONSOLIDADO_TOTAL RECAUDO'!W108</x:f>
        <x:v>0</x:v>
      </x:c>
      <x:c r="X13" s="233">
        <x:f>'CONSOLIDADO_TOTAL RECAUDO'!X108</x:f>
        <x:v>0</x:v>
      </x:c>
      <x:c r="Y13" s="225">
        <x:f>'CONSOLIDADO_TOTAL RECAUDO'!Y108</x:f>
        <x:v>0</x:v>
      </x:c>
      <x:c r="Z13" s="255">
        <x:f>'CONSOLIDADO_TOTAL RECAUDO'!Z108</x:f>
        <x:v>-128990446</x:v>
      </x:c>
      <x:c r="AA13" s="256">
        <x:f>'CONSOLIDADO_TOTAL RECAUDO'!AA108</x:f>
        <x:v>0</x:v>
      </x:c>
      <x:c r="AB13" s="230">
        <x:f>'CONSOLIDADO_TOTAL RECAUDO'!AB108</x:f>
        <x:v>0</x:v>
      </x:c>
      <x:c r="AC13" s="256">
        <x:f>'CONSOLIDADO_TOTAL RECAUDO'!AC108</x:f>
        <x:v>0</x:v>
      </x:c>
      <x:c r="AD13" s="227">
        <x:f>'CONSOLIDADO_TOTAL RECAUDO'!AD108</x:f>
        <x:v>0</x:v>
      </x:c>
      <x:c r="AE13" s="227">
        <x:f>'CONSOLIDADO_TOTAL RECAUDO'!AE108</x:f>
        <x:v>0</x:v>
      </x:c>
      <x:c r="AF13" s="258">
        <x:f>'CONSOLIDADO_TOTAL RECAUDO'!AF108</x:f>
        <x:v>-128990446</x:v>
      </x:c>
      <x:c r="AG13" s="441">
        <x:f>'CONSOLIDADO_TOTAL RECAUDO'!AG108</x:f>
        <x:v>0</x:v>
      </x:c>
      <x:c r="AH13" s="1" t="s">
        <x:v>1</x:v>
      </x:c>
      <x:c r="AI13" s="242"/>
      <x:c r="AM13" s="269"/>
    </x:row>
    <x:row r="14" spans="2:39" s="241" customFormat="1" ht="13.5" thickBot="1" x14ac:dyDescent="0.25">
      <x:c r="B14" s="263"/>
      <x:c r="C14" s="264" t="s">
        <x:v>2</x:v>
      </x:c>
      <x:c r="D14" s="226">
        <x:f>'CONSOLIDADO_TOTAL RECAUDO'!D109</x:f>
        <x:v>0</x:v>
      </x:c>
      <x:c r="E14" s="226">
        <x:f>'CONSOLIDADO_TOTAL RECAUDO'!E109</x:f>
        <x:v>0</x:v>
      </x:c>
      <x:c r="F14" s="226">
        <x:f>'CONSOLIDADO_TOTAL RECAUDO'!F109</x:f>
        <x:v>0</x:v>
      </x:c>
      <x:c r="G14" s="226">
        <x:f>'CONSOLIDADO_TOTAL RECAUDO'!G109</x:f>
        <x:v>0</x:v>
      </x:c>
      <x:c r="H14" s="226">
        <x:f>'CONSOLIDADO_TOTAL RECAUDO'!H109</x:f>
        <x:v>0</x:v>
      </x:c>
      <x:c r="I14" s="226">
        <x:f>'CONSOLIDADO_TOTAL RECAUDO'!I109</x:f>
        <x:v>0</x:v>
      </x:c>
      <x:c r="J14" s="226">
        <x:f>'CONSOLIDADO_TOTAL RECAUDO'!J109</x:f>
        <x:v>0</x:v>
      </x:c>
      <x:c r="K14" s="236">
        <x:f>'CONSOLIDADO_TOTAL RECAUDO'!K109</x:f>
        <x:v>0</x:v>
      </x:c>
      <x:c r="L14" s="237">
        <x:f>'CONSOLIDADO_TOTAL RECAUDO'!L109</x:f>
        <x:v>859936309</x:v>
      </x:c>
      <x:c r="M14" s="238">
        <x:f>'CONSOLIDADO_TOTAL RECAUDO'!M109</x:f>
        <x:v>-859936309</x:v>
      </x:c>
      <x:c r="N14" s="237">
        <x:f>'CONSOLIDADO_TOTAL RECAUDO'!N109</x:f>
        <x:v>0</x:v>
      </x:c>
      <x:c r="O14" s="238">
        <x:f>'CONSOLIDADO_TOTAL RECAUDO'!O109</x:f>
        <x:v>-859936309</x:v>
      </x:c>
      <x:c r="P14" s="265"/>
      <x:c r="Q14" s="242"/>
      <x:c r="S14" s="263"/>
      <x:c r="T14" s="264" t="s">
        <x:v>2</x:v>
      </x:c>
      <x:c r="U14" s="266">
        <x:f>'CONSOLIDADO_TOTAL RECAUDO'!U109</x:f>
        <x:v>0</x:v>
      </x:c>
      <x:c r="V14" s="266">
        <x:f>'CONSOLIDADO_TOTAL RECAUDO'!V109</x:f>
        <x:v>0</x:v>
      </x:c>
      <x:c r="W14" s="266">
        <x:f>'CONSOLIDADO_TOTAL RECAUDO'!W109</x:f>
        <x:v>0</x:v>
      </x:c>
      <x:c r="X14" s="266">
        <x:f>'CONSOLIDADO_TOTAL RECAUDO'!X109</x:f>
        <x:v>0</x:v>
      </x:c>
      <x:c r="Y14" s="266">
        <x:f>'CONSOLIDADO_TOTAL RECAUDO'!Y109</x:f>
        <x:v>0</x:v>
      </x:c>
      <x:c r="Z14" s="226">
        <x:f>'CONSOLIDADO_TOTAL RECAUDO'!Z109</x:f>
        <x:v>-859936309</x:v>
      </x:c>
      <x:c r="AA14" s="226">
        <x:f>'CONSOLIDADO_TOTAL RECAUDO'!AA109</x:f>
        <x:v>0</x:v>
      </x:c>
      <x:c r="AB14" s="226">
        <x:f>'CONSOLIDADO_TOTAL RECAUDO'!AB109</x:f>
        <x:v>0</x:v>
      </x:c>
      <x:c r="AC14" s="226">
        <x:f>'CONSOLIDADO_TOTAL RECAUDO'!AC109</x:f>
        <x:v>0</x:v>
      </x:c>
      <x:c r="AD14" s="226">
        <x:f>'CONSOLIDADO_TOTAL RECAUDO'!AD109</x:f>
        <x:v>0</x:v>
      </x:c>
      <x:c r="AE14" s="226">
        <x:f>'CONSOLIDADO_TOTAL RECAUDO'!AE109</x:f>
        <x:v>0</x:v>
      </x:c>
      <x:c r="AF14" s="267">
        <x:f>'CONSOLIDADO_TOTAL RECAUDO'!AF109</x:f>
        <x:v>-859936309</x:v>
      </x:c>
      <x:c r="AG14" s="442">
        <x:f>'CONSOLIDADO_TOTAL RECAUDO'!AG109</x:f>
        <x:v>0</x:v>
      </x:c>
      <x:c r="AH14" s="1" t="s">
        <x:v>1</x:v>
      </x:c>
      <x:c r="AI14" s="242"/>
      <x:c r="AM14" s="269"/>
    </x:row>
    <x:row r="15" spans="2:39" x14ac:dyDescent="0.2">
      <x:c r="B15" s="2"/>
      <x:c r="C15" s="2"/>
      <x:c r="D15" s="374"/>
      <x:c r="E15" s="374"/>
      <x:c r="F15" s="374"/>
      <x:c r="G15" s="374"/>
      <x:c r="H15" s="374"/>
      <x:c r="I15" s="374"/>
      <x:c r="K15" s="374"/>
      <x:c r="L15" s="374"/>
      <x:c r="M15" s="374"/>
      <x:c r="N15" s="374"/>
      <x:c r="O15" s="374"/>
      <x:c r="Q15" s="4"/>
      <x:c r="S15" s="2"/>
      <x:c r="T15" s="2"/>
      <x:c r="U15" s="374"/>
      <x:c r="V15" s="374"/>
      <x:c r="W15" s="374"/>
      <x:c r="X15" s="374"/>
      <x:c r="Y15" s="374"/>
      <x:c r="AF15" s="374"/>
      <x:c r="AH15" s="1" t="s">
        <x:v>1</x:v>
      </x:c>
      <x:c r="AI15" s="4"/>
    </x:row>
    <x:row r="16" spans="2:39" x14ac:dyDescent="0.2">
      <x:c r="B16" s="2"/>
      <x:c r="C16" s="2" t="s">
        <x:v>1</x:v>
      </x:c>
      <x:c r="D16" s="467"/>
      <x:c r="E16" s="467"/>
      <x:c r="F16" s="467"/>
      <x:c r="G16" s="467"/>
      <x:c r="H16" s="467"/>
      <x:c r="I16" s="467"/>
      <x:c r="K16" s="467"/>
      <x:c r="L16" s="467"/>
      <x:c r="M16" s="467"/>
      <x:c r="N16" s="467"/>
      <x:c r="O16" s="467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x14ac:dyDescent="0.2">
      <x:c r="A17" s="4"/>
      <x:c r="B17" s="34"/>
      <x:c r="C17" s="34"/>
      <x:c r="D17" s="397"/>
      <x:c r="E17" s="397"/>
      <x:c r="F17" s="397"/>
      <x:c r="G17" s="397"/>
      <x:c r="H17" s="397"/>
      <x:c r="I17" s="397"/>
      <x:c r="J17" s="4"/>
      <x:c r="K17" s="397"/>
      <x:c r="L17" s="397"/>
      <x:c r="M17" s="397"/>
      <x:c r="N17" s="397"/>
      <x:c r="O17" s="397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.75" thickBot="1" x14ac:dyDescent="0.25">
      <x:c r="Q18" s="4"/>
      <x:c r="AI18" s="4"/>
    </x:row>
    <x:row r="19" spans="1:39" x14ac:dyDescent="0.2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5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75" x14ac:dyDescent="0.25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5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75" x14ac:dyDescent="0.25">
      <x:c r="B23" s="8"/>
      <x:c r="C23" s="2"/>
      <x:c r="D23" s="9"/>
      <x:c r="F23" s="398" t="s">
        <x:v>186</x:v>
      </x:c>
      <x:c r="G23" s="398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75" thickBot="1" x14ac:dyDescent="0.25">
      <x:c r="B24" s="8"/>
      <x:c r="C24" s="2"/>
      <x:c r="D24" s="198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75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167</x:v>
      </x:c>
      <x:c r="AD25" s="114" t="s">
        <x:v>105</x:v>
      </x:c>
      <x:c r="AE25" s="114" t="s">
        <x:v>104</x:v>
      </x:c>
      <x:c r="AF25" s="39" t="s">
        <x:v>23</x:v>
      </x:c>
      <x:c r="AG25" s="13"/>
      <x:c r="AI25" s="4"/>
    </x:row>
    <x:row r="26" spans="1:39" s="241" customFormat="1" x14ac:dyDescent="0.2">
      <x:c r="B26" s="239">
        <x:v>1</x:v>
      </x:c>
      <x:c r="C26" s="240" t="s">
        <x:v>10</x:v>
      </x:c>
      <x:c r="D26" s="227">
        <x:f>'REMUNERACION Reciprocidad EAAB'!D104</x:f>
        <x:v>0</x:v>
      </x:c>
      <x:c r="E26" s="228">
        <x:f>'REMUNERACION Reciprocidad EAAB'!E104</x:f>
        <x:v>0</x:v>
      </x:c>
      <x:c r="F26" s="228">
        <x:f>'REMUNERACION Reciprocidad EAAB'!F104</x:f>
        <x:v>0</x:v>
      </x:c>
      <x:c r="G26" s="228">
        <x:f>'REMUNERACION Reciprocidad EAAB'!G104</x:f>
        <x:v>0</x:v>
      </x:c>
      <x:c r="H26" s="228">
        <x:f>'REMUNERACION Reciprocidad EAAB'!H104</x:f>
        <x:v>0</x:v>
      </x:c>
      <x:c r="I26" s="228">
        <x:f>'REMUNERACION Reciprocidad EAAB'!I104</x:f>
        <x:v>0</x:v>
      </x:c>
      <x:c r="J26" s="224">
        <x:f>'REMUNERACION Reciprocidad EAAB'!J104</x:f>
        <x:v>0</x:v>
      </x:c>
      <x:c r="K26" s="229">
        <x:f>'REMUNERACION Reciprocidad EAAB'!K104</x:f>
        <x:v>0</x:v>
      </x:c>
      <x:c r="L26" s="230">
        <x:f>'REMUNERACION Reciprocidad EAAB'!L104</x:f>
        <x:v>0</x:v>
      </x:c>
      <x:c r="M26" s="229">
        <x:f>'REMUNERACION Reciprocidad EAAB'!M104</x:f>
        <x:v>0</x:v>
      </x:c>
      <x:c r="N26" s="230">
        <x:f>'REMUNERACION Reciprocidad EAAB'!N104</x:f>
        <x:v>0</x:v>
      </x:c>
      <x:c r="O26" s="229">
        <x:f>'REMUNERACION Reciprocidad EAAB'!O104</x:f>
        <x:v>0</x:v>
      </x:c>
      <x:c r="Q26" s="242"/>
      <x:c r="S26" s="239">
        <x:v>1</x:v>
      </x:c>
      <x:c r="T26" s="240" t="s">
        <x:v>10</x:v>
      </x:c>
      <x:c r="U26" s="243">
        <x:f>'REMUNERACION Reciprocidad EAAB'!U104</x:f>
        <x:v>0</x:v>
      </x:c>
      <x:c r="V26" s="244">
        <x:f>'REMUNERACION Reciprocidad EAAB'!V104</x:f>
        <x:v>0</x:v>
      </x:c>
      <x:c r="W26" s="244">
        <x:f>'REMUNERACION Reciprocidad EAAB'!W104</x:f>
        <x:v>0</x:v>
      </x:c>
      <x:c r="X26" s="244">
        <x:f>'REMUNERACION Reciprocidad EAAB'!X104</x:f>
        <x:v>0</x:v>
      </x:c>
      <x:c r="Y26" s="245">
        <x:f>'REMUNERACION Reciprocidad EAAB'!Y104</x:f>
        <x:v>0</x:v>
      </x:c>
      <x:c r="Z26" s="246">
        <x:f>'REMUNERACION Reciprocidad EAAB'!Z104</x:f>
        <x:v>0</x:v>
      </x:c>
      <x:c r="AA26" s="247">
        <x:f>'REMUNERACION Reciprocidad EAAB'!AA104</x:f>
        <x:v>0</x:v>
      </x:c>
      <x:c r="AB26" s="230">
        <x:f>'REMUNERACION Reciprocidad EAAB'!AB104</x:f>
        <x:v>0</x:v>
      </x:c>
      <x:c r="AC26" s="247">
        <x:f>'REMUNERACION Reciprocidad EAAB'!AC104</x:f>
        <x:v>0</x:v>
      </x:c>
      <x:c r="AD26" s="227">
        <x:f>'REMUNERACION Reciprocidad EAAB'!AD104</x:f>
        <x:v>0</x:v>
      </x:c>
      <x:c r="AE26" s="227">
        <x:f>'REMUNERACION Reciprocidad EAAB'!AE104</x:f>
        <x:v>0</x:v>
      </x:c>
      <x:c r="AF26" s="249">
        <x:f>'REMUNERACION Reciprocidad EAAB'!AF104</x:f>
        <x:v>0</x:v>
      </x:c>
      <x:c r="AG26" s="439">
        <x:f>'REMUNERACION Reciprocidad EAAB'!AG104</x:f>
        <x:v>0</x:v>
      </x:c>
      <x:c r="AH26" s="1"/>
      <x:c r="AI26" s="242"/>
      <x:c r="AM26" s="269"/>
    </x:row>
    <x:row r="27" spans="1:39" s="241" customFormat="1" x14ac:dyDescent="0.2">
      <x:c r="B27" s="250">
        <x:v>2</x:v>
      </x:c>
      <x:c r="C27" s="251" t="s">
        <x:v>11</x:v>
      </x:c>
      <x:c r="D27" s="227">
        <x:f>'REMUNERACION Reciprocidad EAAB'!D105</x:f>
        <x:v>0</x:v>
      </x:c>
      <x:c r="E27" s="228">
        <x:f>'REMUNERACION Reciprocidad EAAB'!E105</x:f>
        <x:v>0</x:v>
      </x:c>
      <x:c r="F27" s="228">
        <x:f>'REMUNERACION Reciprocidad EAAB'!F105</x:f>
        <x:v>0</x:v>
      </x:c>
      <x:c r="G27" s="228">
        <x:f>'REMUNERACION Reciprocidad EAAB'!G105</x:f>
        <x:v>0</x:v>
      </x:c>
      <x:c r="H27" s="228">
        <x:f>'REMUNERACION Reciprocidad EAAB'!H105</x:f>
        <x:v>0</x:v>
      </x:c>
      <x:c r="I27" s="228">
        <x:f>'REMUNERACION Reciprocidad EAAB'!I105</x:f>
        <x:v>0</x:v>
      </x:c>
      <x:c r="J27" s="224">
        <x:f>'REMUNERACION Reciprocidad EAAB'!J105</x:f>
        <x:v>0</x:v>
      </x:c>
      <x:c r="K27" s="231">
        <x:f>'REMUNERACION Reciprocidad EAAB'!K105</x:f>
        <x:v>0</x:v>
      </x:c>
      <x:c r="L27" s="230">
        <x:f>'REMUNERACION Reciprocidad EAAB'!L105</x:f>
        <x:v>0</x:v>
      </x:c>
      <x:c r="M27" s="231">
        <x:f>'REMUNERACION Reciprocidad EAAB'!M105</x:f>
        <x:v>0</x:v>
      </x:c>
      <x:c r="N27" s="230">
        <x:f>'REMUNERACION Reciprocidad EAAB'!N105</x:f>
        <x:v>0</x:v>
      </x:c>
      <x:c r="O27" s="231">
        <x:f>'REMUNERACION Reciprocidad EAAB'!O105</x:f>
        <x:v>0</x:v>
      </x:c>
      <x:c r="Q27" s="242"/>
      <x:c r="S27" s="250">
        <x:v>2</x:v>
      </x:c>
      <x:c r="T27" s="251" t="s">
        <x:v>11</x:v>
      </x:c>
      <x:c r="U27" s="252">
        <x:f>'REMUNERACION Reciprocidad EAAB'!U105</x:f>
        <x:v>0</x:v>
      </x:c>
      <x:c r="V27" s="253">
        <x:f>'REMUNERACION Reciprocidad EAAB'!V105</x:f>
        <x:v>0</x:v>
      </x:c>
      <x:c r="W27" s="253">
        <x:f>'REMUNERACION Reciprocidad EAAB'!W105</x:f>
        <x:v>0</x:v>
      </x:c>
      <x:c r="X27" s="253">
        <x:f>'REMUNERACION Reciprocidad EAAB'!X105</x:f>
        <x:v>0</x:v>
      </x:c>
      <x:c r="Y27" s="254">
        <x:f>'REMUNERACION Reciprocidad EAAB'!Y105</x:f>
        <x:v>0</x:v>
      </x:c>
      <x:c r="Z27" s="255">
        <x:f>'REMUNERACION Reciprocidad EAAB'!Z105</x:f>
        <x:v>0</x:v>
      </x:c>
      <x:c r="AA27" s="256">
        <x:f>'REMUNERACION Reciprocidad EAAB'!AA105</x:f>
        <x:v>0</x:v>
      </x:c>
      <x:c r="AB27" s="230">
        <x:f>'REMUNERACION Reciprocidad EAAB'!AB105</x:f>
        <x:v>0</x:v>
      </x:c>
      <x:c r="AC27" s="256">
        <x:f>'REMUNERACION Reciprocidad EAAB'!AC105</x:f>
        <x:v>0</x:v>
      </x:c>
      <x:c r="AD27" s="227">
        <x:f>'REMUNERACION Reciprocidad EAAB'!AD105</x:f>
        <x:v>0</x:v>
      </x:c>
      <x:c r="AE27" s="227">
        <x:f>'REMUNERACION Reciprocidad EAAB'!AE105</x:f>
        <x:v>0</x:v>
      </x:c>
      <x:c r="AF27" s="258">
        <x:f>'REMUNERACION Reciprocidad EAAB'!AF105</x:f>
        <x:v>0</x:v>
      </x:c>
      <x:c r="AG27" s="440">
        <x:f>'REMUNERACION Reciprocidad EAAB'!AG105</x:f>
        <x:v>0</x:v>
      </x:c>
      <x:c r="AH27" s="1"/>
      <x:c r="AI27" s="242"/>
      <x:c r="AM27" s="269"/>
    </x:row>
    <x:row r="28" spans="1:39" s="241" customFormat="1" x14ac:dyDescent="0.2">
      <x:c r="B28" s="250">
        <x:v>3</x:v>
      </x:c>
      <x:c r="C28" s="251" t="s">
        <x:v>12</x:v>
      </x:c>
      <x:c r="D28" s="227">
        <x:f>'REMUNERACION Reciprocidad EAAB'!D106</x:f>
        <x:v>0</x:v>
      </x:c>
      <x:c r="E28" s="228">
        <x:f>'REMUNERACION Reciprocidad EAAB'!E106</x:f>
        <x:v>0</x:v>
      </x:c>
      <x:c r="F28" s="228">
        <x:f>'REMUNERACION Reciprocidad EAAB'!F106</x:f>
        <x:v>0</x:v>
      </x:c>
      <x:c r="G28" s="228">
        <x:f>'REMUNERACION Reciprocidad EAAB'!G106</x:f>
        <x:v>0</x:v>
      </x:c>
      <x:c r="H28" s="228">
        <x:f>'REMUNERACION Reciprocidad EAAB'!H106</x:f>
        <x:v>0</x:v>
      </x:c>
      <x:c r="I28" s="228">
        <x:f>'REMUNERACION Reciprocidad EAAB'!I106</x:f>
        <x:v>0</x:v>
      </x:c>
      <x:c r="J28" s="224">
        <x:f>'REMUNERACION Reciprocidad EAAB'!J106</x:f>
        <x:v>0</x:v>
      </x:c>
      <x:c r="K28" s="231">
        <x:f>'REMUNERACION Reciprocidad EAAB'!K106</x:f>
        <x:v>0</x:v>
      </x:c>
      <x:c r="L28" s="230">
        <x:f>'REMUNERACION Reciprocidad EAAB'!L106</x:f>
        <x:v>0</x:v>
      </x:c>
      <x:c r="M28" s="231">
        <x:f>'REMUNERACION Reciprocidad EAAB'!M106</x:f>
        <x:v>0</x:v>
      </x:c>
      <x:c r="N28" s="230">
        <x:f>'REMUNERACION Reciprocidad EAAB'!N106</x:f>
        <x:v>0</x:v>
      </x:c>
      <x:c r="O28" s="231">
        <x:f>'REMUNERACION Reciprocidad EAAB'!O106</x:f>
        <x:v>0</x:v>
      </x:c>
      <x:c r="Q28" s="242"/>
      <x:c r="S28" s="250">
        <x:v>3</x:v>
      </x:c>
      <x:c r="T28" s="251" t="s">
        <x:v>12</x:v>
      </x:c>
      <x:c r="U28" s="252">
        <x:f>'REMUNERACION Reciprocidad EAAB'!U106</x:f>
        <x:v>0</x:v>
      </x:c>
      <x:c r="V28" s="253">
        <x:f>'REMUNERACION Reciprocidad EAAB'!V106</x:f>
        <x:v>0</x:v>
      </x:c>
      <x:c r="W28" s="253">
        <x:f>'REMUNERACION Reciprocidad EAAB'!W106</x:f>
        <x:v>0</x:v>
      </x:c>
      <x:c r="X28" s="253">
        <x:f>'REMUNERACION Reciprocidad EAAB'!X106</x:f>
        <x:v>0</x:v>
      </x:c>
      <x:c r="Y28" s="254">
        <x:f>'REMUNERACION Reciprocidad EAAB'!Y106</x:f>
        <x:v>0</x:v>
      </x:c>
      <x:c r="Z28" s="255">
        <x:f>'REMUNERACION Reciprocidad EAAB'!Z106</x:f>
        <x:v>0</x:v>
      </x:c>
      <x:c r="AA28" s="256">
        <x:f>'REMUNERACION Reciprocidad EAAB'!AA106</x:f>
        <x:v>0</x:v>
      </x:c>
      <x:c r="AB28" s="230">
        <x:f>'REMUNERACION Reciprocidad EAAB'!AB106</x:f>
        <x:v>0</x:v>
      </x:c>
      <x:c r="AC28" s="256">
        <x:f>'REMUNERACION Reciprocidad EAAB'!AC106</x:f>
        <x:v>0</x:v>
      </x:c>
      <x:c r="AD28" s="227">
        <x:f>'REMUNERACION Reciprocidad EAAB'!AD106</x:f>
        <x:v>0</x:v>
      </x:c>
      <x:c r="AE28" s="227">
        <x:f>'REMUNERACION Reciprocidad EAAB'!AE106</x:f>
        <x:v>0</x:v>
      </x:c>
      <x:c r="AF28" s="258">
        <x:f>'REMUNERACION Reciprocidad EAAB'!AF106</x:f>
        <x:v>0</x:v>
      </x:c>
      <x:c r="AG28" s="440">
        <x:f>'REMUNERACION Reciprocidad EAAB'!AG106</x:f>
        <x:v>0</x:v>
      </x:c>
      <x:c r="AH28" s="1"/>
      <x:c r="AI28" s="242"/>
      <x:c r="AM28" s="269"/>
    </x:row>
    <x:row r="29" spans="1:39" s="241" customFormat="1" x14ac:dyDescent="0.2">
      <x:c r="B29" s="250">
        <x:v>4</x:v>
      </x:c>
      <x:c r="C29" s="251" t="s">
        <x:v>13</x:v>
      </x:c>
      <x:c r="D29" s="227">
        <x:f>'REMUNERACION Reciprocidad EAAB'!D107</x:f>
        <x:v>0</x:v>
      </x:c>
      <x:c r="E29" s="228">
        <x:f>'REMUNERACION Reciprocidad EAAB'!E107</x:f>
        <x:v>0</x:v>
      </x:c>
      <x:c r="F29" s="228">
        <x:f>'REMUNERACION Reciprocidad EAAB'!F107</x:f>
        <x:v>0</x:v>
      </x:c>
      <x:c r="G29" s="228">
        <x:f>'REMUNERACION Reciprocidad EAAB'!G107</x:f>
        <x:v>0</x:v>
      </x:c>
      <x:c r="H29" s="228">
        <x:f>'REMUNERACION Reciprocidad EAAB'!H107</x:f>
        <x:v>0</x:v>
      </x:c>
      <x:c r="I29" s="228">
        <x:f>'REMUNERACION Reciprocidad EAAB'!I107</x:f>
        <x:v>0</x:v>
      </x:c>
      <x:c r="J29" s="224">
        <x:f>'REMUNERACION Reciprocidad EAAB'!J107</x:f>
        <x:v>0</x:v>
      </x:c>
      <x:c r="K29" s="231">
        <x:f>'REMUNERACION Reciprocidad EAAB'!K107</x:f>
        <x:v>0</x:v>
      </x:c>
      <x:c r="L29" s="230">
        <x:f>'REMUNERACION Reciprocidad EAAB'!L107</x:f>
        <x:v>0</x:v>
      </x:c>
      <x:c r="M29" s="231">
        <x:f>'REMUNERACION Reciprocidad EAAB'!M107</x:f>
        <x:v>0</x:v>
      </x:c>
      <x:c r="N29" s="230">
        <x:f>'REMUNERACION Reciprocidad EAAB'!N107</x:f>
        <x:v>0</x:v>
      </x:c>
      <x:c r="O29" s="231">
        <x:f>'REMUNERACION Reciprocidad EAAB'!O107</x:f>
        <x:v>0</x:v>
      </x:c>
      <x:c r="Q29" s="242"/>
      <x:c r="S29" s="250">
        <x:v>4</x:v>
      </x:c>
      <x:c r="T29" s="251" t="s">
        <x:v>13</x:v>
      </x:c>
      <x:c r="U29" s="252">
        <x:f>'REMUNERACION Reciprocidad EAAB'!U107</x:f>
        <x:v>0</x:v>
      </x:c>
      <x:c r="V29" s="253">
        <x:f>'REMUNERACION Reciprocidad EAAB'!V107</x:f>
        <x:v>0</x:v>
      </x:c>
      <x:c r="W29" s="253">
        <x:f>'REMUNERACION Reciprocidad EAAB'!W107</x:f>
        <x:v>0</x:v>
      </x:c>
      <x:c r="X29" s="253">
        <x:f>'REMUNERACION Reciprocidad EAAB'!X107</x:f>
        <x:v>0</x:v>
      </x:c>
      <x:c r="Y29" s="254">
        <x:f>'REMUNERACION Reciprocidad EAAB'!Y107</x:f>
        <x:v>0</x:v>
      </x:c>
      <x:c r="Z29" s="255">
        <x:f>'REMUNERACION Reciprocidad EAAB'!Z107</x:f>
        <x:v>0</x:v>
      </x:c>
      <x:c r="AA29" s="256">
        <x:f>'REMUNERACION Reciprocidad EAAB'!AA107</x:f>
        <x:v>0</x:v>
      </x:c>
      <x:c r="AB29" s="230">
        <x:f>'REMUNERACION Reciprocidad EAAB'!AB107</x:f>
        <x:v>0</x:v>
      </x:c>
      <x:c r="AC29" s="256">
        <x:f>'REMUNERACION Reciprocidad EAAB'!AC107</x:f>
        <x:v>0</x:v>
      </x:c>
      <x:c r="AD29" s="227">
        <x:f>'REMUNERACION Reciprocidad EAAB'!AD107</x:f>
        <x:v>0</x:v>
      </x:c>
      <x:c r="AE29" s="227">
        <x:f>'REMUNERACION Reciprocidad EAAB'!AE107</x:f>
        <x:v>0</x:v>
      </x:c>
      <x:c r="AF29" s="258">
        <x:f>'REMUNERACION Reciprocidad EAAB'!AF107</x:f>
        <x:v>0</x:v>
      </x:c>
      <x:c r="AG29" s="440">
        <x:f>'REMUNERACION Reciprocidad EAAB'!AG107</x:f>
        <x:v>0</x:v>
      </x:c>
      <x:c r="AH29" s="1"/>
      <x:c r="AI29" s="242"/>
      <x:c r="AM29" s="269"/>
    </x:row>
    <x:row r="30" spans="1:39" s="241" customFormat="1" ht="12.75" thickBot="1" x14ac:dyDescent="0.25">
      <x:c r="B30" s="260">
        <x:v>5</x:v>
      </x:c>
      <x:c r="C30" s="261" t="s">
        <x:v>14</x:v>
      </x:c>
      <x:c r="D30" s="232">
        <x:f>'REMUNERACION Reciprocidad EAAB'!D108</x:f>
        <x:v>0</x:v>
      </x:c>
      <x:c r="E30" s="233">
        <x:f>'REMUNERACION Reciprocidad EAAB'!E108</x:f>
        <x:v>0</x:v>
      </x:c>
      <x:c r="F30" s="233">
        <x:f>'REMUNERACION Reciprocidad EAAB'!F108</x:f>
        <x:v>0</x:v>
      </x:c>
      <x:c r="G30" s="233">
        <x:f>'REMUNERACION Reciprocidad EAAB'!G108</x:f>
        <x:v>0</x:v>
      </x:c>
      <x:c r="H30" s="233">
        <x:f>'REMUNERACION Reciprocidad EAAB'!H108</x:f>
        <x:v>0</x:v>
      </x:c>
      <x:c r="I30" s="233">
        <x:f>'REMUNERACION Reciprocidad EAAB'!I108</x:f>
        <x:v>0</x:v>
      </x:c>
      <x:c r="J30" s="225">
        <x:f>'REMUNERACION Reciprocidad EAAB'!J108</x:f>
        <x:v>0</x:v>
      </x:c>
      <x:c r="K30" s="231">
        <x:f>'REMUNERACION Reciprocidad EAAB'!K108</x:f>
        <x:v>0</x:v>
      </x:c>
      <x:c r="L30" s="230">
        <x:f>'REMUNERACION Reciprocidad EAAB'!L108</x:f>
        <x:v>0</x:v>
      </x:c>
      <x:c r="M30" s="234">
        <x:f>'REMUNERACION Reciprocidad EAAB'!M108</x:f>
        <x:v>0</x:v>
      </x:c>
      <x:c r="N30" s="235">
        <x:f>'REMUNERACION Reciprocidad EAAB'!N108</x:f>
        <x:v>0</x:v>
      </x:c>
      <x:c r="O30" s="234">
        <x:f>'REMUNERACION Reciprocidad EAAB'!O108</x:f>
        <x:v>0</x:v>
      </x:c>
      <x:c r="Q30" s="242"/>
      <x:c r="S30" s="260">
        <x:v>5</x:v>
      </x:c>
      <x:c r="T30" s="261" t="s">
        <x:v>14</x:v>
      </x:c>
      <x:c r="U30" s="232">
        <x:f>'REMUNERACION Reciprocidad EAAB'!U108</x:f>
        <x:v>0</x:v>
      </x:c>
      <x:c r="V30" s="233">
        <x:f>'REMUNERACION Reciprocidad EAAB'!V108</x:f>
        <x:v>0</x:v>
      </x:c>
      <x:c r="W30" s="233">
        <x:f>'REMUNERACION Reciprocidad EAAB'!W108</x:f>
        <x:v>0</x:v>
      </x:c>
      <x:c r="X30" s="233">
        <x:f>'REMUNERACION Reciprocidad EAAB'!X108</x:f>
        <x:v>0</x:v>
      </x:c>
      <x:c r="Y30" s="225">
        <x:f>'REMUNERACION Reciprocidad EAAB'!Y108</x:f>
        <x:v>0</x:v>
      </x:c>
      <x:c r="Z30" s="255">
        <x:f>'REMUNERACION Reciprocidad EAAB'!Z108</x:f>
        <x:v>0</x:v>
      </x:c>
      <x:c r="AA30" s="256">
        <x:f>'REMUNERACION Reciprocidad EAAB'!AA108</x:f>
        <x:v>0</x:v>
      </x:c>
      <x:c r="AB30" s="230">
        <x:f>'REMUNERACION Reciprocidad EAAB'!AB108</x:f>
        <x:v>0</x:v>
      </x:c>
      <x:c r="AC30" s="256">
        <x:f>'REMUNERACION Reciprocidad EAAB'!AC108</x:f>
        <x:v>0</x:v>
      </x:c>
      <x:c r="AD30" s="227">
        <x:f>'REMUNERACION Reciprocidad EAAB'!AD108</x:f>
        <x:v>0</x:v>
      </x:c>
      <x:c r="AE30" s="227">
        <x:f>'REMUNERACION Reciprocidad EAAB'!AE108</x:f>
        <x:v>0</x:v>
      </x:c>
      <x:c r="AF30" s="258">
        <x:f>'REMUNERACION Reciprocidad EAAB'!AF108</x:f>
        <x:v>0</x:v>
      </x:c>
      <x:c r="AG30" s="441">
        <x:f>'REMUNERACION Reciprocidad EAAB'!AG108</x:f>
        <x:v>0</x:v>
      </x:c>
      <x:c r="AH30" s="1"/>
      <x:c r="AI30" s="242"/>
      <x:c r="AM30" s="269"/>
    </x:row>
    <x:row r="31" spans="1:39" s="241" customFormat="1" ht="13.5" thickBot="1" x14ac:dyDescent="0.25">
      <x:c r="B31" s="263"/>
      <x:c r="C31" s="264" t="s">
        <x:v>2</x:v>
      </x:c>
      <x:c r="D31" s="226">
        <x:f>'REMUNERACION Reciprocidad EAAB'!D109</x:f>
        <x:v>0</x:v>
      </x:c>
      <x:c r="E31" s="226">
        <x:f>'REMUNERACION Reciprocidad EAAB'!E109</x:f>
        <x:v>0</x:v>
      </x:c>
      <x:c r="F31" s="226">
        <x:f>'REMUNERACION Reciprocidad EAAB'!F109</x:f>
        <x:v>0</x:v>
      </x:c>
      <x:c r="G31" s="226">
        <x:f>'REMUNERACION Reciprocidad EAAB'!G109</x:f>
        <x:v>0</x:v>
      </x:c>
      <x:c r="H31" s="226">
        <x:f>'REMUNERACION Reciprocidad EAAB'!H109</x:f>
        <x:v>0</x:v>
      </x:c>
      <x:c r="I31" s="226">
        <x:f>'REMUNERACION Reciprocidad EAAB'!I109</x:f>
        <x:v>0</x:v>
      </x:c>
      <x:c r="J31" s="226">
        <x:f>'REMUNERACION Reciprocidad EAAB'!J109</x:f>
        <x:v>0</x:v>
      </x:c>
      <x:c r="K31" s="236">
        <x:f>'REMUNERACION Reciprocidad EAAB'!K109</x:f>
        <x:v>0</x:v>
      </x:c>
      <x:c r="L31" s="237">
        <x:f>'REMUNERACION Reciprocidad EAAB'!L109</x:f>
        <x:v>0</x:v>
      </x:c>
      <x:c r="M31" s="238">
        <x:f>'REMUNERACION Reciprocidad EAAB'!M109</x:f>
        <x:v>0</x:v>
      </x:c>
      <x:c r="N31" s="237">
        <x:f>'REMUNERACION Reciprocidad EAAB'!N109</x:f>
        <x:v>0</x:v>
      </x:c>
      <x:c r="O31" s="238">
        <x:f>'REMUNERACION Reciprocidad EAAB'!O109</x:f>
        <x:v>0</x:v>
      </x:c>
      <x:c r="P31" s="265"/>
      <x:c r="Q31" s="242"/>
      <x:c r="S31" s="263"/>
      <x:c r="T31" s="264" t="s">
        <x:v>2</x:v>
      </x:c>
      <x:c r="U31" s="266">
        <x:f>'REMUNERACION Reciprocidad EAAB'!U109</x:f>
        <x:v>0</x:v>
      </x:c>
      <x:c r="V31" s="266">
        <x:f>'REMUNERACION Reciprocidad EAAB'!V109</x:f>
        <x:v>0</x:v>
      </x:c>
      <x:c r="W31" s="266">
        <x:f>'REMUNERACION Reciprocidad EAAB'!W109</x:f>
        <x:v>0</x:v>
      </x:c>
      <x:c r="X31" s="266">
        <x:f>'REMUNERACION Reciprocidad EAAB'!X109</x:f>
        <x:v>0</x:v>
      </x:c>
      <x:c r="Y31" s="266">
        <x:f>'REMUNERACION Reciprocidad EAAB'!Y109</x:f>
        <x:v>0</x:v>
      </x:c>
      <x:c r="Z31" s="226">
        <x:f>'REMUNERACION Reciprocidad EAAB'!Z109</x:f>
        <x:v>0</x:v>
      </x:c>
      <x:c r="AA31" s="226">
        <x:f>'REMUNERACION Reciprocidad EAAB'!AA109</x:f>
        <x:v>0</x:v>
      </x:c>
      <x:c r="AB31" s="226">
        <x:f>'REMUNERACION Reciprocidad EAAB'!AB109</x:f>
        <x:v>0</x:v>
      </x:c>
      <x:c r="AC31" s="226">
        <x:f>'REMUNERACION Reciprocidad EAAB'!AC109</x:f>
        <x:v>0</x:v>
      </x:c>
      <x:c r="AD31" s="226">
        <x:f>'REMUNERACION Reciprocidad EAAB'!AD109</x:f>
        <x:v>0</x:v>
      </x:c>
      <x:c r="AE31" s="226">
        <x:f>'REMUNERACION Reciprocidad EAAB'!AE109</x:f>
        <x:v>0</x:v>
      </x:c>
      <x:c r="AF31" s="267">
        <x:f>'REMUNERACION Reciprocidad EAAB'!AF109</x:f>
        <x:v>0</x:v>
      </x:c>
      <x:c r="AG31" s="442">
        <x:f>'REMUNERACION Reciprocidad EAAB'!AG109</x:f>
        <x:v>0</x:v>
      </x:c>
      <x:c r="AH31" s="1"/>
      <x:c r="AI31" s="242"/>
      <x:c r="AM31" s="269"/>
    </x:row>
    <x:row r="32" spans="1:39" x14ac:dyDescent="0.2">
      <x:c r="B32" s="2"/>
      <x:c r="C32" s="2"/>
      <x:c r="D32" s="374"/>
      <x:c r="E32" s="374"/>
      <x:c r="F32" s="374"/>
      <x:c r="G32" s="374"/>
      <x:c r="H32" s="374"/>
      <x:c r="I32" s="374"/>
      <x:c r="K32" s="374"/>
      <x:c r="L32" s="374"/>
      <x:c r="M32" s="374"/>
      <x:c r="N32" s="374"/>
      <x:c r="O32" s="374"/>
      <x:c r="Q32" s="4"/>
      <x:c r="S32" s="2"/>
      <x:c r="T32" s="2"/>
      <x:c r="U32" s="374"/>
      <x:c r="V32" s="374"/>
      <x:c r="W32" s="374"/>
      <x:c r="X32" s="374"/>
      <x:c r="Y32" s="374"/>
      <x:c r="AF32" s="374"/>
      <x:c r="AI32" s="4"/>
    </x:row>
    <x:row r="33" spans="1:39" x14ac:dyDescent="0.2">
      <x:c r="B33" s="2"/>
      <x:c r="C33" s="2"/>
      <x:c r="D33" s="467"/>
      <x:c r="E33" s="467"/>
      <x:c r="F33" s="467"/>
      <x:c r="G33" s="467"/>
      <x:c r="H33" s="467"/>
      <x:c r="I33" s="467"/>
      <x:c r="K33" s="467"/>
      <x:c r="L33" s="467"/>
      <x:c r="M33" s="467"/>
      <x:c r="N33" s="467"/>
      <x:c r="O33" s="467"/>
      <x:c r="Q33" s="4"/>
      <x:c r="AI33" s="4"/>
    </x:row>
    <x:row r="34" spans="1:39" x14ac:dyDescent="0.2">
      <x:c r="A34" s="4"/>
      <x:c r="B34" s="34"/>
      <x:c r="C34" s="34"/>
      <x:c r="D34" s="397"/>
      <x:c r="E34" s="397"/>
      <x:c r="F34" s="397"/>
      <x:c r="G34" s="397"/>
      <x:c r="H34" s="397"/>
      <x:c r="I34" s="397"/>
      <x:c r="J34" s="4"/>
      <x:c r="K34" s="397"/>
      <x:c r="L34" s="397"/>
      <x:c r="M34" s="397"/>
      <x:c r="N34" s="397"/>
      <x:c r="O34" s="397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.75" thickBot="1" x14ac:dyDescent="0.25">
      <x:c r="Q35" s="4"/>
      <x:c r="AI35" s="4"/>
    </x:row>
    <x:row r="36" spans="1:39" x14ac:dyDescent="0.2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5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75" x14ac:dyDescent="0.25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5" x14ac:dyDescent="0.25">
      <x:c r="B39" s="8"/>
      <x:c r="F39" s="2" t="s">
        <x:v>30</x:v>
      </x:c>
      <x:c r="G39" s="2"/>
      <x:c r="L39" s="90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75" x14ac:dyDescent="0.25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0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8" thickBot="1" x14ac:dyDescent="0.35">
      <x:c r="B41" s="8"/>
      <x:c r="C41" s="2"/>
      <x:c r="D41" s="198"/>
      <x:c r="F41" s="2"/>
      <x:c r="G41" s="9"/>
      <x:c r="J41" s="2"/>
      <x:c r="K41" s="9"/>
      <x:c r="L41" s="91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05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46" t="s">
        <x:v>39</x:v>
      </x:c>
      <x:c r="V42" s="147" t="s">
        <x:v>40</x:v>
      </x:c>
      <x:c r="W42" s="147" t="s">
        <x:v>41</x:v>
      </x:c>
      <x:c r="X42" s="147" t="s">
        <x:v>42</x:v>
      </x:c>
      <x:c r="Y42" s="148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167</x:v>
      </x:c>
      <x:c r="AD42" s="114" t="s">
        <x:v>105</x:v>
      </x:c>
      <x:c r="AE42" s="114" t="s">
        <x:v>104</x:v>
      </x:c>
      <x:c r="AF42" s="39" t="s">
        <x:v>23</x:v>
      </x:c>
      <x:c r="AG42" s="13"/>
      <x:c r="AI42" s="4"/>
    </x:row>
    <x:row r="43" spans="1:39" s="241" customFormat="1" x14ac:dyDescent="0.2">
      <x:c r="B43" s="239">
        <x:v>1</x:v>
      </x:c>
      <x:c r="C43" s="240" t="s">
        <x:v>10</x:v>
      </x:c>
      <x:c r="D43" s="227">
        <x:f>REMUNERACION_ENEL!D104</x:f>
        <x:v>0</x:v>
      </x:c>
      <x:c r="E43" s="228">
        <x:f>REMUNERACION_ENEL!E104</x:f>
        <x:v>0</x:v>
      </x:c>
      <x:c r="F43" s="228">
        <x:f>REMUNERACION_ENEL!F104</x:f>
        <x:v>0</x:v>
      </x:c>
      <x:c r="G43" s="228">
        <x:f>REMUNERACION_ENEL!G104</x:f>
        <x:v>0</x:v>
      </x:c>
      <x:c r="H43" s="228">
        <x:f>REMUNERACION_ENEL!H104</x:f>
        <x:v>0</x:v>
      </x:c>
      <x:c r="I43" s="228">
        <x:f>REMUNERACION_ENEL!I104</x:f>
        <x:v>0</x:v>
      </x:c>
      <x:c r="J43" s="224">
        <x:f>REMUNERACION_ENEL!J104</x:f>
        <x:v>0</x:v>
      </x:c>
      <x:c r="K43" s="229">
        <x:f>REMUNERACION_ENEL!K104</x:f>
        <x:v>0</x:v>
      </x:c>
      <x:c r="L43" s="230">
        <x:f>REMUNERACION_ENEL!L104</x:f>
        <x:v>189185988</x:v>
      </x:c>
      <x:c r="M43" s="229">
        <x:f>REMUNERACION_ENEL!M104</x:f>
        <x:v>-189185988</x:v>
      </x:c>
      <x:c r="N43" s="230">
        <x:f>REMUNERACION_ENEL!N104</x:f>
        <x:v>0</x:v>
      </x:c>
      <x:c r="O43" s="229">
        <x:f>REMUNERACION_ENEL!O104</x:f>
        <x:v>-189185988</x:v>
      </x:c>
      <x:c r="Q43" s="242"/>
      <x:c r="S43" s="239">
        <x:v>1</x:v>
      </x:c>
      <x:c r="T43" s="240" t="s">
        <x:v>10</x:v>
      </x:c>
      <x:c r="U43" s="243">
        <x:f>REMUNERACION_ENEL!U104</x:f>
        <x:v>0</x:v>
      </x:c>
      <x:c r="V43" s="244">
        <x:f>REMUNERACION_ENEL!V104</x:f>
        <x:v>0</x:v>
      </x:c>
      <x:c r="W43" s="244">
        <x:f>REMUNERACION_ENEL!W104</x:f>
        <x:v>0</x:v>
      </x:c>
      <x:c r="X43" s="244">
        <x:f>REMUNERACION_ENEL!X104</x:f>
        <x:v>0</x:v>
      </x:c>
      <x:c r="Y43" s="245">
        <x:f>REMUNERACION_ENEL!Y104</x:f>
        <x:v>0</x:v>
      </x:c>
      <x:c r="Z43" s="246">
        <x:f>REMUNERACION_ENEL!Z104</x:f>
        <x:v>-189185988</x:v>
      </x:c>
      <x:c r="AA43" s="247">
        <x:f>REMUNERACION_ENEL!AA104</x:f>
        <x:v>0</x:v>
      </x:c>
      <x:c r="AB43" s="230">
        <x:f>REMUNERACION_ENEL!AB104</x:f>
        <x:v>0</x:v>
      </x:c>
      <x:c r="AC43" s="247">
        <x:f>REMUNERACION_ENEL!AC104</x:f>
        <x:v>0</x:v>
      </x:c>
      <x:c r="AD43" s="227">
        <x:f>REMUNERACION_ENEL!AD104</x:f>
        <x:v>0</x:v>
      </x:c>
      <x:c r="AE43" s="227">
        <x:f>REMUNERACION_ENEL!AE104</x:f>
        <x:v>0</x:v>
      </x:c>
      <x:c r="AF43" s="249">
        <x:f>REMUNERACION_ENEL!AF104</x:f>
        <x:v>-189185988</x:v>
      </x:c>
      <x:c r="AG43" s="439">
        <x:f>REMUNERACION_ENEL!AG104</x:f>
        <x:v>0</x:v>
      </x:c>
      <x:c r="AH43" s="1"/>
      <x:c r="AI43" s="242"/>
      <x:c r="AM43" s="269"/>
    </x:row>
    <x:row r="44" spans="1:39" s="241" customFormat="1" x14ac:dyDescent="0.2">
      <x:c r="B44" s="250">
        <x:v>2</x:v>
      </x:c>
      <x:c r="C44" s="251" t="s">
        <x:v>11</x:v>
      </x:c>
      <x:c r="D44" s="227">
        <x:f>REMUNERACION_ENEL!D105</x:f>
        <x:v>0</x:v>
      </x:c>
      <x:c r="E44" s="228">
        <x:f>REMUNERACION_ENEL!E105</x:f>
        <x:v>0</x:v>
      </x:c>
      <x:c r="F44" s="228">
        <x:f>REMUNERACION_ENEL!F105</x:f>
        <x:v>0</x:v>
      </x:c>
      <x:c r="G44" s="228">
        <x:f>REMUNERACION_ENEL!G105</x:f>
        <x:v>0</x:v>
      </x:c>
      <x:c r="H44" s="228">
        <x:f>REMUNERACION_ENEL!H105</x:f>
        <x:v>0</x:v>
      </x:c>
      <x:c r="I44" s="228">
        <x:f>REMUNERACION_ENEL!I105</x:f>
        <x:v>0</x:v>
      </x:c>
      <x:c r="J44" s="224">
        <x:f>REMUNERACION_ENEL!J105</x:f>
        <x:v>0</x:v>
      </x:c>
      <x:c r="K44" s="231">
        <x:f>REMUNERACION_ENEL!K105</x:f>
        <x:v>0</x:v>
      </x:c>
      <x:c r="L44" s="230">
        <x:f>REMUNERACION_ENEL!L105</x:f>
        <x:v>266580256</x:v>
      </x:c>
      <x:c r="M44" s="231">
        <x:f>REMUNERACION_ENEL!M105</x:f>
        <x:v>-266580256</x:v>
      </x:c>
      <x:c r="N44" s="230">
        <x:f>REMUNERACION_ENEL!N105</x:f>
        <x:v>0</x:v>
      </x:c>
      <x:c r="O44" s="231">
        <x:f>REMUNERACION_ENEL!O105</x:f>
        <x:v>-266580256</x:v>
      </x:c>
      <x:c r="Q44" s="242"/>
      <x:c r="S44" s="250">
        <x:v>2</x:v>
      </x:c>
      <x:c r="T44" s="251" t="s">
        <x:v>11</x:v>
      </x:c>
      <x:c r="U44" s="252">
        <x:f>REMUNERACION_ENEL!U105</x:f>
        <x:v>0</x:v>
      </x:c>
      <x:c r="V44" s="253">
        <x:f>REMUNERACION_ENEL!V105</x:f>
        <x:v>0</x:v>
      </x:c>
      <x:c r="W44" s="253">
        <x:f>REMUNERACION_ENEL!W105</x:f>
        <x:v>0</x:v>
      </x:c>
      <x:c r="X44" s="253">
        <x:f>REMUNERACION_ENEL!X105</x:f>
        <x:v>0</x:v>
      </x:c>
      <x:c r="Y44" s="254">
        <x:f>REMUNERACION_ENEL!Y105</x:f>
        <x:v>0</x:v>
      </x:c>
      <x:c r="Z44" s="255">
        <x:f>REMUNERACION_ENEL!Z105</x:f>
        <x:v>-266580256</x:v>
      </x:c>
      <x:c r="AA44" s="256">
        <x:f>REMUNERACION_ENEL!AA105</x:f>
        <x:v>0</x:v>
      </x:c>
      <x:c r="AB44" s="230">
        <x:f>REMUNERACION_ENEL!AB105</x:f>
        <x:v>0</x:v>
      </x:c>
      <x:c r="AC44" s="256">
        <x:f>REMUNERACION_ENEL!AC105</x:f>
        <x:v>0</x:v>
      </x:c>
      <x:c r="AD44" s="227">
        <x:f>REMUNERACION_ENEL!AD105</x:f>
        <x:v>0</x:v>
      </x:c>
      <x:c r="AE44" s="227">
        <x:f>REMUNERACION_ENEL!AE105</x:f>
        <x:v>0</x:v>
      </x:c>
      <x:c r="AF44" s="258">
        <x:f>REMUNERACION_ENEL!AF105</x:f>
        <x:v>-266580256</x:v>
      </x:c>
      <x:c r="AG44" s="440">
        <x:f>REMUNERACION_ENEL!AG105</x:f>
        <x:v>0</x:v>
      </x:c>
      <x:c r="AH44" s="1"/>
      <x:c r="AI44" s="242"/>
      <x:c r="AM44" s="269"/>
    </x:row>
    <x:row r="45" spans="1:39" s="241" customFormat="1" x14ac:dyDescent="0.2">
      <x:c r="B45" s="250">
        <x:v>3</x:v>
      </x:c>
      <x:c r="C45" s="251" t="s">
        <x:v>12</x:v>
      </x:c>
      <x:c r="D45" s="227">
        <x:f>REMUNERACION_ENEL!D106</x:f>
        <x:v>0</x:v>
      </x:c>
      <x:c r="E45" s="228">
        <x:f>REMUNERACION_ENEL!E106</x:f>
        <x:v>0</x:v>
      </x:c>
      <x:c r="F45" s="228">
        <x:f>REMUNERACION_ENEL!F106</x:f>
        <x:v>0</x:v>
      </x:c>
      <x:c r="G45" s="228">
        <x:f>REMUNERACION_ENEL!G106</x:f>
        <x:v>0</x:v>
      </x:c>
      <x:c r="H45" s="228">
        <x:f>REMUNERACION_ENEL!H106</x:f>
        <x:v>0</x:v>
      </x:c>
      <x:c r="I45" s="228">
        <x:f>REMUNERACION_ENEL!I106</x:f>
        <x:v>0</x:v>
      </x:c>
      <x:c r="J45" s="224">
        <x:f>REMUNERACION_ENEL!J106</x:f>
        <x:v>0</x:v>
      </x:c>
      <x:c r="K45" s="231">
        <x:f>REMUNERACION_ENEL!K106</x:f>
        <x:v>0</x:v>
      </x:c>
      <x:c r="L45" s="230">
        <x:f>REMUNERACION_ENEL!L106</x:f>
        <x:v>154788536</x:v>
      </x:c>
      <x:c r="M45" s="231">
        <x:f>REMUNERACION_ENEL!M106</x:f>
        <x:v>-154788536</x:v>
      </x:c>
      <x:c r="N45" s="230">
        <x:f>REMUNERACION_ENEL!N106</x:f>
        <x:v>0</x:v>
      </x:c>
      <x:c r="O45" s="231">
        <x:f>REMUNERACION_ENEL!O106</x:f>
        <x:v>-154788536</x:v>
      </x:c>
      <x:c r="Q45" s="242"/>
      <x:c r="S45" s="250">
        <x:v>3</x:v>
      </x:c>
      <x:c r="T45" s="251" t="s">
        <x:v>12</x:v>
      </x:c>
      <x:c r="U45" s="252">
        <x:f>REMUNERACION_ENEL!U106</x:f>
        <x:v>0</x:v>
      </x:c>
      <x:c r="V45" s="253">
        <x:f>REMUNERACION_ENEL!V106</x:f>
        <x:v>0</x:v>
      </x:c>
      <x:c r="W45" s="253">
        <x:f>REMUNERACION_ENEL!W106</x:f>
        <x:v>0</x:v>
      </x:c>
      <x:c r="X45" s="253">
        <x:f>REMUNERACION_ENEL!X106</x:f>
        <x:v>0</x:v>
      </x:c>
      <x:c r="Y45" s="254">
        <x:f>REMUNERACION_ENEL!Y106</x:f>
        <x:v>0</x:v>
      </x:c>
      <x:c r="Z45" s="255">
        <x:f>REMUNERACION_ENEL!Z106</x:f>
        <x:v>-154788536</x:v>
      </x:c>
      <x:c r="AA45" s="256">
        <x:f>REMUNERACION_ENEL!AA106</x:f>
        <x:v>0</x:v>
      </x:c>
      <x:c r="AB45" s="230">
        <x:f>REMUNERACION_ENEL!AB106</x:f>
        <x:v>0</x:v>
      </x:c>
      <x:c r="AC45" s="256">
        <x:f>REMUNERACION_ENEL!AC106</x:f>
        <x:v>0</x:v>
      </x:c>
      <x:c r="AD45" s="227">
        <x:f>REMUNERACION_ENEL!AD106</x:f>
        <x:v>0</x:v>
      </x:c>
      <x:c r="AE45" s="227">
        <x:f>REMUNERACION_ENEL!AE106</x:f>
        <x:v>0</x:v>
      </x:c>
      <x:c r="AF45" s="258">
        <x:f>REMUNERACION_ENEL!AF106</x:f>
        <x:v>-154788536</x:v>
      </x:c>
      <x:c r="AG45" s="440">
        <x:f>REMUNERACION_ENEL!AG106</x:f>
        <x:v>0</x:v>
      </x:c>
      <x:c r="AH45" s="1"/>
      <x:c r="AI45" s="242"/>
      <x:c r="AM45" s="269"/>
    </x:row>
    <x:row r="46" spans="1:39" s="241" customFormat="1" x14ac:dyDescent="0.2">
      <x:c r="B46" s="250">
        <x:v>4</x:v>
      </x:c>
      <x:c r="C46" s="251" t="s">
        <x:v>13</x:v>
      </x:c>
      <x:c r="D46" s="227">
        <x:f>REMUNERACION_ENEL!D107</x:f>
        <x:v>0</x:v>
      </x:c>
      <x:c r="E46" s="228">
        <x:f>REMUNERACION_ENEL!E107</x:f>
        <x:v>0</x:v>
      </x:c>
      <x:c r="F46" s="228">
        <x:f>REMUNERACION_ENEL!F107</x:f>
        <x:v>0</x:v>
      </x:c>
      <x:c r="G46" s="228">
        <x:f>REMUNERACION_ENEL!G107</x:f>
        <x:v>0</x:v>
      </x:c>
      <x:c r="H46" s="228">
        <x:f>REMUNERACION_ENEL!H107</x:f>
        <x:v>0</x:v>
      </x:c>
      <x:c r="I46" s="228">
        <x:f>REMUNERACION_ENEL!I107</x:f>
        <x:v>0</x:v>
      </x:c>
      <x:c r="J46" s="224">
        <x:f>REMUNERACION_ENEL!J107</x:f>
        <x:v>0</x:v>
      </x:c>
      <x:c r="K46" s="231">
        <x:f>REMUNERACION_ENEL!K107</x:f>
        <x:v>0</x:v>
      </x:c>
      <x:c r="L46" s="230">
        <x:f>REMUNERACION_ENEL!L107</x:f>
        <x:v>120391083</x:v>
      </x:c>
      <x:c r="M46" s="231">
        <x:f>REMUNERACION_ENEL!M107</x:f>
        <x:v>-120391083</x:v>
      </x:c>
      <x:c r="N46" s="230">
        <x:f>REMUNERACION_ENEL!N107</x:f>
        <x:v>0</x:v>
      </x:c>
      <x:c r="O46" s="231">
        <x:f>REMUNERACION_ENEL!O107</x:f>
        <x:v>-120391083</x:v>
      </x:c>
      <x:c r="Q46" s="242"/>
      <x:c r="S46" s="250">
        <x:v>4</x:v>
      </x:c>
      <x:c r="T46" s="251" t="s">
        <x:v>13</x:v>
      </x:c>
      <x:c r="U46" s="252">
        <x:f>REMUNERACION_ENEL!U107</x:f>
        <x:v>0</x:v>
      </x:c>
      <x:c r="V46" s="253">
        <x:f>REMUNERACION_ENEL!V107</x:f>
        <x:v>0</x:v>
      </x:c>
      <x:c r="W46" s="253">
        <x:f>REMUNERACION_ENEL!W107</x:f>
        <x:v>0</x:v>
      </x:c>
      <x:c r="X46" s="253">
        <x:f>REMUNERACION_ENEL!X107</x:f>
        <x:v>0</x:v>
      </x:c>
      <x:c r="Y46" s="254">
        <x:f>REMUNERACION_ENEL!Y107</x:f>
        <x:v>0</x:v>
      </x:c>
      <x:c r="Z46" s="255">
        <x:f>REMUNERACION_ENEL!Z107</x:f>
        <x:v>-120391083</x:v>
      </x:c>
      <x:c r="AA46" s="256">
        <x:f>REMUNERACION_ENEL!AA107</x:f>
        <x:v>0</x:v>
      </x:c>
      <x:c r="AB46" s="230">
        <x:f>REMUNERACION_ENEL!AB107</x:f>
        <x:v>0</x:v>
      </x:c>
      <x:c r="AC46" s="256">
        <x:f>REMUNERACION_ENEL!AC107</x:f>
        <x:v>0</x:v>
      </x:c>
      <x:c r="AD46" s="227">
        <x:f>REMUNERACION_ENEL!AD107</x:f>
        <x:v>0</x:v>
      </x:c>
      <x:c r="AE46" s="227">
        <x:f>REMUNERACION_ENEL!AE107</x:f>
        <x:v>0</x:v>
      </x:c>
      <x:c r="AF46" s="258">
        <x:f>REMUNERACION_ENEL!AF107</x:f>
        <x:v>-120391083</x:v>
      </x:c>
      <x:c r="AG46" s="440">
        <x:f>REMUNERACION_ENEL!AG107</x:f>
        <x:v>0</x:v>
      </x:c>
      <x:c r="AH46" s="1"/>
      <x:c r="AI46" s="242"/>
      <x:c r="AM46" s="269"/>
    </x:row>
    <x:row r="47" spans="1:39" s="241" customFormat="1" ht="12.75" thickBot="1" x14ac:dyDescent="0.25">
      <x:c r="B47" s="260">
        <x:v>5</x:v>
      </x:c>
      <x:c r="C47" s="261" t="s">
        <x:v>14</x:v>
      </x:c>
      <x:c r="D47" s="232">
        <x:f>REMUNERACION_ENEL!D108</x:f>
        <x:v>0</x:v>
      </x:c>
      <x:c r="E47" s="233">
        <x:f>REMUNERACION_ENEL!E108</x:f>
        <x:v>0</x:v>
      </x:c>
      <x:c r="F47" s="233">
        <x:f>REMUNERACION_ENEL!F108</x:f>
        <x:v>0</x:v>
      </x:c>
      <x:c r="G47" s="233">
        <x:f>REMUNERACION_ENEL!G108</x:f>
        <x:v>0</x:v>
      </x:c>
      <x:c r="H47" s="233">
        <x:f>REMUNERACION_ENEL!H108</x:f>
        <x:v>0</x:v>
      </x:c>
      <x:c r="I47" s="233">
        <x:f>REMUNERACION_ENEL!I108</x:f>
        <x:v>0</x:v>
      </x:c>
      <x:c r="J47" s="225">
        <x:f>REMUNERACION_ENEL!J108</x:f>
        <x:v>0</x:v>
      </x:c>
      <x:c r="K47" s="231">
        <x:f>REMUNERACION_ENEL!K108</x:f>
        <x:v>0</x:v>
      </x:c>
      <x:c r="L47" s="230">
        <x:f>REMUNERACION_ENEL!L108</x:f>
        <x:v>128990446</x:v>
      </x:c>
      <x:c r="M47" s="234">
        <x:f>REMUNERACION_ENEL!M108</x:f>
        <x:v>-128990446</x:v>
      </x:c>
      <x:c r="N47" s="235">
        <x:f>REMUNERACION_ENEL!N108</x:f>
        <x:v>0</x:v>
      </x:c>
      <x:c r="O47" s="234">
        <x:f>REMUNERACION_ENEL!O108</x:f>
        <x:v>-128990446</x:v>
      </x:c>
      <x:c r="Q47" s="242"/>
      <x:c r="S47" s="260">
        <x:v>5</x:v>
      </x:c>
      <x:c r="T47" s="261" t="s">
        <x:v>14</x:v>
      </x:c>
      <x:c r="U47" s="232">
        <x:f>REMUNERACION_ENEL!U108</x:f>
        <x:v>0</x:v>
      </x:c>
      <x:c r="V47" s="233">
        <x:f>REMUNERACION_ENEL!V108</x:f>
        <x:v>0</x:v>
      </x:c>
      <x:c r="W47" s="233">
        <x:f>REMUNERACION_ENEL!W108</x:f>
        <x:v>0</x:v>
      </x:c>
      <x:c r="X47" s="233">
        <x:f>REMUNERACION_ENEL!X108</x:f>
        <x:v>0</x:v>
      </x:c>
      <x:c r="Y47" s="225">
        <x:f>REMUNERACION_ENEL!Y108</x:f>
        <x:v>0</x:v>
      </x:c>
      <x:c r="Z47" s="255">
        <x:f>REMUNERACION_ENEL!Z108</x:f>
        <x:v>-128990446</x:v>
      </x:c>
      <x:c r="AA47" s="256">
        <x:f>REMUNERACION_ENEL!AA108</x:f>
        <x:v>0</x:v>
      </x:c>
      <x:c r="AB47" s="230">
        <x:f>REMUNERACION_ENEL!AB108</x:f>
        <x:v>0</x:v>
      </x:c>
      <x:c r="AC47" s="256">
        <x:f>REMUNERACION_ENEL!AC108</x:f>
        <x:v>0</x:v>
      </x:c>
      <x:c r="AD47" s="227">
        <x:f>REMUNERACION_ENEL!AD108</x:f>
        <x:v>0</x:v>
      </x:c>
      <x:c r="AE47" s="227">
        <x:f>REMUNERACION_ENEL!AE108</x:f>
        <x:v>0</x:v>
      </x:c>
      <x:c r="AF47" s="258">
        <x:f>REMUNERACION_ENEL!AF108</x:f>
        <x:v>-128990446</x:v>
      </x:c>
      <x:c r="AG47" s="441">
        <x:f>REMUNERACION_ENEL!AG108</x:f>
        <x:v>0</x:v>
      </x:c>
      <x:c r="AH47" s="1"/>
      <x:c r="AI47" s="242"/>
      <x:c r="AM47" s="269"/>
    </x:row>
    <x:row r="48" spans="1:39" s="241" customFormat="1" ht="13.5" thickBot="1" x14ac:dyDescent="0.25">
      <x:c r="B48" s="263"/>
      <x:c r="C48" s="264" t="s">
        <x:v>2</x:v>
      </x:c>
      <x:c r="D48" s="226">
        <x:f>REMUNERACION_ENEL!D109</x:f>
        <x:v>0</x:v>
      </x:c>
      <x:c r="E48" s="226">
        <x:f>REMUNERACION_ENEL!E109</x:f>
        <x:v>0</x:v>
      </x:c>
      <x:c r="F48" s="226">
        <x:f>REMUNERACION_ENEL!F109</x:f>
        <x:v>0</x:v>
      </x:c>
      <x:c r="G48" s="226">
        <x:f>REMUNERACION_ENEL!G109</x:f>
        <x:v>0</x:v>
      </x:c>
      <x:c r="H48" s="226">
        <x:f>REMUNERACION_ENEL!H109</x:f>
        <x:v>0</x:v>
      </x:c>
      <x:c r="I48" s="226">
        <x:f>REMUNERACION_ENEL!I109</x:f>
        <x:v>0</x:v>
      </x:c>
      <x:c r="J48" s="226">
        <x:f>REMUNERACION_ENEL!J109</x:f>
        <x:v>0</x:v>
      </x:c>
      <x:c r="K48" s="236">
        <x:f>REMUNERACION_ENEL!K109</x:f>
        <x:v>0</x:v>
      </x:c>
      <x:c r="L48" s="237">
        <x:f>REMUNERACION_ENEL!L109</x:f>
        <x:v>859936309</x:v>
      </x:c>
      <x:c r="M48" s="238">
        <x:f>REMUNERACION_ENEL!M109</x:f>
        <x:v>-859936309</x:v>
      </x:c>
      <x:c r="N48" s="237">
        <x:f>REMUNERACION_ENEL!N109</x:f>
        <x:v>0</x:v>
      </x:c>
      <x:c r="O48" s="238">
        <x:f>REMUNERACION_ENEL!O109</x:f>
        <x:v>-859936309</x:v>
      </x:c>
      <x:c r="P48" s="265"/>
      <x:c r="Q48" s="242"/>
      <x:c r="S48" s="263"/>
      <x:c r="T48" s="264" t="s">
        <x:v>2</x:v>
      </x:c>
      <x:c r="U48" s="266">
        <x:f>REMUNERACION_ENEL!U109</x:f>
        <x:v>0</x:v>
      </x:c>
      <x:c r="V48" s="266">
        <x:f>REMUNERACION_ENEL!V109</x:f>
        <x:v>0</x:v>
      </x:c>
      <x:c r="W48" s="266">
        <x:f>REMUNERACION_ENEL!W109</x:f>
        <x:v>0</x:v>
      </x:c>
      <x:c r="X48" s="266">
        <x:f>REMUNERACION_ENEL!X109</x:f>
        <x:v>0</x:v>
      </x:c>
      <x:c r="Y48" s="266">
        <x:f>REMUNERACION_ENEL!Y109</x:f>
        <x:v>0</x:v>
      </x:c>
      <x:c r="Z48" s="226">
        <x:f>REMUNERACION_ENEL!Z109</x:f>
        <x:v>-859936309</x:v>
      </x:c>
      <x:c r="AA48" s="226">
        <x:f>REMUNERACION_ENEL!AA109</x:f>
        <x:v>0</x:v>
      </x:c>
      <x:c r="AB48" s="226">
        <x:f>REMUNERACION_ENEL!AB109</x:f>
        <x:v>0</x:v>
      </x:c>
      <x:c r="AC48" s="226">
        <x:f>REMUNERACION_ENEL!AC109</x:f>
        <x:v>0</x:v>
      </x:c>
      <x:c r="AD48" s="226">
        <x:f>REMUNERACION_ENEL!AD109</x:f>
        <x:v>0</x:v>
      </x:c>
      <x:c r="AE48" s="226">
        <x:f>REMUNERACION_ENEL!AE109</x:f>
        <x:v>0</x:v>
      </x:c>
      <x:c r="AF48" s="267">
        <x:f>REMUNERACION_ENEL!AF109</x:f>
        <x:v>-859936309</x:v>
      </x:c>
      <x:c r="AG48" s="442">
        <x:f>REMUNERACION_ENEL!AG109</x:f>
        <x:v>0</x:v>
      </x:c>
      <x:c r="AH48" s="1"/>
      <x:c r="AI48" s="242"/>
      <x:c r="AM48" s="269"/>
    </x:row>
    <x:row r="49" spans="1:39" x14ac:dyDescent="0.2">
      <x:c r="B49" s="2"/>
      <x:c r="C49" s="2"/>
      <x:c r="D49" s="374"/>
      <x:c r="E49" s="374"/>
      <x:c r="F49" s="374"/>
      <x:c r="G49" s="374"/>
      <x:c r="H49" s="374"/>
      <x:c r="I49" s="374"/>
      <x:c r="K49" s="374"/>
      <x:c r="L49" s="374"/>
      <x:c r="M49" s="374"/>
      <x:c r="N49" s="374"/>
      <x:c r="O49" s="374"/>
      <x:c r="Q49" s="4"/>
      <x:c r="S49" s="2"/>
      <x:c r="T49" s="2"/>
      <x:c r="U49" s="374"/>
      <x:c r="V49" s="374"/>
      <x:c r="W49" s="374"/>
      <x:c r="X49" s="374"/>
      <x:c r="Y49" s="374"/>
      <x:c r="AF49" s="374"/>
      <x:c r="AI49" s="4"/>
    </x:row>
    <x:row r="50" spans="1:39" x14ac:dyDescent="0.2">
      <x:c r="B50" s="2"/>
      <x:c r="C50" s="2"/>
      <x:c r="D50" s="467"/>
      <x:c r="E50" s="467"/>
      <x:c r="F50" s="467"/>
      <x:c r="G50" s="467"/>
      <x:c r="H50" s="467"/>
      <x:c r="I50" s="467"/>
      <x:c r="K50" s="467"/>
      <x:c r="L50" s="467"/>
      <x:c r="M50" s="467"/>
      <x:c r="N50" s="467"/>
      <x:c r="O50" s="467"/>
      <x:c r="Q50" s="4"/>
      <x:c r="AI50" s="4"/>
    </x:row>
    <x:row r="51" spans="1:39" x14ac:dyDescent="0.2">
      <x:c r="A51" s="4"/>
      <x:c r="B51" s="34"/>
      <x:c r="C51" s="34"/>
      <x:c r="D51" s="397"/>
      <x:c r="E51" s="397"/>
      <x:c r="F51" s="397"/>
      <x:c r="G51" s="397"/>
      <x:c r="H51" s="397"/>
      <x:c r="I51" s="397"/>
      <x:c r="J51" s="4"/>
      <x:c r="K51" s="397"/>
      <x:c r="L51" s="397"/>
      <x:c r="M51" s="397"/>
      <x:c r="N51" s="397"/>
      <x:c r="O51" s="397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75" thickBot="1" x14ac:dyDescent="0.25">
      <x:c r="B52" s="2"/>
      <x:c r="C52" s="2"/>
      <x:c r="D52" s="467"/>
      <x:c r="E52" s="467"/>
      <x:c r="F52" s="467"/>
      <x:c r="G52" s="467"/>
      <x:c r="H52" s="467"/>
      <x:c r="I52" s="467"/>
      <x:c r="K52" s="467"/>
      <x:c r="L52" s="467"/>
      <x:c r="M52" s="467"/>
      <x:c r="N52" s="467"/>
      <x:c r="O52" s="467"/>
    </x:row>
    <x:row r="53" spans="1:39" x14ac:dyDescent="0.2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5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75" x14ac:dyDescent="0.25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5" x14ac:dyDescent="0.25">
      <x:c r="B56" s="8"/>
      <x:c r="F56" s="2" t="s">
        <x:v>30</x:v>
      </x:c>
      <x:c r="G56" s="2"/>
      <x:c r="L56" s="90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75" x14ac:dyDescent="0.25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0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8" thickBot="1" x14ac:dyDescent="0.35">
      <x:c r="B58" s="8"/>
      <x:c r="C58" s="2"/>
      <x:c r="D58" s="198"/>
      <x:c r="F58" s="2"/>
      <x:c r="G58" s="9"/>
      <x:c r="J58" s="2"/>
      <x:c r="K58" s="9"/>
      <x:c r="L58" s="91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05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46" t="s">
        <x:v>39</x:v>
      </x:c>
      <x:c r="V59" s="147" t="s">
        <x:v>40</x:v>
      </x:c>
      <x:c r="W59" s="147" t="s">
        <x:v>41</x:v>
      </x:c>
      <x:c r="X59" s="147" t="s">
        <x:v>42</x:v>
      </x:c>
      <x:c r="Y59" s="148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167</x:v>
      </x:c>
      <x:c r="AD59" s="114" t="s">
        <x:v>105</x:v>
      </x:c>
      <x:c r="AE59" s="114" t="s">
        <x:v>104</x:v>
      </x:c>
      <x:c r="AF59" s="39" t="s">
        <x:v>23</x:v>
      </x:c>
      <x:c r="AG59" s="13"/>
      <x:c r="AI59" s="4"/>
    </x:row>
    <x:row r="60" spans="1:39" s="241" customFormat="1" x14ac:dyDescent="0.2">
      <x:c r="B60" s="239">
        <x:v>1</x:v>
      </x:c>
      <x:c r="C60" s="240" t="s">
        <x:v>10</x:v>
      </x:c>
      <x:c r="D60" s="227">
        <x:f>REMUNERACION_ENERBIT!D104</x:f>
        <x:v>0</x:v>
      </x:c>
      <x:c r="E60" s="227">
        <x:f>REMUNERACION_ENERBIT!E104</x:f>
        <x:v>0</x:v>
      </x:c>
      <x:c r="F60" s="227">
        <x:f>REMUNERACION_ENERBIT!F104</x:f>
        <x:v>0</x:v>
      </x:c>
      <x:c r="G60" s="227">
        <x:f>REMUNERACION_ENERBIT!G104</x:f>
        <x:v>0</x:v>
      </x:c>
      <x:c r="H60" s="227">
        <x:f>REMUNERACION_ENERBIT!H104</x:f>
        <x:v>0</x:v>
      </x:c>
      <x:c r="I60" s="227">
        <x:f>REMUNERACION_ENERBIT!I104</x:f>
        <x:v>0</x:v>
      </x:c>
      <x:c r="J60" s="227">
        <x:f>REMUNERACION_ENERBIT!J104</x:f>
        <x:v>0</x:v>
      </x:c>
      <x:c r="K60" s="229">
        <x:f>REMUNERACION_ENERBIT!K104</x:f>
        <x:v>0</x:v>
      </x:c>
      <x:c r="L60" s="230">
        <x:f>REMUNERACION_ENERBIT!L104</x:f>
        <x:v>0</x:v>
      </x:c>
      <x:c r="M60" s="229">
        <x:f>REMUNERACION_ENERBIT!M104</x:f>
        <x:v>0</x:v>
      </x:c>
      <x:c r="N60" s="230">
        <x:f>REMUNERACION_ENERBIT!N104</x:f>
        <x:v>0</x:v>
      </x:c>
      <x:c r="O60" s="229">
        <x:f>REMUNERACION_ENERBIT!O104</x:f>
        <x:v>0</x:v>
      </x:c>
      <x:c r="Q60" s="242"/>
      <x:c r="S60" s="239">
        <x:v>1</x:v>
      </x:c>
      <x:c r="T60" s="240" t="s">
        <x:v>10</x:v>
      </x:c>
      <x:c r="U60" s="243">
        <x:f>REMUNERACION_ENERBIT!U104</x:f>
        <x:v>0</x:v>
      </x:c>
      <x:c r="V60" s="244">
        <x:f>REMUNERACION_ENERBIT!V104</x:f>
        <x:v>0</x:v>
      </x:c>
      <x:c r="W60" s="244">
        <x:f>REMUNERACION_ENERBIT!W104</x:f>
        <x:v>0</x:v>
      </x:c>
      <x:c r="X60" s="244">
        <x:f>REMUNERACION_ENERBIT!X104</x:f>
        <x:v>0</x:v>
      </x:c>
      <x:c r="Y60" s="245">
        <x:f>REMUNERACION_ENERBIT!Y104</x:f>
        <x:v>0</x:v>
      </x:c>
      <x:c r="Z60" s="245">
        <x:f>REMUNERACION_ENERBIT!Z104</x:f>
        <x:v>0</x:v>
      </x:c>
      <x:c r="AA60" s="245">
        <x:f>REMUNERACION_ENERBIT!AA104</x:f>
        <x:v>0</x:v>
      </x:c>
      <x:c r="AB60" s="245">
        <x:f>REMUNERACION_ENERBIT!AB104</x:f>
        <x:v>0</x:v>
      </x:c>
      <x:c r="AC60" s="245">
        <x:f>REMUNERACION_ENERBIT!AC104</x:f>
        <x:v>0</x:v>
      </x:c>
      <x:c r="AD60" s="245">
        <x:f>REMUNERACION_ENERBIT!AD104</x:f>
        <x:v>0</x:v>
      </x:c>
      <x:c r="AE60" s="245">
        <x:f>REMUNERACION_ENERBIT!AE104</x:f>
        <x:v>0</x:v>
      </x:c>
      <x:c r="AF60" s="249">
        <x:f>REMUNERACION_ENERBIT!AF104</x:f>
        <x:v>0</x:v>
      </x:c>
      <x:c r="AG60" s="439">
        <x:f>REMUNERACION_ENEL!AG121</x:f>
        <x:v>0</x:v>
      </x:c>
      <x:c r="AH60" s="1"/>
      <x:c r="AI60" s="242"/>
      <x:c r="AM60" s="269"/>
    </x:row>
    <x:row r="61" spans="1:39" s="241" customFormat="1" x14ac:dyDescent="0.2">
      <x:c r="B61" s="250">
        <x:v>2</x:v>
      </x:c>
      <x:c r="C61" s="251" t="s">
        <x:v>11</x:v>
      </x:c>
      <x:c r="D61" s="227">
        <x:f>REMUNERACION_ENERBIT!D105</x:f>
        <x:v>0</x:v>
      </x:c>
      <x:c r="E61" s="227">
        <x:f>REMUNERACION_ENERBIT!E105</x:f>
        <x:v>0</x:v>
      </x:c>
      <x:c r="F61" s="227">
        <x:f>REMUNERACION_ENERBIT!F105</x:f>
        <x:v>0</x:v>
      </x:c>
      <x:c r="G61" s="227">
        <x:f>REMUNERACION_ENERBIT!G105</x:f>
        <x:v>0</x:v>
      </x:c>
      <x:c r="H61" s="227">
        <x:f>REMUNERACION_ENERBIT!H105</x:f>
        <x:v>0</x:v>
      </x:c>
      <x:c r="I61" s="227">
        <x:f>REMUNERACION_ENERBIT!I105</x:f>
        <x:v>0</x:v>
      </x:c>
      <x:c r="J61" s="227">
        <x:f>REMUNERACION_ENERBIT!J105</x:f>
        <x:v>0</x:v>
      </x:c>
      <x:c r="K61" s="231">
        <x:f>REMUNERACION_ENERBIT!K105</x:f>
        <x:v>0</x:v>
      </x:c>
      <x:c r="L61" s="230">
        <x:f>REMUNERACION_ENERBIT!L105</x:f>
        <x:v>0</x:v>
      </x:c>
      <x:c r="M61" s="231">
        <x:f>REMUNERACION_ENERBIT!M105</x:f>
        <x:v>0</x:v>
      </x:c>
      <x:c r="N61" s="230">
        <x:f>REMUNERACION_ENERBIT!N105</x:f>
        <x:v>0</x:v>
      </x:c>
      <x:c r="O61" s="231">
        <x:f>REMUNERACION_ENERBIT!O105</x:f>
        <x:v>0</x:v>
      </x:c>
      <x:c r="Q61" s="242"/>
      <x:c r="S61" s="250">
        <x:v>2</x:v>
      </x:c>
      <x:c r="T61" s="251" t="s">
        <x:v>11</x:v>
      </x:c>
      <x:c r="U61" s="252">
        <x:f>REMUNERACION_ENERBIT!U105</x:f>
        <x:v>0</x:v>
      </x:c>
      <x:c r="V61" s="253">
        <x:f>REMUNERACION_ENERBIT!V105</x:f>
        <x:v>0</x:v>
      </x:c>
      <x:c r="W61" s="253">
        <x:f>REMUNERACION_ENERBIT!W105</x:f>
        <x:v>0</x:v>
      </x:c>
      <x:c r="X61" s="253">
        <x:f>REMUNERACION_ENERBIT!X105</x:f>
        <x:v>0</x:v>
      </x:c>
      <x:c r="Y61" s="254">
        <x:f>REMUNERACION_ENERBIT!Y105</x:f>
        <x:v>0</x:v>
      </x:c>
      <x:c r="Z61" s="254">
        <x:f>REMUNERACION_ENERBIT!Z105</x:f>
        <x:v>0</x:v>
      </x:c>
      <x:c r="AA61" s="254">
        <x:f>REMUNERACION_ENERBIT!AA105</x:f>
        <x:v>0</x:v>
      </x:c>
      <x:c r="AB61" s="254">
        <x:f>REMUNERACION_ENERBIT!AB105</x:f>
        <x:v>0</x:v>
      </x:c>
      <x:c r="AC61" s="254">
        <x:f>REMUNERACION_ENERBIT!AC105</x:f>
        <x:v>0</x:v>
      </x:c>
      <x:c r="AD61" s="254">
        <x:f>REMUNERACION_ENERBIT!AD105</x:f>
        <x:v>0</x:v>
      </x:c>
      <x:c r="AE61" s="254">
        <x:f>REMUNERACION_ENERBIT!AE105</x:f>
        <x:v>0</x:v>
      </x:c>
      <x:c r="AF61" s="258">
        <x:f>REMUNERACION_ENERBIT!AF105</x:f>
        <x:v>0</x:v>
      </x:c>
      <x:c r="AG61" s="440">
        <x:f>REMUNERACION_ENEL!AG122</x:f>
        <x:v>0</x:v>
      </x:c>
      <x:c r="AH61" s="1"/>
      <x:c r="AI61" s="242"/>
      <x:c r="AM61" s="269"/>
    </x:row>
    <x:row r="62" spans="1:39" s="241" customFormat="1" x14ac:dyDescent="0.2">
      <x:c r="B62" s="250">
        <x:v>3</x:v>
      </x:c>
      <x:c r="C62" s="251" t="s">
        <x:v>12</x:v>
      </x:c>
      <x:c r="D62" s="227">
        <x:f>REMUNERACION_ENERBIT!D106</x:f>
        <x:v>0</x:v>
      </x:c>
      <x:c r="E62" s="227">
        <x:f>REMUNERACION_ENERBIT!E106</x:f>
        <x:v>0</x:v>
      </x:c>
      <x:c r="F62" s="227">
        <x:f>REMUNERACION_ENERBIT!F106</x:f>
        <x:v>0</x:v>
      </x:c>
      <x:c r="G62" s="227">
        <x:f>REMUNERACION_ENERBIT!G106</x:f>
        <x:v>0</x:v>
      </x:c>
      <x:c r="H62" s="227">
        <x:f>REMUNERACION_ENERBIT!H106</x:f>
        <x:v>0</x:v>
      </x:c>
      <x:c r="I62" s="227">
        <x:f>REMUNERACION_ENERBIT!I106</x:f>
        <x:v>0</x:v>
      </x:c>
      <x:c r="J62" s="227">
        <x:f>REMUNERACION_ENERBIT!J106</x:f>
        <x:v>0</x:v>
      </x:c>
      <x:c r="K62" s="231">
        <x:f>REMUNERACION_ENERBIT!K106</x:f>
        <x:v>0</x:v>
      </x:c>
      <x:c r="L62" s="230">
        <x:f>REMUNERACION_ENERBIT!L106</x:f>
        <x:v>0</x:v>
      </x:c>
      <x:c r="M62" s="231">
        <x:f>REMUNERACION_ENERBIT!M106</x:f>
        <x:v>0</x:v>
      </x:c>
      <x:c r="N62" s="230">
        <x:f>REMUNERACION_ENERBIT!N106</x:f>
        <x:v>0</x:v>
      </x:c>
      <x:c r="O62" s="231">
        <x:f>REMUNERACION_ENERBIT!O106</x:f>
        <x:v>0</x:v>
      </x:c>
      <x:c r="Q62" s="242"/>
      <x:c r="S62" s="250">
        <x:v>3</x:v>
      </x:c>
      <x:c r="T62" s="251" t="s">
        <x:v>12</x:v>
      </x:c>
      <x:c r="U62" s="252">
        <x:f>REMUNERACION_ENERBIT!U106</x:f>
        <x:v>0</x:v>
      </x:c>
      <x:c r="V62" s="253">
        <x:f>REMUNERACION_ENERBIT!V106</x:f>
        <x:v>0</x:v>
      </x:c>
      <x:c r="W62" s="253">
        <x:f>REMUNERACION_ENERBIT!W106</x:f>
        <x:v>0</x:v>
      </x:c>
      <x:c r="X62" s="253">
        <x:f>REMUNERACION_ENERBIT!X106</x:f>
        <x:v>0</x:v>
      </x:c>
      <x:c r="Y62" s="254">
        <x:f>REMUNERACION_ENERBIT!Y106</x:f>
        <x:v>0</x:v>
      </x:c>
      <x:c r="Z62" s="254">
        <x:f>REMUNERACION_ENERBIT!Z106</x:f>
        <x:v>0</x:v>
      </x:c>
      <x:c r="AA62" s="254">
        <x:f>REMUNERACION_ENERBIT!AA106</x:f>
        <x:v>0</x:v>
      </x:c>
      <x:c r="AB62" s="254">
        <x:f>REMUNERACION_ENERBIT!AB106</x:f>
        <x:v>0</x:v>
      </x:c>
      <x:c r="AC62" s="254">
        <x:f>REMUNERACION_ENERBIT!AC106</x:f>
        <x:v>0</x:v>
      </x:c>
      <x:c r="AD62" s="254">
        <x:f>REMUNERACION_ENERBIT!AD106</x:f>
        <x:v>0</x:v>
      </x:c>
      <x:c r="AE62" s="254">
        <x:f>REMUNERACION_ENERBIT!AE106</x:f>
        <x:v>0</x:v>
      </x:c>
      <x:c r="AF62" s="258">
        <x:f>REMUNERACION_ENERBIT!AF106</x:f>
        <x:v>0</x:v>
      </x:c>
      <x:c r="AG62" s="440">
        <x:f>REMUNERACION_ENEL!AG123</x:f>
        <x:v>0</x:v>
      </x:c>
      <x:c r="AH62" s="1"/>
      <x:c r="AI62" s="242"/>
      <x:c r="AM62" s="269"/>
    </x:row>
    <x:row r="63" spans="1:39" s="241" customFormat="1" x14ac:dyDescent="0.2">
      <x:c r="B63" s="250">
        <x:v>4</x:v>
      </x:c>
      <x:c r="C63" s="251" t="s">
        <x:v>13</x:v>
      </x:c>
      <x:c r="D63" s="227">
        <x:f>REMUNERACION_ENERBIT!D107</x:f>
        <x:v>0</x:v>
      </x:c>
      <x:c r="E63" s="227">
        <x:f>REMUNERACION_ENERBIT!E107</x:f>
        <x:v>0</x:v>
      </x:c>
      <x:c r="F63" s="227">
        <x:f>REMUNERACION_ENERBIT!F107</x:f>
        <x:v>0</x:v>
      </x:c>
      <x:c r="G63" s="227">
        <x:f>REMUNERACION_ENERBIT!G107</x:f>
        <x:v>0</x:v>
      </x:c>
      <x:c r="H63" s="227">
        <x:f>REMUNERACION_ENERBIT!H107</x:f>
        <x:v>0</x:v>
      </x:c>
      <x:c r="I63" s="227">
        <x:f>REMUNERACION_ENERBIT!I107</x:f>
        <x:v>0</x:v>
      </x:c>
      <x:c r="J63" s="227">
        <x:f>REMUNERACION_ENERBIT!J107</x:f>
        <x:v>0</x:v>
      </x:c>
      <x:c r="K63" s="231">
        <x:f>REMUNERACION_ENERBIT!K107</x:f>
        <x:v>0</x:v>
      </x:c>
      <x:c r="L63" s="230">
        <x:f>REMUNERACION_ENERBIT!L107</x:f>
        <x:v>0</x:v>
      </x:c>
      <x:c r="M63" s="231">
        <x:f>REMUNERACION_ENERBIT!M107</x:f>
        <x:v>0</x:v>
      </x:c>
      <x:c r="N63" s="230">
        <x:f>REMUNERACION_ENERBIT!N107</x:f>
        <x:v>0</x:v>
      </x:c>
      <x:c r="O63" s="231">
        <x:f>REMUNERACION_ENERBIT!O107</x:f>
        <x:v>0</x:v>
      </x:c>
      <x:c r="Q63" s="242"/>
      <x:c r="S63" s="250">
        <x:v>4</x:v>
      </x:c>
      <x:c r="T63" s="251" t="s">
        <x:v>13</x:v>
      </x:c>
      <x:c r="U63" s="252">
        <x:f>REMUNERACION_ENERBIT!U107</x:f>
        <x:v>0</x:v>
      </x:c>
      <x:c r="V63" s="253">
        <x:f>REMUNERACION_ENERBIT!V107</x:f>
        <x:v>0</x:v>
      </x:c>
      <x:c r="W63" s="253">
        <x:f>REMUNERACION_ENERBIT!W107</x:f>
        <x:v>0</x:v>
      </x:c>
      <x:c r="X63" s="253">
        <x:f>REMUNERACION_ENERBIT!X107</x:f>
        <x:v>0</x:v>
      </x:c>
      <x:c r="Y63" s="254">
        <x:f>REMUNERACION_ENERBIT!Y107</x:f>
        <x:v>0</x:v>
      </x:c>
      <x:c r="Z63" s="254">
        <x:f>REMUNERACION_ENERBIT!Z107</x:f>
        <x:v>0</x:v>
      </x:c>
      <x:c r="AA63" s="254">
        <x:f>REMUNERACION_ENERBIT!AA107</x:f>
        <x:v>0</x:v>
      </x:c>
      <x:c r="AB63" s="254">
        <x:f>REMUNERACION_ENERBIT!AB107</x:f>
        <x:v>0</x:v>
      </x:c>
      <x:c r="AC63" s="254">
        <x:f>REMUNERACION_ENERBIT!AC107</x:f>
        <x:v>0</x:v>
      </x:c>
      <x:c r="AD63" s="254">
        <x:f>REMUNERACION_ENERBIT!AD107</x:f>
        <x:v>0</x:v>
      </x:c>
      <x:c r="AE63" s="254">
        <x:f>REMUNERACION_ENERBIT!AE107</x:f>
        <x:v>0</x:v>
      </x:c>
      <x:c r="AF63" s="258">
        <x:f>REMUNERACION_ENERBIT!AF107</x:f>
        <x:v>0</x:v>
      </x:c>
      <x:c r="AG63" s="440">
        <x:f>REMUNERACION_ENEL!AG124</x:f>
        <x:v>0</x:v>
      </x:c>
      <x:c r="AH63" s="1"/>
      <x:c r="AI63" s="242"/>
      <x:c r="AM63" s="269"/>
    </x:row>
    <x:row r="64" spans="1:39" s="241" customFormat="1" ht="12.75" thickBot="1" x14ac:dyDescent="0.25">
      <x:c r="B64" s="260">
        <x:v>5</x:v>
      </x:c>
      <x:c r="C64" s="261" t="s">
        <x:v>14</x:v>
      </x:c>
      <x:c r="D64" s="227">
        <x:f>REMUNERACION_ENERBIT!D108</x:f>
        <x:v>0</x:v>
      </x:c>
      <x:c r="E64" s="227">
        <x:f>REMUNERACION_ENERBIT!E108</x:f>
        <x:v>0</x:v>
      </x:c>
      <x:c r="F64" s="227">
        <x:f>REMUNERACION_ENERBIT!F108</x:f>
        <x:v>0</x:v>
      </x:c>
      <x:c r="G64" s="227">
        <x:f>REMUNERACION_ENERBIT!G108</x:f>
        <x:v>0</x:v>
      </x:c>
      <x:c r="H64" s="227">
        <x:f>REMUNERACION_ENERBIT!H108</x:f>
        <x:v>0</x:v>
      </x:c>
      <x:c r="I64" s="227">
        <x:f>REMUNERACION_ENERBIT!I108</x:f>
        <x:v>0</x:v>
      </x:c>
      <x:c r="J64" s="227">
        <x:f>REMUNERACION_ENERBIT!J108</x:f>
        <x:v>0</x:v>
      </x:c>
      <x:c r="K64" s="231">
        <x:f>REMUNERACION_ENERBIT!K108</x:f>
        <x:v>0</x:v>
      </x:c>
      <x:c r="L64" s="230">
        <x:f>REMUNERACION_ENERBIT!L108</x:f>
        <x:v>0</x:v>
      </x:c>
      <x:c r="M64" s="234">
        <x:f>REMUNERACION_ENERBIT!M108</x:f>
        <x:v>0</x:v>
      </x:c>
      <x:c r="N64" s="235">
        <x:f>REMUNERACION_ENERBIT!N108</x:f>
        <x:v>0</x:v>
      </x:c>
      <x:c r="O64" s="234">
        <x:f>REMUNERACION_ENERBIT!O108</x:f>
        <x:v>0</x:v>
      </x:c>
      <x:c r="Q64" s="242"/>
      <x:c r="S64" s="260">
        <x:v>5</x:v>
      </x:c>
      <x:c r="T64" s="261" t="s">
        <x:v>14</x:v>
      </x:c>
      <x:c r="U64" s="232">
        <x:f>REMUNERACION_ENERBIT!U108</x:f>
        <x:v>0</x:v>
      </x:c>
      <x:c r="V64" s="233">
        <x:f>REMUNERACION_ENERBIT!V108</x:f>
        <x:v>0</x:v>
      </x:c>
      <x:c r="W64" s="233">
        <x:f>REMUNERACION_ENERBIT!W108</x:f>
        <x:v>0</x:v>
      </x:c>
      <x:c r="X64" s="233">
        <x:f>REMUNERACION_ENERBIT!X108</x:f>
        <x:v>0</x:v>
      </x:c>
      <x:c r="Y64" s="225">
        <x:f>REMUNERACION_ENERBIT!Y108</x:f>
        <x:v>0</x:v>
      </x:c>
      <x:c r="Z64" s="225">
        <x:f>REMUNERACION_ENERBIT!Z108</x:f>
        <x:v>0</x:v>
      </x:c>
      <x:c r="AA64" s="225">
        <x:f>REMUNERACION_ENERBIT!AA108</x:f>
        <x:v>0</x:v>
      </x:c>
      <x:c r="AB64" s="225">
        <x:f>REMUNERACION_ENERBIT!AB108</x:f>
        <x:v>0</x:v>
      </x:c>
      <x:c r="AC64" s="225">
        <x:f>REMUNERACION_ENERBIT!AC108</x:f>
        <x:v>0</x:v>
      </x:c>
      <x:c r="AD64" s="225">
        <x:f>REMUNERACION_ENERBIT!AD108</x:f>
        <x:v>0</x:v>
      </x:c>
      <x:c r="AE64" s="225">
        <x:f>REMUNERACION_ENERBIT!AE108</x:f>
        <x:v>0</x:v>
      </x:c>
      <x:c r="AF64" s="258">
        <x:f>REMUNERACION_ENERBIT!AF108</x:f>
        <x:v>0</x:v>
      </x:c>
      <x:c r="AG64" s="441">
        <x:f>REMUNERACION_ENEL!AG125</x:f>
        <x:v>0</x:v>
      </x:c>
      <x:c r="AH64" s="1"/>
      <x:c r="AI64" s="242"/>
      <x:c r="AM64" s="269"/>
    </x:row>
    <x:row r="65" spans="1:39" s="241" customFormat="1" ht="13.5" thickBot="1" x14ac:dyDescent="0.25">
      <x:c r="B65" s="263"/>
      <x:c r="C65" s="264" t="s">
        <x:v>2</x:v>
      </x:c>
      <x:c r="D65" s="226">
        <x:f>REMUNERACION_ENERBIT!D109</x:f>
        <x:v>0</x:v>
      </x:c>
      <x:c r="E65" s="226">
        <x:f>REMUNERACION_ENERBIT!E109</x:f>
        <x:v>0</x:v>
      </x:c>
      <x:c r="F65" s="226">
        <x:f>REMUNERACION_ENERBIT!F109</x:f>
        <x:v>0</x:v>
      </x:c>
      <x:c r="G65" s="226">
        <x:f>REMUNERACION_ENERBIT!G109</x:f>
        <x:v>0</x:v>
      </x:c>
      <x:c r="H65" s="226">
        <x:f>REMUNERACION_ENERBIT!H109</x:f>
        <x:v>0</x:v>
      </x:c>
      <x:c r="I65" s="226">
        <x:f>REMUNERACION_ENERBIT!I109</x:f>
        <x:v>0</x:v>
      </x:c>
      <x:c r="J65" s="226">
        <x:f>REMUNERACION_ENERBIT!J109</x:f>
        <x:v>0</x:v>
      </x:c>
      <x:c r="K65" s="236">
        <x:f>REMUNERACION_ENERBIT!K109</x:f>
        <x:v>0</x:v>
      </x:c>
      <x:c r="L65" s="237">
        <x:f>REMUNERACION_ENERBIT!L109</x:f>
        <x:v>0</x:v>
      </x:c>
      <x:c r="M65" s="238">
        <x:f>REMUNERACION_ENERBIT!M109</x:f>
        <x:v>0</x:v>
      </x:c>
      <x:c r="N65" s="237">
        <x:f>REMUNERACION_ENERBIT!N109</x:f>
        <x:v>0</x:v>
      </x:c>
      <x:c r="O65" s="238">
        <x:f>REMUNERACION_ENERBIT!O109</x:f>
        <x:v>0</x:v>
      </x:c>
      <x:c r="P65" s="265"/>
      <x:c r="Q65" s="242"/>
      <x:c r="S65" s="263"/>
      <x:c r="T65" s="264" t="s">
        <x:v>2</x:v>
      </x:c>
      <x:c r="U65" s="266">
        <x:f>REMUNERACION_ENERBIT!U109</x:f>
        <x:v>0</x:v>
      </x:c>
      <x:c r="V65" s="266">
        <x:f>REMUNERACION_ENERBIT!V109</x:f>
        <x:v>0</x:v>
      </x:c>
      <x:c r="W65" s="266">
        <x:f>REMUNERACION_ENERBIT!W109</x:f>
        <x:v>0</x:v>
      </x:c>
      <x:c r="X65" s="266">
        <x:f>REMUNERACION_ENERBIT!X109</x:f>
        <x:v>0</x:v>
      </x:c>
      <x:c r="Y65" s="266">
        <x:f>REMUNERACION_ENERBIT!Y109</x:f>
        <x:v>0</x:v>
      </x:c>
      <x:c r="Z65" s="266">
        <x:f>REMUNERACION_ENERBIT!Z109</x:f>
        <x:v>0</x:v>
      </x:c>
      <x:c r="AA65" s="266">
        <x:f>REMUNERACION_ENERBIT!AA109</x:f>
        <x:v>0</x:v>
      </x:c>
      <x:c r="AB65" s="266">
        <x:f>REMUNERACION_ENERBIT!AB109</x:f>
        <x:v>0</x:v>
      </x:c>
      <x:c r="AC65" s="266">
        <x:f>REMUNERACION_ENERBIT!AC109</x:f>
        <x:v>0</x:v>
      </x:c>
      <x:c r="AD65" s="266">
        <x:f>REMUNERACION_ENERBIT!AD109</x:f>
        <x:v>0</x:v>
      </x:c>
      <x:c r="AE65" s="266">
        <x:f>REMUNERACION_ENERBIT!AE109</x:f>
        <x:v>0</x:v>
      </x:c>
      <x:c r="AF65" s="267">
        <x:f>REMUNERACION_ENERBIT!AF109</x:f>
        <x:v>0</x:v>
      </x:c>
      <x:c r="AG65" s="442">
        <x:f>REMUNERACION_ENEL!AG126</x:f>
        <x:v>0</x:v>
      </x:c>
      <x:c r="AH65" s="1"/>
      <x:c r="AI65" s="242"/>
      <x:c r="AM65" s="269"/>
    </x:row>
    <x:row r="66" spans="1:39" x14ac:dyDescent="0.2">
      <x:c r="B66" s="2"/>
      <x:c r="C66" s="2"/>
      <x:c r="D66" s="374"/>
      <x:c r="E66" s="374"/>
      <x:c r="F66" s="374"/>
      <x:c r="G66" s="374"/>
      <x:c r="H66" s="374"/>
      <x:c r="I66" s="374"/>
      <x:c r="K66" s="374"/>
      <x:c r="L66" s="374"/>
      <x:c r="M66" s="374"/>
      <x:c r="N66" s="374"/>
      <x:c r="O66" s="374"/>
      <x:c r="Q66" s="4"/>
      <x:c r="S66" s="2"/>
      <x:c r="T66" s="2"/>
      <x:c r="U66" s="374"/>
      <x:c r="V66" s="374"/>
      <x:c r="W66" s="374"/>
      <x:c r="X66" s="374"/>
      <x:c r="Y66" s="374"/>
      <x:c r="AF66" s="374"/>
      <x:c r="AI66" s="4"/>
    </x:row>
    <x:row r="67" spans="1:39" x14ac:dyDescent="0.2">
      <x:c r="B67" s="2"/>
      <x:c r="C67" s="2"/>
      <x:c r="D67" s="467"/>
      <x:c r="E67" s="467"/>
      <x:c r="F67" s="467"/>
      <x:c r="G67" s="467"/>
      <x:c r="H67" s="467"/>
      <x:c r="I67" s="467"/>
      <x:c r="K67" s="467"/>
      <x:c r="L67" s="467"/>
      <x:c r="M67" s="467"/>
      <x:c r="N67" s="467"/>
      <x:c r="O67" s="467"/>
      <x:c r="Q67" s="4"/>
      <x:c r="AI67" s="4"/>
    </x:row>
    <x:row r="68" spans="1:39" ht="12.75" thickBot="1" x14ac:dyDescent="0.25">
      <x:c r="A68" s="4"/>
      <x:c r="B68" s="34"/>
      <x:c r="C68" s="34"/>
      <x:c r="D68" s="397"/>
      <x:c r="E68" s="397"/>
      <x:c r="F68" s="397"/>
      <x:c r="G68" s="397"/>
      <x:c r="H68" s="397"/>
      <x:c r="I68" s="397"/>
      <x:c r="J68" s="4"/>
      <x:c r="K68" s="397"/>
      <x:c r="L68" s="397"/>
      <x:c r="M68" s="397"/>
      <x:c r="N68" s="397"/>
      <x:c r="O68" s="397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x14ac:dyDescent="0.2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5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75" x14ac:dyDescent="0.25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5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75" x14ac:dyDescent="0.25">
      <x:c r="B73" s="8"/>
      <x:c r="C73" s="2"/>
      <x:c r="D73" s="9"/>
      <x:c r="F73" s="399" t="s">
        <x:v>187</x:v>
      </x:c>
      <x:c r="G73" s="399"/>
      <x:c r="H73" s="400"/>
      <x:c r="I73" s="401"/>
      <x:c r="J73" s="400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75" thickBot="1" x14ac:dyDescent="0.25">
      <x:c r="B74" s="8"/>
      <x:c r="C74" s="2"/>
      <x:c r="D74" s="198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75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167</x:v>
      </x:c>
      <x:c r="AD75" s="114" t="s">
        <x:v>105</x:v>
      </x:c>
      <x:c r="AE75" s="114" t="s">
        <x:v>104</x:v>
      </x:c>
      <x:c r="AF75" s="39" t="s">
        <x:v>23</x:v>
      </x:c>
      <x:c r="AG75" s="13"/>
      <x:c r="AI75" s="4"/>
    </x:row>
    <x:row r="76" spans="1:39" s="241" customFormat="1" x14ac:dyDescent="0.2">
      <x:c r="B76" s="239">
        <x:v>1</x:v>
      </x:c>
      <x:c r="C76" s="240" t="s">
        <x:v>10</x:v>
      </x:c>
      <x:c r="D76" s="227">
        <x:f>'REMUNERACION_OCCIDENTE_ Directa'!D104</x:f>
        <x:v>0</x:v>
      </x:c>
      <x:c r="E76" s="228">
        <x:f>'REMUNERACION_OCCIDENTE_ Directa'!E104</x:f>
        <x:v>0</x:v>
      </x:c>
      <x:c r="F76" s="228">
        <x:f>'REMUNERACION_OCCIDENTE_ Directa'!F104</x:f>
        <x:v>0</x:v>
      </x:c>
      <x:c r="G76" s="228">
        <x:f>'REMUNERACION_OCCIDENTE_ Directa'!G104</x:f>
        <x:v>0</x:v>
      </x:c>
      <x:c r="H76" s="228">
        <x:f>'REMUNERACION_OCCIDENTE_ Directa'!H104</x:f>
        <x:v>0</x:v>
      </x:c>
      <x:c r="I76" s="228">
        <x:f>'REMUNERACION_OCCIDENTE_ Directa'!I104</x:f>
        <x:v>0</x:v>
      </x:c>
      <x:c r="J76" s="224">
        <x:f>'REMUNERACION_OCCIDENTE_ Directa'!J104</x:f>
        <x:v>0</x:v>
      </x:c>
      <x:c r="K76" s="229">
        <x:f>'REMUNERACION_OCCIDENTE_ Directa'!K104</x:f>
        <x:v>0</x:v>
      </x:c>
      <x:c r="L76" s="230">
        <x:f>'REMUNERACION_OCCIDENTE_ Directa'!L104</x:f>
        <x:v>0</x:v>
      </x:c>
      <x:c r="M76" s="229">
        <x:f>'REMUNERACION_OCCIDENTE_ Directa'!M104</x:f>
        <x:v>0</x:v>
      </x:c>
      <x:c r="N76" s="230">
        <x:f>'REMUNERACION_OCCIDENTE_ Directa'!N104</x:f>
        <x:v>0</x:v>
      </x:c>
      <x:c r="O76" s="229">
        <x:f>'REMUNERACION_OCCIDENTE_ Directa'!O104</x:f>
        <x:v>0</x:v>
      </x:c>
      <x:c r="Q76" s="242"/>
      <x:c r="S76" s="239">
        <x:v>1</x:v>
      </x:c>
      <x:c r="T76" s="240" t="s">
        <x:v>10</x:v>
      </x:c>
      <x:c r="U76" s="243">
        <x:f>'REMUNERACION_OCCIDENTE_ Directa'!U104</x:f>
        <x:v>0</x:v>
      </x:c>
      <x:c r="V76" s="244">
        <x:f>'REMUNERACION_OCCIDENTE_ Directa'!V104</x:f>
        <x:v>0</x:v>
      </x:c>
      <x:c r="W76" s="244">
        <x:f>'REMUNERACION_OCCIDENTE_ Directa'!W104</x:f>
        <x:v>0</x:v>
      </x:c>
      <x:c r="X76" s="244">
        <x:f>'REMUNERACION_OCCIDENTE_ Directa'!X104</x:f>
        <x:v>0</x:v>
      </x:c>
      <x:c r="Y76" s="245">
        <x:f>'REMUNERACION_OCCIDENTE_ Directa'!Y104</x:f>
        <x:v>0</x:v>
      </x:c>
      <x:c r="Z76" s="246">
        <x:f>'REMUNERACION_OCCIDENTE_ Directa'!Z104</x:f>
        <x:v>0</x:v>
      </x:c>
      <x:c r="AA76" s="247">
        <x:f>'REMUNERACION_OCCIDENTE_ Directa'!AA104</x:f>
        <x:v>0</x:v>
      </x:c>
      <x:c r="AB76" s="230">
        <x:f>'REMUNERACION_OCCIDENTE_ Directa'!AB104</x:f>
        <x:v>0</x:v>
      </x:c>
      <x:c r="AC76" s="247">
        <x:f>'REMUNERACION_OCCIDENTE_ Directa'!AC104</x:f>
        <x:v>0</x:v>
      </x:c>
      <x:c r="AD76" s="227">
        <x:f>'REMUNERACION_OCCIDENTE_ Directa'!AD104</x:f>
        <x:v>0</x:v>
      </x:c>
      <x:c r="AE76" s="227">
        <x:f>'REMUNERACION_OCCIDENTE_ Directa'!AE104</x:f>
        <x:v>0</x:v>
      </x:c>
      <x:c r="AF76" s="249">
        <x:f>'REMUNERACION_OCCIDENTE_ Directa'!AF104</x:f>
        <x:v>0</x:v>
      </x:c>
      <x:c r="AG76" s="439">
        <x:f>'REMUNERACION_OCCIDENTE_ Directa'!AG104</x:f>
        <x:v>0</x:v>
      </x:c>
      <x:c r="AH76" s="1"/>
      <x:c r="AI76" s="242"/>
      <x:c r="AM76" s="269"/>
    </x:row>
    <x:row r="77" spans="1:39" s="241" customFormat="1" x14ac:dyDescent="0.2">
      <x:c r="B77" s="250">
        <x:v>2</x:v>
      </x:c>
      <x:c r="C77" s="251" t="s">
        <x:v>11</x:v>
      </x:c>
      <x:c r="D77" s="227">
        <x:f>'REMUNERACION_OCCIDENTE_ Directa'!D105</x:f>
        <x:v>0</x:v>
      </x:c>
      <x:c r="E77" s="228">
        <x:f>'REMUNERACION_OCCIDENTE_ Directa'!E105</x:f>
        <x:v>0</x:v>
      </x:c>
      <x:c r="F77" s="228">
        <x:f>'REMUNERACION_OCCIDENTE_ Directa'!F105</x:f>
        <x:v>0</x:v>
      </x:c>
      <x:c r="G77" s="228">
        <x:f>'REMUNERACION_OCCIDENTE_ Directa'!G105</x:f>
        <x:v>0</x:v>
      </x:c>
      <x:c r="H77" s="228">
        <x:f>'REMUNERACION_OCCIDENTE_ Directa'!H105</x:f>
        <x:v>0</x:v>
      </x:c>
      <x:c r="I77" s="228">
        <x:f>'REMUNERACION_OCCIDENTE_ Directa'!I105</x:f>
        <x:v>0</x:v>
      </x:c>
      <x:c r="J77" s="224">
        <x:f>'REMUNERACION_OCCIDENTE_ Directa'!J105</x:f>
        <x:v>0</x:v>
      </x:c>
      <x:c r="K77" s="231">
        <x:f>'REMUNERACION_OCCIDENTE_ Directa'!K105</x:f>
        <x:v>0</x:v>
      </x:c>
      <x:c r="L77" s="230">
        <x:f>'REMUNERACION_OCCIDENTE_ Directa'!L105</x:f>
        <x:v>0</x:v>
      </x:c>
      <x:c r="M77" s="231">
        <x:f>'REMUNERACION_OCCIDENTE_ Directa'!M105</x:f>
        <x:v>0</x:v>
      </x:c>
      <x:c r="N77" s="230">
        <x:f>'REMUNERACION_OCCIDENTE_ Directa'!N105</x:f>
        <x:v>0</x:v>
      </x:c>
      <x:c r="O77" s="231">
        <x:f>'REMUNERACION_OCCIDENTE_ Directa'!O105</x:f>
        <x:v>0</x:v>
      </x:c>
      <x:c r="Q77" s="242"/>
      <x:c r="S77" s="250">
        <x:v>2</x:v>
      </x:c>
      <x:c r="T77" s="251" t="s">
        <x:v>11</x:v>
      </x:c>
      <x:c r="U77" s="252">
        <x:f>'REMUNERACION_OCCIDENTE_ Directa'!U105</x:f>
        <x:v>0</x:v>
      </x:c>
      <x:c r="V77" s="253">
        <x:f>'REMUNERACION_OCCIDENTE_ Directa'!V105</x:f>
        <x:v>0</x:v>
      </x:c>
      <x:c r="W77" s="253">
        <x:f>'REMUNERACION_OCCIDENTE_ Directa'!W105</x:f>
        <x:v>0</x:v>
      </x:c>
      <x:c r="X77" s="253">
        <x:f>'REMUNERACION_OCCIDENTE_ Directa'!X105</x:f>
        <x:v>0</x:v>
      </x:c>
      <x:c r="Y77" s="254">
        <x:f>'REMUNERACION_OCCIDENTE_ Directa'!Y105</x:f>
        <x:v>0</x:v>
      </x:c>
      <x:c r="Z77" s="255">
        <x:f>'REMUNERACION_OCCIDENTE_ Directa'!Z105</x:f>
        <x:v>0</x:v>
      </x:c>
      <x:c r="AA77" s="256">
        <x:f>'REMUNERACION_OCCIDENTE_ Directa'!AA105</x:f>
        <x:v>0</x:v>
      </x:c>
      <x:c r="AB77" s="230">
        <x:f>'REMUNERACION_OCCIDENTE_ Directa'!AB105</x:f>
        <x:v>0</x:v>
      </x:c>
      <x:c r="AC77" s="256">
        <x:f>'REMUNERACION_OCCIDENTE_ Directa'!AC105</x:f>
        <x:v>0</x:v>
      </x:c>
      <x:c r="AD77" s="227">
        <x:f>'REMUNERACION_OCCIDENTE_ Directa'!AD105</x:f>
        <x:v>0</x:v>
      </x:c>
      <x:c r="AE77" s="227">
        <x:f>'REMUNERACION_OCCIDENTE_ Directa'!AE105</x:f>
        <x:v>0</x:v>
      </x:c>
      <x:c r="AF77" s="258">
        <x:f>'REMUNERACION_OCCIDENTE_ Directa'!AF105</x:f>
        <x:v>0</x:v>
      </x:c>
      <x:c r="AG77" s="440">
        <x:f>'REMUNERACION_OCCIDENTE_ Directa'!AG105</x:f>
        <x:v>0</x:v>
      </x:c>
      <x:c r="AH77" s="1"/>
      <x:c r="AI77" s="242"/>
      <x:c r="AM77" s="269"/>
    </x:row>
    <x:row r="78" spans="1:39" s="241" customFormat="1" x14ac:dyDescent="0.2">
      <x:c r="B78" s="250">
        <x:v>3</x:v>
      </x:c>
      <x:c r="C78" s="251" t="s">
        <x:v>12</x:v>
      </x:c>
      <x:c r="D78" s="227">
        <x:f>'REMUNERACION_OCCIDENTE_ Directa'!D106</x:f>
        <x:v>0</x:v>
      </x:c>
      <x:c r="E78" s="228">
        <x:f>'REMUNERACION_OCCIDENTE_ Directa'!E106</x:f>
        <x:v>0</x:v>
      </x:c>
      <x:c r="F78" s="228">
        <x:f>'REMUNERACION_OCCIDENTE_ Directa'!F106</x:f>
        <x:v>0</x:v>
      </x:c>
      <x:c r="G78" s="228">
        <x:f>'REMUNERACION_OCCIDENTE_ Directa'!G106</x:f>
        <x:v>0</x:v>
      </x:c>
      <x:c r="H78" s="228">
        <x:f>'REMUNERACION_OCCIDENTE_ Directa'!H106</x:f>
        <x:v>0</x:v>
      </x:c>
      <x:c r="I78" s="228">
        <x:f>'REMUNERACION_OCCIDENTE_ Directa'!I106</x:f>
        <x:v>0</x:v>
      </x:c>
      <x:c r="J78" s="224">
        <x:f>'REMUNERACION_OCCIDENTE_ Directa'!J106</x:f>
        <x:v>0</x:v>
      </x:c>
      <x:c r="K78" s="231">
        <x:f>'REMUNERACION_OCCIDENTE_ Directa'!K106</x:f>
        <x:v>0</x:v>
      </x:c>
      <x:c r="L78" s="230">
        <x:f>'REMUNERACION_OCCIDENTE_ Directa'!L106</x:f>
        <x:v>0</x:v>
      </x:c>
      <x:c r="M78" s="231">
        <x:f>'REMUNERACION_OCCIDENTE_ Directa'!M106</x:f>
        <x:v>0</x:v>
      </x:c>
      <x:c r="N78" s="230">
        <x:f>'REMUNERACION_OCCIDENTE_ Directa'!N106</x:f>
        <x:v>0</x:v>
      </x:c>
      <x:c r="O78" s="231">
        <x:f>'REMUNERACION_OCCIDENTE_ Directa'!O106</x:f>
        <x:v>0</x:v>
      </x:c>
      <x:c r="Q78" s="242"/>
      <x:c r="S78" s="250">
        <x:v>3</x:v>
      </x:c>
      <x:c r="T78" s="251" t="s">
        <x:v>12</x:v>
      </x:c>
      <x:c r="U78" s="252">
        <x:f>'REMUNERACION_OCCIDENTE_ Directa'!U106</x:f>
        <x:v>0</x:v>
      </x:c>
      <x:c r="V78" s="253">
        <x:f>'REMUNERACION_OCCIDENTE_ Directa'!V106</x:f>
        <x:v>0</x:v>
      </x:c>
      <x:c r="W78" s="253">
        <x:f>'REMUNERACION_OCCIDENTE_ Directa'!W106</x:f>
        <x:v>0</x:v>
      </x:c>
      <x:c r="X78" s="253">
        <x:f>'REMUNERACION_OCCIDENTE_ Directa'!X106</x:f>
        <x:v>0</x:v>
      </x:c>
      <x:c r="Y78" s="254">
        <x:f>'REMUNERACION_OCCIDENTE_ Directa'!Y106</x:f>
        <x:v>0</x:v>
      </x:c>
      <x:c r="Z78" s="255">
        <x:f>'REMUNERACION_OCCIDENTE_ Directa'!Z106</x:f>
        <x:v>0</x:v>
      </x:c>
      <x:c r="AA78" s="256">
        <x:f>'REMUNERACION_OCCIDENTE_ Directa'!AA106</x:f>
        <x:v>0</x:v>
      </x:c>
      <x:c r="AB78" s="230">
        <x:f>'REMUNERACION_OCCIDENTE_ Directa'!AB106</x:f>
        <x:v>0</x:v>
      </x:c>
      <x:c r="AC78" s="256">
        <x:f>'REMUNERACION_OCCIDENTE_ Directa'!AC106</x:f>
        <x:v>0</x:v>
      </x:c>
      <x:c r="AD78" s="227">
        <x:f>'REMUNERACION_OCCIDENTE_ Directa'!AD106</x:f>
        <x:v>0</x:v>
      </x:c>
      <x:c r="AE78" s="227">
        <x:f>'REMUNERACION_OCCIDENTE_ Directa'!AE106</x:f>
        <x:v>0</x:v>
      </x:c>
      <x:c r="AF78" s="258">
        <x:f>'REMUNERACION_OCCIDENTE_ Directa'!AF106</x:f>
        <x:v>0</x:v>
      </x:c>
      <x:c r="AG78" s="440">
        <x:f>'REMUNERACION_OCCIDENTE_ Directa'!AG106</x:f>
        <x:v>0</x:v>
      </x:c>
      <x:c r="AH78" s="1"/>
      <x:c r="AI78" s="242"/>
      <x:c r="AM78" s="269"/>
    </x:row>
    <x:row r="79" spans="1:39" s="241" customFormat="1" x14ac:dyDescent="0.2">
      <x:c r="B79" s="250">
        <x:v>4</x:v>
      </x:c>
      <x:c r="C79" s="251" t="s">
        <x:v>13</x:v>
      </x:c>
      <x:c r="D79" s="227">
        <x:f>'REMUNERACION_OCCIDENTE_ Directa'!D107</x:f>
        <x:v>0</x:v>
      </x:c>
      <x:c r="E79" s="228">
        <x:f>'REMUNERACION_OCCIDENTE_ Directa'!E107</x:f>
        <x:v>0</x:v>
      </x:c>
      <x:c r="F79" s="228">
        <x:f>'REMUNERACION_OCCIDENTE_ Directa'!F107</x:f>
        <x:v>0</x:v>
      </x:c>
      <x:c r="G79" s="228">
        <x:f>'REMUNERACION_OCCIDENTE_ Directa'!G107</x:f>
        <x:v>0</x:v>
      </x:c>
      <x:c r="H79" s="228">
        <x:f>'REMUNERACION_OCCIDENTE_ Directa'!H107</x:f>
        <x:v>0</x:v>
      </x:c>
      <x:c r="I79" s="228">
        <x:f>'REMUNERACION_OCCIDENTE_ Directa'!I107</x:f>
        <x:v>0</x:v>
      </x:c>
      <x:c r="J79" s="224">
        <x:f>'REMUNERACION_OCCIDENTE_ Directa'!J107</x:f>
        <x:v>0</x:v>
      </x:c>
      <x:c r="K79" s="231">
        <x:f>'REMUNERACION_OCCIDENTE_ Directa'!K107</x:f>
        <x:v>0</x:v>
      </x:c>
      <x:c r="L79" s="230">
        <x:f>'REMUNERACION_OCCIDENTE_ Directa'!L107</x:f>
        <x:v>0</x:v>
      </x:c>
      <x:c r="M79" s="231">
        <x:f>'REMUNERACION_OCCIDENTE_ Directa'!M107</x:f>
        <x:v>0</x:v>
      </x:c>
      <x:c r="N79" s="230">
        <x:f>'REMUNERACION_OCCIDENTE_ Directa'!N107</x:f>
        <x:v>0</x:v>
      </x:c>
      <x:c r="O79" s="231">
        <x:f>'REMUNERACION_OCCIDENTE_ Directa'!O107</x:f>
        <x:v>0</x:v>
      </x:c>
      <x:c r="Q79" s="242"/>
      <x:c r="S79" s="250">
        <x:v>4</x:v>
      </x:c>
      <x:c r="T79" s="251" t="s">
        <x:v>13</x:v>
      </x:c>
      <x:c r="U79" s="252">
        <x:f>'REMUNERACION_OCCIDENTE_ Directa'!U107</x:f>
        <x:v>0</x:v>
      </x:c>
      <x:c r="V79" s="253">
        <x:f>'REMUNERACION_OCCIDENTE_ Directa'!V107</x:f>
        <x:v>0</x:v>
      </x:c>
      <x:c r="W79" s="253">
        <x:f>'REMUNERACION_OCCIDENTE_ Directa'!W107</x:f>
        <x:v>0</x:v>
      </x:c>
      <x:c r="X79" s="253">
        <x:f>'REMUNERACION_OCCIDENTE_ Directa'!X107</x:f>
        <x:v>0</x:v>
      </x:c>
      <x:c r="Y79" s="254">
        <x:f>'REMUNERACION_OCCIDENTE_ Directa'!Y107</x:f>
        <x:v>0</x:v>
      </x:c>
      <x:c r="Z79" s="255">
        <x:f>'REMUNERACION_OCCIDENTE_ Directa'!Z107</x:f>
        <x:v>0</x:v>
      </x:c>
      <x:c r="AA79" s="256">
        <x:f>'REMUNERACION_OCCIDENTE_ Directa'!AA107</x:f>
        <x:v>0</x:v>
      </x:c>
      <x:c r="AB79" s="230">
        <x:f>'REMUNERACION_OCCIDENTE_ Directa'!AB107</x:f>
        <x:v>0</x:v>
      </x:c>
      <x:c r="AC79" s="256">
        <x:f>'REMUNERACION_OCCIDENTE_ Directa'!AC107</x:f>
        <x:v>0</x:v>
      </x:c>
      <x:c r="AD79" s="227">
        <x:f>'REMUNERACION_OCCIDENTE_ Directa'!AD107</x:f>
        <x:v>0</x:v>
      </x:c>
      <x:c r="AE79" s="227">
        <x:f>'REMUNERACION_OCCIDENTE_ Directa'!AE107</x:f>
        <x:v>0</x:v>
      </x:c>
      <x:c r="AF79" s="258">
        <x:f>'REMUNERACION_OCCIDENTE_ Directa'!AF107</x:f>
        <x:v>0</x:v>
      </x:c>
      <x:c r="AG79" s="440">
        <x:f>'REMUNERACION_OCCIDENTE_ Directa'!AG107</x:f>
        <x:v>0</x:v>
      </x:c>
      <x:c r="AH79" s="1"/>
      <x:c r="AI79" s="242"/>
      <x:c r="AM79" s="269"/>
    </x:row>
    <x:row r="80" spans="1:39" s="241" customFormat="1" ht="12.75" thickBot="1" x14ac:dyDescent="0.25">
      <x:c r="B80" s="260">
        <x:v>5</x:v>
      </x:c>
      <x:c r="C80" s="261" t="s">
        <x:v>14</x:v>
      </x:c>
      <x:c r="D80" s="232">
        <x:f>'REMUNERACION_OCCIDENTE_ Directa'!D108</x:f>
        <x:v>0</x:v>
      </x:c>
      <x:c r="E80" s="233">
        <x:f>'REMUNERACION_OCCIDENTE_ Directa'!E108</x:f>
        <x:v>0</x:v>
      </x:c>
      <x:c r="F80" s="233">
        <x:f>'REMUNERACION_OCCIDENTE_ Directa'!F108</x:f>
        <x:v>0</x:v>
      </x:c>
      <x:c r="G80" s="233">
        <x:f>'REMUNERACION_OCCIDENTE_ Directa'!G108</x:f>
        <x:v>0</x:v>
      </x:c>
      <x:c r="H80" s="233">
        <x:f>'REMUNERACION_OCCIDENTE_ Directa'!H108</x:f>
        <x:v>0</x:v>
      </x:c>
      <x:c r="I80" s="233">
        <x:f>'REMUNERACION_OCCIDENTE_ Directa'!I108</x:f>
        <x:v>0</x:v>
      </x:c>
      <x:c r="J80" s="225">
        <x:f>'REMUNERACION_OCCIDENTE_ Directa'!J108</x:f>
        <x:v>0</x:v>
      </x:c>
      <x:c r="K80" s="231">
        <x:f>'REMUNERACION_OCCIDENTE_ Directa'!K108</x:f>
        <x:v>0</x:v>
      </x:c>
      <x:c r="L80" s="230">
        <x:f>'REMUNERACION_OCCIDENTE_ Directa'!L108</x:f>
        <x:v>0</x:v>
      </x:c>
      <x:c r="M80" s="234">
        <x:f>'REMUNERACION_OCCIDENTE_ Directa'!M108</x:f>
        <x:v>0</x:v>
      </x:c>
      <x:c r="N80" s="235">
        <x:f>'REMUNERACION_OCCIDENTE_ Directa'!N108</x:f>
        <x:v>0</x:v>
      </x:c>
      <x:c r="O80" s="234">
        <x:f>'REMUNERACION_OCCIDENTE_ Directa'!O108</x:f>
        <x:v>0</x:v>
      </x:c>
      <x:c r="Q80" s="242"/>
      <x:c r="S80" s="260">
        <x:v>5</x:v>
      </x:c>
      <x:c r="T80" s="261" t="s">
        <x:v>14</x:v>
      </x:c>
      <x:c r="U80" s="232">
        <x:f>'REMUNERACION_OCCIDENTE_ Directa'!U108</x:f>
        <x:v>0</x:v>
      </x:c>
      <x:c r="V80" s="233">
        <x:f>'REMUNERACION_OCCIDENTE_ Directa'!V108</x:f>
        <x:v>0</x:v>
      </x:c>
      <x:c r="W80" s="233">
        <x:f>'REMUNERACION_OCCIDENTE_ Directa'!W108</x:f>
        <x:v>0</x:v>
      </x:c>
      <x:c r="X80" s="233">
        <x:f>'REMUNERACION_OCCIDENTE_ Directa'!X108</x:f>
        <x:v>0</x:v>
      </x:c>
      <x:c r="Y80" s="225">
        <x:f>'REMUNERACION_OCCIDENTE_ Directa'!Y108</x:f>
        <x:v>0</x:v>
      </x:c>
      <x:c r="Z80" s="255">
        <x:f>'REMUNERACION_OCCIDENTE_ Directa'!Z108</x:f>
        <x:v>0</x:v>
      </x:c>
      <x:c r="AA80" s="256">
        <x:f>'REMUNERACION_OCCIDENTE_ Directa'!AA108</x:f>
        <x:v>0</x:v>
      </x:c>
      <x:c r="AB80" s="230">
        <x:f>'REMUNERACION_OCCIDENTE_ Directa'!AB108</x:f>
        <x:v>0</x:v>
      </x:c>
      <x:c r="AC80" s="256">
        <x:f>'REMUNERACION_OCCIDENTE_ Directa'!AC108</x:f>
        <x:v>0</x:v>
      </x:c>
      <x:c r="AD80" s="227">
        <x:f>'REMUNERACION_OCCIDENTE_ Directa'!AD108</x:f>
        <x:v>0</x:v>
      </x:c>
      <x:c r="AE80" s="227">
        <x:f>'REMUNERACION_OCCIDENTE_ Directa'!AE108</x:f>
        <x:v>0</x:v>
      </x:c>
      <x:c r="AF80" s="258">
        <x:f>'REMUNERACION_OCCIDENTE_ Directa'!AF108</x:f>
        <x:v>0</x:v>
      </x:c>
      <x:c r="AG80" s="441">
        <x:f>'REMUNERACION_OCCIDENTE_ Directa'!AG108</x:f>
        <x:v>0</x:v>
      </x:c>
      <x:c r="AH80" s="1"/>
      <x:c r="AI80" s="242"/>
      <x:c r="AM80" s="269"/>
    </x:row>
    <x:row r="81" spans="1:39" s="241" customFormat="1" ht="13.5" thickBot="1" x14ac:dyDescent="0.25">
      <x:c r="B81" s="263"/>
      <x:c r="C81" s="264" t="s">
        <x:v>2</x:v>
      </x:c>
      <x:c r="D81" s="226">
        <x:f>'REMUNERACION_OCCIDENTE_ Directa'!D109</x:f>
        <x:v>0</x:v>
      </x:c>
      <x:c r="E81" s="226">
        <x:f>'REMUNERACION_OCCIDENTE_ Directa'!E109</x:f>
        <x:v>0</x:v>
      </x:c>
      <x:c r="F81" s="226">
        <x:f>'REMUNERACION_OCCIDENTE_ Directa'!F109</x:f>
        <x:v>0</x:v>
      </x:c>
      <x:c r="G81" s="226">
        <x:f>'REMUNERACION_OCCIDENTE_ Directa'!G109</x:f>
        <x:v>0</x:v>
      </x:c>
      <x:c r="H81" s="226">
        <x:f>'REMUNERACION_OCCIDENTE_ Directa'!H109</x:f>
        <x:v>0</x:v>
      </x:c>
      <x:c r="I81" s="226">
        <x:f>'REMUNERACION_OCCIDENTE_ Directa'!I109</x:f>
        <x:v>0</x:v>
      </x:c>
      <x:c r="J81" s="226">
        <x:f>'REMUNERACION_OCCIDENTE_ Directa'!J109</x:f>
        <x:v>0</x:v>
      </x:c>
      <x:c r="K81" s="236">
        <x:f>'REMUNERACION_OCCIDENTE_ Directa'!K109</x:f>
        <x:v>0</x:v>
      </x:c>
      <x:c r="L81" s="237">
        <x:f>'REMUNERACION_OCCIDENTE_ Directa'!L109</x:f>
        <x:v>0</x:v>
      </x:c>
      <x:c r="M81" s="238">
        <x:f>'REMUNERACION_OCCIDENTE_ Directa'!M109</x:f>
        <x:v>0</x:v>
      </x:c>
      <x:c r="N81" s="237">
        <x:f>'REMUNERACION_OCCIDENTE_ Directa'!N109</x:f>
        <x:v>0</x:v>
      </x:c>
      <x:c r="O81" s="238">
        <x:f>'REMUNERACION_OCCIDENTE_ Directa'!O109</x:f>
        <x:v>0</x:v>
      </x:c>
      <x:c r="P81" s="265"/>
      <x:c r="Q81" s="242"/>
      <x:c r="S81" s="263"/>
      <x:c r="T81" s="264" t="s">
        <x:v>2</x:v>
      </x:c>
      <x:c r="U81" s="266">
        <x:f>'REMUNERACION_OCCIDENTE_ Directa'!U109</x:f>
        <x:v>0</x:v>
      </x:c>
      <x:c r="V81" s="266">
        <x:f>'REMUNERACION_OCCIDENTE_ Directa'!V109</x:f>
        <x:v>0</x:v>
      </x:c>
      <x:c r="W81" s="266">
        <x:f>'REMUNERACION_OCCIDENTE_ Directa'!W109</x:f>
        <x:v>0</x:v>
      </x:c>
      <x:c r="X81" s="266">
        <x:f>'REMUNERACION_OCCIDENTE_ Directa'!X109</x:f>
        <x:v>0</x:v>
      </x:c>
      <x:c r="Y81" s="266">
        <x:f>'REMUNERACION_OCCIDENTE_ Directa'!Y109</x:f>
        <x:v>0</x:v>
      </x:c>
      <x:c r="Z81" s="226">
        <x:f>'REMUNERACION_OCCIDENTE_ Directa'!Z109</x:f>
        <x:v>0</x:v>
      </x:c>
      <x:c r="AA81" s="226">
        <x:f>'REMUNERACION_OCCIDENTE_ Directa'!AA109</x:f>
        <x:v>0</x:v>
      </x:c>
      <x:c r="AB81" s="226">
        <x:f>'REMUNERACION_OCCIDENTE_ Directa'!AB109</x:f>
        <x:v>0</x:v>
      </x:c>
      <x:c r="AC81" s="226">
        <x:f>'REMUNERACION_OCCIDENTE_ Directa'!AC109</x:f>
        <x:v>0</x:v>
      </x:c>
      <x:c r="AD81" s="226">
        <x:f>'REMUNERACION_OCCIDENTE_ Directa'!AD109</x:f>
        <x:v>0</x:v>
      </x:c>
      <x:c r="AE81" s="226">
        <x:f>'REMUNERACION_OCCIDENTE_ Directa'!AE109</x:f>
        <x:v>0</x:v>
      </x:c>
      <x:c r="AF81" s="267">
        <x:f>'REMUNERACION_OCCIDENTE_ Directa'!AF109</x:f>
        <x:v>0</x:v>
      </x:c>
      <x:c r="AG81" s="442">
        <x:f>'REMUNERACION_OCCIDENTE_ Directa'!AG109</x:f>
        <x:v>0</x:v>
      </x:c>
      <x:c r="AH81" s="1"/>
      <x:c r="AI81" s="242"/>
      <x:c r="AM81" s="269"/>
    </x:row>
    <x:row r="82" spans="1:39" ht="12.75" thickBot="1" x14ac:dyDescent="0.25">
      <x:c r="B82" s="2"/>
      <x:c r="C82" s="2"/>
      <x:c r="D82" s="374"/>
      <x:c r="E82" s="374"/>
      <x:c r="F82" s="374"/>
      <x:c r="G82" s="374"/>
      <x:c r="H82" s="374"/>
      <x:c r="I82" s="374"/>
      <x:c r="K82" s="374"/>
      <x:c r="L82" s="374"/>
      <x:c r="M82" s="374"/>
      <x:c r="N82" s="374"/>
      <x:c r="O82" s="374"/>
      <x:c r="Q82" s="4"/>
      <x:c r="S82" s="2"/>
      <x:c r="T82" s="2"/>
      <x:c r="U82" s="374"/>
      <x:c r="V82" s="374"/>
      <x:c r="W82" s="374"/>
      <x:c r="X82" s="374"/>
      <x:c r="Y82" s="374"/>
      <x:c r="AF82" s="374"/>
      <x:c r="AI82" s="4"/>
    </x:row>
    <x:row r="83" spans="1:39" ht="12.75" thickBot="1" x14ac:dyDescent="0.25">
      <x:c r="B83" s="2"/>
      <x:c r="C83" s="2"/>
      <x:c r="D83" s="374"/>
      <x:c r="E83" s="374"/>
      <x:c r="F83" s="374"/>
      <x:c r="G83" s="374"/>
      <x:c r="H83" s="374"/>
      <x:c r="I83" s="374"/>
      <x:c r="K83" s="374"/>
      <x:c r="L83" s="374"/>
      <x:c r="M83" s="374"/>
      <x:c r="N83" s="374"/>
      <x:c r="O83" s="374"/>
      <x:c r="Q83" s="4"/>
      <x:c r="Y83" s="375"/>
      <x:c r="AI83" s="4"/>
    </x:row>
    <x:row r="84" spans="1:39" x14ac:dyDescent="0.2">
      <x:c r="A84" s="4"/>
      <x:c r="B84" s="34"/>
      <x:c r="C84" s="34"/>
      <x:c r="D84" s="397"/>
      <x:c r="E84" s="397"/>
      <x:c r="F84" s="397"/>
      <x:c r="G84" s="397"/>
      <x:c r="H84" s="397"/>
      <x:c r="I84" s="397"/>
      <x:c r="J84" s="4"/>
      <x:c r="K84" s="397"/>
      <x:c r="L84" s="397"/>
      <x:c r="M84" s="397"/>
      <x:c r="N84" s="397"/>
      <x:c r="O84" s="397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.75" thickBot="1" x14ac:dyDescent="0.25">
      <x:c r="Q85" s="4"/>
      <x:c r="AI85" s="4"/>
    </x:row>
    <x:row r="86" spans="1:39" x14ac:dyDescent="0.2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5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75" x14ac:dyDescent="0.25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5" x14ac:dyDescent="0.25">
      <x:c r="B89" s="8"/>
      <x:c r="F89" s="2" t="s">
        <x:v>30</x:v>
      </x:c>
      <x:c r="G89" s="2"/>
      <x:c r="L89" s="90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75" x14ac:dyDescent="0.25">
      <x:c r="B90" s="8"/>
      <x:c r="C90" s="2"/>
      <x:c r="D90" s="9"/>
      <x:c r="F90" s="58" t="s">
        <x:v>188</x:v>
      </x:c>
      <x:c r="G90" s="58"/>
      <x:c r="H90" s="59"/>
      <x:c r="I90" s="60"/>
      <x:c r="J90" s="59"/>
      <x:c r="K90" s="60"/>
      <x:c r="L90" s="90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8" thickBot="1" x14ac:dyDescent="0.35">
      <x:c r="B91" s="8"/>
      <x:c r="C91" s="2"/>
      <x:c r="D91" s="198"/>
      <x:c r="F91" s="2"/>
      <x:c r="G91" s="9"/>
      <x:c r="J91" s="2"/>
      <x:c r="K91" s="9"/>
      <x:c r="L91" s="91"/>
      <x:c r="O91" s="10"/>
      <x:c r="P91" s="2"/>
      <x:c r="Q91" s="4"/>
      <x:c r="S91" s="8"/>
      <x:c r="V91" s="9"/>
      <x:c r="Y91" s="9"/>
      <x:c r="AF91" s="48"/>
      <x:c r="AG91" s="2"/>
      <x:c r="AI91" s="4"/>
      <x:c r="AJ91" s="105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46" t="s">
        <x:v>39</x:v>
      </x:c>
      <x:c r="V92" s="147" t="s">
        <x:v>40</x:v>
      </x:c>
      <x:c r="W92" s="147" t="s">
        <x:v>41</x:v>
      </x:c>
      <x:c r="X92" s="147" t="s">
        <x:v>42</x:v>
      </x:c>
      <x:c r="Y92" s="148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167</x:v>
      </x:c>
      <x:c r="AD92" s="114" t="s">
        <x:v>105</x:v>
      </x:c>
      <x:c r="AE92" s="114" t="s">
        <x:v>104</x:v>
      </x:c>
      <x:c r="AF92" s="39" t="s">
        <x:v>23</x:v>
      </x:c>
      <x:c r="AG92" s="13"/>
      <x:c r="AI92" s="4"/>
    </x:row>
    <x:row r="93" spans="1:39" s="241" customFormat="1" x14ac:dyDescent="0.2">
      <x:c r="B93" s="239">
        <x:v>1</x:v>
      </x:c>
      <x:c r="C93" s="240" t="s">
        <x:v>10</x:v>
      </x:c>
      <x:c r="D93" s="227">
        <x:f>'REMUNERACION_EAAB-CL'!D104</x:f>
        <x:v>0</x:v>
      </x:c>
      <x:c r="E93" s="228">
        <x:f>'REMUNERACION_EAAB-CL'!E104</x:f>
        <x:v>0</x:v>
      </x:c>
      <x:c r="F93" s="228">
        <x:f>'REMUNERACION_EAAB-CL'!F104</x:f>
        <x:v>0</x:v>
      </x:c>
      <x:c r="G93" s="228">
        <x:f>'REMUNERACION_EAAB-CL'!G104</x:f>
        <x:v>0</x:v>
      </x:c>
      <x:c r="H93" s="228">
        <x:f>'REMUNERACION_EAAB-CL'!H104</x:f>
        <x:v>0</x:v>
      </x:c>
      <x:c r="I93" s="228">
        <x:f>'REMUNERACION_EAAB-CL'!I104</x:f>
        <x:v>0</x:v>
      </x:c>
      <x:c r="J93" s="224">
        <x:f>'REMUNERACION_EAAB-CL'!J104</x:f>
        <x:v>0</x:v>
      </x:c>
      <x:c r="K93" s="229">
        <x:f>'REMUNERACION_EAAB-CL'!K104</x:f>
        <x:v>0</x:v>
      </x:c>
      <x:c r="L93" s="230">
        <x:f>'REMUNERACION_EAAB-CL'!L104</x:f>
        <x:v>0</x:v>
      </x:c>
      <x:c r="M93" s="229">
        <x:f>'REMUNERACION_EAAB-CL'!M104</x:f>
        <x:v>0</x:v>
      </x:c>
      <x:c r="N93" s="230">
        <x:f>'REMUNERACION_EAAB-CL'!N104</x:f>
        <x:v>0</x:v>
      </x:c>
      <x:c r="O93" s="229">
        <x:f>'REMUNERACION_EAAB-CL'!O104</x:f>
        <x:v>0</x:v>
      </x:c>
      <x:c r="Q93" s="242"/>
      <x:c r="S93" s="239">
        <x:v>1</x:v>
      </x:c>
      <x:c r="T93" s="240" t="s">
        <x:v>10</x:v>
      </x:c>
      <x:c r="U93" s="243">
        <x:f>'REMUNERACION_EAAB-CL'!U104</x:f>
        <x:v>0</x:v>
      </x:c>
      <x:c r="V93" s="244">
        <x:f>'REMUNERACION_EAAB-CL'!V104</x:f>
        <x:v>0</x:v>
      </x:c>
      <x:c r="W93" s="244">
        <x:f>'REMUNERACION_EAAB-CL'!W104</x:f>
        <x:v>0</x:v>
      </x:c>
      <x:c r="X93" s="244">
        <x:f>'REMUNERACION_EAAB-CL'!X104</x:f>
        <x:v>0</x:v>
      </x:c>
      <x:c r="Y93" s="245">
        <x:f>'REMUNERACION_EAAB-CL'!Y104</x:f>
        <x:v>0</x:v>
      </x:c>
      <x:c r="Z93" s="246">
        <x:f>'REMUNERACION_EAAB-CL'!Z104</x:f>
        <x:v>0</x:v>
      </x:c>
      <x:c r="AA93" s="247">
        <x:f>'REMUNERACION_EAAB-CL'!AA104</x:f>
        <x:v>0</x:v>
      </x:c>
      <x:c r="AB93" s="230">
        <x:f>'REMUNERACION_EAAB-CL'!AB104</x:f>
        <x:v>0</x:v>
      </x:c>
      <x:c r="AC93" s="247">
        <x:f>'REMUNERACION_EAAB-CL'!AC104</x:f>
        <x:v>0</x:v>
      </x:c>
      <x:c r="AD93" s="227">
        <x:f>'REMUNERACION_EAAB-CL'!AD104</x:f>
        <x:v>0</x:v>
      </x:c>
      <x:c r="AE93" s="227">
        <x:f>'REMUNERACION_EAAB-CL'!AE104</x:f>
        <x:v>0</x:v>
      </x:c>
      <x:c r="AF93" s="249">
        <x:f>'REMUNERACION_EAAB-CL'!AF104</x:f>
        <x:v>0</x:v>
      </x:c>
      <x:c r="AG93" s="439">
        <x:f>'REMUNERACION_EAAB-CL'!AG104</x:f>
        <x:v>0</x:v>
      </x:c>
      <x:c r="AH93" s="1"/>
      <x:c r="AI93" s="242"/>
      <x:c r="AM93" s="269"/>
    </x:row>
    <x:row r="94" spans="1:39" s="241" customFormat="1" x14ac:dyDescent="0.2">
      <x:c r="B94" s="250">
        <x:v>2</x:v>
      </x:c>
      <x:c r="C94" s="251" t="s">
        <x:v>11</x:v>
      </x:c>
      <x:c r="D94" s="227">
        <x:f>'REMUNERACION_EAAB-CL'!D105</x:f>
        <x:v>0</x:v>
      </x:c>
      <x:c r="E94" s="228">
        <x:f>'REMUNERACION_EAAB-CL'!E105</x:f>
        <x:v>0</x:v>
      </x:c>
      <x:c r="F94" s="228">
        <x:f>'REMUNERACION_EAAB-CL'!F105</x:f>
        <x:v>0</x:v>
      </x:c>
      <x:c r="G94" s="228">
        <x:f>'REMUNERACION_EAAB-CL'!G105</x:f>
        <x:v>0</x:v>
      </x:c>
      <x:c r="H94" s="228">
        <x:f>'REMUNERACION_EAAB-CL'!H105</x:f>
        <x:v>0</x:v>
      </x:c>
      <x:c r="I94" s="228">
        <x:f>'REMUNERACION_EAAB-CL'!I105</x:f>
        <x:v>0</x:v>
      </x:c>
      <x:c r="J94" s="224">
        <x:f>'REMUNERACION_EAAB-CL'!J105</x:f>
        <x:v>0</x:v>
      </x:c>
      <x:c r="K94" s="231">
        <x:f>'REMUNERACION_EAAB-CL'!K105</x:f>
        <x:v>0</x:v>
      </x:c>
      <x:c r="L94" s="230">
        <x:f>'REMUNERACION_EAAB-CL'!L105</x:f>
        <x:v>0</x:v>
      </x:c>
      <x:c r="M94" s="231">
        <x:f>'REMUNERACION_EAAB-CL'!M105</x:f>
        <x:v>0</x:v>
      </x:c>
      <x:c r="N94" s="230">
        <x:f>'REMUNERACION_EAAB-CL'!N105</x:f>
        <x:v>0</x:v>
      </x:c>
      <x:c r="O94" s="231">
        <x:f>'REMUNERACION_EAAB-CL'!O105</x:f>
        <x:v>0</x:v>
      </x:c>
      <x:c r="Q94" s="242"/>
      <x:c r="S94" s="250">
        <x:v>2</x:v>
      </x:c>
      <x:c r="T94" s="251" t="s">
        <x:v>11</x:v>
      </x:c>
      <x:c r="U94" s="252">
        <x:f>'REMUNERACION_EAAB-CL'!U105</x:f>
        <x:v>0</x:v>
      </x:c>
      <x:c r="V94" s="253">
        <x:f>'REMUNERACION_EAAB-CL'!V105</x:f>
        <x:v>0</x:v>
      </x:c>
      <x:c r="W94" s="253">
        <x:f>'REMUNERACION_EAAB-CL'!W105</x:f>
        <x:v>0</x:v>
      </x:c>
      <x:c r="X94" s="253">
        <x:f>'REMUNERACION_EAAB-CL'!X105</x:f>
        <x:v>0</x:v>
      </x:c>
      <x:c r="Y94" s="254">
        <x:f>'REMUNERACION_EAAB-CL'!Y105</x:f>
        <x:v>0</x:v>
      </x:c>
      <x:c r="Z94" s="255">
        <x:f>'REMUNERACION_EAAB-CL'!Z105</x:f>
        <x:v>0</x:v>
      </x:c>
      <x:c r="AA94" s="256">
        <x:f>'REMUNERACION_EAAB-CL'!AA105</x:f>
        <x:v>0</x:v>
      </x:c>
      <x:c r="AB94" s="230">
        <x:f>'REMUNERACION_EAAB-CL'!AB105</x:f>
        <x:v>0</x:v>
      </x:c>
      <x:c r="AC94" s="256">
        <x:f>'REMUNERACION_EAAB-CL'!AC105</x:f>
        <x:v>0</x:v>
      </x:c>
      <x:c r="AD94" s="227">
        <x:f>'REMUNERACION_EAAB-CL'!AD105</x:f>
        <x:v>0</x:v>
      </x:c>
      <x:c r="AE94" s="227">
        <x:f>'REMUNERACION_EAAB-CL'!AE105</x:f>
        <x:v>0</x:v>
      </x:c>
      <x:c r="AF94" s="258">
        <x:f>'REMUNERACION_EAAB-CL'!AF105</x:f>
        <x:v>0</x:v>
      </x:c>
      <x:c r="AG94" s="440">
        <x:f>'REMUNERACION_EAAB-CL'!AG105</x:f>
        <x:v>0</x:v>
      </x:c>
      <x:c r="AH94" s="1"/>
      <x:c r="AI94" s="242"/>
      <x:c r="AM94" s="269"/>
    </x:row>
    <x:row r="95" spans="1:39" s="241" customFormat="1" x14ac:dyDescent="0.2">
      <x:c r="B95" s="250">
        <x:v>3</x:v>
      </x:c>
      <x:c r="C95" s="251" t="s">
        <x:v>12</x:v>
      </x:c>
      <x:c r="D95" s="227">
        <x:f>'REMUNERACION_EAAB-CL'!D106</x:f>
        <x:v>0</x:v>
      </x:c>
      <x:c r="E95" s="228">
        <x:f>'REMUNERACION_EAAB-CL'!E106</x:f>
        <x:v>0</x:v>
      </x:c>
      <x:c r="F95" s="228">
        <x:f>'REMUNERACION_EAAB-CL'!F106</x:f>
        <x:v>0</x:v>
      </x:c>
      <x:c r="G95" s="228">
        <x:f>'REMUNERACION_EAAB-CL'!G106</x:f>
        <x:v>0</x:v>
      </x:c>
      <x:c r="H95" s="228">
        <x:f>'REMUNERACION_EAAB-CL'!H106</x:f>
        <x:v>0</x:v>
      </x:c>
      <x:c r="I95" s="228">
        <x:f>'REMUNERACION_EAAB-CL'!I106</x:f>
        <x:v>0</x:v>
      </x:c>
      <x:c r="J95" s="224">
        <x:f>'REMUNERACION_EAAB-CL'!J106</x:f>
        <x:v>0</x:v>
      </x:c>
      <x:c r="K95" s="231">
        <x:f>'REMUNERACION_EAAB-CL'!K106</x:f>
        <x:v>0</x:v>
      </x:c>
      <x:c r="L95" s="230">
        <x:f>'REMUNERACION_EAAB-CL'!L106</x:f>
        <x:v>0</x:v>
      </x:c>
      <x:c r="M95" s="231">
        <x:f>'REMUNERACION_EAAB-CL'!M106</x:f>
        <x:v>0</x:v>
      </x:c>
      <x:c r="N95" s="230">
        <x:f>'REMUNERACION_EAAB-CL'!N106</x:f>
        <x:v>0</x:v>
      </x:c>
      <x:c r="O95" s="231">
        <x:f>'REMUNERACION_EAAB-CL'!O106</x:f>
        <x:v>0</x:v>
      </x:c>
      <x:c r="Q95" s="242"/>
      <x:c r="S95" s="250">
        <x:v>3</x:v>
      </x:c>
      <x:c r="T95" s="251" t="s">
        <x:v>12</x:v>
      </x:c>
      <x:c r="U95" s="252">
        <x:f>'REMUNERACION_EAAB-CL'!U106</x:f>
        <x:v>0</x:v>
      </x:c>
      <x:c r="V95" s="253">
        <x:f>'REMUNERACION_EAAB-CL'!V106</x:f>
        <x:v>0</x:v>
      </x:c>
      <x:c r="W95" s="253">
        <x:f>'REMUNERACION_EAAB-CL'!W106</x:f>
        <x:v>0</x:v>
      </x:c>
      <x:c r="X95" s="253">
        <x:f>'REMUNERACION_EAAB-CL'!X106</x:f>
        <x:v>0</x:v>
      </x:c>
      <x:c r="Y95" s="254">
        <x:f>'REMUNERACION_EAAB-CL'!Y106</x:f>
        <x:v>0</x:v>
      </x:c>
      <x:c r="Z95" s="255">
        <x:f>'REMUNERACION_EAAB-CL'!Z106</x:f>
        <x:v>0</x:v>
      </x:c>
      <x:c r="AA95" s="256">
        <x:f>'REMUNERACION_EAAB-CL'!AA106</x:f>
        <x:v>0</x:v>
      </x:c>
      <x:c r="AB95" s="230">
        <x:f>'REMUNERACION_EAAB-CL'!AB106</x:f>
        <x:v>0</x:v>
      </x:c>
      <x:c r="AC95" s="256">
        <x:f>'REMUNERACION_EAAB-CL'!AC106</x:f>
        <x:v>0</x:v>
      </x:c>
      <x:c r="AD95" s="227">
        <x:f>'REMUNERACION_EAAB-CL'!AD106</x:f>
        <x:v>0</x:v>
      </x:c>
      <x:c r="AE95" s="227">
        <x:f>'REMUNERACION_EAAB-CL'!AE106</x:f>
        <x:v>0</x:v>
      </x:c>
      <x:c r="AF95" s="258">
        <x:f>'REMUNERACION_EAAB-CL'!AF106</x:f>
        <x:v>0</x:v>
      </x:c>
      <x:c r="AG95" s="440">
        <x:f>'REMUNERACION_EAAB-CL'!AG106</x:f>
        <x:v>0</x:v>
      </x:c>
      <x:c r="AH95" s="1"/>
      <x:c r="AI95" s="242"/>
      <x:c r="AM95" s="269"/>
    </x:row>
    <x:row r="96" spans="1:39" s="241" customFormat="1" x14ac:dyDescent="0.2">
      <x:c r="B96" s="250">
        <x:v>4</x:v>
      </x:c>
      <x:c r="C96" s="251" t="s">
        <x:v>13</x:v>
      </x:c>
      <x:c r="D96" s="227">
        <x:f>'REMUNERACION_EAAB-CL'!D107</x:f>
        <x:v>0</x:v>
      </x:c>
      <x:c r="E96" s="228">
        <x:f>'REMUNERACION_EAAB-CL'!E107</x:f>
        <x:v>0</x:v>
      </x:c>
      <x:c r="F96" s="228">
        <x:f>'REMUNERACION_EAAB-CL'!F107</x:f>
        <x:v>0</x:v>
      </x:c>
      <x:c r="G96" s="228">
        <x:f>'REMUNERACION_EAAB-CL'!G107</x:f>
        <x:v>0</x:v>
      </x:c>
      <x:c r="H96" s="228">
        <x:f>'REMUNERACION_EAAB-CL'!H107</x:f>
        <x:v>0</x:v>
      </x:c>
      <x:c r="I96" s="228">
        <x:f>'REMUNERACION_EAAB-CL'!I107</x:f>
        <x:v>0</x:v>
      </x:c>
      <x:c r="J96" s="224">
        <x:f>'REMUNERACION_EAAB-CL'!J107</x:f>
        <x:v>0</x:v>
      </x:c>
      <x:c r="K96" s="231">
        <x:f>'REMUNERACION_EAAB-CL'!K107</x:f>
        <x:v>0</x:v>
      </x:c>
      <x:c r="L96" s="230">
        <x:f>'REMUNERACION_EAAB-CL'!L107</x:f>
        <x:v>0</x:v>
      </x:c>
      <x:c r="M96" s="231">
        <x:f>'REMUNERACION_EAAB-CL'!M107</x:f>
        <x:v>0</x:v>
      </x:c>
      <x:c r="N96" s="230">
        <x:f>'REMUNERACION_EAAB-CL'!N107</x:f>
        <x:v>0</x:v>
      </x:c>
      <x:c r="O96" s="231">
        <x:f>'REMUNERACION_EAAB-CL'!O107</x:f>
        <x:v>0</x:v>
      </x:c>
      <x:c r="Q96" s="242"/>
      <x:c r="S96" s="250">
        <x:v>4</x:v>
      </x:c>
      <x:c r="T96" s="251" t="s">
        <x:v>13</x:v>
      </x:c>
      <x:c r="U96" s="252">
        <x:f>'REMUNERACION_EAAB-CL'!U107</x:f>
        <x:v>0</x:v>
      </x:c>
      <x:c r="V96" s="253">
        <x:f>'REMUNERACION_EAAB-CL'!V107</x:f>
        <x:v>0</x:v>
      </x:c>
      <x:c r="W96" s="253">
        <x:f>'REMUNERACION_EAAB-CL'!W107</x:f>
        <x:v>0</x:v>
      </x:c>
      <x:c r="X96" s="253">
        <x:f>'REMUNERACION_EAAB-CL'!X107</x:f>
        <x:v>0</x:v>
      </x:c>
      <x:c r="Y96" s="254">
        <x:f>'REMUNERACION_EAAB-CL'!Y107</x:f>
        <x:v>0</x:v>
      </x:c>
      <x:c r="Z96" s="255">
        <x:f>'REMUNERACION_EAAB-CL'!Z107</x:f>
        <x:v>0</x:v>
      </x:c>
      <x:c r="AA96" s="256">
        <x:f>'REMUNERACION_EAAB-CL'!AA107</x:f>
        <x:v>0</x:v>
      </x:c>
      <x:c r="AB96" s="230">
        <x:f>'REMUNERACION_EAAB-CL'!AB107</x:f>
        <x:v>0</x:v>
      </x:c>
      <x:c r="AC96" s="256">
        <x:f>'REMUNERACION_EAAB-CL'!AC107</x:f>
        <x:v>0</x:v>
      </x:c>
      <x:c r="AD96" s="227">
        <x:f>'REMUNERACION_EAAB-CL'!AD107</x:f>
        <x:v>0</x:v>
      </x:c>
      <x:c r="AE96" s="227">
        <x:f>'REMUNERACION_EAAB-CL'!AE107</x:f>
        <x:v>0</x:v>
      </x:c>
      <x:c r="AF96" s="258">
        <x:f>'REMUNERACION_EAAB-CL'!AF107</x:f>
        <x:v>0</x:v>
      </x:c>
      <x:c r="AG96" s="440">
        <x:f>'REMUNERACION_EAAB-CL'!AG107</x:f>
        <x:v>0</x:v>
      </x:c>
      <x:c r="AH96" s="1"/>
      <x:c r="AI96" s="242"/>
      <x:c r="AM96" s="269"/>
    </x:row>
    <x:row r="97" spans="1:39" s="241" customFormat="1" ht="12.75" thickBot="1" x14ac:dyDescent="0.25">
      <x:c r="B97" s="260">
        <x:v>5</x:v>
      </x:c>
      <x:c r="C97" s="261" t="s">
        <x:v>14</x:v>
      </x:c>
      <x:c r="D97" s="232">
        <x:f>'REMUNERACION_EAAB-CL'!D108</x:f>
        <x:v>0</x:v>
      </x:c>
      <x:c r="E97" s="233">
        <x:f>'REMUNERACION_EAAB-CL'!E108</x:f>
        <x:v>0</x:v>
      </x:c>
      <x:c r="F97" s="233">
        <x:f>'REMUNERACION_EAAB-CL'!F108</x:f>
        <x:v>0</x:v>
      </x:c>
      <x:c r="G97" s="233">
        <x:f>'REMUNERACION_EAAB-CL'!G108</x:f>
        <x:v>0</x:v>
      </x:c>
      <x:c r="H97" s="233">
        <x:f>'REMUNERACION_EAAB-CL'!H108</x:f>
        <x:v>0</x:v>
      </x:c>
      <x:c r="I97" s="233">
        <x:f>'REMUNERACION_EAAB-CL'!I108</x:f>
        <x:v>0</x:v>
      </x:c>
      <x:c r="J97" s="225">
        <x:f>'REMUNERACION_EAAB-CL'!J108</x:f>
        <x:v>0</x:v>
      </x:c>
      <x:c r="K97" s="231">
        <x:f>'REMUNERACION_EAAB-CL'!K108</x:f>
        <x:v>0</x:v>
      </x:c>
      <x:c r="L97" s="230">
        <x:f>'REMUNERACION_EAAB-CL'!L108</x:f>
        <x:v>0</x:v>
      </x:c>
      <x:c r="M97" s="234">
        <x:f>'REMUNERACION_EAAB-CL'!M108</x:f>
        <x:v>0</x:v>
      </x:c>
      <x:c r="N97" s="235">
        <x:f>'REMUNERACION_EAAB-CL'!N108</x:f>
        <x:v>0</x:v>
      </x:c>
      <x:c r="O97" s="234">
        <x:f>'REMUNERACION_EAAB-CL'!O108</x:f>
        <x:v>0</x:v>
      </x:c>
      <x:c r="Q97" s="242"/>
      <x:c r="S97" s="260">
        <x:v>5</x:v>
      </x:c>
      <x:c r="T97" s="261" t="s">
        <x:v>14</x:v>
      </x:c>
      <x:c r="U97" s="232">
        <x:f>'REMUNERACION_EAAB-CL'!U108</x:f>
        <x:v>0</x:v>
      </x:c>
      <x:c r="V97" s="233">
        <x:f>'REMUNERACION_EAAB-CL'!V108</x:f>
        <x:v>0</x:v>
      </x:c>
      <x:c r="W97" s="233">
        <x:f>'REMUNERACION_EAAB-CL'!W108</x:f>
        <x:v>0</x:v>
      </x:c>
      <x:c r="X97" s="233">
        <x:f>'REMUNERACION_EAAB-CL'!X108</x:f>
        <x:v>0</x:v>
      </x:c>
      <x:c r="Y97" s="225">
        <x:f>'REMUNERACION_EAAB-CL'!Y108</x:f>
        <x:v>0</x:v>
      </x:c>
      <x:c r="Z97" s="255">
        <x:f>'REMUNERACION_EAAB-CL'!Z108</x:f>
        <x:v>0</x:v>
      </x:c>
      <x:c r="AA97" s="256">
        <x:f>'REMUNERACION_EAAB-CL'!AA108</x:f>
        <x:v>0</x:v>
      </x:c>
      <x:c r="AB97" s="230">
        <x:f>'REMUNERACION_EAAB-CL'!AB108</x:f>
        <x:v>0</x:v>
      </x:c>
      <x:c r="AC97" s="256">
        <x:f>'REMUNERACION_EAAB-CL'!AC108</x:f>
        <x:v>0</x:v>
      </x:c>
      <x:c r="AD97" s="227">
        <x:f>'REMUNERACION_EAAB-CL'!AD108</x:f>
        <x:v>0</x:v>
      </x:c>
      <x:c r="AE97" s="227">
        <x:f>'REMUNERACION_EAAB-CL'!AE108</x:f>
        <x:v>0</x:v>
      </x:c>
      <x:c r="AF97" s="258">
        <x:f>'REMUNERACION_EAAB-CL'!AF108</x:f>
        <x:v>0</x:v>
      </x:c>
      <x:c r="AG97" s="441">
        <x:f>'REMUNERACION_EAAB-CL'!AG108</x:f>
        <x:v>0</x:v>
      </x:c>
      <x:c r="AH97" s="1"/>
      <x:c r="AI97" s="242"/>
      <x:c r="AM97" s="269"/>
    </x:row>
    <x:row r="98" spans="1:39" s="241" customFormat="1" ht="13.5" thickBot="1" x14ac:dyDescent="0.25">
      <x:c r="B98" s="263"/>
      <x:c r="C98" s="264" t="s">
        <x:v>2</x:v>
      </x:c>
      <x:c r="D98" s="226">
        <x:f>'REMUNERACION_EAAB-CL'!D109</x:f>
        <x:v>0</x:v>
      </x:c>
      <x:c r="E98" s="226">
        <x:f>'REMUNERACION_EAAB-CL'!E109</x:f>
        <x:v>0</x:v>
      </x:c>
      <x:c r="F98" s="226">
        <x:f>'REMUNERACION_EAAB-CL'!F109</x:f>
        <x:v>0</x:v>
      </x:c>
      <x:c r="G98" s="226">
        <x:f>'REMUNERACION_EAAB-CL'!G109</x:f>
        <x:v>0</x:v>
      </x:c>
      <x:c r="H98" s="226">
        <x:f>'REMUNERACION_EAAB-CL'!H109</x:f>
        <x:v>0</x:v>
      </x:c>
      <x:c r="I98" s="226">
        <x:f>'REMUNERACION_EAAB-CL'!I109</x:f>
        <x:v>0</x:v>
      </x:c>
      <x:c r="J98" s="226">
        <x:f>'REMUNERACION_EAAB-CL'!J109</x:f>
        <x:v>0</x:v>
      </x:c>
      <x:c r="K98" s="236">
        <x:f>'REMUNERACION_EAAB-CL'!K109</x:f>
        <x:v>0</x:v>
      </x:c>
      <x:c r="L98" s="237">
        <x:f>'REMUNERACION_EAAB-CL'!L109</x:f>
        <x:v>0</x:v>
      </x:c>
      <x:c r="M98" s="238">
        <x:f>'REMUNERACION_EAAB-CL'!M109</x:f>
        <x:v>0</x:v>
      </x:c>
      <x:c r="N98" s="237">
        <x:f>'REMUNERACION_EAAB-CL'!N109</x:f>
        <x:v>0</x:v>
      </x:c>
      <x:c r="O98" s="238">
        <x:f>'REMUNERACION_EAAB-CL'!O109</x:f>
        <x:v>0</x:v>
      </x:c>
      <x:c r="P98" s="265"/>
      <x:c r="Q98" s="242"/>
      <x:c r="S98" s="263"/>
      <x:c r="T98" s="264" t="s">
        <x:v>2</x:v>
      </x:c>
      <x:c r="U98" s="266">
        <x:f>'REMUNERACION_EAAB-CL'!U109</x:f>
        <x:v>0</x:v>
      </x:c>
      <x:c r="V98" s="266">
        <x:f>'REMUNERACION_EAAB-CL'!V109</x:f>
        <x:v>0</x:v>
      </x:c>
      <x:c r="W98" s="266">
        <x:f>'REMUNERACION_EAAB-CL'!W109</x:f>
        <x:v>0</x:v>
      </x:c>
      <x:c r="X98" s="266">
        <x:f>'REMUNERACION_EAAB-CL'!X109</x:f>
        <x:v>0</x:v>
      </x:c>
      <x:c r="Y98" s="266">
        <x:f>'REMUNERACION_EAAB-CL'!Y109</x:f>
        <x:v>0</x:v>
      </x:c>
      <x:c r="Z98" s="226">
        <x:f>'REMUNERACION_EAAB-CL'!Z109</x:f>
        <x:v>0</x:v>
      </x:c>
      <x:c r="AA98" s="226">
        <x:f>'REMUNERACION_EAAB-CL'!AA109</x:f>
        <x:v>0</x:v>
      </x:c>
      <x:c r="AB98" s="226">
        <x:f>'REMUNERACION_EAAB-CL'!AB109</x:f>
        <x:v>0</x:v>
      </x:c>
      <x:c r="AC98" s="226">
        <x:f>'REMUNERACION_EAAB-CL'!AC109</x:f>
        <x:v>0</x:v>
      </x:c>
      <x:c r="AD98" s="226">
        <x:f>'REMUNERACION_EAAB-CL'!AD109</x:f>
        <x:v>0</x:v>
      </x:c>
      <x:c r="AE98" s="226">
        <x:f>'REMUNERACION_EAAB-CL'!AE109</x:f>
        <x:v>0</x:v>
      </x:c>
      <x:c r="AF98" s="267">
        <x:f>'REMUNERACION_EAAB-CL'!AF109</x:f>
        <x:v>0</x:v>
      </x:c>
      <x:c r="AG98" s="442">
        <x:f>'REMUNERACION_EAAB-CL'!AG109</x:f>
        <x:v>0</x:v>
      </x:c>
      <x:c r="AH98" s="1"/>
      <x:c r="AI98" s="242"/>
      <x:c r="AM98" s="269"/>
    </x:row>
    <x:row r="99" spans="1:39" ht="12.75" thickBot="1" x14ac:dyDescent="0.25">
      <x:c r="B99" s="2"/>
      <x:c r="C99" s="2"/>
      <x:c r="D99" s="149"/>
      <x:c r="E99" s="374"/>
      <x:c r="F99" s="374"/>
      <x:c r="G99" s="374"/>
      <x:c r="H99" s="374"/>
      <x:c r="I99" s="374"/>
      <x:c r="J99" s="149"/>
      <x:c r="K99" s="374"/>
      <x:c r="L99" s="374"/>
      <x:c r="M99" s="374"/>
      <x:c r="N99" s="374"/>
      <x:c r="O99" s="374"/>
      <x:c r="Q99" s="4"/>
      <x:c r="S99" s="2"/>
      <x:c r="T99" s="2"/>
      <x:c r="U99" s="374"/>
      <x:c r="V99" s="374"/>
      <x:c r="W99" s="374"/>
      <x:c r="X99" s="374"/>
      <x:c r="Y99" s="374"/>
      <x:c r="AF99" s="374"/>
      <x:c r="AI99" s="4"/>
    </x:row>
    <x:row r="100" spans="1:39" ht="12.75" thickBot="1" x14ac:dyDescent="0.25">
      <x:c r="B100" s="2"/>
      <x:c r="C100" s="2"/>
      <x:c r="D100" s="374"/>
      <x:c r="E100" s="374"/>
      <x:c r="F100" s="374"/>
      <x:c r="G100" s="374"/>
      <x:c r="H100" s="374"/>
      <x:c r="I100" s="374"/>
      <x:c r="K100" s="374"/>
      <x:c r="L100" s="374"/>
      <x:c r="M100" s="374"/>
      <x:c r="N100" s="374"/>
      <x:c r="O100" s="374"/>
      <x:c r="Q100" s="4"/>
      <x:c r="Y100" s="375"/>
      <x:c r="AI100" s="4"/>
    </x:row>
    <x:row r="101" spans="1:39" x14ac:dyDescent="0.2">
      <x:c r="A101" s="4"/>
      <x:c r="B101" s="34"/>
      <x:c r="C101" s="34"/>
      <x:c r="D101" s="397"/>
      <x:c r="E101" s="397"/>
      <x:c r="F101" s="397"/>
      <x:c r="G101" s="397"/>
      <x:c r="H101" s="397"/>
      <x:c r="I101" s="397"/>
      <x:c r="J101" s="4"/>
      <x:c r="K101" s="397"/>
      <x:c r="L101" s="397"/>
      <x:c r="M101" s="397"/>
      <x:c r="N101" s="397"/>
      <x:c r="O101" s="397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.75" thickBot="1" x14ac:dyDescent="0.25">
      <x:c r="Q102" s="4"/>
      <x:c r="AI102" s="4"/>
    </x:row>
    <x:row r="103" spans="1:39" x14ac:dyDescent="0.2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5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75" x14ac:dyDescent="0.25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5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75" x14ac:dyDescent="0.25">
      <x:c r="B107" s="8"/>
      <x:c r="C107" s="2"/>
      <x:c r="D107" s="9"/>
      <x:c r="F107" s="41" t="s">
        <x:v>190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190</x:v>
      </x:c>
      <x:c r="V107" s="2"/>
      <x:c r="X107" s="2"/>
      <x:c r="Y107" s="2"/>
      <x:c r="AF107" s="48"/>
      <x:c r="AG107" s="2"/>
      <x:c r="AI107" s="4"/>
    </x:row>
    <x:row r="108" spans="1:39" ht="12.75" thickBot="1" x14ac:dyDescent="0.25">
      <x:c r="B108" s="8"/>
      <x:c r="C108" s="2"/>
      <x:c r="D108" s="198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75" thickBot="1" x14ac:dyDescent="0.25">
      <x:c r="B109" s="11" t="s">
        <x:v>3</x:v>
      </x:c>
      <x:c r="C109" s="27" t="s">
        <x:v>9</x:v>
      </x:c>
      <x:c r="D109" s="97" t="s">
        <x:v>4</x:v>
      </x:c>
      <x:c r="E109" s="98" t="s">
        <x:v>5</x:v>
      </x:c>
      <x:c r="F109" s="98" t="s">
        <x:v>6</x:v>
      </x:c>
      <x:c r="G109" s="468" t="s">
        <x:v>159</x:v>
      </x:c>
      <x:c r="H109" s="98" t="s">
        <x:v>18</x:v>
      </x:c>
      <x:c r="I109" s="98" t="s">
        <x:v>24</x:v>
      </x:c>
      <x:c r="J109" s="134" t="s">
        <x:v>19</x:v>
      </x:c>
      <x:c r="K109" s="39" t="s">
        <x:v>20</x:v>
      </x:c>
      <x:c r="L109" s="469" t="s">
        <x:v>21</x:v>
      </x:c>
      <x:c r="M109" s="39" t="s">
        <x:v>22</x:v>
      </x:c>
      <x:c r="N109" s="98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46" t="s">
        <x:v>39</x:v>
      </x:c>
      <x:c r="V109" s="147" t="s">
        <x:v>40</x:v>
      </x:c>
      <x:c r="W109" s="147" t="s">
        <x:v>41</x:v>
      </x:c>
      <x:c r="X109" s="147" t="s">
        <x:v>42</x:v>
      </x:c>
      <x:c r="Y109" s="148" t="s">
        <x:v>43</x:v>
      </x:c>
      <x:c r="Z109" s="472" t="s">
        <x:v>21</x:v>
      </x:c>
      <x:c r="AA109" s="308" t="s">
        <x:v>46</x:v>
      </x:c>
      <x:c r="AB109" s="308" t="s">
        <x:v>7</x:v>
      </x:c>
      <x:c r="AC109" s="472" t="s">
        <x:v>167</x:v>
      </x:c>
      <x:c r="AD109" s="468" t="s">
        <x:v>105</x:v>
      </x:c>
      <x:c r="AE109" s="468" t="s">
        <x:v>104</x:v>
      </x:c>
      <x:c r="AF109" s="39" t="s">
        <x:v>23</x:v>
      </x:c>
      <x:c r="AG109" s="13"/>
      <x:c r="AI109" s="4"/>
    </x:row>
    <x:row r="110" spans="1:39" x14ac:dyDescent="0.2">
      <x:c r="B110" s="14">
        <x:v>1</x:v>
      </x:c>
      <x:c r="C110" s="61" t="s">
        <x:v>10</x:v>
      </x:c>
      <x:c r="D110" s="470">
        <x:f>D9-(D26+D60+D43+D76+D93)</x:f>
        <x:v>0</x:v>
      </x:c>
      <x:c r="E110" s="470">
        <x:f t="shared" ref="E110:O110" si="0">E9-(E26+E60+E43+E76+E93)</x:f>
        <x:v>0</x:v>
      </x:c>
      <x:c r="F110" s="470">
        <x:f t="shared" si="0"/>
        <x:v>0</x:v>
      </x:c>
      <x:c r="G110" s="470">
        <x:f t="shared" si="0"/>
        <x:v>0</x:v>
      </x:c>
      <x:c r="H110" s="470">
        <x:f t="shared" si="0"/>
        <x:v>0</x:v>
      </x:c>
      <x:c r="I110" s="470">
        <x:f t="shared" si="0"/>
        <x:v>0</x:v>
      </x:c>
      <x:c r="J110" s="470">
        <x:f t="shared" si="0"/>
        <x:v>0</x:v>
      </x:c>
      <x:c r="K110" s="470">
        <x:f t="shared" si="0"/>
        <x:v>0</x:v>
      </x:c>
      <x:c r="L110" s="470">
        <x:f t="shared" si="0"/>
        <x:v>0</x:v>
      </x:c>
      <x:c r="M110" s="470">
        <x:f t="shared" si="0"/>
        <x:v>0</x:v>
      </x:c>
      <x:c r="N110" s="470">
        <x:f t="shared" si="0"/>
        <x:v>0</x:v>
      </x:c>
      <x:c r="O110" s="470">
        <x:f t="shared" si="0"/>
        <x:v>0</x:v>
      </x:c>
      <x:c r="P110" s="403"/>
      <x:c r="Q110" s="404"/>
      <x:c r="R110" s="403"/>
      <x:c r="S110" s="405">
        <x:v>1</x:v>
      </x:c>
      <x:c r="T110" s="406" t="s">
        <x:v>10</x:v>
      </x:c>
      <x:c r="U110" s="470">
        <x:f>U9-(U26+U43+U60++U76+U93)</x:f>
        <x:v>0</x:v>
      </x:c>
      <x:c r="V110" s="470">
        <x:f t="shared" ref="V110:AF110" si="1">V9-(V26+V43+V60++V76+V93)</x:f>
        <x:v>0</x:v>
      </x:c>
      <x:c r="W110" s="470">
        <x:f t="shared" si="1"/>
        <x:v>0</x:v>
      </x:c>
      <x:c r="X110" s="470">
        <x:f t="shared" si="1"/>
        <x:v>0</x:v>
      </x:c>
      <x:c r="Y110" s="470">
        <x:f t="shared" si="1"/>
        <x:v>0</x:v>
      </x:c>
      <x:c r="Z110" s="470">
        <x:f t="shared" si="1"/>
        <x:v>0</x:v>
      </x:c>
      <x:c r="AA110" s="470">
        <x:f t="shared" si="1"/>
        <x:v>0</x:v>
      </x:c>
      <x:c r="AB110" s="470">
        <x:f t="shared" si="1"/>
        <x:v>0</x:v>
      </x:c>
      <x:c r="AC110" s="470">
        <x:f t="shared" si="1"/>
        <x:v>0</x:v>
      </x:c>
      <x:c r="AD110" s="470">
        <x:f t="shared" ref="AD110:AD115" si="2">AD9-(AD26+AD43+AD60+AD76+AD93)</x:f>
        <x:v>0</x:v>
      </x:c>
      <x:c r="AE110" s="470">
        <x:f t="shared" si="1"/>
        <x:v>0</x:v>
      </x:c>
      <x:c r="AF110" s="470">
        <x:f t="shared" si="1"/>
        <x:v>0</x:v>
      </x:c>
      <x:c r="AG110" s="470">
        <x:f t="shared" ref="AG110" si="3">AG9-(AG26+AG43+AG60++AG76+AG93)</x:f>
        <x:v>0</x:v>
      </x:c>
      <x:c r="AI110" s="404"/>
      <x:c r="AJ110" s="403"/>
    </x:row>
    <x:row r="111" spans="1:39" x14ac:dyDescent="0.2">
      <x:c r="B111" s="16">
        <x:v>2</x:v>
      </x:c>
      <x:c r="C111" s="62" t="s">
        <x:v>11</x:v>
      </x:c>
      <x:c r="D111" s="402">
        <x:f t="shared" ref="D111:O115" si="4">D10-(D27+D61+D44+D77+D94)</x:f>
        <x:v>0</x:v>
      </x:c>
      <x:c r="E111" s="402">
        <x:f t="shared" si="4"/>
        <x:v>0</x:v>
      </x:c>
      <x:c r="F111" s="402">
        <x:f t="shared" si="4"/>
        <x:v>0</x:v>
      </x:c>
      <x:c r="G111" s="402">
        <x:f t="shared" si="4"/>
        <x:v>0</x:v>
      </x:c>
      <x:c r="H111" s="402">
        <x:f t="shared" si="4"/>
        <x:v>0</x:v>
      </x:c>
      <x:c r="I111" s="402">
        <x:f t="shared" si="4"/>
        <x:v>0</x:v>
      </x:c>
      <x:c r="J111" s="402">
        <x:f t="shared" si="4"/>
        <x:v>0</x:v>
      </x:c>
      <x:c r="K111" s="402">
        <x:f t="shared" si="4"/>
        <x:v>0</x:v>
      </x:c>
      <x:c r="L111" s="402">
        <x:f t="shared" si="4"/>
        <x:v>0</x:v>
      </x:c>
      <x:c r="M111" s="402">
        <x:f t="shared" si="4"/>
        <x:v>0</x:v>
      </x:c>
      <x:c r="N111" s="402">
        <x:f t="shared" si="4"/>
        <x:v>0</x:v>
      </x:c>
      <x:c r="O111" s="402">
        <x:f t="shared" si="4"/>
        <x:v>0</x:v>
      </x:c>
      <x:c r="P111" s="403"/>
      <x:c r="Q111" s="404"/>
      <x:c r="R111" s="403"/>
      <x:c r="S111" s="407">
        <x:v>2</x:v>
      </x:c>
      <x:c r="T111" s="408" t="s">
        <x:v>11</x:v>
      </x:c>
      <x:c r="U111" s="402">
        <x:f t="shared" ref="U111:AF115" si="5">U10-(U27+U44+U61++U77+U94)</x:f>
        <x:v>0</x:v>
      </x:c>
      <x:c r="V111" s="402">
        <x:f t="shared" si="5"/>
        <x:v>0</x:v>
      </x:c>
      <x:c r="W111" s="402">
        <x:f t="shared" si="5"/>
        <x:v>0</x:v>
      </x:c>
      <x:c r="X111" s="402">
        <x:f t="shared" si="5"/>
        <x:v>0</x:v>
      </x:c>
      <x:c r="Y111" s="402">
        <x:f t="shared" si="5"/>
        <x:v>0</x:v>
      </x:c>
      <x:c r="Z111" s="402">
        <x:f t="shared" si="5"/>
        <x:v>0</x:v>
      </x:c>
      <x:c r="AA111" s="402">
        <x:f t="shared" si="5"/>
        <x:v>0</x:v>
      </x:c>
      <x:c r="AB111" s="402">
        <x:f t="shared" si="5"/>
        <x:v>0</x:v>
      </x:c>
      <x:c r="AC111" s="402">
        <x:f t="shared" si="5"/>
        <x:v>0</x:v>
      </x:c>
      <x:c r="AD111" s="402">
        <x:f t="shared" si="2"/>
        <x:v>0</x:v>
      </x:c>
      <x:c r="AE111" s="402">
        <x:f t="shared" si="5"/>
        <x:v>0</x:v>
      </x:c>
      <x:c r="AF111" s="402">
        <x:f t="shared" si="5"/>
        <x:v>0</x:v>
      </x:c>
      <x:c r="AG111" s="402">
        <x:f t="shared" ref="AG111" si="6">AG10-(AG27+AG44+AG61++AG77+AG94)</x:f>
        <x:v>0</x:v>
      </x:c>
      <x:c r="AI111" s="404"/>
      <x:c r="AJ111" s="403"/>
    </x:row>
    <x:row r="112" spans="1:39" x14ac:dyDescent="0.2">
      <x:c r="B112" s="16">
        <x:v>3</x:v>
      </x:c>
      <x:c r="C112" s="62" t="s">
        <x:v>12</x:v>
      </x:c>
      <x:c r="D112" s="402">
        <x:f t="shared" si="4"/>
        <x:v>0</x:v>
      </x:c>
      <x:c r="E112" s="402">
        <x:f t="shared" si="4"/>
        <x:v>0</x:v>
      </x:c>
      <x:c r="F112" s="402">
        <x:f t="shared" si="4"/>
        <x:v>0</x:v>
      </x:c>
      <x:c r="G112" s="402">
        <x:f t="shared" si="4"/>
        <x:v>0</x:v>
      </x:c>
      <x:c r="H112" s="402">
        <x:f t="shared" si="4"/>
        <x:v>0</x:v>
      </x:c>
      <x:c r="I112" s="402">
        <x:f t="shared" si="4"/>
        <x:v>0</x:v>
      </x:c>
      <x:c r="J112" s="402">
        <x:f t="shared" si="4"/>
        <x:v>0</x:v>
      </x:c>
      <x:c r="K112" s="402">
        <x:f t="shared" si="4"/>
        <x:v>0</x:v>
      </x:c>
      <x:c r="L112" s="402">
        <x:f t="shared" si="4"/>
        <x:v>0</x:v>
      </x:c>
      <x:c r="M112" s="402">
        <x:f t="shared" si="4"/>
        <x:v>0</x:v>
      </x:c>
      <x:c r="N112" s="402">
        <x:f t="shared" si="4"/>
        <x:v>0</x:v>
      </x:c>
      <x:c r="O112" s="402">
        <x:f t="shared" si="4"/>
        <x:v>0</x:v>
      </x:c>
      <x:c r="P112" s="403"/>
      <x:c r="Q112" s="404"/>
      <x:c r="R112" s="403"/>
      <x:c r="S112" s="407">
        <x:v>3</x:v>
      </x:c>
      <x:c r="T112" s="408" t="s">
        <x:v>12</x:v>
      </x:c>
      <x:c r="U112" s="402">
        <x:f t="shared" si="5"/>
        <x:v>0</x:v>
      </x:c>
      <x:c r="V112" s="402">
        <x:f t="shared" si="5"/>
        <x:v>0</x:v>
      </x:c>
      <x:c r="W112" s="402">
        <x:f t="shared" si="5"/>
        <x:v>0</x:v>
      </x:c>
      <x:c r="X112" s="402">
        <x:f t="shared" si="5"/>
        <x:v>0</x:v>
      </x:c>
      <x:c r="Y112" s="402">
        <x:f t="shared" si="5"/>
        <x:v>0</x:v>
      </x:c>
      <x:c r="Z112" s="402">
        <x:f t="shared" si="5"/>
        <x:v>0</x:v>
      </x:c>
      <x:c r="AA112" s="402">
        <x:f t="shared" si="5"/>
        <x:v>0</x:v>
      </x:c>
      <x:c r="AB112" s="402">
        <x:f t="shared" si="5"/>
        <x:v>0</x:v>
      </x:c>
      <x:c r="AC112" s="402">
        <x:f t="shared" si="5"/>
        <x:v>0</x:v>
      </x:c>
      <x:c r="AD112" s="402">
        <x:f t="shared" si="2"/>
        <x:v>0</x:v>
      </x:c>
      <x:c r="AE112" s="402">
        <x:f t="shared" si="5"/>
        <x:v>0</x:v>
      </x:c>
      <x:c r="AF112" s="402">
        <x:f t="shared" si="5"/>
        <x:v>0</x:v>
      </x:c>
      <x:c r="AG112" s="402">
        <x:f t="shared" ref="AG112" si="7">AG11-(AG28+AG45+AG62++AG78+AG95)</x:f>
        <x:v>0</x:v>
      </x:c>
      <x:c r="AI112" s="404"/>
      <x:c r="AJ112" s="403"/>
    </x:row>
    <x:row r="113" spans="1:36" x14ac:dyDescent="0.2">
      <x:c r="B113" s="16">
        <x:v>4</x:v>
      </x:c>
      <x:c r="C113" s="62" t="s">
        <x:v>13</x:v>
      </x:c>
      <x:c r="D113" s="402">
        <x:f t="shared" si="4"/>
        <x:v>0</x:v>
      </x:c>
      <x:c r="E113" s="402">
        <x:f t="shared" si="4"/>
        <x:v>0</x:v>
      </x:c>
      <x:c r="F113" s="402">
        <x:f t="shared" si="4"/>
        <x:v>0</x:v>
      </x:c>
      <x:c r="G113" s="402">
        <x:f t="shared" si="4"/>
        <x:v>0</x:v>
      </x:c>
      <x:c r="H113" s="402">
        <x:f t="shared" si="4"/>
        <x:v>0</x:v>
      </x:c>
      <x:c r="I113" s="402">
        <x:f t="shared" si="4"/>
        <x:v>0</x:v>
      </x:c>
      <x:c r="J113" s="402">
        <x:f t="shared" si="4"/>
        <x:v>0</x:v>
      </x:c>
      <x:c r="K113" s="402">
        <x:f t="shared" si="4"/>
        <x:v>0</x:v>
      </x:c>
      <x:c r="L113" s="402">
        <x:f t="shared" si="4"/>
        <x:v>0</x:v>
      </x:c>
      <x:c r="M113" s="402">
        <x:f t="shared" si="4"/>
        <x:v>0</x:v>
      </x:c>
      <x:c r="N113" s="402">
        <x:f t="shared" si="4"/>
        <x:v>0</x:v>
      </x:c>
      <x:c r="O113" s="402">
        <x:f t="shared" si="4"/>
        <x:v>0</x:v>
      </x:c>
      <x:c r="P113" s="403"/>
      <x:c r="Q113" s="404"/>
      <x:c r="R113" s="403"/>
      <x:c r="S113" s="407">
        <x:v>4</x:v>
      </x:c>
      <x:c r="T113" s="408" t="s">
        <x:v>13</x:v>
      </x:c>
      <x:c r="U113" s="402">
        <x:f t="shared" si="5"/>
        <x:v>0</x:v>
      </x:c>
      <x:c r="V113" s="402">
        <x:f t="shared" si="5"/>
        <x:v>0</x:v>
      </x:c>
      <x:c r="W113" s="402">
        <x:f t="shared" si="5"/>
        <x:v>0</x:v>
      </x:c>
      <x:c r="X113" s="402">
        <x:f t="shared" si="5"/>
        <x:v>0</x:v>
      </x:c>
      <x:c r="Y113" s="402">
        <x:f t="shared" si="5"/>
        <x:v>0</x:v>
      </x:c>
      <x:c r="Z113" s="402">
        <x:f t="shared" si="5"/>
        <x:v>0</x:v>
      </x:c>
      <x:c r="AA113" s="402">
        <x:f t="shared" si="5"/>
        <x:v>0</x:v>
      </x:c>
      <x:c r="AB113" s="402">
        <x:f t="shared" si="5"/>
        <x:v>0</x:v>
      </x:c>
      <x:c r="AC113" s="402">
        <x:f t="shared" si="5"/>
        <x:v>0</x:v>
      </x:c>
      <x:c r="AD113" s="402">
        <x:f t="shared" si="2"/>
        <x:v>0</x:v>
      </x:c>
      <x:c r="AE113" s="402">
        <x:f t="shared" si="5"/>
        <x:v>0</x:v>
      </x:c>
      <x:c r="AF113" s="402">
        <x:f t="shared" si="5"/>
        <x:v>0</x:v>
      </x:c>
      <x:c r="AG113" s="402">
        <x:f t="shared" ref="AG113" si="8">AG12-(AG29+AG46+AG63++AG79+AG96)</x:f>
        <x:v>0</x:v>
      </x:c>
      <x:c r="AI113" s="404"/>
      <x:c r="AJ113" s="403"/>
    </x:row>
    <x:row r="114" spans="1:36" ht="12.75" thickBot="1" x14ac:dyDescent="0.25">
      <x:c r="B114" s="19">
        <x:v>5</x:v>
      </x:c>
      <x:c r="C114" s="63" t="s">
        <x:v>14</x:v>
      </x:c>
      <x:c r="D114" s="402">
        <x:f t="shared" si="4"/>
        <x:v>0</x:v>
      </x:c>
      <x:c r="E114" s="402">
        <x:f t="shared" si="4"/>
        <x:v>0</x:v>
      </x:c>
      <x:c r="F114" s="402">
        <x:f t="shared" si="4"/>
        <x:v>0</x:v>
      </x:c>
      <x:c r="G114" s="402">
        <x:f t="shared" si="4"/>
        <x:v>0</x:v>
      </x:c>
      <x:c r="H114" s="402">
        <x:f t="shared" si="4"/>
        <x:v>0</x:v>
      </x:c>
      <x:c r="I114" s="402">
        <x:f t="shared" si="4"/>
        <x:v>0</x:v>
      </x:c>
      <x:c r="J114" s="402">
        <x:f t="shared" si="4"/>
        <x:v>0</x:v>
      </x:c>
      <x:c r="K114" s="402">
        <x:f t="shared" si="4"/>
        <x:v>0</x:v>
      </x:c>
      <x:c r="L114" s="402">
        <x:f t="shared" si="4"/>
        <x:v>0</x:v>
      </x:c>
      <x:c r="M114" s="402">
        <x:f t="shared" si="4"/>
        <x:v>0</x:v>
      </x:c>
      <x:c r="N114" s="402">
        <x:f t="shared" si="4"/>
        <x:v>0</x:v>
      </x:c>
      <x:c r="O114" s="402">
        <x:f t="shared" si="4"/>
        <x:v>0</x:v>
      </x:c>
      <x:c r="P114" s="403"/>
      <x:c r="Q114" s="404"/>
      <x:c r="R114" s="403"/>
      <x:c r="S114" s="409">
        <x:v>5</x:v>
      </x:c>
      <x:c r="T114" s="410" t="s">
        <x:v>14</x:v>
      </x:c>
      <x:c r="U114" s="402">
        <x:f t="shared" si="5"/>
        <x:v>0</x:v>
      </x:c>
      <x:c r="V114" s="402">
        <x:f t="shared" si="5"/>
        <x:v>0</x:v>
      </x:c>
      <x:c r="W114" s="402">
        <x:f t="shared" si="5"/>
        <x:v>0</x:v>
      </x:c>
      <x:c r="X114" s="402">
        <x:f t="shared" si="5"/>
        <x:v>0</x:v>
      </x:c>
      <x:c r="Y114" s="402">
        <x:f t="shared" si="5"/>
        <x:v>0</x:v>
      </x:c>
      <x:c r="Z114" s="402">
        <x:f t="shared" si="5"/>
        <x:v>0</x:v>
      </x:c>
      <x:c r="AA114" s="402">
        <x:f t="shared" si="5"/>
        <x:v>0</x:v>
      </x:c>
      <x:c r="AB114" s="402">
        <x:f t="shared" si="5"/>
        <x:v>0</x:v>
      </x:c>
      <x:c r="AC114" s="402">
        <x:f t="shared" si="5"/>
        <x:v>0</x:v>
      </x:c>
      <x:c r="AD114" s="402">
        <x:f t="shared" si="2"/>
        <x:v>0</x:v>
      </x:c>
      <x:c r="AE114" s="402">
        <x:f t="shared" si="5"/>
        <x:v>0</x:v>
      </x:c>
      <x:c r="AF114" s="402">
        <x:f t="shared" si="5"/>
        <x:v>0</x:v>
      </x:c>
      <x:c r="AG114" s="402">
        <x:f t="shared" ref="AG114" si="9">AG13-(AG30+AG47+AG64++AG80+AG97)</x:f>
        <x:v>0</x:v>
      </x:c>
      <x:c r="AI114" s="404"/>
      <x:c r="AJ114" s="403"/>
    </x:row>
    <x:row r="115" spans="1:36" ht="12.75" thickBot="1" x14ac:dyDescent="0.25">
      <x:c r="B115" s="21"/>
      <x:c r="C115" s="22" t="s">
        <x:v>2</x:v>
      </x:c>
      <x:c r="D115" s="471">
        <x:f t="shared" si="4"/>
        <x:v>0</x:v>
      </x:c>
      <x:c r="E115" s="471">
        <x:f t="shared" si="4"/>
        <x:v>0</x:v>
      </x:c>
      <x:c r="F115" s="471">
        <x:f t="shared" si="4"/>
        <x:v>0</x:v>
      </x:c>
      <x:c r="G115" s="471">
        <x:f t="shared" si="4"/>
        <x:v>0</x:v>
      </x:c>
      <x:c r="H115" s="471">
        <x:f t="shared" si="4"/>
        <x:v>0</x:v>
      </x:c>
      <x:c r="I115" s="471">
        <x:f t="shared" si="4"/>
        <x:v>0</x:v>
      </x:c>
      <x:c r="J115" s="471">
        <x:f t="shared" si="4"/>
        <x:v>0</x:v>
      </x:c>
      <x:c r="K115" s="471">
        <x:f t="shared" si="4"/>
        <x:v>0</x:v>
      </x:c>
      <x:c r="L115" s="471">
        <x:f t="shared" si="4"/>
        <x:v>0</x:v>
      </x:c>
      <x:c r="M115" s="471">
        <x:f t="shared" si="4"/>
        <x:v>0</x:v>
      </x:c>
      <x:c r="N115" s="471">
        <x:f t="shared" si="4"/>
        <x:v>0</x:v>
      </x:c>
      <x:c r="O115" s="471">
        <x:f t="shared" si="4"/>
        <x:v>0</x:v>
      </x:c>
      <x:c r="P115" s="411"/>
      <x:c r="Q115" s="404"/>
      <x:c r="R115" s="403"/>
      <x:c r="S115" s="412"/>
      <x:c r="T115" s="413" t="s">
        <x:v>2</x:v>
      </x:c>
      <x:c r="U115" s="471">
        <x:f t="shared" si="5"/>
        <x:v>0</x:v>
      </x:c>
      <x:c r="V115" s="471">
        <x:f t="shared" si="5"/>
        <x:v>0</x:v>
      </x:c>
      <x:c r="W115" s="471">
        <x:f t="shared" si="5"/>
        <x:v>0</x:v>
      </x:c>
      <x:c r="X115" s="471">
        <x:f t="shared" si="5"/>
        <x:v>0</x:v>
      </x:c>
      <x:c r="Y115" s="471">
        <x:f t="shared" si="5"/>
        <x:v>0</x:v>
      </x:c>
      <x:c r="Z115" s="471">
        <x:f t="shared" si="5"/>
        <x:v>0</x:v>
      </x:c>
      <x:c r="AA115" s="471">
        <x:f t="shared" si="5"/>
        <x:v>0</x:v>
      </x:c>
      <x:c r="AB115" s="471">
        <x:f t="shared" si="5"/>
        <x:v>0</x:v>
      </x:c>
      <x:c r="AC115" s="471">
        <x:f t="shared" si="5"/>
        <x:v>0</x:v>
      </x:c>
      <x:c r="AD115" s="471">
        <x:f t="shared" si="2"/>
        <x:v>0</x:v>
      </x:c>
      <x:c r="AE115" s="471">
        <x:f t="shared" si="5"/>
        <x:v>0</x:v>
      </x:c>
      <x:c r="AF115" s="471">
        <x:f t="shared" si="5"/>
        <x:v>0</x:v>
      </x:c>
      <x:c r="AG115" s="471">
        <x:f t="shared" ref="AG115" si="10">AG14-(AG31+AG48+AG65++AG81+AG98)</x:f>
        <x:v>0</x:v>
      </x:c>
      <x:c r="AI115" s="404"/>
      <x:c r="AJ115" s="403"/>
    </x:row>
    <x:row r="116" spans="1:36" x14ac:dyDescent="0.2">
      <x:c r="B116" s="2"/>
      <x:c r="C116" s="2"/>
      <x:c r="D116" s="374"/>
      <x:c r="E116" s="374"/>
      <x:c r="F116" s="374"/>
      <x:c r="G116" s="374"/>
      <x:c r="H116" s="374"/>
      <x:c r="I116" s="374"/>
      <x:c r="K116" s="374"/>
      <x:c r="L116" s="374"/>
      <x:c r="M116" s="374"/>
      <x:c r="N116" s="374"/>
      <x:c r="O116" s="374"/>
      <x:c r="Q116" s="4"/>
      <x:c r="S116" s="2"/>
      <x:c r="T116" s="2"/>
      <x:c r="U116" s="374"/>
      <x:c r="V116" s="374"/>
      <x:c r="W116" s="374"/>
      <x:c r="X116" s="374"/>
      <x:c r="Y116" s="374"/>
      <x:c r="AF116" s="374"/>
      <x:c r="AI116" s="4"/>
    </x:row>
    <x:row r="117" spans="1:36" x14ac:dyDescent="0.2">
      <x:c r="B117" s="2"/>
      <x:c r="C117" s="2"/>
      <x:c r="D117" s="374" t="s">
        <x:v>1</x:v>
      </x:c>
      <x:c r="E117" s="374"/>
      <x:c r="F117" s="374"/>
      <x:c r="G117" s="374"/>
      <x:c r="H117" s="374"/>
      <x:c r="I117" s="374"/>
      <x:c r="K117" s="374"/>
      <x:c r="L117" s="374"/>
      <x:c r="M117" s="374"/>
      <x:c r="N117" s="374"/>
      <x:c r="O117" s="374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x14ac:dyDescent="0.2">
      <x:c r="A118" s="4"/>
      <x:c r="B118" s="34"/>
      <x:c r="C118" s="34"/>
      <x:c r="D118" s="397"/>
      <x:c r="E118" s="397"/>
      <x:c r="F118" s="397"/>
      <x:c r="G118" s="397"/>
      <x:c r="H118" s="397"/>
      <x:c r="I118" s="397"/>
      <x:c r="J118" s="4"/>
      <x:c r="K118" s="397"/>
      <x:c r="L118" s="397"/>
      <x:c r="M118" s="397"/>
      <x:c r="N118" s="397"/>
      <x:c r="O118" s="397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.75" thickBot="1" x14ac:dyDescent="0.25">
      <x:c r="Q119" s="4"/>
      <x:c r="AI119" s="4"/>
    </x:row>
    <x:row r="120" spans="1:36" x14ac:dyDescent="0.2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5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2026072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2026072</x:v>
      </x:c>
      <x:c r="AE121" s="84"/>
      <x:c r="AF121" s="48"/>
      <x:c r="AG121" s="2"/>
      <x:c r="AI121" s="4"/>
    </x:row>
    <x:row r="122" spans="1:36" ht="15.75" x14ac:dyDescent="0.25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5" x14ac:dyDescent="0.25">
      <x:c r="B123" s="8"/>
      <x:c r="F123" s="2" t="s">
        <x:v>30</x:v>
      </x:c>
      <x:c r="G123" s="2"/>
      <x:c r="L123" s="90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75" x14ac:dyDescent="0.25">
      <x:c r="B124" s="8"/>
      <x:c r="C124" s="2" t="s">
        <x:v>17</x:v>
      </x:c>
      <x:c r="D124" s="9">
        <x:f>'REMUNERACION_EAAB-CL'!D101</x:f>
        <x:v>46238</x:v>
      </x:c>
      <x:c r="F124" s="58" t="s">
        <x:v>188</x:v>
      </x:c>
      <x:c r="G124" s="58"/>
      <x:c r="H124" s="59"/>
      <x:c r="I124" s="60"/>
      <x:c r="J124" s="59"/>
      <x:c r="K124" s="60"/>
      <x:c r="L124" s="90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8" thickBot="1" x14ac:dyDescent="0.35">
      <x:c r="B125" s="92"/>
      <x:c r="C125" s="473" t="s">
        <x:v>0</x:v>
      </x:c>
      <x:c r="D125" s="474">
        <x:f>'REMUNERACION_EAAB-CL'!D102</x:f>
        <x:v>0.58333333333333337</x:v>
      </x:c>
      <x:c r="E125" s="45"/>
      <x:c r="F125" s="473" t="s">
        <x:v>27</x:v>
      </x:c>
      <x:c r="G125" s="475">
        <x:f>'REMUNERACION_EAAB-CL'!G102</x:f>
        <x:v>46219</x:v>
      </x:c>
      <x:c r="H125" s="45"/>
      <x:c r="I125" s="45"/>
      <x:c r="J125" s="473" t="s">
        <x:v>28</x:v>
      </x:c>
      <x:c r="K125" s="475">
        <x:f>'REMUNERACION_EAAB-CL'!K102</x:f>
        <x:v>46234</x:v>
      </x:c>
      <x:c r="L125" s="91"/>
      <x:c r="M125" s="45"/>
      <x:c r="N125" s="45"/>
      <x:c r="O125" s="476"/>
      <x:c r="P125" s="2"/>
      <x:c r="Q125" s="4"/>
      <x:c r="S125" s="92"/>
      <x:c r="T125" s="45"/>
      <x:c r="U125" s="45" t="str">
        <x:f>F125</x:f>
        <x:v>Fecha Desde:</x:v>
      </x:c>
      <x:c r="V125" s="475">
        <x:f>'REMUNERACION_EAAB-CL'!V102</x:f>
        <x:v>46219</x:v>
      </x:c>
      <x:c r="W125" s="45" t="s">
        <x:v>1</x:v>
      </x:c>
      <x:c r="X125" s="45" t="str">
        <x:f>J125</x:f>
        <x:v>Feha Hasta:</x:v>
      </x:c>
      <x:c r="Y125" s="475">
        <x:f>'REMUNERACION_EAAB-CL'!Y102</x:f>
        <x:v>46234</x:v>
      </x:c>
      <x:c r="Z125" s="45" t="s">
        <x:v>1</x:v>
      </x:c>
      <x:c r="AA125" s="45"/>
      <x:c r="AB125" s="45"/>
      <x:c r="AC125" s="45"/>
      <x:c r="AD125" s="45"/>
      <x:c r="AE125" s="45"/>
      <x:c r="AF125" s="477"/>
      <x:c r="AG125" s="2"/>
      <x:c r="AI125" s="4"/>
      <x:c r="AJ125" s="105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workbookViewId="0">
      <x:selection activeCell="D106" sqref="D106"/>
    </x:sheetView>
  </x:sheetViews>
  <x:sheetFormatPr baseColWidth="10" defaultRowHeight="12.75" x14ac:dyDescent="0.2"/>
  <x:cols>
    <x:col min="1" max="1" width="2.42578125" customWidth="1"/>
    <x:col min="3" max="3" width="36.7109375" bestFit="1" customWidth="1"/>
    <x:col min="4" max="4" width="12" bestFit="1" customWidth="1"/>
    <x:col min="5" max="5" width="12.28515625" customWidth="1"/>
    <x:col min="6" max="6" width="9.28515625" customWidth="1"/>
    <x:col min="7" max="7" width="14.7109375" customWidth="1"/>
    <x:col min="8" max="8" width="15.28515625" customWidth="1"/>
    <x:col min="9" max="9" width="20.28515625" bestFit="1" customWidth="1"/>
    <x:col min="10" max="10" width="15.42578125" customWidth="1"/>
    <x:col min="11" max="11" width="17.7109375" customWidth="1"/>
    <x:col min="12" max="12" width="20.7109375" customWidth="1"/>
    <x:col min="17" max="17" width="1.28515625" customWidth="1"/>
  </x:cols>
  <x:sheetData>
    <x:row r="1" spans="1:33" s="1" customFormat="1" thickBot="1" x14ac:dyDescent="0.25">
      <x:c r="Q1" s="4"/>
    </x:row>
    <x:row r="2" spans="1:33" s="1" customFormat="1" ht="12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397"/>
    </x:row>
    <x:row r="3" spans="1:33" s="1" customFormat="1" ht="15.75" x14ac:dyDescent="0.25">
      <x:c r="B3" s="8"/>
      <x:c r="F3" s="394" t="s">
        <x:v>37</x:v>
      </x:c>
      <x:c r="G3" s="394"/>
      <x:c r="H3" s="395"/>
      <x:c r="I3" s="396"/>
      <x:c r="J3" s="395"/>
      <x:c r="K3" s="396"/>
      <x:c r="O3" s="10"/>
      <x:c r="P3" s="2"/>
      <x:c r="Q3" s="4"/>
    </x:row>
    <x:row r="4" spans="1:33" s="1" customFormat="1" thickBot="1" x14ac:dyDescent="0.25">
      <x:c r="B4" s="8"/>
      <x:c r="C4" s="2" t="s">
        <x:v>1</x:v>
      </x:c>
      <x:c r="D4" s="2" t="s">
        <x:v>1</x:v>
      </x:c>
      <x:c r="O4" s="44"/>
      <x:c r="P4" s="2"/>
      <x:c r="Q4" s="4"/>
      <x:c r="AG4" s="403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97" t="s">
        <x:v>47</x:v>
      </x:c>
      <x:c r="H5" s="73" t="s">
        <x:v>56</x:v>
      </x:c>
      <x:c r="I5" s="73" t="s">
        <x:v>130</x:v>
      </x:c>
      <x:c r="J5" s="73" t="s">
        <x:v>171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241" customFormat="1" ht="12" x14ac:dyDescent="0.2">
      <x:c r="B6" s="270">
        <x:v>1</x:v>
      </x:c>
      <x:c r="C6" s="271" t="s">
        <x:v>10</x:v>
      </x:c>
      <x:c r="D6" s="244">
        <x:f>'CONSOLIDADO_TOTAL RECAUDO'!D125</x:f>
        <x:v>0</x:v>
      </x:c>
      <x:c r="E6" s="245">
        <x:f>'CONSOLIDADO_TOTAL RECAUDO'!E125</x:f>
        <x:v>0</x:v>
      </x:c>
      <x:c r="G6" s="272">
        <x:f>'CONSOLIDADO_TOTAL RECAUDO'!G125</x:f>
        <x:v>0</x:v>
      </x:c>
      <x:c r="H6" s="246">
        <x:f>'CONSOLIDADO_TOTAL RECAUDO'!H125</x:f>
        <x:v>0</x:v>
      </x:c>
      <x:c r="I6" s="245">
        <x:f>'CONSOLIDADO_TOTAL RECAUDO'!I125</x:f>
        <x:v>0</x:v>
      </x:c>
      <x:c r="J6" s="245">
        <x:f>'CONSOLIDADO_TOTAL RECAUDO'!J125</x:f>
        <x:v>0</x:v>
      </x:c>
      <x:c r="K6" s="245">
        <x:f>'CONSOLIDADO_TOTAL RECAUDO'!K125</x:f>
        <x:v>0</x:v>
      </x:c>
      <x:c r="L6" s="245">
        <x:f>'CONSOLIDADO_TOTAL RECAUDO'!L125</x:f>
        <x:v>0</x:v>
      </x:c>
      <x:c r="O6" s="273"/>
      <x:c r="Q6" s="242"/>
    </x:row>
    <x:row r="7" spans="1:33" s="241" customFormat="1" ht="12" x14ac:dyDescent="0.2">
      <x:c r="B7" s="250">
        <x:v>2</x:v>
      </x:c>
      <x:c r="C7" s="274" t="s">
        <x:v>11</x:v>
      </x:c>
      <x:c r="D7" s="228">
        <x:f>'CONSOLIDADO_TOTAL RECAUDO'!D126</x:f>
        <x:v>0</x:v>
      </x:c>
      <x:c r="E7" s="224">
        <x:f>'CONSOLIDADO_TOTAL RECAUDO'!E126</x:f>
        <x:v>0</x:v>
      </x:c>
      <x:c r="G7" s="275">
        <x:f>'CONSOLIDADO_TOTAL RECAUDO'!G126</x:f>
        <x:v>0</x:v>
      </x:c>
      <x:c r="H7" s="276">
        <x:f>'CONSOLIDADO_TOTAL RECAUDO'!H126</x:f>
        <x:v>0</x:v>
      </x:c>
      <x:c r="I7" s="224">
        <x:f>'CONSOLIDADO_TOTAL RECAUDO'!I126</x:f>
        <x:v>0</x:v>
      </x:c>
      <x:c r="J7" s="224">
        <x:f>'CONSOLIDADO_TOTAL RECAUDO'!J126</x:f>
        <x:v>0</x:v>
      </x:c>
      <x:c r="K7" s="224">
        <x:f>'CONSOLIDADO_TOTAL RECAUDO'!K126</x:f>
        <x:v>0</x:v>
      </x:c>
      <x:c r="L7" s="224">
        <x:f>'CONSOLIDADO_TOTAL RECAUDO'!L126</x:f>
        <x:v>0</x:v>
      </x:c>
      <x:c r="O7" s="273"/>
      <x:c r="Q7" s="242"/>
    </x:row>
    <x:row r="8" spans="1:33" s="241" customFormat="1" ht="12" x14ac:dyDescent="0.2">
      <x:c r="B8" s="250">
        <x:v>3</x:v>
      </x:c>
      <x:c r="C8" s="274" t="s">
        <x:v>12</x:v>
      </x:c>
      <x:c r="D8" s="228">
        <x:f>'CONSOLIDADO_TOTAL RECAUDO'!D127</x:f>
        <x:v>0</x:v>
      </x:c>
      <x:c r="E8" s="224">
        <x:f>'CONSOLIDADO_TOTAL RECAUDO'!E127</x:f>
        <x:v>0</x:v>
      </x:c>
      <x:c r="G8" s="275">
        <x:f>'CONSOLIDADO_TOTAL RECAUDO'!G127</x:f>
        <x:v>0</x:v>
      </x:c>
      <x:c r="H8" s="276">
        <x:f>'CONSOLIDADO_TOTAL RECAUDO'!H127</x:f>
        <x:v>0</x:v>
      </x:c>
      <x:c r="I8" s="224">
        <x:f>'CONSOLIDADO_TOTAL RECAUDO'!I127</x:f>
        <x:v>0</x:v>
      </x:c>
      <x:c r="J8" s="224">
        <x:f>'CONSOLIDADO_TOTAL RECAUDO'!J127</x:f>
        <x:v>0</x:v>
      </x:c>
      <x:c r="K8" s="224">
        <x:f>'CONSOLIDADO_TOTAL RECAUDO'!K127</x:f>
        <x:v>0</x:v>
      </x:c>
      <x:c r="L8" s="224">
        <x:f>'CONSOLIDADO_TOTAL RECAUDO'!L127</x:f>
        <x:v>0</x:v>
      </x:c>
      <x:c r="O8" s="273"/>
      <x:c r="Q8" s="242"/>
    </x:row>
    <x:row r="9" spans="1:33" s="241" customFormat="1" ht="12" x14ac:dyDescent="0.2">
      <x:c r="B9" s="250">
        <x:v>4</x:v>
      </x:c>
      <x:c r="C9" s="274" t="s">
        <x:v>13</x:v>
      </x:c>
      <x:c r="D9" s="228">
        <x:f>'CONSOLIDADO_TOTAL RECAUDO'!D128</x:f>
        <x:v>0</x:v>
      </x:c>
      <x:c r="E9" s="224">
        <x:f>'CONSOLIDADO_TOTAL RECAUDO'!E128</x:f>
        <x:v>0</x:v>
      </x:c>
      <x:c r="G9" s="275">
        <x:f>'CONSOLIDADO_TOTAL RECAUDO'!G128</x:f>
        <x:v>0</x:v>
      </x:c>
      <x:c r="H9" s="276">
        <x:f>'CONSOLIDADO_TOTAL RECAUDO'!H128</x:f>
        <x:v>0</x:v>
      </x:c>
      <x:c r="I9" s="224">
        <x:f>'CONSOLIDADO_TOTAL RECAUDO'!I128</x:f>
        <x:v>0</x:v>
      </x:c>
      <x:c r="J9" s="224">
        <x:f>'CONSOLIDADO_TOTAL RECAUDO'!J128</x:f>
        <x:v>0</x:v>
      </x:c>
      <x:c r="K9" s="224">
        <x:f>'CONSOLIDADO_TOTAL RECAUDO'!K128</x:f>
        <x:v>0</x:v>
      </x:c>
      <x:c r="L9" s="224">
        <x:f>'CONSOLIDADO_TOTAL RECAUDO'!L128</x:f>
        <x:v>0</x:v>
      </x:c>
      <x:c r="O9" s="273"/>
      <x:c r="Q9" s="242"/>
    </x:row>
    <x:row r="10" spans="1:33" s="241" customFormat="1" ht="12" x14ac:dyDescent="0.2">
      <x:c r="B10" s="277">
        <x:v>5</x:v>
      </x:c>
      <x:c r="C10" s="278" t="s">
        <x:v>14</x:v>
      </x:c>
      <x:c r="D10" s="228">
        <x:f>'CONSOLIDADO_TOTAL RECAUDO'!D129</x:f>
        <x:v>0</x:v>
      </x:c>
      <x:c r="E10" s="280">
        <x:f>'CONSOLIDADO_TOTAL RECAUDO'!E129</x:f>
        <x:v>0</x:v>
      </x:c>
      <x:c r="G10" s="275">
        <x:f>'CONSOLIDADO_TOTAL RECAUDO'!G129</x:f>
        <x:v>0</x:v>
      </x:c>
      <x:c r="H10" s="276">
        <x:f>'CONSOLIDADO_TOTAL RECAUDO'!H129</x:f>
        <x:v>0</x:v>
      </x:c>
      <x:c r="I10" s="224">
        <x:f>'CONSOLIDADO_TOTAL RECAUDO'!I129</x:f>
        <x:v>0</x:v>
      </x:c>
      <x:c r="J10" s="224">
        <x:f>'CONSOLIDADO_TOTAL RECAUDO'!J129</x:f>
        <x:v>0</x:v>
      </x:c>
      <x:c r="K10" s="224">
        <x:f>'CONSOLIDADO_TOTAL RECAUDO'!K129</x:f>
        <x:v>0</x:v>
      </x:c>
      <x:c r="L10" s="224">
        <x:f>'CONSOLIDADO_TOTAL RECAUDO'!L129</x:f>
        <x:v>0</x:v>
      </x:c>
      <x:c r="O10" s="273"/>
      <x:c r="Q10" s="242"/>
    </x:row>
    <x:row r="11" spans="1:33" s="241" customFormat="1" thickBot="1" x14ac:dyDescent="0.25">
      <x:c r="B11" s="260" t="s">
        <x:v>89</x:v>
      </x:c>
      <x:c r="C11" s="281" t="s">
        <x:v>113</x:v>
      </x:c>
      <x:c r="D11" s="233">
        <x:f>'CONSOLIDADO_TOTAL RECAUDO'!D130</x:f>
        <x:v>0</x:v>
      </x:c>
      <x:c r="E11" s="225">
        <x:f>'CONSOLIDADO_TOTAL RECAUDO'!E130</x:f>
        <x:v>0</x:v>
      </x:c>
      <x:c r="G11" s="282">
        <x:f>'CONSOLIDADO_TOTAL RECAUDO'!G130</x:f>
        <x:v>0</x:v>
      </x:c>
      <x:c r="H11" s="283">
        <x:f>'CONSOLIDADO_TOTAL RECAUDO'!H130</x:f>
        <x:v>0</x:v>
      </x:c>
      <x:c r="I11" s="225">
        <x:f>'CONSOLIDADO_TOTAL RECAUDO'!I130</x:f>
        <x:v>0</x:v>
      </x:c>
      <x:c r="J11" s="225">
        <x:f>'CONSOLIDADO_TOTAL RECAUDO'!J130</x:f>
        <x:v>0</x:v>
      </x:c>
      <x:c r="K11" s="225">
        <x:f>'CONSOLIDADO_TOTAL RECAUDO'!K130</x:f>
        <x:v>0</x:v>
      </x:c>
      <x:c r="L11" s="225">
        <x:f>'CONSOLIDADO_TOTAL RECAUDO'!L130</x:f>
        <x:v>0</x:v>
      </x:c>
      <x:c r="O11" s="273"/>
      <x:c r="Q11" s="242"/>
    </x:row>
    <x:row r="12" spans="1:33" s="241" customFormat="1" thickBot="1" x14ac:dyDescent="0.25">
      <x:c r="B12" s="284"/>
      <x:c r="C12" s="285" t="s">
        <x:v>2</x:v>
      </x:c>
      <x:c r="D12" s="286">
        <x:f>'CONSOLIDADO_TOTAL RECAUDO'!D131</x:f>
        <x:v>0</x:v>
      </x:c>
      <x:c r="E12" s="286">
        <x:f>'CONSOLIDADO_TOTAL RECAUDO'!E131</x:f>
        <x:v>0</x:v>
      </x:c>
      <x:c r="F12" s="287"/>
      <x:c r="G12" s="286">
        <x:f>'CONSOLIDADO_TOTAL RECAUDO'!G131</x:f>
        <x:v>0</x:v>
      </x:c>
      <x:c r="H12" s="286">
        <x:f>'CONSOLIDADO_TOTAL RECAUDO'!H131</x:f>
        <x:v>0</x:v>
      </x:c>
      <x:c r="I12" s="286">
        <x:f>'CONSOLIDADO_TOTAL RECAUDO'!I131</x:f>
        <x:v>0</x:v>
      </x:c>
      <x:c r="J12" s="286">
        <x:f>'CONSOLIDADO_TOTAL RECAUDO'!J131</x:f>
        <x:v>0</x:v>
      </x:c>
      <x:c r="K12" s="286">
        <x:f>'CONSOLIDADO_TOTAL RECAUDO'!K131</x:f>
        <x:v>0</x:v>
      </x:c>
      <x:c r="L12" s="286">
        <x:f>'CONSOLIDADO_TOTAL RECAUDO'!L131</x:f>
        <x:v>0</x:v>
      </x:c>
      <x:c r="M12" s="287"/>
      <x:c r="N12" s="287"/>
      <x:c r="O12" s="288"/>
      <x:c r="P12" s="265"/>
      <x:c r="Q12" s="242"/>
    </x:row>
    <x:row r="13" spans="1:33" s="1" customFormat="1" ht="12" x14ac:dyDescent="0.2">
      <x:c r="B13" s="2"/>
      <x:c r="C13" s="2"/>
      <x:c r="D13" s="374"/>
      <x:c r="Q13" s="4"/>
    </x:row>
    <x:row r="14" spans="1:33" s="1" customFormat="1" ht="12" x14ac:dyDescent="0.2">
      <x:c r="B14" s="2"/>
      <x:c r="C14" s="2"/>
      <x:c r="D14" s="374"/>
      <x:c r="Q14" s="4"/>
    </x:row>
    <x:row r="15" spans="1:33" s="1" customFormat="1" ht="12" x14ac:dyDescent="0.2">
      <x:c r="A15" s="52"/>
      <x:c r="B15" s="53"/>
      <x:c r="C15" s="53"/>
      <x:c r="D15" s="380"/>
      <x:c r="E15" s="380"/>
      <x:c r="F15" s="380"/>
      <x:c r="G15" s="380"/>
      <x:c r="H15" s="380"/>
      <x:c r="I15" s="380"/>
      <x:c r="J15" s="52"/>
      <x:c r="K15" s="380"/>
      <x:c r="L15" s="380"/>
      <x:c r="M15" s="380"/>
      <x:c r="N15" s="380"/>
      <x:c r="O15" s="380"/>
      <x:c r="P15" s="52"/>
      <x:c r="Q15" s="4"/>
    </x:row>
    <x:row r="16" spans="1:33" ht="13.5" thickBot="1" x14ac:dyDescent="0.25"/>
    <x:row r="17" spans="1:17" s="1" customFormat="1" ht="12" x14ac:dyDescent="0.2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397"/>
    </x:row>
    <x:row r="18" spans="1:17" s="1" customFormat="1" ht="15.75" x14ac:dyDescent="0.25">
      <x:c r="B18" s="8"/>
      <x:c r="F18" s="398" t="s">
        <x:v>191</x:v>
      </x:c>
      <x:c r="G18" s="398"/>
      <x:c r="H18" s="34"/>
      <x:c r="I18" s="4"/>
      <x:c r="J18" s="34"/>
      <x:c r="K18" s="4"/>
      <x:c r="O18" s="10"/>
      <x:c r="P18" s="2"/>
      <x:c r="Q18" s="4"/>
    </x:row>
    <x:row r="19" spans="1:17" s="1" customFormat="1" thickBot="1" x14ac:dyDescent="0.25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97" t="s">
        <x:v>47</x:v>
      </x:c>
      <x:c r="H20" s="73" t="s">
        <x:v>56</x:v>
      </x:c>
      <x:c r="I20" s="73" t="s">
        <x:v>130</x:v>
      </x:c>
      <x:c r="J20" s="73" t="s">
        <x:v>171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241" customFormat="1" ht="12" x14ac:dyDescent="0.2">
      <x:c r="B21" s="270">
        <x:v>1</x:v>
      </x:c>
      <x:c r="C21" s="271" t="s">
        <x:v>10</x:v>
      </x:c>
      <x:c r="D21" s="244">
        <x:f>'REMUNERACION Reciprocidad EAAB'!D125</x:f>
        <x:v>0</x:v>
      </x:c>
      <x:c r="E21" s="245">
        <x:f>'REMUNERACION Reciprocidad EAAB'!E125</x:f>
        <x:v>0</x:v>
      </x:c>
      <x:c r="G21" s="272">
        <x:f>'REMUNERACION Reciprocidad EAAB'!G125</x:f>
        <x:v>0</x:v>
      </x:c>
      <x:c r="H21" s="246">
        <x:f>'REMUNERACION Reciprocidad EAAB'!H125</x:f>
        <x:v>0</x:v>
      </x:c>
      <x:c r="I21" s="245">
        <x:f>'REMUNERACION Reciprocidad EAAB'!I125</x:f>
        <x:v>0</x:v>
      </x:c>
      <x:c r="J21" s="245">
        <x:f>'REMUNERACION Reciprocidad EAAB'!J125</x:f>
        <x:v>0</x:v>
      </x:c>
      <x:c r="K21" s="245">
        <x:f>'REMUNERACION Reciprocidad EAAB'!K125</x:f>
        <x:v>0</x:v>
      </x:c>
      <x:c r="L21" s="245">
        <x:f>'REMUNERACION Reciprocidad EAAB'!L125</x:f>
        <x:v>0</x:v>
      </x:c>
      <x:c r="O21" s="273"/>
      <x:c r="Q21" s="242"/>
    </x:row>
    <x:row r="22" spans="1:17" s="241" customFormat="1" ht="12" x14ac:dyDescent="0.2">
      <x:c r="B22" s="250">
        <x:v>2</x:v>
      </x:c>
      <x:c r="C22" s="274" t="s">
        <x:v>11</x:v>
      </x:c>
      <x:c r="D22" s="228">
        <x:f>'REMUNERACION Reciprocidad EAAB'!D126</x:f>
        <x:v>0</x:v>
      </x:c>
      <x:c r="E22" s="224">
        <x:f>'REMUNERACION Reciprocidad EAAB'!E126</x:f>
        <x:v>0</x:v>
      </x:c>
      <x:c r="G22" s="275">
        <x:f>'REMUNERACION Reciprocidad EAAB'!G126</x:f>
        <x:v>0</x:v>
      </x:c>
      <x:c r="H22" s="276">
        <x:f>'REMUNERACION Reciprocidad EAAB'!H126</x:f>
        <x:v>0</x:v>
      </x:c>
      <x:c r="I22" s="224">
        <x:f>'REMUNERACION Reciprocidad EAAB'!I126</x:f>
        <x:v>0</x:v>
      </x:c>
      <x:c r="J22" s="224">
        <x:f>'REMUNERACION Reciprocidad EAAB'!J126</x:f>
        <x:v>0</x:v>
      </x:c>
      <x:c r="K22" s="224">
        <x:f>'REMUNERACION Reciprocidad EAAB'!K126</x:f>
        <x:v>0</x:v>
      </x:c>
      <x:c r="L22" s="224">
        <x:f>'REMUNERACION Reciprocidad EAAB'!L126</x:f>
        <x:v>0</x:v>
      </x:c>
      <x:c r="O22" s="273"/>
      <x:c r="Q22" s="242"/>
    </x:row>
    <x:row r="23" spans="1:17" s="241" customFormat="1" ht="12" x14ac:dyDescent="0.2">
      <x:c r="B23" s="250">
        <x:v>3</x:v>
      </x:c>
      <x:c r="C23" s="274" t="s">
        <x:v>12</x:v>
      </x:c>
      <x:c r="D23" s="228">
        <x:f>'REMUNERACION Reciprocidad EAAB'!D127</x:f>
        <x:v>0</x:v>
      </x:c>
      <x:c r="E23" s="224">
        <x:f>'REMUNERACION Reciprocidad EAAB'!E127</x:f>
        <x:v>0</x:v>
      </x:c>
      <x:c r="G23" s="275">
        <x:f>'REMUNERACION Reciprocidad EAAB'!G127</x:f>
        <x:v>0</x:v>
      </x:c>
      <x:c r="H23" s="276">
        <x:f>'REMUNERACION Reciprocidad EAAB'!H127</x:f>
        <x:v>0</x:v>
      </x:c>
      <x:c r="I23" s="224">
        <x:f>'REMUNERACION Reciprocidad EAAB'!I127</x:f>
        <x:v>0</x:v>
      </x:c>
      <x:c r="J23" s="224">
        <x:f>'REMUNERACION Reciprocidad EAAB'!J127</x:f>
        <x:v>0</x:v>
      </x:c>
      <x:c r="K23" s="224">
        <x:f>'REMUNERACION Reciprocidad EAAB'!K127</x:f>
        <x:v>0</x:v>
      </x:c>
      <x:c r="L23" s="224">
        <x:f>'REMUNERACION Reciprocidad EAAB'!L127</x:f>
        <x:v>0</x:v>
      </x:c>
      <x:c r="O23" s="273"/>
      <x:c r="Q23" s="242"/>
    </x:row>
    <x:row r="24" spans="1:17" s="241" customFormat="1" ht="12" x14ac:dyDescent="0.2">
      <x:c r="B24" s="250">
        <x:v>4</x:v>
      </x:c>
      <x:c r="C24" s="274" t="s">
        <x:v>13</x:v>
      </x:c>
      <x:c r="D24" s="228">
        <x:f>'REMUNERACION Reciprocidad EAAB'!D128</x:f>
        <x:v>0</x:v>
      </x:c>
      <x:c r="E24" s="224">
        <x:f>'REMUNERACION Reciprocidad EAAB'!E128</x:f>
        <x:v>0</x:v>
      </x:c>
      <x:c r="G24" s="275">
        <x:f>'REMUNERACION Reciprocidad EAAB'!G128</x:f>
        <x:v>0</x:v>
      </x:c>
      <x:c r="H24" s="276">
        <x:f>'REMUNERACION Reciprocidad EAAB'!H128</x:f>
        <x:v>0</x:v>
      </x:c>
      <x:c r="I24" s="224">
        <x:f>'REMUNERACION Reciprocidad EAAB'!I128</x:f>
        <x:v>0</x:v>
      </x:c>
      <x:c r="J24" s="224">
        <x:f>'REMUNERACION Reciprocidad EAAB'!J128</x:f>
        <x:v>0</x:v>
      </x:c>
      <x:c r="K24" s="224">
        <x:f>'REMUNERACION Reciprocidad EAAB'!K128</x:f>
        <x:v>0</x:v>
      </x:c>
      <x:c r="L24" s="224">
        <x:f>'REMUNERACION Reciprocidad EAAB'!L128</x:f>
        <x:v>0</x:v>
      </x:c>
      <x:c r="O24" s="273"/>
      <x:c r="Q24" s="242"/>
    </x:row>
    <x:row r="25" spans="1:17" s="241" customFormat="1" ht="12" x14ac:dyDescent="0.2">
      <x:c r="B25" s="277">
        <x:v>5</x:v>
      </x:c>
      <x:c r="C25" s="278" t="s">
        <x:v>14</x:v>
      </x:c>
      <x:c r="D25" s="228">
        <x:f>'REMUNERACION Reciprocidad EAAB'!D129</x:f>
        <x:v>0</x:v>
      </x:c>
      <x:c r="E25" s="280">
        <x:f>'REMUNERACION Reciprocidad EAAB'!E129</x:f>
        <x:v>0</x:v>
      </x:c>
      <x:c r="G25" s="275">
        <x:f>'REMUNERACION Reciprocidad EAAB'!G129</x:f>
        <x:v>0</x:v>
      </x:c>
      <x:c r="H25" s="276">
        <x:f>'REMUNERACION Reciprocidad EAAB'!H129</x:f>
        <x:v>0</x:v>
      </x:c>
      <x:c r="I25" s="224">
        <x:f>'REMUNERACION Reciprocidad EAAB'!I129</x:f>
        <x:v>0</x:v>
      </x:c>
      <x:c r="J25" s="224">
        <x:f>'REMUNERACION Reciprocidad EAAB'!J129</x:f>
        <x:v>0</x:v>
      </x:c>
      <x:c r="K25" s="224">
        <x:f>'REMUNERACION Reciprocidad EAAB'!K129</x:f>
        <x:v>0</x:v>
      </x:c>
      <x:c r="L25" s="224">
        <x:f>'REMUNERACION Reciprocidad EAAB'!L129</x:f>
        <x:v>0</x:v>
      </x:c>
      <x:c r="O25" s="273"/>
      <x:c r="Q25" s="242"/>
    </x:row>
    <x:row r="26" spans="1:17" s="241" customFormat="1" thickBot="1" x14ac:dyDescent="0.25">
      <x:c r="B26" s="260" t="s">
        <x:v>89</x:v>
      </x:c>
      <x:c r="C26" s="281" t="s">
        <x:v>113</x:v>
      </x:c>
      <x:c r="D26" s="233">
        <x:f>'REMUNERACION Reciprocidad EAAB'!D130</x:f>
        <x:v>0</x:v>
      </x:c>
      <x:c r="E26" s="225">
        <x:f>'REMUNERACION Reciprocidad EAAB'!E130</x:f>
        <x:v>0</x:v>
      </x:c>
      <x:c r="G26" s="282">
        <x:f>'REMUNERACION Reciprocidad EAAB'!G130</x:f>
        <x:v>0</x:v>
      </x:c>
      <x:c r="H26" s="283">
        <x:f>'REMUNERACION Reciprocidad EAAB'!H130</x:f>
        <x:v>0</x:v>
      </x:c>
      <x:c r="I26" s="225">
        <x:f>'REMUNERACION Reciprocidad EAAB'!I130</x:f>
        <x:v>0</x:v>
      </x:c>
      <x:c r="J26" s="225">
        <x:f>'REMUNERACION Reciprocidad EAAB'!J130</x:f>
        <x:v>0</x:v>
      </x:c>
      <x:c r="K26" s="225">
        <x:f>'REMUNERACION Reciprocidad EAAB'!K130</x:f>
        <x:v>0</x:v>
      </x:c>
      <x:c r="L26" s="225">
        <x:f>'REMUNERACION Reciprocidad EAAB'!L130</x:f>
        <x:v>0</x:v>
      </x:c>
      <x:c r="O26" s="273"/>
      <x:c r="Q26" s="242"/>
    </x:row>
    <x:row r="27" spans="1:17" s="241" customFormat="1" thickBot="1" x14ac:dyDescent="0.25">
      <x:c r="B27" s="284"/>
      <x:c r="C27" s="285" t="s">
        <x:v>2</x:v>
      </x:c>
      <x:c r="D27" s="286">
        <x:f>'REMUNERACION Reciprocidad EAAB'!D131</x:f>
        <x:v>0</x:v>
      </x:c>
      <x:c r="E27" s="286">
        <x:f>'REMUNERACION Reciprocidad EAAB'!E131</x:f>
        <x:v>0</x:v>
      </x:c>
      <x:c r="F27" s="287"/>
      <x:c r="G27" s="286">
        <x:f>'REMUNERACION Reciprocidad EAAB'!G131</x:f>
        <x:v>0</x:v>
      </x:c>
      <x:c r="H27" s="286">
        <x:f>'REMUNERACION Reciprocidad EAAB'!H131</x:f>
        <x:v>0</x:v>
      </x:c>
      <x:c r="I27" s="286">
        <x:f>'REMUNERACION Reciprocidad EAAB'!I131</x:f>
        <x:v>0</x:v>
      </x:c>
      <x:c r="J27" s="286">
        <x:f>'REMUNERACION Reciprocidad EAAB'!J131</x:f>
        <x:v>0</x:v>
      </x:c>
      <x:c r="K27" s="286">
        <x:f>'REMUNERACION Reciprocidad EAAB'!K131</x:f>
        <x:v>0</x:v>
      </x:c>
      <x:c r="L27" s="286">
        <x:f>'REMUNERACION Reciprocidad EAAB'!L131</x:f>
        <x:v>0</x:v>
      </x:c>
      <x:c r="M27" s="287"/>
      <x:c r="N27" s="287"/>
      <x:c r="O27" s="288"/>
      <x:c r="P27" s="265"/>
      <x:c r="Q27" s="242"/>
    </x:row>
    <x:row r="28" spans="1:17" s="1" customFormat="1" ht="12" x14ac:dyDescent="0.2">
      <x:c r="B28" s="2"/>
      <x:c r="C28" s="2"/>
      <x:c r="D28" s="374"/>
      <x:c r="Q28" s="4"/>
    </x:row>
    <x:row r="29" spans="1:17" s="1" customFormat="1" ht="12" x14ac:dyDescent="0.2">
      <x:c r="B29" s="2"/>
      <x:c r="C29" s="2"/>
      <x:c r="D29" s="374"/>
      <x:c r="Q29" s="4"/>
    </x:row>
    <x:row r="30" spans="1:17" s="1" customFormat="1" ht="12" x14ac:dyDescent="0.2">
      <x:c r="A30" s="52"/>
      <x:c r="B30" s="53"/>
      <x:c r="C30" s="53"/>
      <x:c r="D30" s="380"/>
      <x:c r="E30" s="380"/>
      <x:c r="F30" s="380"/>
      <x:c r="G30" s="380"/>
      <x:c r="H30" s="380"/>
      <x:c r="I30" s="380"/>
      <x:c r="J30" s="52"/>
      <x:c r="K30" s="380"/>
      <x:c r="L30" s="380"/>
      <x:c r="M30" s="380"/>
      <x:c r="N30" s="380"/>
      <x:c r="O30" s="380"/>
      <x:c r="P30" s="52"/>
      <x:c r="Q30" s="4"/>
    </x:row>
    <x:row r="32" spans="1:17" s="1" customFormat="1" ht="15.75" x14ac:dyDescent="0.25">
      <x:c r="B32" s="8"/>
      <x:c r="F32" s="414" t="s">
        <x:v>192</x:v>
      </x:c>
      <x:c r="G32" s="414"/>
      <x:c r="H32" s="415"/>
      <x:c r="I32" s="416"/>
      <x:c r="J32" s="415"/>
      <x:c r="K32" s="416"/>
      <x:c r="O32" s="10"/>
      <x:c r="P32" s="2"/>
      <x:c r="Q32" s="4"/>
    </x:row>
    <x:row r="33" spans="1:17" s="1" customFormat="1" thickBot="1" x14ac:dyDescent="0.25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97" t="s">
        <x:v>47</x:v>
      </x:c>
      <x:c r="H34" s="73" t="s">
        <x:v>56</x:v>
      </x:c>
      <x:c r="I34" s="73" t="s">
        <x:v>130</x:v>
      </x:c>
      <x:c r="J34" s="73" t="s">
        <x:v>171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241" customFormat="1" ht="12" x14ac:dyDescent="0.2">
      <x:c r="B35" s="270">
        <x:v>1</x:v>
      </x:c>
      <x:c r="C35" s="271" t="s">
        <x:v>10</x:v>
      </x:c>
      <x:c r="D35" s="244">
        <x:f>REMUNERACION_ENEL!D125</x:f>
        <x:v>0</x:v>
      </x:c>
      <x:c r="E35" s="245">
        <x:f>REMUNERACION_ENEL!E125</x:f>
        <x:v>0</x:v>
      </x:c>
      <x:c r="G35" s="272">
        <x:f>REMUNERACION_ENEL!G125</x:f>
        <x:v>0</x:v>
      </x:c>
      <x:c r="H35" s="246">
        <x:f>REMUNERACION_ENEL!H125</x:f>
        <x:v>0</x:v>
      </x:c>
      <x:c r="I35" s="245">
        <x:f>REMUNERACION_ENEL!I125</x:f>
        <x:v>0</x:v>
      </x:c>
      <x:c r="J35" s="245">
        <x:f>REMUNERACION_ENEL!J125</x:f>
        <x:v>0</x:v>
      </x:c>
      <x:c r="K35" s="245">
        <x:f>REMUNERACION_ENEL!K125</x:f>
        <x:v>0</x:v>
      </x:c>
      <x:c r="L35" s="245">
        <x:f>REMUNERACION_ENEL!L125</x:f>
        <x:v>0</x:v>
      </x:c>
      <x:c r="O35" s="273"/>
      <x:c r="Q35" s="242"/>
    </x:row>
    <x:row r="36" spans="1:17" s="241" customFormat="1" ht="12" x14ac:dyDescent="0.2">
      <x:c r="B36" s="250">
        <x:v>2</x:v>
      </x:c>
      <x:c r="C36" s="274" t="s">
        <x:v>11</x:v>
      </x:c>
      <x:c r="D36" s="228">
        <x:f>REMUNERACION_ENEL!D126</x:f>
        <x:v>0</x:v>
      </x:c>
      <x:c r="E36" s="224">
        <x:f>REMUNERACION_ENEL!E126</x:f>
        <x:v>0</x:v>
      </x:c>
      <x:c r="G36" s="275">
        <x:f>REMUNERACION_ENEL!G126</x:f>
        <x:v>0</x:v>
      </x:c>
      <x:c r="H36" s="276">
        <x:f>REMUNERACION_ENEL!H126</x:f>
        <x:v>0</x:v>
      </x:c>
      <x:c r="I36" s="224">
        <x:f>REMUNERACION_ENEL!I126</x:f>
        <x:v>0</x:v>
      </x:c>
      <x:c r="J36" s="224">
        <x:f>REMUNERACION_ENEL!J126</x:f>
        <x:v>0</x:v>
      </x:c>
      <x:c r="K36" s="224">
        <x:f>REMUNERACION_ENEL!K126</x:f>
        <x:v>0</x:v>
      </x:c>
      <x:c r="L36" s="224">
        <x:f>REMUNERACION_ENEL!L126</x:f>
        <x:v>0</x:v>
      </x:c>
      <x:c r="O36" s="273"/>
      <x:c r="Q36" s="242"/>
    </x:row>
    <x:row r="37" spans="1:17" s="241" customFormat="1" ht="12" x14ac:dyDescent="0.2">
      <x:c r="B37" s="250">
        <x:v>3</x:v>
      </x:c>
      <x:c r="C37" s="274" t="s">
        <x:v>12</x:v>
      </x:c>
      <x:c r="D37" s="228">
        <x:f>REMUNERACION_ENEL!D127</x:f>
        <x:v>0</x:v>
      </x:c>
      <x:c r="E37" s="224">
        <x:f>REMUNERACION_ENEL!E127</x:f>
        <x:v>0</x:v>
      </x:c>
      <x:c r="G37" s="275">
        <x:f>REMUNERACION_ENEL!G127</x:f>
        <x:v>0</x:v>
      </x:c>
      <x:c r="H37" s="276">
        <x:f>REMUNERACION_ENEL!H127</x:f>
        <x:v>0</x:v>
      </x:c>
      <x:c r="I37" s="224">
        <x:f>REMUNERACION_ENEL!I127</x:f>
        <x:v>0</x:v>
      </x:c>
      <x:c r="J37" s="224">
        <x:f>REMUNERACION_ENEL!J127</x:f>
        <x:v>0</x:v>
      </x:c>
      <x:c r="K37" s="224">
        <x:f>REMUNERACION_ENEL!K127</x:f>
        <x:v>0</x:v>
      </x:c>
      <x:c r="L37" s="224">
        <x:f>REMUNERACION_ENEL!L127</x:f>
        <x:v>0</x:v>
      </x:c>
      <x:c r="O37" s="273"/>
      <x:c r="Q37" s="242"/>
    </x:row>
    <x:row r="38" spans="1:17" s="241" customFormat="1" ht="12" x14ac:dyDescent="0.2">
      <x:c r="B38" s="250">
        <x:v>4</x:v>
      </x:c>
      <x:c r="C38" s="274" t="s">
        <x:v>13</x:v>
      </x:c>
      <x:c r="D38" s="228">
        <x:f>REMUNERACION_ENEL!D128</x:f>
        <x:v>0</x:v>
      </x:c>
      <x:c r="E38" s="224">
        <x:f>REMUNERACION_ENEL!E128</x:f>
        <x:v>0</x:v>
      </x:c>
      <x:c r="G38" s="275">
        <x:f>REMUNERACION_ENEL!G128</x:f>
        <x:v>0</x:v>
      </x:c>
      <x:c r="H38" s="276">
        <x:f>REMUNERACION_ENEL!H128</x:f>
        <x:v>0</x:v>
      </x:c>
      <x:c r="I38" s="224">
        <x:f>REMUNERACION_ENEL!I128</x:f>
        <x:v>0</x:v>
      </x:c>
      <x:c r="J38" s="224">
        <x:f>REMUNERACION_ENEL!J128</x:f>
        <x:v>0</x:v>
      </x:c>
      <x:c r="K38" s="224">
        <x:f>REMUNERACION_ENEL!K128</x:f>
        <x:v>0</x:v>
      </x:c>
      <x:c r="L38" s="224">
        <x:f>REMUNERACION_ENEL!L128</x:f>
        <x:v>0</x:v>
      </x:c>
      <x:c r="O38" s="273"/>
      <x:c r="Q38" s="242"/>
    </x:row>
    <x:row r="39" spans="1:17" s="241" customFormat="1" ht="12" x14ac:dyDescent="0.2">
      <x:c r="B39" s="277">
        <x:v>5</x:v>
      </x:c>
      <x:c r="C39" s="278" t="s">
        <x:v>14</x:v>
      </x:c>
      <x:c r="D39" s="228">
        <x:f>REMUNERACION_ENEL!D129</x:f>
        <x:v>0</x:v>
      </x:c>
      <x:c r="E39" s="280">
        <x:f>REMUNERACION_ENEL!E129</x:f>
        <x:v>0</x:v>
      </x:c>
      <x:c r="G39" s="275">
        <x:f>REMUNERACION_ENEL!G129</x:f>
        <x:v>0</x:v>
      </x:c>
      <x:c r="H39" s="276">
        <x:f>REMUNERACION_ENEL!H129</x:f>
        <x:v>0</x:v>
      </x:c>
      <x:c r="I39" s="224">
        <x:f>REMUNERACION_ENEL!I129</x:f>
        <x:v>0</x:v>
      </x:c>
      <x:c r="J39" s="224">
        <x:f>REMUNERACION_ENEL!J129</x:f>
        <x:v>0</x:v>
      </x:c>
      <x:c r="K39" s="224">
        <x:f>REMUNERACION_ENEL!K129</x:f>
        <x:v>0</x:v>
      </x:c>
      <x:c r="L39" s="224">
        <x:f>REMUNERACION_ENEL!L129</x:f>
        <x:v>0</x:v>
      </x:c>
      <x:c r="O39" s="273"/>
      <x:c r="Q39" s="242"/>
    </x:row>
    <x:row r="40" spans="1:17" s="241" customFormat="1" thickBot="1" x14ac:dyDescent="0.25">
      <x:c r="B40" s="260" t="s">
        <x:v>89</x:v>
      </x:c>
      <x:c r="C40" s="281" t="s">
        <x:v>113</x:v>
      </x:c>
      <x:c r="D40" s="233">
        <x:f>REMUNERACION_ENEL!D130</x:f>
        <x:v>0</x:v>
      </x:c>
      <x:c r="E40" s="225">
        <x:f>REMUNERACION_ENEL!E130</x:f>
        <x:v>0</x:v>
      </x:c>
      <x:c r="G40" s="282">
        <x:f>REMUNERACION_ENEL!G130</x:f>
        <x:v>0</x:v>
      </x:c>
      <x:c r="H40" s="283">
        <x:f>REMUNERACION_ENEL!H130</x:f>
        <x:v>0</x:v>
      </x:c>
      <x:c r="I40" s="225">
        <x:f>REMUNERACION_ENEL!I130</x:f>
        <x:v>0</x:v>
      </x:c>
      <x:c r="J40" s="225">
        <x:f>REMUNERACION_ENEL!J130</x:f>
        <x:v>0</x:v>
      </x:c>
      <x:c r="K40" s="225">
        <x:f>REMUNERACION_ENEL!K130</x:f>
        <x:v>0</x:v>
      </x:c>
      <x:c r="L40" s="225">
        <x:f>REMUNERACION_ENEL!L130</x:f>
        <x:v>0</x:v>
      </x:c>
      <x:c r="O40" s="273"/>
      <x:c r="Q40" s="242"/>
    </x:row>
    <x:row r="41" spans="1:17" s="241" customFormat="1" thickBot="1" x14ac:dyDescent="0.25">
      <x:c r="B41" s="284"/>
      <x:c r="C41" s="285" t="s">
        <x:v>2</x:v>
      </x:c>
      <x:c r="D41" s="286">
        <x:f>REMUNERACION_ENEL!D131</x:f>
        <x:v>0</x:v>
      </x:c>
      <x:c r="E41" s="286">
        <x:f>REMUNERACION_ENEL!E131</x:f>
        <x:v>0</x:v>
      </x:c>
      <x:c r="F41" s="287"/>
      <x:c r="G41" s="286">
        <x:f>REMUNERACION_ENEL!G131</x:f>
        <x:v>0</x:v>
      </x:c>
      <x:c r="H41" s="286">
        <x:f>REMUNERACION_ENEL!H131</x:f>
        <x:v>0</x:v>
      </x:c>
      <x:c r="I41" s="286">
        <x:f>REMUNERACION_ENEL!I131</x:f>
        <x:v>0</x:v>
      </x:c>
      <x:c r="J41" s="286">
        <x:f>REMUNERACION_ENEL!J131</x:f>
        <x:v>0</x:v>
      </x:c>
      <x:c r="K41" s="286">
        <x:f>REMUNERACION_ENEL!K131</x:f>
        <x:v>0</x:v>
      </x:c>
      <x:c r="L41" s="286">
        <x:f>REMUNERACION_ENEL!L131</x:f>
        <x:v>0</x:v>
      </x:c>
      <x:c r="M41" s="287"/>
      <x:c r="N41" s="287"/>
      <x:c r="O41" s="288"/>
      <x:c r="P41" s="265"/>
      <x:c r="Q41" s="242"/>
    </x:row>
    <x:row r="42" spans="1:17" s="1" customFormat="1" ht="12" x14ac:dyDescent="0.2">
      <x:c r="B42" s="2"/>
      <x:c r="C42" s="2"/>
      <x:c r="D42" s="374"/>
      <x:c r="Q42" s="4"/>
    </x:row>
    <x:row r="43" spans="1:17" s="1" customFormat="1" ht="12" x14ac:dyDescent="0.2">
      <x:c r="B43" s="2"/>
      <x:c r="C43" s="2"/>
      <x:c r="D43" s="374"/>
      <x:c r="Q43" s="4"/>
    </x:row>
    <x:row r="44" spans="1:17" s="1" customFormat="1" ht="12" x14ac:dyDescent="0.2">
      <x:c r="A44" s="52"/>
      <x:c r="B44" s="53"/>
      <x:c r="C44" s="53"/>
      <x:c r="D44" s="380"/>
      <x:c r="E44" s="380"/>
      <x:c r="F44" s="380"/>
      <x:c r="G44" s="380"/>
      <x:c r="H44" s="380"/>
      <x:c r="I44" s="380"/>
      <x:c r="J44" s="52"/>
      <x:c r="K44" s="380"/>
      <x:c r="L44" s="380"/>
      <x:c r="M44" s="380"/>
      <x:c r="N44" s="380"/>
      <x:c r="O44" s="380"/>
      <x:c r="P44" s="52"/>
      <x:c r="Q44" s="4"/>
    </x:row>
    <x:row r="45" spans="1:17" s="1" customFormat="1" ht="12" x14ac:dyDescent="0.2">
      <x:c r="B45" s="2"/>
      <x:c r="C45" s="2"/>
      <x:c r="D45" s="374"/>
      <x:c r="Q45" s="4"/>
    </x:row>
    <x:row r="46" spans="1:17" s="1" customFormat="1" ht="15.75" x14ac:dyDescent="0.25">
      <x:c r="B46" s="8"/>
      <x:c r="F46" s="414" t="s">
        <x:v>331</x:v>
      </x:c>
      <x:c r="G46" s="414"/>
      <x:c r="H46" s="415"/>
      <x:c r="I46" s="416"/>
      <x:c r="J46" s="415"/>
      <x:c r="K46" s="416"/>
      <x:c r="O46" s="10"/>
      <x:c r="P46" s="2"/>
      <x:c r="Q46" s="4"/>
    </x:row>
    <x:row r="47" spans="1:17" s="1" customFormat="1" thickBot="1" x14ac:dyDescent="0.25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97" t="s">
        <x:v>47</x:v>
      </x:c>
      <x:c r="H48" s="73" t="s">
        <x:v>56</x:v>
      </x:c>
      <x:c r="I48" s="73" t="s">
        <x:v>130</x:v>
      </x:c>
      <x:c r="J48" s="73" t="s">
        <x:v>171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241" customFormat="1" ht="12" x14ac:dyDescent="0.2">
      <x:c r="B49" s="270">
        <x:v>1</x:v>
      </x:c>
      <x:c r="C49" s="271" t="s">
        <x:v>10</x:v>
      </x:c>
      <x:c r="D49" s="244">
        <x:f>REMUNERACION_ENERBIT!D125</x:f>
        <x:v>0</x:v>
      </x:c>
      <x:c r="E49" s="244">
        <x:f>REMUNERACION_ENERBIT!E125</x:f>
        <x:v>0</x:v>
      </x:c>
      <x:c r="G49" s="272">
        <x:f>REMUNERACION_ENERBIT!G125</x:f>
        <x:v>0</x:v>
      </x:c>
      <x:c r="H49" s="272">
        <x:f>REMUNERACION_ENERBIT!H125</x:f>
        <x:v>0</x:v>
      </x:c>
      <x:c r="I49" s="272">
        <x:f>REMUNERACION_ENERBIT!I125</x:f>
        <x:v>0</x:v>
      </x:c>
      <x:c r="J49" s="272">
        <x:f>REMUNERACION_ENERBIT!J125</x:f>
        <x:v>0</x:v>
      </x:c>
      <x:c r="K49" s="272">
        <x:f>REMUNERACION_ENERBIT!K125</x:f>
        <x:v>0</x:v>
      </x:c>
      <x:c r="L49" s="272">
        <x:f>REMUNERACION_ENERBIT!L125</x:f>
        <x:v>0</x:v>
      </x:c>
      <x:c r="O49" s="273"/>
      <x:c r="Q49" s="242"/>
    </x:row>
    <x:row r="50" spans="1:17" s="241" customFormat="1" ht="12" x14ac:dyDescent="0.2">
      <x:c r="B50" s="250">
        <x:v>2</x:v>
      </x:c>
      <x:c r="C50" s="274" t="s">
        <x:v>11</x:v>
      </x:c>
      <x:c r="D50" s="228">
        <x:f>REMUNERACION_ENERBIT!D126</x:f>
        <x:v>0</x:v>
      </x:c>
      <x:c r="E50" s="228">
        <x:f>REMUNERACION_ENERBIT!E126</x:f>
        <x:v>0</x:v>
      </x:c>
      <x:c r="G50" s="275">
        <x:f>REMUNERACION_ENERBIT!G126</x:f>
        <x:v>0</x:v>
      </x:c>
      <x:c r="H50" s="275">
        <x:f>REMUNERACION_ENERBIT!H126</x:f>
        <x:v>0</x:v>
      </x:c>
      <x:c r="I50" s="275">
        <x:f>REMUNERACION_ENERBIT!I126</x:f>
        <x:v>0</x:v>
      </x:c>
      <x:c r="J50" s="275">
        <x:f>REMUNERACION_ENERBIT!J126</x:f>
        <x:v>0</x:v>
      </x:c>
      <x:c r="K50" s="275">
        <x:f>REMUNERACION_ENERBIT!K126</x:f>
        <x:v>0</x:v>
      </x:c>
      <x:c r="L50" s="275">
        <x:f>REMUNERACION_ENERBIT!L126</x:f>
        <x:v>0</x:v>
      </x:c>
      <x:c r="O50" s="273"/>
      <x:c r="Q50" s="242"/>
    </x:row>
    <x:row r="51" spans="1:17" s="241" customFormat="1" ht="12" x14ac:dyDescent="0.2">
      <x:c r="B51" s="250">
        <x:v>3</x:v>
      </x:c>
      <x:c r="C51" s="274" t="s">
        <x:v>12</x:v>
      </x:c>
      <x:c r="D51" s="228">
        <x:f>REMUNERACION_ENERBIT!D127</x:f>
        <x:v>0</x:v>
      </x:c>
      <x:c r="E51" s="228">
        <x:f>REMUNERACION_ENERBIT!E127</x:f>
        <x:v>0</x:v>
      </x:c>
      <x:c r="G51" s="275">
        <x:f>REMUNERACION_ENERBIT!G127</x:f>
        <x:v>0</x:v>
      </x:c>
      <x:c r="H51" s="275">
        <x:f>REMUNERACION_ENERBIT!H127</x:f>
        <x:v>0</x:v>
      </x:c>
      <x:c r="I51" s="275">
        <x:f>REMUNERACION_ENERBIT!I127</x:f>
        <x:v>0</x:v>
      </x:c>
      <x:c r="J51" s="275">
        <x:f>REMUNERACION_ENERBIT!J127</x:f>
        <x:v>0</x:v>
      </x:c>
      <x:c r="K51" s="275">
        <x:f>REMUNERACION_ENERBIT!K127</x:f>
        <x:v>0</x:v>
      </x:c>
      <x:c r="L51" s="275">
        <x:f>REMUNERACION_ENERBIT!L127</x:f>
        <x:v>0</x:v>
      </x:c>
      <x:c r="O51" s="273"/>
      <x:c r="Q51" s="242"/>
    </x:row>
    <x:row r="52" spans="1:17" s="241" customFormat="1" ht="12" x14ac:dyDescent="0.2">
      <x:c r="B52" s="250">
        <x:v>4</x:v>
      </x:c>
      <x:c r="C52" s="274" t="s">
        <x:v>13</x:v>
      </x:c>
      <x:c r="D52" s="228">
        <x:f>REMUNERACION_ENERBIT!D128</x:f>
        <x:v>0</x:v>
      </x:c>
      <x:c r="E52" s="228">
        <x:f>REMUNERACION_ENERBIT!E128</x:f>
        <x:v>0</x:v>
      </x:c>
      <x:c r="G52" s="275">
        <x:f>REMUNERACION_ENERBIT!G128</x:f>
        <x:v>0</x:v>
      </x:c>
      <x:c r="H52" s="275">
        <x:f>REMUNERACION_ENERBIT!H128</x:f>
        <x:v>0</x:v>
      </x:c>
      <x:c r="I52" s="275">
        <x:f>REMUNERACION_ENERBIT!I128</x:f>
        <x:v>0</x:v>
      </x:c>
      <x:c r="J52" s="275">
        <x:f>REMUNERACION_ENERBIT!J128</x:f>
        <x:v>0</x:v>
      </x:c>
      <x:c r="K52" s="275">
        <x:f>REMUNERACION_ENERBIT!K128</x:f>
        <x:v>0</x:v>
      </x:c>
      <x:c r="L52" s="275">
        <x:f>REMUNERACION_ENERBIT!L128</x:f>
        <x:v>0</x:v>
      </x:c>
      <x:c r="O52" s="273"/>
      <x:c r="Q52" s="242"/>
    </x:row>
    <x:row r="53" spans="1:17" s="241" customFormat="1" ht="12" x14ac:dyDescent="0.2">
      <x:c r="B53" s="277">
        <x:v>5</x:v>
      </x:c>
      <x:c r="C53" s="278" t="s">
        <x:v>14</x:v>
      </x:c>
      <x:c r="D53" s="228">
        <x:f>REMUNERACION_ENERBIT!D129</x:f>
        <x:v>0</x:v>
      </x:c>
      <x:c r="E53" s="228">
        <x:f>REMUNERACION_ENERBIT!E129</x:f>
        <x:v>0</x:v>
      </x:c>
      <x:c r="G53" s="275">
        <x:f>REMUNERACION_ENERBIT!G129</x:f>
        <x:v>0</x:v>
      </x:c>
      <x:c r="H53" s="275">
        <x:f>REMUNERACION_ENERBIT!H129</x:f>
        <x:v>0</x:v>
      </x:c>
      <x:c r="I53" s="275">
        <x:f>REMUNERACION_ENERBIT!I129</x:f>
        <x:v>0</x:v>
      </x:c>
      <x:c r="J53" s="275">
        <x:f>REMUNERACION_ENERBIT!J129</x:f>
        <x:v>0</x:v>
      </x:c>
      <x:c r="K53" s="275">
        <x:f>REMUNERACION_ENERBIT!K129</x:f>
        <x:v>0</x:v>
      </x:c>
      <x:c r="L53" s="275">
        <x:f>REMUNERACION_ENERBIT!L129</x:f>
        <x:v>0</x:v>
      </x:c>
      <x:c r="O53" s="273"/>
      <x:c r="Q53" s="242"/>
    </x:row>
    <x:row r="54" spans="1:17" s="241" customFormat="1" thickBot="1" x14ac:dyDescent="0.25">
      <x:c r="B54" s="260" t="s">
        <x:v>89</x:v>
      </x:c>
      <x:c r="C54" s="281" t="s">
        <x:v>113</x:v>
      </x:c>
      <x:c r="D54" s="233">
        <x:f>REMUNERACION_ENERBIT!D130</x:f>
        <x:v>0</x:v>
      </x:c>
      <x:c r="E54" s="233">
        <x:f>REMUNERACION_ENERBIT!E130</x:f>
        <x:v>0</x:v>
      </x:c>
      <x:c r="G54" s="282">
        <x:f>REMUNERACION_ENERBIT!G130</x:f>
        <x:v>0</x:v>
      </x:c>
      <x:c r="H54" s="282">
        <x:f>REMUNERACION_ENERBIT!H130</x:f>
        <x:v>0</x:v>
      </x:c>
      <x:c r="I54" s="282">
        <x:f>REMUNERACION_ENERBIT!I130</x:f>
        <x:v>0</x:v>
      </x:c>
      <x:c r="J54" s="282">
        <x:f>REMUNERACION_ENERBIT!J130</x:f>
        <x:v>0</x:v>
      </x:c>
      <x:c r="K54" s="282">
        <x:f>REMUNERACION_ENERBIT!K130</x:f>
        <x:v>0</x:v>
      </x:c>
      <x:c r="L54" s="282">
        <x:f>REMUNERACION_ENERBIT!L130</x:f>
        <x:v>0</x:v>
      </x:c>
      <x:c r="O54" s="273"/>
      <x:c r="Q54" s="242"/>
    </x:row>
    <x:row r="55" spans="1:17" s="241" customFormat="1" thickBot="1" x14ac:dyDescent="0.25">
      <x:c r="B55" s="284"/>
      <x:c r="C55" s="285" t="s">
        <x:v>2</x:v>
      </x:c>
      <x:c r="D55" s="286">
        <x:f>REMUNERACION_ENERBIT!D131</x:f>
        <x:v>0</x:v>
      </x:c>
      <x:c r="E55" s="286">
        <x:f>REMUNERACION_ENERBIT!E131</x:f>
        <x:v>0</x:v>
      </x:c>
      <x:c r="F55" s="287"/>
      <x:c r="G55" s="286">
        <x:f>REMUNERACION_ENERBIT!G131</x:f>
        <x:v>0</x:v>
      </x:c>
      <x:c r="H55" s="286">
        <x:f>REMUNERACION_ENERBIT!H131</x:f>
        <x:v>0</x:v>
      </x:c>
      <x:c r="I55" s="286">
        <x:f>REMUNERACION_ENERBIT!I131</x:f>
        <x:v>0</x:v>
      </x:c>
      <x:c r="J55" s="286">
        <x:f>REMUNERACION_ENERBIT!J131</x:f>
        <x:v>0</x:v>
      </x:c>
      <x:c r="K55" s="286">
        <x:f>REMUNERACION_ENERBIT!K131</x:f>
        <x:v>0</x:v>
      </x:c>
      <x:c r="L55" s="286">
        <x:f>REMUNERACION_ENERBIT!L131</x:f>
        <x:v>0</x:v>
      </x:c>
      <x:c r="M55" s="287"/>
      <x:c r="N55" s="287"/>
      <x:c r="O55" s="288"/>
      <x:c r="P55" s="265"/>
      <x:c r="Q55" s="242"/>
    </x:row>
    <x:row r="56" spans="1:17" s="1" customFormat="1" ht="12" x14ac:dyDescent="0.2">
      <x:c r="B56" s="2"/>
      <x:c r="C56" s="2"/>
      <x:c r="D56" s="374"/>
      <x:c r="Q56" s="4"/>
    </x:row>
    <x:row r="57" spans="1:17" s="1" customFormat="1" ht="12" x14ac:dyDescent="0.2">
      <x:c r="B57" s="2"/>
      <x:c r="C57" s="2"/>
      <x:c r="D57" s="374"/>
      <x:c r="Q57" s="4"/>
    </x:row>
    <x:row r="58" spans="1:17" s="1" customFormat="1" ht="12" x14ac:dyDescent="0.2">
      <x:c r="A58" s="52"/>
      <x:c r="B58" s="53"/>
      <x:c r="C58" s="53"/>
      <x:c r="D58" s="380"/>
      <x:c r="E58" s="380"/>
      <x:c r="F58" s="380"/>
      <x:c r="G58" s="380"/>
      <x:c r="H58" s="380"/>
      <x:c r="I58" s="380"/>
      <x:c r="J58" s="52"/>
      <x:c r="K58" s="380"/>
      <x:c r="L58" s="380"/>
      <x:c r="M58" s="380"/>
      <x:c r="N58" s="380"/>
      <x:c r="O58" s="380"/>
      <x:c r="P58" s="52"/>
      <x:c r="Q58" s="4"/>
    </x:row>
    <x:row r="60" spans="1:17" s="1" customFormat="1" ht="15.75" x14ac:dyDescent="0.25">
      <x:c r="B60" s="8"/>
      <x:c r="F60" s="399" t="s">
        <x:v>193</x:v>
      </x:c>
      <x:c r="G60" s="399"/>
      <x:c r="H60" s="400"/>
      <x:c r="I60" s="401"/>
      <x:c r="J60" s="400"/>
      <x:c r="K60" s="401"/>
      <x:c r="O60" s="10"/>
      <x:c r="P60" s="2"/>
      <x:c r="Q60" s="4"/>
    </x:row>
    <x:row r="61" spans="1:17" s="1" customFormat="1" thickBot="1" x14ac:dyDescent="0.25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97" t="s">
        <x:v>47</x:v>
      </x:c>
      <x:c r="H62" s="73" t="s">
        <x:v>56</x:v>
      </x:c>
      <x:c r="I62" s="73" t="s">
        <x:v>130</x:v>
      </x:c>
      <x:c r="J62" s="73" t="s">
        <x:v>171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241" customFormat="1" ht="12" x14ac:dyDescent="0.2">
      <x:c r="B63" s="270">
        <x:v>1</x:v>
      </x:c>
      <x:c r="C63" s="271" t="s">
        <x:v>10</x:v>
      </x:c>
      <x:c r="D63" s="244">
        <x:f>'REMUNERACION_OCCIDENTE_ Directa'!D125</x:f>
        <x:v>0</x:v>
      </x:c>
      <x:c r="E63" s="245">
        <x:f>'REMUNERACION_OCCIDENTE_ Directa'!E125</x:f>
        <x:v>0</x:v>
      </x:c>
      <x:c r="G63" s="272">
        <x:f>'REMUNERACION_OCCIDENTE_ Directa'!G125</x:f>
        <x:v>0</x:v>
      </x:c>
      <x:c r="H63" s="246">
        <x:f>'REMUNERACION_OCCIDENTE_ Directa'!H125</x:f>
        <x:v>0</x:v>
      </x:c>
      <x:c r="I63" s="245">
        <x:f>'REMUNERACION_OCCIDENTE_ Directa'!I125</x:f>
        <x:v>0</x:v>
      </x:c>
      <x:c r="J63" s="245">
        <x:f>'REMUNERACION_OCCIDENTE_ Directa'!J125</x:f>
        <x:v>0</x:v>
      </x:c>
      <x:c r="K63" s="245">
        <x:f>'REMUNERACION_OCCIDENTE_ Directa'!K125</x:f>
        <x:v>0</x:v>
      </x:c>
      <x:c r="L63" s="245">
        <x:f>'REMUNERACION_OCCIDENTE_ Directa'!L125</x:f>
        <x:v>0</x:v>
      </x:c>
      <x:c r="O63" s="273"/>
      <x:c r="Q63" s="242"/>
    </x:row>
    <x:row r="64" spans="1:17" s="241" customFormat="1" ht="12" x14ac:dyDescent="0.2">
      <x:c r="B64" s="250">
        <x:v>2</x:v>
      </x:c>
      <x:c r="C64" s="274" t="s">
        <x:v>11</x:v>
      </x:c>
      <x:c r="D64" s="228">
        <x:f>'REMUNERACION_OCCIDENTE_ Directa'!D126</x:f>
        <x:v>0</x:v>
      </x:c>
      <x:c r="E64" s="224">
        <x:f>'REMUNERACION_OCCIDENTE_ Directa'!E126</x:f>
        <x:v>0</x:v>
      </x:c>
      <x:c r="G64" s="275">
        <x:f>'REMUNERACION_OCCIDENTE_ Directa'!G126</x:f>
        <x:v>0</x:v>
      </x:c>
      <x:c r="H64" s="276">
        <x:f>'REMUNERACION_OCCIDENTE_ Directa'!H126</x:f>
        <x:v>0</x:v>
      </x:c>
      <x:c r="I64" s="224">
        <x:f>'REMUNERACION_OCCIDENTE_ Directa'!I126</x:f>
        <x:v>0</x:v>
      </x:c>
      <x:c r="J64" s="224">
        <x:f>'REMUNERACION_OCCIDENTE_ Directa'!J126</x:f>
        <x:v>0</x:v>
      </x:c>
      <x:c r="K64" s="224">
        <x:f>'REMUNERACION_OCCIDENTE_ Directa'!K126</x:f>
        <x:v>0</x:v>
      </x:c>
      <x:c r="L64" s="224">
        <x:f>'REMUNERACION_OCCIDENTE_ Directa'!L126</x:f>
        <x:v>0</x:v>
      </x:c>
      <x:c r="O64" s="273"/>
      <x:c r="Q64" s="242"/>
    </x:row>
    <x:row r="65" spans="1:17" s="241" customFormat="1" ht="12" x14ac:dyDescent="0.2">
      <x:c r="B65" s="250">
        <x:v>3</x:v>
      </x:c>
      <x:c r="C65" s="274" t="s">
        <x:v>12</x:v>
      </x:c>
      <x:c r="D65" s="228">
        <x:f>'REMUNERACION_OCCIDENTE_ Directa'!D127</x:f>
        <x:v>0</x:v>
      </x:c>
      <x:c r="E65" s="224">
        <x:f>'REMUNERACION_OCCIDENTE_ Directa'!E127</x:f>
        <x:v>0</x:v>
      </x:c>
      <x:c r="G65" s="275">
        <x:f>'REMUNERACION_OCCIDENTE_ Directa'!G127</x:f>
        <x:v>0</x:v>
      </x:c>
      <x:c r="H65" s="276">
        <x:f>'REMUNERACION_OCCIDENTE_ Directa'!H127</x:f>
        <x:v>0</x:v>
      </x:c>
      <x:c r="I65" s="224">
        <x:f>'REMUNERACION_OCCIDENTE_ Directa'!I127</x:f>
        <x:v>0</x:v>
      </x:c>
      <x:c r="J65" s="224">
        <x:f>'REMUNERACION_OCCIDENTE_ Directa'!J127</x:f>
        <x:v>0</x:v>
      </x:c>
      <x:c r="K65" s="224">
        <x:f>'REMUNERACION_OCCIDENTE_ Directa'!K127</x:f>
        <x:v>0</x:v>
      </x:c>
      <x:c r="L65" s="224">
        <x:f>'REMUNERACION_OCCIDENTE_ Directa'!L127</x:f>
        <x:v>0</x:v>
      </x:c>
      <x:c r="O65" s="273"/>
      <x:c r="Q65" s="242"/>
    </x:row>
    <x:row r="66" spans="1:17" s="241" customFormat="1" ht="12" x14ac:dyDescent="0.2">
      <x:c r="B66" s="250">
        <x:v>4</x:v>
      </x:c>
      <x:c r="C66" s="274" t="s">
        <x:v>13</x:v>
      </x:c>
      <x:c r="D66" s="228">
        <x:f>'REMUNERACION_OCCIDENTE_ Directa'!D128</x:f>
        <x:v>0</x:v>
      </x:c>
      <x:c r="E66" s="224">
        <x:f>'REMUNERACION_OCCIDENTE_ Directa'!E128</x:f>
        <x:v>0</x:v>
      </x:c>
      <x:c r="G66" s="275">
        <x:f>'REMUNERACION_OCCIDENTE_ Directa'!G128</x:f>
        <x:v>0</x:v>
      </x:c>
      <x:c r="H66" s="276">
        <x:f>'REMUNERACION_OCCIDENTE_ Directa'!H128</x:f>
        <x:v>0</x:v>
      </x:c>
      <x:c r="I66" s="224">
        <x:f>'REMUNERACION_OCCIDENTE_ Directa'!I128</x:f>
        <x:v>0</x:v>
      </x:c>
      <x:c r="J66" s="224">
        <x:f>'REMUNERACION_OCCIDENTE_ Directa'!J128</x:f>
        <x:v>0</x:v>
      </x:c>
      <x:c r="K66" s="224">
        <x:f>'REMUNERACION_OCCIDENTE_ Directa'!K128</x:f>
        <x:v>0</x:v>
      </x:c>
      <x:c r="L66" s="224">
        <x:f>'REMUNERACION_OCCIDENTE_ Directa'!L128</x:f>
        <x:v>0</x:v>
      </x:c>
      <x:c r="O66" s="273"/>
      <x:c r="Q66" s="242"/>
    </x:row>
    <x:row r="67" spans="1:17" s="241" customFormat="1" ht="12" x14ac:dyDescent="0.2">
      <x:c r="B67" s="277">
        <x:v>5</x:v>
      </x:c>
      <x:c r="C67" s="278" t="s">
        <x:v>14</x:v>
      </x:c>
      <x:c r="D67" s="228">
        <x:f>'REMUNERACION_OCCIDENTE_ Directa'!D129</x:f>
        <x:v>0</x:v>
      </x:c>
      <x:c r="E67" s="280">
        <x:f>'REMUNERACION_OCCIDENTE_ Directa'!E129</x:f>
        <x:v>0</x:v>
      </x:c>
      <x:c r="G67" s="275">
        <x:f>'REMUNERACION_OCCIDENTE_ Directa'!G129</x:f>
        <x:v>0</x:v>
      </x:c>
      <x:c r="H67" s="276">
        <x:f>'REMUNERACION_OCCIDENTE_ Directa'!H129</x:f>
        <x:v>0</x:v>
      </x:c>
      <x:c r="I67" s="224">
        <x:f>'REMUNERACION_OCCIDENTE_ Directa'!I129</x:f>
        <x:v>0</x:v>
      </x:c>
      <x:c r="J67" s="224">
        <x:f>'REMUNERACION_OCCIDENTE_ Directa'!J129</x:f>
        <x:v>0</x:v>
      </x:c>
      <x:c r="K67" s="224">
        <x:f>'REMUNERACION_OCCIDENTE_ Directa'!K129</x:f>
        <x:v>0</x:v>
      </x:c>
      <x:c r="L67" s="224">
        <x:f>'REMUNERACION_OCCIDENTE_ Directa'!L129</x:f>
        <x:v>0</x:v>
      </x:c>
      <x:c r="O67" s="273"/>
      <x:c r="Q67" s="242"/>
    </x:row>
    <x:row r="68" spans="1:17" s="241" customFormat="1" thickBot="1" x14ac:dyDescent="0.25">
      <x:c r="B68" s="260" t="s">
        <x:v>89</x:v>
      </x:c>
      <x:c r="C68" s="281" t="s">
        <x:v>113</x:v>
      </x:c>
      <x:c r="D68" s="233">
        <x:f>'REMUNERACION_OCCIDENTE_ Directa'!D130</x:f>
        <x:v>0</x:v>
      </x:c>
      <x:c r="E68" s="225">
        <x:f>'REMUNERACION_OCCIDENTE_ Directa'!E130</x:f>
        <x:v>0</x:v>
      </x:c>
      <x:c r="G68" s="282">
        <x:f>'REMUNERACION_OCCIDENTE_ Directa'!G130</x:f>
        <x:v>0</x:v>
      </x:c>
      <x:c r="H68" s="283">
        <x:f>'REMUNERACION_OCCIDENTE_ Directa'!H130</x:f>
        <x:v>0</x:v>
      </x:c>
      <x:c r="I68" s="225">
        <x:f>'REMUNERACION_OCCIDENTE_ Directa'!I130</x:f>
        <x:v>0</x:v>
      </x:c>
      <x:c r="J68" s="225">
        <x:f>'REMUNERACION_OCCIDENTE_ Directa'!J130</x:f>
        <x:v>0</x:v>
      </x:c>
      <x:c r="K68" s="225">
        <x:f>'REMUNERACION_OCCIDENTE_ Directa'!K130</x:f>
        <x:v>0</x:v>
      </x:c>
      <x:c r="L68" s="225">
        <x:f>'REMUNERACION_OCCIDENTE_ Directa'!L130</x:f>
        <x:v>0</x:v>
      </x:c>
      <x:c r="O68" s="273"/>
      <x:c r="Q68" s="242"/>
    </x:row>
    <x:row r="69" spans="1:17" s="241" customFormat="1" thickBot="1" x14ac:dyDescent="0.25">
      <x:c r="B69" s="284"/>
      <x:c r="C69" s="285" t="s">
        <x:v>2</x:v>
      </x:c>
      <x:c r="D69" s="286">
        <x:f>'REMUNERACION_OCCIDENTE_ Directa'!D131</x:f>
        <x:v>0</x:v>
      </x:c>
      <x:c r="E69" s="286">
        <x:f>'REMUNERACION_OCCIDENTE_ Directa'!E131</x:f>
        <x:v>0</x:v>
      </x:c>
      <x:c r="F69" s="287"/>
      <x:c r="G69" s="286">
        <x:f>'REMUNERACION_OCCIDENTE_ Directa'!G131</x:f>
        <x:v>0</x:v>
      </x:c>
      <x:c r="H69" s="286">
        <x:f>'REMUNERACION_OCCIDENTE_ Directa'!H131</x:f>
        <x:v>0</x:v>
      </x:c>
      <x:c r="I69" s="286">
        <x:f>'REMUNERACION_OCCIDENTE_ Directa'!I131</x:f>
        <x:v>0</x:v>
      </x:c>
      <x:c r="J69" s="286">
        <x:f>'REMUNERACION_OCCIDENTE_ Directa'!J131</x:f>
        <x:v>0</x:v>
      </x:c>
      <x:c r="K69" s="286">
        <x:f>'REMUNERACION_OCCIDENTE_ Directa'!K131</x:f>
        <x:v>0</x:v>
      </x:c>
      <x:c r="L69" s="286">
        <x:f>'REMUNERACION_OCCIDENTE_ Directa'!L131</x:f>
        <x:v>0</x:v>
      </x:c>
      <x:c r="M69" s="287"/>
      <x:c r="N69" s="287"/>
      <x:c r="O69" s="288"/>
      <x:c r="P69" s="265"/>
      <x:c r="Q69" s="242"/>
    </x:row>
    <x:row r="70" spans="1:17" s="1" customFormat="1" ht="12" x14ac:dyDescent="0.2">
      <x:c r="B70" s="2"/>
      <x:c r="C70" s="2"/>
      <x:c r="D70" s="374"/>
      <x:c r="Q70" s="4"/>
    </x:row>
    <x:row r="71" spans="1:17" s="1" customFormat="1" ht="12" x14ac:dyDescent="0.2">
      <x:c r="B71" s="2"/>
      <x:c r="C71" s="2"/>
      <x:c r="D71" s="374"/>
      <x:c r="Q71" s="4"/>
    </x:row>
    <x:row r="72" spans="1:17" s="1" customFormat="1" ht="12" x14ac:dyDescent="0.2">
      <x:c r="A72" s="52"/>
      <x:c r="B72" s="53"/>
      <x:c r="C72" s="53"/>
      <x:c r="D72" s="380"/>
      <x:c r="E72" s="380"/>
      <x:c r="F72" s="380"/>
      <x:c r="G72" s="380"/>
      <x:c r="H72" s="380"/>
      <x:c r="I72" s="380"/>
      <x:c r="J72" s="52"/>
      <x:c r="K72" s="380"/>
      <x:c r="L72" s="380"/>
      <x:c r="M72" s="380"/>
      <x:c r="N72" s="380"/>
      <x:c r="O72" s="380"/>
      <x:c r="P72" s="52"/>
      <x:c r="Q72" s="4"/>
    </x:row>
    <x:row r="74" spans="1:17" s="1" customFormat="1" ht="15.75" x14ac:dyDescent="0.25">
      <x:c r="B74" s="8"/>
      <x:c r="F74" s="58" t="s">
        <x:v>194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thickBot="1" x14ac:dyDescent="0.25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97" t="s">
        <x:v>47</x:v>
      </x:c>
      <x:c r="H76" s="73" t="s">
        <x:v>56</x:v>
      </x:c>
      <x:c r="I76" s="73" t="s">
        <x:v>130</x:v>
      </x:c>
      <x:c r="J76" s="73" t="s">
        <x:v>171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241" customFormat="1" ht="12" x14ac:dyDescent="0.2">
      <x:c r="B77" s="270">
        <x:v>1</x:v>
      </x:c>
      <x:c r="C77" s="271" t="s">
        <x:v>10</x:v>
      </x:c>
      <x:c r="D77" s="244">
        <x:f>'REMUNERACION_EAAB-CL'!D125</x:f>
        <x:v>0</x:v>
      </x:c>
      <x:c r="E77" s="245">
        <x:f>'REMUNERACION_EAAB-CL'!E125</x:f>
        <x:v>0</x:v>
      </x:c>
      <x:c r="G77" s="272">
        <x:f>'REMUNERACION_EAAB-CL'!G125</x:f>
        <x:v>0</x:v>
      </x:c>
      <x:c r="H77" s="246">
        <x:f>'REMUNERACION_EAAB-CL'!H125</x:f>
        <x:v>0</x:v>
      </x:c>
      <x:c r="I77" s="245">
        <x:f>'REMUNERACION_EAAB-CL'!I125</x:f>
        <x:v>0</x:v>
      </x:c>
      <x:c r="J77" s="245">
        <x:f>'REMUNERACION_EAAB-CL'!J125</x:f>
        <x:v>0</x:v>
      </x:c>
      <x:c r="K77" s="245">
        <x:f>'REMUNERACION_EAAB-CL'!K125</x:f>
        <x:v>0</x:v>
      </x:c>
      <x:c r="L77" s="245">
        <x:f>'REMUNERACION_EAAB-CL'!L125</x:f>
        <x:v>0</x:v>
      </x:c>
      <x:c r="O77" s="273"/>
      <x:c r="Q77" s="242"/>
    </x:row>
    <x:row r="78" spans="1:17" s="241" customFormat="1" ht="12" x14ac:dyDescent="0.2">
      <x:c r="B78" s="250">
        <x:v>2</x:v>
      </x:c>
      <x:c r="C78" s="274" t="s">
        <x:v>11</x:v>
      </x:c>
      <x:c r="D78" s="228">
        <x:f>'REMUNERACION_EAAB-CL'!D126</x:f>
        <x:v>0</x:v>
      </x:c>
      <x:c r="E78" s="224">
        <x:f>'REMUNERACION_EAAB-CL'!E126</x:f>
        <x:v>0</x:v>
      </x:c>
      <x:c r="G78" s="275">
        <x:f>'REMUNERACION_EAAB-CL'!G126</x:f>
        <x:v>0</x:v>
      </x:c>
      <x:c r="H78" s="276">
        <x:f>'REMUNERACION_EAAB-CL'!H126</x:f>
        <x:v>0</x:v>
      </x:c>
      <x:c r="I78" s="224">
        <x:f>'REMUNERACION_EAAB-CL'!I126</x:f>
        <x:v>0</x:v>
      </x:c>
      <x:c r="J78" s="224">
        <x:f>'REMUNERACION_EAAB-CL'!J126</x:f>
        <x:v>0</x:v>
      </x:c>
      <x:c r="K78" s="224">
        <x:f>'REMUNERACION_EAAB-CL'!K126</x:f>
        <x:v>0</x:v>
      </x:c>
      <x:c r="L78" s="224">
        <x:f>'REMUNERACION_EAAB-CL'!L126</x:f>
        <x:v>0</x:v>
      </x:c>
      <x:c r="O78" s="273"/>
      <x:c r="Q78" s="242"/>
    </x:row>
    <x:row r="79" spans="1:17" s="241" customFormat="1" ht="12" x14ac:dyDescent="0.2">
      <x:c r="B79" s="250">
        <x:v>3</x:v>
      </x:c>
      <x:c r="C79" s="274" t="s">
        <x:v>12</x:v>
      </x:c>
      <x:c r="D79" s="228">
        <x:f>'REMUNERACION_EAAB-CL'!D127</x:f>
        <x:v>0</x:v>
      </x:c>
      <x:c r="E79" s="224">
        <x:f>'REMUNERACION_EAAB-CL'!E127</x:f>
        <x:v>0</x:v>
      </x:c>
      <x:c r="G79" s="275">
        <x:f>'REMUNERACION_EAAB-CL'!G127</x:f>
        <x:v>0</x:v>
      </x:c>
      <x:c r="H79" s="276">
        <x:f>'REMUNERACION_EAAB-CL'!H127</x:f>
        <x:v>0</x:v>
      </x:c>
      <x:c r="I79" s="224">
        <x:f>'REMUNERACION_EAAB-CL'!I127</x:f>
        <x:v>0</x:v>
      </x:c>
      <x:c r="J79" s="224">
        <x:f>'REMUNERACION_EAAB-CL'!J127</x:f>
        <x:v>0</x:v>
      </x:c>
      <x:c r="K79" s="224">
        <x:f>'REMUNERACION_EAAB-CL'!K127</x:f>
        <x:v>0</x:v>
      </x:c>
      <x:c r="L79" s="224">
        <x:f>'REMUNERACION_EAAB-CL'!L127</x:f>
        <x:v>0</x:v>
      </x:c>
      <x:c r="O79" s="273"/>
      <x:c r="Q79" s="242"/>
    </x:row>
    <x:row r="80" spans="1:17" s="241" customFormat="1" ht="12" x14ac:dyDescent="0.2">
      <x:c r="B80" s="250">
        <x:v>4</x:v>
      </x:c>
      <x:c r="C80" s="274" t="s">
        <x:v>13</x:v>
      </x:c>
      <x:c r="D80" s="228">
        <x:f>'REMUNERACION_EAAB-CL'!D128</x:f>
        <x:v>0</x:v>
      </x:c>
      <x:c r="E80" s="224">
        <x:f>'REMUNERACION_EAAB-CL'!E128</x:f>
        <x:v>0</x:v>
      </x:c>
      <x:c r="G80" s="275">
        <x:f>'REMUNERACION_EAAB-CL'!G128</x:f>
        <x:v>0</x:v>
      </x:c>
      <x:c r="H80" s="276">
        <x:f>'REMUNERACION_EAAB-CL'!H128</x:f>
        <x:v>0</x:v>
      </x:c>
      <x:c r="I80" s="224">
        <x:f>'REMUNERACION_EAAB-CL'!I128</x:f>
        <x:v>0</x:v>
      </x:c>
      <x:c r="J80" s="224">
        <x:f>'REMUNERACION_EAAB-CL'!J128</x:f>
        <x:v>0</x:v>
      </x:c>
      <x:c r="K80" s="224">
        <x:f>'REMUNERACION_EAAB-CL'!K128</x:f>
        <x:v>0</x:v>
      </x:c>
      <x:c r="L80" s="224">
        <x:f>'REMUNERACION_EAAB-CL'!L128</x:f>
        <x:v>0</x:v>
      </x:c>
      <x:c r="O80" s="273"/>
      <x:c r="Q80" s="242"/>
    </x:row>
    <x:row r="81" spans="1:17" s="241" customFormat="1" ht="12" x14ac:dyDescent="0.2">
      <x:c r="B81" s="277">
        <x:v>5</x:v>
      </x:c>
      <x:c r="C81" s="278" t="s">
        <x:v>14</x:v>
      </x:c>
      <x:c r="D81" s="228">
        <x:f>'REMUNERACION_EAAB-CL'!D129</x:f>
        <x:v>0</x:v>
      </x:c>
      <x:c r="E81" s="280">
        <x:f>'REMUNERACION_EAAB-CL'!E129</x:f>
        <x:v>0</x:v>
      </x:c>
      <x:c r="G81" s="275">
        <x:f>'REMUNERACION_EAAB-CL'!G129</x:f>
        <x:v>0</x:v>
      </x:c>
      <x:c r="H81" s="276">
        <x:f>'REMUNERACION_EAAB-CL'!H129</x:f>
        <x:v>0</x:v>
      </x:c>
      <x:c r="I81" s="224">
        <x:f>'REMUNERACION_EAAB-CL'!I129</x:f>
        <x:v>0</x:v>
      </x:c>
      <x:c r="J81" s="224">
        <x:f>'REMUNERACION_EAAB-CL'!J129</x:f>
        <x:v>0</x:v>
      </x:c>
      <x:c r="K81" s="224">
        <x:f>'REMUNERACION_EAAB-CL'!K129</x:f>
        <x:v>0</x:v>
      </x:c>
      <x:c r="L81" s="224">
        <x:f>'REMUNERACION_EAAB-CL'!L129</x:f>
        <x:v>0</x:v>
      </x:c>
      <x:c r="O81" s="273"/>
      <x:c r="Q81" s="242"/>
    </x:row>
    <x:row r="82" spans="1:17" s="241" customFormat="1" thickBot="1" x14ac:dyDescent="0.25">
      <x:c r="B82" s="260" t="s">
        <x:v>89</x:v>
      </x:c>
      <x:c r="C82" s="281" t="s">
        <x:v>113</x:v>
      </x:c>
      <x:c r="D82" s="233">
        <x:f>'REMUNERACION_EAAB-CL'!D130</x:f>
        <x:v>0</x:v>
      </x:c>
      <x:c r="E82" s="225">
        <x:f>'REMUNERACION_EAAB-CL'!E130</x:f>
        <x:v>0</x:v>
      </x:c>
      <x:c r="G82" s="282">
        <x:f>'REMUNERACION_EAAB-CL'!G130</x:f>
        <x:v>0</x:v>
      </x:c>
      <x:c r="H82" s="283">
        <x:f>'REMUNERACION_EAAB-CL'!H130</x:f>
        <x:v>0</x:v>
      </x:c>
      <x:c r="I82" s="225">
        <x:f>'REMUNERACION_EAAB-CL'!I130</x:f>
        <x:v>0</x:v>
      </x:c>
      <x:c r="J82" s="225">
        <x:f>'REMUNERACION_EAAB-CL'!J130</x:f>
        <x:v>0</x:v>
      </x:c>
      <x:c r="K82" s="225">
        <x:f>'REMUNERACION_EAAB-CL'!K130</x:f>
        <x:v>0</x:v>
      </x:c>
      <x:c r="L82" s="225">
        <x:f>'REMUNERACION_EAAB-CL'!L130</x:f>
        <x:v>0</x:v>
      </x:c>
      <x:c r="O82" s="273"/>
      <x:c r="Q82" s="242"/>
    </x:row>
    <x:row r="83" spans="1:17" s="241" customFormat="1" thickBot="1" x14ac:dyDescent="0.25">
      <x:c r="B83" s="284"/>
      <x:c r="C83" s="285" t="s">
        <x:v>2</x:v>
      </x:c>
      <x:c r="D83" s="286">
        <x:f>'REMUNERACION_EAAB-CL'!D131</x:f>
        <x:v>0</x:v>
      </x:c>
      <x:c r="E83" s="286">
        <x:f>'REMUNERACION_EAAB-CL'!E131</x:f>
        <x:v>0</x:v>
      </x:c>
      <x:c r="F83" s="287"/>
      <x:c r="G83" s="286">
        <x:f>'REMUNERACION_EAAB-CL'!G131</x:f>
        <x:v>0</x:v>
      </x:c>
      <x:c r="H83" s="286">
        <x:f>'REMUNERACION_EAAB-CL'!H131</x:f>
        <x:v>0</x:v>
      </x:c>
      <x:c r="I83" s="286">
        <x:f>'REMUNERACION_EAAB-CL'!I131</x:f>
        <x:v>0</x:v>
      </x:c>
      <x:c r="J83" s="286">
        <x:f>'REMUNERACION_EAAB-CL'!J131</x:f>
        <x:v>0</x:v>
      </x:c>
      <x:c r="K83" s="286">
        <x:f>'REMUNERACION_EAAB-CL'!K131</x:f>
        <x:v>0</x:v>
      </x:c>
      <x:c r="L83" s="286">
        <x:f>'REMUNERACION_EAAB-CL'!L131</x:f>
        <x:v>0</x:v>
      </x:c>
      <x:c r="M83" s="287"/>
      <x:c r="N83" s="287"/>
      <x:c r="O83" s="288"/>
      <x:c r="P83" s="265"/>
      <x:c r="Q83" s="242"/>
    </x:row>
    <x:row r="84" spans="1:17" s="1" customFormat="1" ht="12" x14ac:dyDescent="0.2">
      <x:c r="B84" s="2"/>
      <x:c r="C84" s="2"/>
      <x:c r="D84" s="374"/>
      <x:c r="Q84" s="4"/>
    </x:row>
    <x:row r="85" spans="1:17" s="1" customFormat="1" ht="12" x14ac:dyDescent="0.2">
      <x:c r="B85" s="2"/>
      <x:c r="C85" s="2"/>
      <x:c r="D85" s="374"/>
      <x:c r="Q85" s="4"/>
    </x:row>
    <x:row r="86" spans="1:17" s="1" customFormat="1" ht="12" x14ac:dyDescent="0.2">
      <x:c r="A86" s="52"/>
      <x:c r="B86" s="53"/>
      <x:c r="C86" s="53"/>
      <x:c r="D86" s="380"/>
      <x:c r="E86" s="380"/>
      <x:c r="F86" s="380"/>
      <x:c r="G86" s="380"/>
      <x:c r="H86" s="380"/>
      <x:c r="I86" s="380"/>
      <x:c r="J86" s="52"/>
      <x:c r="K86" s="380"/>
      <x:c r="L86" s="380"/>
      <x:c r="M86" s="380"/>
      <x:c r="N86" s="380"/>
      <x:c r="O86" s="380"/>
      <x:c r="P86" s="52"/>
      <x:c r="Q86" s="4"/>
    </x:row>
    <x:row r="88" spans="1:17" ht="15.75" x14ac:dyDescent="0.25">
      <x:c r="F88" s="41" t="s">
        <x:v>190</x:v>
      </x:c>
    </x:row>
    <x:row r="89" spans="1:17" s="1" customFormat="1" ht="15.75" x14ac:dyDescent="0.25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thickBot="1" x14ac:dyDescent="0.25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97" t="s">
        <x:v>47</x:v>
      </x:c>
      <x:c r="H91" s="73" t="s">
        <x:v>56</x:v>
      </x:c>
      <x:c r="I91" s="73" t="s">
        <x:v>130</x:v>
      </x:c>
      <x:c r="J91" s="73" t="s">
        <x:v>171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241" customFormat="1" ht="12" x14ac:dyDescent="0.2">
      <x:c r="B92" s="270">
        <x:v>1</x:v>
      </x:c>
      <x:c r="C92" s="271" t="s">
        <x:v>10</x:v>
      </x:c>
      <x:c r="D92" s="244">
        <x:f>D6-(D21+D35+D49++D63+D77)</x:f>
        <x:v>0</x:v>
      </x:c>
      <x:c r="E92" s="244">
        <x:f>E6-(E21+E35+E49++E63+E77)</x:f>
        <x:v>0</x:v>
      </x:c>
      <x:c r="G92" s="272">
        <x:f>G6-(G21+G35+G49+G63+G77)</x:f>
        <x:v>0</x:v>
      </x:c>
      <x:c r="H92" s="272">
        <x:f t="shared" ref="H92:L92" si="0">H6-(H21+H35+H49+H63+H77)</x:f>
        <x:v>0</x:v>
      </x:c>
      <x:c r="I92" s="272">
        <x:f t="shared" si="0"/>
        <x:v>0</x:v>
      </x:c>
      <x:c r="J92" s="272">
        <x:f t="shared" si="0"/>
        <x:v>0</x:v>
      </x:c>
      <x:c r="K92" s="272">
        <x:f t="shared" si="0"/>
        <x:v>0</x:v>
      </x:c>
      <x:c r="L92" s="272">
        <x:f t="shared" si="0"/>
        <x:v>0</x:v>
      </x:c>
      <x:c r="O92" s="273"/>
      <x:c r="Q92" s="242"/>
    </x:row>
    <x:row r="93" spans="1:17" s="241" customFormat="1" ht="12" x14ac:dyDescent="0.2">
      <x:c r="B93" s="250">
        <x:v>2</x:v>
      </x:c>
      <x:c r="C93" s="274" t="s">
        <x:v>11</x:v>
      </x:c>
      <x:c r="D93" s="228">
        <x:f t="shared" ref="D93:E98" si="1">D7-(D22+D36+D50++D64+D78)</x:f>
        <x:v>0</x:v>
      </x:c>
      <x:c r="E93" s="228">
        <x:f t="shared" si="1"/>
        <x:v>0</x:v>
      </x:c>
      <x:c r="G93" s="275">
        <x:f t="shared" ref="G93:L98" si="2">G7-(G22+G36+G50+G64+G78)</x:f>
        <x:v>0</x:v>
      </x:c>
      <x:c r="H93" s="275">
        <x:f t="shared" si="2"/>
        <x:v>0</x:v>
      </x:c>
      <x:c r="I93" s="275">
        <x:f t="shared" si="2"/>
        <x:v>0</x:v>
      </x:c>
      <x:c r="J93" s="275">
        <x:f t="shared" si="2"/>
        <x:v>0</x:v>
      </x:c>
      <x:c r="K93" s="275">
        <x:f t="shared" si="2"/>
        <x:v>0</x:v>
      </x:c>
      <x:c r="L93" s="275">
        <x:f t="shared" si="2"/>
        <x:v>0</x:v>
      </x:c>
      <x:c r="O93" s="273"/>
      <x:c r="Q93" s="242"/>
    </x:row>
    <x:row r="94" spans="1:17" s="241" customFormat="1" ht="12" x14ac:dyDescent="0.2">
      <x:c r="B94" s="250">
        <x:v>3</x:v>
      </x:c>
      <x:c r="C94" s="274" t="s">
        <x:v>12</x:v>
      </x:c>
      <x:c r="D94" s="228">
        <x:f t="shared" si="1"/>
        <x:v>0</x:v>
      </x:c>
      <x:c r="E94" s="228">
        <x:f t="shared" si="1"/>
        <x:v>0</x:v>
      </x:c>
      <x:c r="G94" s="275">
        <x:f t="shared" si="2"/>
        <x:v>0</x:v>
      </x:c>
      <x:c r="H94" s="275">
        <x:f t="shared" si="2"/>
        <x:v>0</x:v>
      </x:c>
      <x:c r="I94" s="275">
        <x:f t="shared" si="2"/>
        <x:v>0</x:v>
      </x:c>
      <x:c r="J94" s="275">
        <x:f t="shared" si="2"/>
        <x:v>0</x:v>
      </x:c>
      <x:c r="K94" s="275">
        <x:f t="shared" si="2"/>
        <x:v>0</x:v>
      </x:c>
      <x:c r="L94" s="275">
        <x:f t="shared" si="2"/>
        <x:v>0</x:v>
      </x:c>
      <x:c r="O94" s="273"/>
      <x:c r="Q94" s="242"/>
    </x:row>
    <x:row r="95" spans="1:17" s="241" customFormat="1" ht="12" x14ac:dyDescent="0.2">
      <x:c r="B95" s="250">
        <x:v>4</x:v>
      </x:c>
      <x:c r="C95" s="274" t="s">
        <x:v>13</x:v>
      </x:c>
      <x:c r="D95" s="228">
        <x:f t="shared" si="1"/>
        <x:v>0</x:v>
      </x:c>
      <x:c r="E95" s="228">
        <x:f t="shared" si="1"/>
        <x:v>0</x:v>
      </x:c>
      <x:c r="G95" s="275">
        <x:f t="shared" si="2"/>
        <x:v>0</x:v>
      </x:c>
      <x:c r="H95" s="275">
        <x:f t="shared" si="2"/>
        <x:v>0</x:v>
      </x:c>
      <x:c r="I95" s="275">
        <x:f t="shared" si="2"/>
        <x:v>0</x:v>
      </x:c>
      <x:c r="J95" s="275">
        <x:f t="shared" si="2"/>
        <x:v>0</x:v>
      </x:c>
      <x:c r="K95" s="275">
        <x:f t="shared" si="2"/>
        <x:v>0</x:v>
      </x:c>
      <x:c r="L95" s="275">
        <x:f t="shared" si="2"/>
        <x:v>0</x:v>
      </x:c>
      <x:c r="O95" s="273"/>
      <x:c r="Q95" s="242"/>
    </x:row>
    <x:row r="96" spans="1:17" s="241" customFormat="1" ht="12" x14ac:dyDescent="0.2">
      <x:c r="B96" s="277">
        <x:v>5</x:v>
      </x:c>
      <x:c r="C96" s="278" t="s">
        <x:v>14</x:v>
      </x:c>
      <x:c r="D96" s="228">
        <x:f t="shared" si="1"/>
        <x:v>0</x:v>
      </x:c>
      <x:c r="E96" s="228">
        <x:f t="shared" si="1"/>
        <x:v>0</x:v>
      </x:c>
      <x:c r="G96" s="275">
        <x:f t="shared" si="2"/>
        <x:v>0</x:v>
      </x:c>
      <x:c r="H96" s="275">
        <x:f t="shared" si="2"/>
        <x:v>0</x:v>
      </x:c>
      <x:c r="I96" s="275">
        <x:f t="shared" si="2"/>
        <x:v>0</x:v>
      </x:c>
      <x:c r="J96" s="275">
        <x:f t="shared" si="2"/>
        <x:v>0</x:v>
      </x:c>
      <x:c r="K96" s="275">
        <x:f t="shared" si="2"/>
        <x:v>0</x:v>
      </x:c>
      <x:c r="L96" s="275">
        <x:f t="shared" si="2"/>
        <x:v>0</x:v>
      </x:c>
      <x:c r="O96" s="273"/>
      <x:c r="Q96" s="242"/>
    </x:row>
    <x:row r="97" spans="1:17" s="241" customFormat="1" thickBot="1" x14ac:dyDescent="0.25">
      <x:c r="B97" s="260" t="s">
        <x:v>89</x:v>
      </x:c>
      <x:c r="C97" s="281" t="s">
        <x:v>113</x:v>
      </x:c>
      <x:c r="D97" s="233">
        <x:f t="shared" si="1"/>
        <x:v>0</x:v>
      </x:c>
      <x:c r="E97" s="233">
        <x:f t="shared" si="1"/>
        <x:v>0</x:v>
      </x:c>
      <x:c r="G97" s="282">
        <x:f t="shared" si="2"/>
        <x:v>0</x:v>
      </x:c>
      <x:c r="H97" s="282">
        <x:f t="shared" si="2"/>
        <x:v>0</x:v>
      </x:c>
      <x:c r="I97" s="282">
        <x:f t="shared" si="2"/>
        <x:v>0</x:v>
      </x:c>
      <x:c r="J97" s="282">
        <x:f t="shared" si="2"/>
        <x:v>0</x:v>
      </x:c>
      <x:c r="K97" s="282">
        <x:f t="shared" si="2"/>
        <x:v>0</x:v>
      </x:c>
      <x:c r="L97" s="282">
        <x:f t="shared" si="2"/>
        <x:v>0</x:v>
      </x:c>
      <x:c r="O97" s="273"/>
      <x:c r="Q97" s="242"/>
    </x:row>
    <x:row r="98" spans="1:17" s="241" customFormat="1" thickBot="1" x14ac:dyDescent="0.25">
      <x:c r="B98" s="284"/>
      <x:c r="C98" s="285" t="s">
        <x:v>2</x:v>
      </x:c>
      <x:c r="D98" s="286">
        <x:f t="shared" si="1"/>
        <x:v>0</x:v>
      </x:c>
      <x:c r="E98" s="286">
        <x:f t="shared" si="1"/>
        <x:v>0</x:v>
      </x:c>
      <x:c r="F98" s="287"/>
      <x:c r="G98" s="286">
        <x:f t="shared" si="2"/>
        <x:v>0</x:v>
      </x:c>
      <x:c r="H98" s="286">
        <x:f t="shared" si="2"/>
        <x:v>0</x:v>
      </x:c>
      <x:c r="I98" s="286">
        <x:f t="shared" si="2"/>
        <x:v>0</x:v>
      </x:c>
      <x:c r="J98" s="286">
        <x:f t="shared" si="2"/>
        <x:v>0</x:v>
      </x:c>
      <x:c r="K98" s="286">
        <x:f t="shared" si="2"/>
        <x:v>0</x:v>
      </x:c>
      <x:c r="L98" s="286">
        <x:f t="shared" si="2"/>
        <x:v>0</x:v>
      </x:c>
      <x:c r="M98" s="287"/>
      <x:c r="N98" s="287"/>
      <x:c r="O98" s="288"/>
      <x:c r="P98" s="265"/>
      <x:c r="Q98" s="242"/>
    </x:row>
    <x:row r="99" spans="1:17" s="1" customFormat="1" ht="12" x14ac:dyDescent="0.2">
      <x:c r="B99" s="2"/>
      <x:c r="C99" s="2"/>
      <x:c r="D99" s="374"/>
      <x:c r="Q99" s="4"/>
    </x:row>
    <x:row r="100" spans="1:17" s="1" customFormat="1" ht="12" x14ac:dyDescent="0.2">
      <x:c r="B100" s="2"/>
      <x:c r="C100" s="2"/>
      <x:c r="D100" s="374"/>
      <x:c r="L100" s="1" t="s">
        <x:v>1</x:v>
      </x:c>
      <x:c r="Q100" s="4"/>
    </x:row>
    <x:row r="101" spans="1:17" s="1" customFormat="1" ht="12" x14ac:dyDescent="0.2">
      <x:c r="A101" s="52"/>
      <x:c r="B101" s="53"/>
      <x:c r="C101" s="53"/>
      <x:c r="D101" s="380"/>
      <x:c r="E101" s="380"/>
      <x:c r="F101" s="380"/>
      <x:c r="G101" s="380"/>
      <x:c r="H101" s="380"/>
      <x:c r="I101" s="380"/>
      <x:c r="J101" s="52"/>
      <x:c r="K101" s="380"/>
      <x:c r="L101" s="380"/>
      <x:c r="M101" s="380"/>
      <x:c r="N101" s="380"/>
      <x:c r="O101" s="380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K16" sqref="K16"/>
    </x:sheetView>
  </x:sheetViews>
  <x:sheetFormatPr baseColWidth="10" defaultRowHeight="12.75" x14ac:dyDescent="0.2"/>
  <x:cols>
    <x:col min="1" max="1" width="4.7109375" customWidth="1"/>
    <x:col min="2" max="2" width="10" customWidth="1"/>
    <x:col min="3" max="3" width="20.42578125" bestFit="1" customWidth="1"/>
    <x:col min="4" max="4" width="17.28515625" customWidth="1"/>
    <x:col min="5" max="5" width="16.28515625" customWidth="1"/>
    <x:col min="6" max="6" width="21" bestFit="1" customWidth="1"/>
  </x:cols>
  <x:sheetData>
    <x:row r="1" spans="2:9" ht="13.5" thickBot="1" x14ac:dyDescent="0.25"/>
    <x:row r="2" spans="2:9" ht="15.75" thickBot="1" x14ac:dyDescent="0.3">
      <x:c r="C2" s="444">
        <x:f>'CONSOLIDADO_TOTAL RECAUDO'!N3</x:f>
        <x:v>2026072</x:v>
      </x:c>
      <x:c r="D2" s="445" t="s">
        <x:v>224</x:v>
      </x:c>
      <x:c r="E2" s="445" t="s">
        <x:v>201</x:v>
      </x:c>
      <x:c r="F2" s="132"/>
      <x:c r="G2" s="132"/>
      <x:c r="H2" s="132"/>
      <x:c r="I2" s="132"/>
    </x:row>
    <x:row r="3" spans="2:9" ht="15" x14ac:dyDescent="0.25">
      <x:c r="B3" s="494">
        <x:v>0</x:v>
      </x:c>
      <x:c r="C3" s="455" t="s">
        <x:v>202</x:v>
      </x:c>
      <x:c r="D3" s="446">
        <x:v>0</x:v>
      </x:c>
      <x:c r="E3" s="456">
        <x:v>0</x:v>
      </x:c>
      <x:c r="F3" s="447"/>
      <x:c r="G3" s="132"/>
      <x:c r="H3" s="132"/>
      <x:c r="I3" s="132"/>
    </x:row>
    <x:row r="4" spans="2:9" ht="15" x14ac:dyDescent="0.25">
      <x:c r="B4" s="495">
        <x:v>0</x:v>
      </x:c>
      <x:c r="C4" s="457" t="s">
        <x:v>202</x:v>
      </x:c>
      <x:c r="D4" s="448">
        <x:v>0</x:v>
      </x:c>
      <x:c r="E4" s="458"/>
      <x:c r="F4" s="450"/>
      <x:c r="G4" s="132"/>
      <x:c r="H4" s="132"/>
      <x:c r="I4" s="132"/>
    </x:row>
    <x:row r="5" spans="2:9" ht="15" x14ac:dyDescent="0.25">
      <x:c r="B5" s="495">
        <x:v>0</x:v>
      </x:c>
      <x:c r="C5" s="459" t="s">
        <x:v>203</x:v>
      </x:c>
      <x:c r="D5" s="460">
        <x:v>0</x:v>
      </x:c>
      <x:c r="E5" s="461">
        <x:v>0</x:v>
      </x:c>
      <x:c r="F5" s="450"/>
      <x:c r="G5" s="132"/>
      <x:c r="H5" s="132"/>
      <x:c r="I5" s="132"/>
    </x:row>
    <x:row r="6" spans="2:9" ht="15.75" thickBot="1" x14ac:dyDescent="0.3">
      <x:c r="B6" s="496">
        <x:v>0</x:v>
      </x:c>
      <x:c r="C6" s="459" t="s">
        <x:v>203</x:v>
      </x:c>
      <x:c r="D6" s="460">
        <x:v>0</x:v>
      </x:c>
      <x:c r="E6" s="462"/>
      <x:c r="F6" s="450"/>
      <x:c r="G6" s="132"/>
      <x:c r="H6" s="132"/>
      <x:c r="I6" s="132"/>
    </x:row>
    <x:row r="7" spans="2:9" ht="15" x14ac:dyDescent="0.25">
      <x:c r="B7" t="s">
        <x:v>1</x:v>
      </x:c>
      <x:c r="C7" s="463" t="s">
        <x:v>204</x:v>
      </x:c>
      <x:c r="D7" s="464">
        <x:v>0</x:v>
      </x:c>
      <x:c r="E7" s="451">
        <x:v>0</x:v>
      </x:c>
      <x:c r="F7" s="452" t="b">
        <x:v>1</x:v>
      </x:c>
      <x:c r="G7" s="132"/>
      <x:c r="H7" s="132"/>
      <x:c r="I7" s="132"/>
    </x:row>
    <x:row r="8" spans="2:9" ht="15" x14ac:dyDescent="0.25">
      <x:c r="C8" s="463" t="s">
        <x:v>326</x:v>
      </x:c>
      <x:c r="D8" s="464">
        <x:v>0</x:v>
      </x:c>
      <x:c r="E8" s="604"/>
      <x:c r="F8" s="452"/>
      <x:c r="G8" s="132"/>
      <x:c r="H8" s="132"/>
      <x:c r="I8" s="132"/>
    </x:row>
    <x:row r="9" spans="2:9" ht="15" x14ac:dyDescent="0.25">
      <x:c r="B9" t="s">
        <x:v>1</x:v>
      </x:c>
      <x:c r="C9" s="463" t="s">
        <x:v>205</x:v>
      </x:c>
      <x:c r="D9" s="464">
        <x:v>0</x:v>
      </x:c>
      <x:c r="E9" s="449"/>
      <x:c r="F9" s="450"/>
      <x:c r="G9" s="132"/>
      <x:c r="H9" s="132"/>
      <x:c r="I9" s="132"/>
    </x:row>
    <x:row r="10" spans="2:9" ht="15.75" thickBot="1" x14ac:dyDescent="0.3">
      <x:c r="C10" s="465" t="s">
        <x:v>206</x:v>
      </x:c>
      <x:c r="D10" s="453">
        <x:v>0</x:v>
      </x:c>
      <x:c r="E10" s="453">
        <x:v>0</x:v>
      </x:c>
      <x:c r="F10" s="454" t="n">
        <x:v>72497949967</x:v>
      </x:c>
      <x:c r="G10" s="132"/>
      <x:c r="H10" s="132"/>
      <x:c r="I10" s="132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Nancy</cp:lastModifiedBy>
  <cp:lastPrinted>2024-12-17T18:14:41Z</cp:lastPrinted>
  <dcterms:created xsi:type="dcterms:W3CDTF">2003-01-13T14:55:35Z</dcterms:created>
  <dcterms:modified xsi:type="dcterms:W3CDTF">2026-08-28T23:10:04Z</dcterms:modified>
</cp:coreProperties>
</file>