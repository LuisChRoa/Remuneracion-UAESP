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A376A982-D23D-482E-BE0C-EEADC22F44C3}" xr6:coauthVersionLast="46" xr6:coauthVersionMax="47" xr10:uidLastSave="{00000000-0000-0000-0000-000000000000}"/>
  <x:bookViews>
    <x:workbookView xWindow="-120" yWindow="-120" windowWidth="20730" windowHeight="11160" tabRatio="780" firstSheet="17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R1'!$A$5:$X$45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<x:sst xmlns:x="http://schemas.openxmlformats.org/spreadsheetml/2006/main" count="7772" uniqueCount="345">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</x:sst>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5" thickBot="1" x14ac:dyDescent="0.25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5" thickBot="1" x14ac:dyDescent="0.25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5" thickBot="1" x14ac:dyDescent="0.25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5" thickBot="1" x14ac:dyDescent="0.25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5" thickBot="1" x14ac:dyDescent="0.25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4" t="s">
        <x:v>99</x:v>
      </x:c>
      <x:c r="D1" s="774"/>
      <x:c r="E1" s="774" t="s">
        <x:v>100</x:v>
      </x:c>
      <x:c r="F1" s="774"/>
      <x:c r="G1" s="774" t="s">
        <x:v>101</x:v>
      </x:c>
      <x:c r="H1" s="774"/>
      <x:c r="I1" s="774" t="s">
        <x:v>102</x:v>
      </x:c>
      <x:c r="J1" s="774"/>
      <x:c r="K1" s="774" t="s">
        <x:v>103</x:v>
      </x:c>
      <x:c r="L1" s="774"/>
      <x:c r="M1" s="774" t="s">
        <x:v>2</x:v>
      </x:c>
      <x:c r="N1" s="774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4" t="s">
        <x:v>99</x:v>
      </x:c>
      <x:c r="D9" s="774"/>
      <x:c r="E9" s="774" t="s">
        <x:v>100</x:v>
      </x:c>
      <x:c r="F9" s="774"/>
      <x:c r="G9" s="774" t="s">
        <x:v>101</x:v>
      </x:c>
      <x:c r="H9" s="774"/>
      <x:c r="I9" s="774" t="s">
        <x:v>102</x:v>
      </x:c>
      <x:c r="J9" s="774"/>
      <x:c r="K9" s="774" t="s">
        <x:v>103</x:v>
      </x:c>
      <x:c r="L9" s="774"/>
      <x:c r="M9" s="774" t="s">
        <x:v>2</x:v>
      </x:c>
      <x:c r="N9" s="774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4" t="s">
        <x:v>99</x:v>
      </x:c>
      <x:c r="D17" s="774"/>
      <x:c r="E17" s="774" t="s">
        <x:v>100</x:v>
      </x:c>
      <x:c r="F17" s="774"/>
      <x:c r="G17" s="774" t="s">
        <x:v>101</x:v>
      </x:c>
      <x:c r="H17" s="774"/>
      <x:c r="I17" s="774" t="s">
        <x:v>102</x:v>
      </x:c>
      <x:c r="J17" s="774"/>
      <x:c r="K17" s="774" t="s">
        <x:v>103</x:v>
      </x:c>
      <x:c r="L17" s="774"/>
      <x:c r="M17" s="774" t="s">
        <x:v>2</x:v>
      </x:c>
      <x:c r="N17" s="774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4" t="s">
        <x:v>99</x:v>
      </x:c>
      <x:c r="D25" s="774"/>
      <x:c r="E25" s="774" t="s">
        <x:v>100</x:v>
      </x:c>
      <x:c r="F25" s="774"/>
      <x:c r="G25" s="774" t="s">
        <x:v>101</x:v>
      </x:c>
      <x:c r="H25" s="774"/>
      <x:c r="I25" s="774" t="s">
        <x:v>102</x:v>
      </x:c>
      <x:c r="J25" s="774"/>
      <x:c r="K25" s="774" t="s">
        <x:v>103</x:v>
      </x:c>
      <x:c r="L25" s="774"/>
      <x:c r="M25" s="774" t="s">
        <x:v>2</x:v>
      </x:c>
      <x:c r="N25" s="774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4" t="s">
        <x:v>99</x:v>
      </x:c>
      <x:c r="D33" s="774"/>
      <x:c r="E33" s="774" t="s">
        <x:v>100</x:v>
      </x:c>
      <x:c r="F33" s="774"/>
      <x:c r="G33" s="774" t="s">
        <x:v>101</x:v>
      </x:c>
      <x:c r="H33" s="774"/>
      <x:c r="I33" s="774" t="s">
        <x:v>102</x:v>
      </x:c>
      <x:c r="J33" s="774"/>
      <x:c r="K33" s="774" t="s">
        <x:v>103</x:v>
      </x:c>
      <x:c r="L33" s="774"/>
      <x:c r="M33" s="774" t="s">
        <x:v>2</x:v>
      </x:c>
      <x:c r="N33" s="774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4" t="s">
        <x:v>99</x:v>
      </x:c>
      <x:c r="D41" s="774"/>
      <x:c r="E41" s="774" t="s">
        <x:v>100</x:v>
      </x:c>
      <x:c r="F41" s="774"/>
      <x:c r="G41" s="774" t="s">
        <x:v>101</x:v>
      </x:c>
      <x:c r="H41" s="774"/>
      <x:c r="I41" s="774" t="s">
        <x:v>102</x:v>
      </x:c>
      <x:c r="J41" s="774"/>
      <x:c r="K41" s="774" t="s">
        <x:v>103</x:v>
      </x:c>
      <x:c r="L41" s="774"/>
      <x:c r="M41" s="774" t="s">
        <x:v>2</x:v>
      </x:c>
      <x:c r="N41" s="774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-3615845886.78</x:v>
      </x:c>
      <x:c r="E7" s="603" t="n">
        <x:v>2322461234.81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712"/>
  <x:sheetViews>
    <x:sheetView zoomScale="90" zoomScaleNormal="90" workbookViewId="0">
      <x:pane ySplit="5" topLeftCell="A177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370.08</x:v>
      </x:c>
      <x:c r="R22" s="90">
        <x:v>-1.95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7.0000000000000007E-2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82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370.15</x:v>
      </x:c>
      <x:c r="R24" s="90">
        <x:v>-1.95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x14ac:dyDescent="0.2">
      <x:c r="E25" t="s">
        <x:v>72</x:v>
      </x:c>
      <x:c r="F25" s="90">
        <x:v>0</x:v>
      </x:c>
      <x:c r="G25" s="90">
        <x:v>0</x:v>
      </x:c>
      <x:c r="H25" s="90">
        <x:v>0</x:v>
      </x:c>
      <x:c r="I25" s="90">
        <x:v>0</x:v>
      </x:c>
      <x:c r="J25" s="90">
        <x:v>0</x:v>
      </x:c>
      <x:c r="K25" s="90">
        <x:v>0</x:v>
      </x:c>
      <x:c r="L25" s="90">
        <x:v>0</x:v>
      </x:c>
      <x:c r="M25" s="90">
        <x:v>0</x:v>
      </x:c>
      <x:c r="N25" s="90">
        <x:v>0</x:v>
      </x:c>
      <x:c r="O25" s="90">
        <x:v>0</x:v>
      </x:c>
      <x:c r="P25" s="90">
        <x:v>0</x:v>
      </x:c>
      <x:c r="Q25" s="90">
        <x:v>370.08</x:v>
      </x:c>
      <x:c r="R25" s="90">
        <x:v>-1.95</x:v>
      </x:c>
      <x:c r="S25" s="90">
        <x:v>0</x:v>
      </x:c>
      <x:c r="T25" s="90">
        <x:v>0</x:v>
      </x:c>
      <x:c r="U25">
        <x:v>0</x:v>
      </x:c>
      <x:c r="V25">
        <x:v>0</x:v>
      </x:c>
      <x:c r="W25">
        <x:v>0</x:v>
      </x:c>
      <x:c r="X25">
        <x:v>0</x:v>
      </x:c>
      <x:c r="Y25">
        <x:v>0</x:v>
      </x:c>
      <x:c r="Z25" s="90">
        <x:v>0</x:v>
      </x:c>
    </x:row>
    <x:row r="26" spans="1:26" x14ac:dyDescent="0.2">
      <x:c r="E26" t="s">
        <x:v>81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7.0000000000000007E-2</x:v>
      </x:c>
      <x:c r="R26" s="90">
        <x:v>0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D27" t="s">
        <x:v>86</x:v>
      </x:c>
      <x:c r="E27" t="s">
        <x:v>70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370.15</x:v>
      </x:c>
      <x:c r="R27" s="90">
        <x:v>-1.95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ht="12.75" customHeight="1" x14ac:dyDescent="0.2">
      <x:c r="E28" s="89" t="s">
        <x:v>72</x:v>
      </x:c>
      <x:c r="F28" s="371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0</x:v>
      </x:c>
      <x:c r="R28" s="90">
        <x:v>0</x:v>
      </x:c>
      <x:c r="S28" s="90">
        <x:v>0</x:v>
      </x:c>
      <x:c r="T28" s="90">
        <x:v>0</x:v>
      </x:c>
      <x:c r="U28" s="90">
        <x:v>0</x:v>
      </x:c>
      <x:c r="V28" s="90">
        <x:v>0</x:v>
      </x:c>
      <x:c r="W28" s="90">
        <x:v>0</x:v>
      </x:c>
      <x:c r="X28" s="90">
        <x:v>0</x:v>
      </x:c>
      <x:c r="Y28" s="90">
        <x:v>0</x:v>
      </x:c>
      <x:c r="Z28" s="90">
        <x:v>0</x:v>
      </x:c>
    </x:row>
    <x:row r="29" spans="1:26" x14ac:dyDescent="0.2">
      <x:c r="E29" t="s">
        <x:v>81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0</x:v>
      </x:c>
      <x:c r="R29" s="90">
        <x:v>0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ht="12.75" customHeight="1" x14ac:dyDescent="0.2">
      <x:c r="D30" t="s">
        <x:v>87</x:v>
      </x:c>
      <x:c r="E30" s="89" t="s">
        <x:v>70</x:v>
      </x:c>
      <x:c r="F30" s="371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0</x:v>
      </x:c>
      <x:c r="R30" s="90">
        <x:v>0</x:v>
      </x:c>
      <x:c r="S30" s="90">
        <x:v>0</x:v>
      </x:c>
      <x:c r="T30" s="90">
        <x:v>0</x:v>
      </x:c>
      <x:c r="U30" s="90">
        <x:v>0</x:v>
      </x:c>
      <x:c r="V30" s="90">
        <x:v>0</x:v>
      </x:c>
      <x:c r="W30" s="90">
        <x:v>0</x:v>
      </x:c>
      <x:c r="X30" s="90">
        <x:v>0</x:v>
      </x:c>
      <x:c r="Y30" s="90">
        <x:v>0</x:v>
      </x:c>
      <x:c r="Z30" s="90">
        <x:v>0</x:v>
      </x:c>
    </x:row>
    <x:row r="31" spans="1:26" s="94" customFormat="1" ht="12.75" customHeight="1" x14ac:dyDescent="0.2">
      <x:c r="C31" s="101" t="s">
        <x:v>119</x:v>
      </x:c>
      <x:c r="D31" s="101" t="s">
        <x:v>70</x:v>
      </x:c>
      <x:c r="F31" s="93">
        <x:v>0</x:v>
      </x:c>
      <x:c r="G31" s="93">
        <x:v>0</x:v>
      </x:c>
      <x:c r="H31" s="93">
        <x:v>0</x:v>
      </x:c>
      <x:c r="I31" s="93">
        <x:v>0</x:v>
      </x:c>
      <x:c r="J31" s="93">
        <x:v>0</x:v>
      </x:c>
      <x:c r="K31" s="93">
        <x:v>0</x:v>
      </x:c>
      <x:c r="L31" s="93">
        <x:v>0</x:v>
      </x:c>
      <x:c r="M31" s="93">
        <x:v>0</x:v>
      </x:c>
      <x:c r="N31" s="93">
        <x:v>0</x:v>
      </x:c>
      <x:c r="O31" s="93">
        <x:v>0</x:v>
      </x:c>
      <x:c r="P31" s="93">
        <x:v>0</x:v>
      </x:c>
      <x:c r="Q31" s="93">
        <x:v>0</x:v>
      </x:c>
      <x:c r="R31" s="93">
        <x:v>0</x:v>
      </x:c>
      <x:c r="S31" s="93">
        <x:v>0</x:v>
      </x:c>
      <x:c r="T31" s="93">
        <x:v>0</x:v>
      </x:c>
      <x:c r="U31" s="93">
        <x:v>0</x:v>
      </x:c>
      <x:c r="V31" s="93">
        <x:v>0</x:v>
      </x:c>
      <x:c r="W31" s="93">
        <x:v>0</x:v>
      </x:c>
      <x:c r="X31" s="93">
        <x:v>0</x:v>
      </x:c>
      <x:c r="Y31" s="93">
        <x:v>0</x:v>
      </x:c>
      <x:c r="Z31" s="93">
        <x:v>0</x:v>
      </x:c>
    </x:row>
    <x:row r="32" spans="1:26" s="378" customFormat="1" ht="12.75" customHeight="1" x14ac:dyDescent="0.2">
      <x:c r="B32" s="378" t="s">
        <x:v>122</x:v>
      </x:c>
      <x:c r="C32" s="378" t="s">
        <x:v>70</x:v>
      </x:c>
      <x:c r="E32" s="376"/>
      <x:c r="F32" s="710" t="n">
        <x:v>9215.69</x:v>
      </x:c>
      <x:c r="G32" s="377" t="n">
        <x:v>2007.44</x:v>
      </x:c>
      <x:c r="H32" s="377" t="n">
        <x:v>1133.38</x:v>
      </x:c>
      <x:c r="I32" s="377" t="n">
        <x:v>594.88</x:v>
      </x:c>
      <x:c r="J32" s="377" t="n">
        <x:v>0</x:v>
      </x:c>
      <x:c r="K32" s="377" t="n">
        <x:v>0</x:v>
      </x:c>
      <x:c r="L32" s="377" t="n">
        <x:v>0</x:v>
      </x:c>
      <x:c r="M32" s="377" t="n">
        <x:v>0</x:v>
      </x:c>
      <x:c r="N32" s="377" t="n">
        <x:v>0</x:v>
      </x:c>
      <x:c r="O32" s="377" t="n">
        <x:v>0</x:v>
      </x:c>
      <x:c r="P32" s="377" t="n">
        <x:v>5482.6</x:v>
      </x:c>
      <x:c r="Q32" s="377" t="n">
        <x:v>0</x:v>
      </x:c>
      <x:c r="R32" s="377" t="n">
        <x:v>-2.61</x:v>
      </x:c>
      <x:c r="S32" s="377" t="n">
        <x:v>0</x:v>
      </x:c>
      <x:c r="T32" s="377" t="n">
        <x:v>0</x:v>
      </x:c>
      <x:c r="U32" s="377">
        <x:v>0</x:v>
      </x:c>
      <x:c r="V32" s="377">
        <x:v>0</x:v>
      </x:c>
      <x:c r="W32" s="377">
        <x:v>0</x:v>
      </x:c>
      <x:c r="X32" s="377">
        <x:v>0</x:v>
      </x:c>
      <x:c r="Y32" s="377">
        <x:v>0</x:v>
      </x:c>
      <x:c r="Z32" s="377" t="n">
        <x:v>0</x:v>
      </x:c>
    </x:row>
    <x:row r="33" spans="1:26" ht="12.75" customHeight="1" x14ac:dyDescent="0.2">
      <x:c r="E33" s="89" t="s">
        <x:v>72</x:v>
      </x:c>
      <x:c r="F33" s="371" t="n">
        <x:v>15311909420.24</x:v>
      </x:c>
      <x:c r="G33" s="90" t="n">
        <x:v>801363799.02</x:v>
      </x:c>
      <x:c r="H33" s="90" t="n">
        <x:v>452181651.89</x:v>
      </x:c>
      <x:c r="I33" s="90" t="n">
        <x:v>237576696.14</x:v>
      </x:c>
      <x:c r="J33" s="90" t="n">
        <x:v>3742603268.77</x:v>
      </x:c>
      <x:c r="K33" s="90" t="n">
        <x:v>131872455.84</x:v>
      </x:c>
      <x:c r="L33" s="90" t="n">
        <x:v>16515975.94</x:v>
      </x:c>
      <x:c r="M33" s="90" t="n">
        <x:v>1160229364.58</x:v>
      </x:c>
      <x:c r="N33" s="90" t="n">
        <x:v>1113178184.5</x:v>
      </x:c>
      <x:c r="O33" s="90" t="n">
        <x:v>5269855575.68</x:v>
      </x:c>
      <x:c r="P33" s="90" t="n">
        <x:v>2171371078.07</x:v>
      </x:c>
      <x:c r="Q33" s="90" t="n">
        <x:v>215178442.49</x:v>
      </x:c>
      <x:c r="R33" s="90" t="n">
        <x:v>-17072.68</x:v>
      </x:c>
      <x:c r="S33" s="90" t="n">
        <x:v>0</x:v>
      </x:c>
      <x:c r="T33" s="90" t="n">
        <x:v>0</x:v>
      </x:c>
      <x:c r="U33" s="90">
        <x:v>0</x:v>
      </x:c>
      <x:c r="V33" s="90">
        <x:v>0</x:v>
      </x:c>
      <x:c r="W33" s="90">
        <x:v>0</x:v>
      </x:c>
      <x:c r="X33" s="90">
        <x:v>0</x:v>
      </x:c>
      <x:c r="Y33" s="90">
        <x:v>0</x:v>
      </x:c>
      <x:c r="Z33" s="90" t="n">
        <x:v>0</x:v>
      </x:c>
    </x:row>
    <x:row r="34" spans="1:26" ht="12.75" customHeight="1" x14ac:dyDescent="0.2">
      <x:c r="E34" s="89" t="s">
        <x:v>81</x:v>
      </x:c>
      <x:c r="F34" s="90" t="n">
        <x:v>4090440.92</x:v>
      </x:c>
      <x:c r="G34" s="90" t="n">
        <x:v>281733.24</x:v>
      </x:c>
      <x:c r="H34" s="90" t="n">
        <x:v>147454.73</x:v>
      </x:c>
      <x:c r="I34" s="90" t="n">
        <x:v>76550.04</x:v>
      </x:c>
      <x:c r="J34" s="90" t="n">
        <x:v>796420.04</x:v>
      </x:c>
      <x:c r="K34" s="90" t="n">
        <x:v>36830.11</x:v>
      </x:c>
      <x:c r="L34" s="90" t="n">
        <x:v>516.31</x:v>
      </x:c>
      <x:c r="M34" s="90" t="n">
        <x:v>325736.63</x:v>
      </x:c>
      <x:c r="N34" s="90" t="n">
        <x:v>292484.52</x:v>
      </x:c>
      <x:c r="O34" s="90" t="n">
        <x:v>1313250.69</x:v>
      </x:c>
      <x:c r="P34" s="90" t="n">
        <x:v>758517.98</x:v>
      </x:c>
      <x:c r="Q34" s="90" t="n">
        <x:v>60116.44</x:v>
      </x:c>
      <x:c r="R34" s="90" t="n">
        <x:v>308.42</x:v>
      </x:c>
      <x:c r="S34" s="90" t="n">
        <x:v>0</x:v>
      </x:c>
      <x:c r="T34" s="90" t="n">
        <x:v>521.8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-0.03</x:v>
      </x:c>
    </x:row>
    <x:row r="35" spans="1:26" ht="12.75" customHeight="1" x14ac:dyDescent="0.2">
      <x:c r="D35" t="s">
        <x:v>156</x:v>
      </x:c>
      <x:c r="E35" s="89" t="s">
        <x:v>70</x:v>
      </x:c>
      <x:c r="F35" s="89" t="n">
        <x:v>15315999861.16</x:v>
      </x:c>
      <x:c r="G35" s="90" t="n">
        <x:v>801645532.26</x:v>
      </x:c>
      <x:c r="H35" s="90" t="n">
        <x:v>452329106.62</x:v>
      </x:c>
      <x:c r="I35" s="90" t="n">
        <x:v>237653246.18</x:v>
      </x:c>
      <x:c r="J35" s="90" t="n">
        <x:v>3743399688.81</x:v>
      </x:c>
      <x:c r="K35" s="90" t="n">
        <x:v>131909285.95</x:v>
      </x:c>
      <x:c r="L35" s="90" t="n">
        <x:v>16516492.25</x:v>
      </x:c>
      <x:c r="M35" s="90" t="n">
        <x:v>1160555101.21</x:v>
      </x:c>
      <x:c r="N35" s="90" t="n">
        <x:v>1113470669.02</x:v>
      </x:c>
      <x:c r="O35" s="90" t="n">
        <x:v>5271168826.37</x:v>
      </x:c>
      <x:c r="P35" s="90" t="n">
        <x:v>2172129596.05</x:v>
      </x:c>
      <x:c r="Q35" s="90" t="n">
        <x:v>215238558.93</x:v>
      </x:c>
      <x:c r="R35" s="90" t="n">
        <x:v>-16764.26</x:v>
      </x:c>
      <x:c r="S35" s="90" t="n">
        <x:v>0</x:v>
      </x:c>
      <x:c r="T35" s="90" t="n">
        <x:v>521.8</x:v>
      </x:c>
      <x:c r="U35" s="90">
        <x:v>0</x:v>
      </x:c>
      <x:c r="V35" s="90">
        <x:v>0</x:v>
      </x:c>
      <x:c r="W35" s="90">
        <x:v>0</x:v>
      </x:c>
      <x:c r="X35" s="90">
        <x:v>0</x:v>
      </x:c>
      <x:c r="Y35" s="90">
        <x:v>0</x:v>
      </x:c>
      <x:c r="Z35" s="90" t="n">
        <x:v>-0.03</x:v>
      </x:c>
    </x:row>
    <x:row r="36" spans="1:26" s="286" customFormat="1" ht="12.75" customHeight="1" x14ac:dyDescent="0.2">
      <x:c r="C36" s="286" t="s">
        <x:v>155</x:v>
      </x:c>
      <x:c r="D36" s="286" t="s">
        <x:v>70</x:v>
      </x:c>
      <x:c r="E36" s="229"/>
      <x:c r="F36" s="229" t="n">
        <x:v>15315999861.16</x:v>
      </x:c>
      <x:c r="G36" s="230" t="n">
        <x:v>801645532.26</x:v>
      </x:c>
      <x:c r="H36" s="230" t="n">
        <x:v>452329106.62</x:v>
      </x:c>
      <x:c r="I36" s="230" t="n">
        <x:v>237653246.18</x:v>
      </x:c>
      <x:c r="J36" s="230" t="n">
        <x:v>3743399688.81</x:v>
      </x:c>
      <x:c r="K36" s="230" t="n">
        <x:v>131909285.95</x:v>
      </x:c>
      <x:c r="L36" s="230" t="n">
        <x:v>16516492.25</x:v>
      </x:c>
      <x:c r="M36" s="230" t="n">
        <x:v>1160555101.21</x:v>
      </x:c>
      <x:c r="N36" s="230" t="n">
        <x:v>1113470669.02</x:v>
      </x:c>
      <x:c r="O36" s="230" t="n">
        <x:v>5271168826.37</x:v>
      </x:c>
      <x:c r="P36" s="230" t="n">
        <x:v>2172129596.05</x:v>
      </x:c>
      <x:c r="Q36" s="230" t="n">
        <x:v>215238558.93</x:v>
      </x:c>
      <x:c r="R36" s="230" t="n">
        <x:v>-16764.26</x:v>
      </x:c>
      <x:c r="S36" s="230" t="n">
        <x:v>0</x:v>
      </x:c>
      <x:c r="T36" s="230" t="n">
        <x:v>521.8</x:v>
      </x:c>
      <x:c r="U36" s="230">
        <x:v>0</x:v>
      </x:c>
      <x:c r="V36" s="230">
        <x:v>0</x:v>
      </x:c>
      <x:c r="W36" s="230">
        <x:v>0</x:v>
      </x:c>
      <x:c r="X36" s="230">
        <x:v>0</x:v>
      </x:c>
      <x:c r="Y36" s="230">
        <x:v>0</x:v>
      </x:c>
      <x:c r="Z36" s="230" t="n">
        <x:v>-0.03</x:v>
      </x:c>
    </x:row>
    <x:row r="37" spans="1:26" ht="12.75" customHeight="1" x14ac:dyDescent="0.2">
      <x:c r="E37" s="89" t="s">
        <x:v>72</x:v>
      </x:c>
      <x:c r="F37" s="89" t="n">
        <x:v>32531853.02</x:v>
      </x:c>
      <x:c r="G37" s="90" t="n">
        <x:v>2591273.87</x:v>
      </x:c>
      <x:c r="H37" s="90" t="n">
        <x:v>1444146.45</x:v>
      </x:c>
      <x:c r="I37" s="90" t="n">
        <x:v>758108.3</x:v>
      </x:c>
      <x:c r="J37" s="90" t="n">
        <x:v>6042578.81</x:v>
      </x:c>
      <x:c r="K37" s="90" t="n">
        <x:v>205824.68</x:v>
      </x:c>
      <x:c r="L37" s="90" t="n">
        <x:v>0</x:v>
      </x:c>
      <x:c r="M37" s="90" t="n">
        <x:v>1805861.64</x:v>
      </x:c>
      <x:c r="N37" s="90" t="n">
        <x:v>2163115.53</x:v>
      </x:c>
      <x:c r="O37" s="90" t="n">
        <x:v>10120979.77</x:v>
      </x:c>
      <x:c r="P37" s="90" t="n">
        <x:v>7063994.12</x:v>
      </x:c>
      <x:c r="Q37" s="90" t="n">
        <x:v>335853.33</x:v>
      </x:c>
      <x:c r="R37" s="90" t="n">
        <x:v>116.52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1:26" ht="12.75" customHeight="1" x14ac:dyDescent="0.2">
      <x:c r="E38" s="89" t="s">
        <x:v>81</x:v>
      </x:c>
      <x:c r="F38" s="90" t="n">
        <x:v>70410.78</x:v>
      </x:c>
      <x:c r="G38" s="90" t="n">
        <x:v>4075.34</x:v>
      </x:c>
      <x:c r="H38" s="90" t="n">
        <x:v>2009.42</x:v>
      </x:c>
      <x:c r="I38" s="90" t="n">
        <x:v>1036.19</x:v>
      </x:c>
      <x:c r="J38" s="90" t="n">
        <x:v>14956.08</x:v>
      </x:c>
      <x:c r="K38" s="90" t="n">
        <x:v>634.42</x:v>
      </x:c>
      <x:c r="L38" s="90" t="n">
        <x:v>0</x:v>
      </x:c>
      <x:c r="M38" s="90" t="n">
        <x:v>5556.36</x:v>
      </x:c>
      <x:c r="N38" s="90" t="n">
        <x:v>5429.24</x:v>
      </x:c>
      <x:c r="O38" s="90" t="n">
        <x:v>24704.76</x:v>
      </x:c>
      <x:c r="P38" s="90" t="n">
        <x:v>10925.02</x:v>
      </x:c>
      <x:c r="Q38" s="90" t="n">
        <x:v>1033.93</x:v>
      </x:c>
      <x:c r="R38" s="90" t="n">
        <x:v>49.75</x:v>
      </x:c>
      <x:c r="S38" s="90" t="n">
        <x:v>0</x:v>
      </x:c>
      <x:c r="T38" s="90" t="n">
        <x:v>0.27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0</x:v>
      </x:c>
    </x:row>
    <x:row r="39" spans="1:26" ht="12.75" customHeight="1" x14ac:dyDescent="0.2">
      <x:c r="D39" s="89" t="s">
        <x:v>82</x:v>
      </x:c>
      <x:c r="E39" s="89" t="s">
        <x:v>70</x:v>
      </x:c>
      <x:c r="F39" s="90" t="n">
        <x:v>32602263.8</x:v>
      </x:c>
      <x:c r="G39" s="90" t="n">
        <x:v>2595349.21</x:v>
      </x:c>
      <x:c r="H39" s="90" t="n">
        <x:v>1446155.87</x:v>
      </x:c>
      <x:c r="I39" s="90" t="n">
        <x:v>759144.49</x:v>
      </x:c>
      <x:c r="J39" s="90" t="n">
        <x:v>6057534.89</x:v>
      </x:c>
      <x:c r="K39" s="90" t="n">
        <x:v>206459.1</x:v>
      </x:c>
      <x:c r="L39" s="90" t="n">
        <x:v>0</x:v>
      </x:c>
      <x:c r="M39" s="90" t="n">
        <x:v>1811418</x:v>
      </x:c>
      <x:c r="N39" s="90" t="n">
        <x:v>2168544.77</x:v>
      </x:c>
      <x:c r="O39" s="90" t="n">
        <x:v>10145684.53</x:v>
      </x:c>
      <x:c r="P39" s="90" t="n">
        <x:v>7074919.14</x:v>
      </x:c>
      <x:c r="Q39" s="90" t="n">
        <x:v>336887.26</x:v>
      </x:c>
      <x:c r="R39" s="90" t="n">
        <x:v>166.27</x:v>
      </x:c>
      <x:c r="S39" s="90" t="n">
        <x:v>0</x:v>
      </x:c>
      <x:c r="T39" s="90" t="n">
        <x:v>0.27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0</x:v>
      </x:c>
    </x:row>
    <x:row r="40" spans="1:26" ht="12.75" customHeight="1" x14ac:dyDescent="0.2">
      <x:c r="E40" s="89" t="s">
        <x:v>72</x:v>
      </x:c>
      <x:c r="F40" s="90" t="n">
        <x:v>142718615.59</x:v>
      </x:c>
      <x:c r="G40" s="90" t="n">
        <x:v>16226922.74</x:v>
      </x:c>
      <x:c r="H40" s="90" t="n">
        <x:v>8978685.11</x:v>
      </x:c>
      <x:c r="I40" s="90" t="n">
        <x:v>4682686.13</x:v>
      </x:c>
      <x:c r="J40" s="90" t="n">
        <x:v>17356715.97</x:v>
      </x:c>
      <x:c r="K40" s="90" t="n">
        <x:v>717148.94</x:v>
      </x:c>
      <x:c r="L40" s="90" t="n">
        <x:v>4122672</x:v>
      </x:c>
      <x:c r="M40" s="90" t="n">
        <x:v>6303944.33</x:v>
      </x:c>
      <x:c r="N40" s="90" t="n">
        <x:v>6897057.04</x:v>
      </x:c>
      <x:c r="O40" s="90" t="n">
        <x:v>32134628.15</x:v>
      </x:c>
      <x:c r="P40" s="90" t="n">
        <x:v>44127363.81</x:v>
      </x:c>
      <x:c r="Q40" s="90" t="n">
        <x:v>1171009.75</x:v>
      </x:c>
      <x:c r="R40" s="90" t="n">
        <x:v>-218.38</x:v>
      </x:c>
      <x:c r="S40" s="90" t="n">
        <x:v>0</x:v>
      </x:c>
      <x:c r="T40" s="90" t="n">
        <x:v>0</x:v>
      </x:c>
      <x:c r="U40" s="90">
        <x:v>0</x:v>
      </x:c>
      <x:c r="V40" s="90">
        <x:v>0</x:v>
      </x:c>
      <x:c r="W40" s="90">
        <x:v>0</x:v>
      </x:c>
      <x:c r="X40" s="90">
        <x:v>0</x:v>
      </x:c>
      <x:c r="Y40" s="90">
        <x:v>0</x:v>
      </x:c>
      <x:c r="Z40" s="90" t="n">
        <x:v>0</x:v>
      </x:c>
    </x:row>
    <x:row r="41" spans="1:26" ht="12.75" customHeight="1" x14ac:dyDescent="0.2">
      <x:c r="E41" s="89" t="s">
        <x:v>81</x:v>
      </x:c>
      <x:c r="F41" s="90" t="n">
        <x:v>700269.72</x:v>
      </x:c>
      <x:c r="G41" s="90" t="n">
        <x:v>40116.7</x:v>
      </x:c>
      <x:c r="H41" s="90" t="n">
        <x:v>19139.89</x:v>
      </x:c>
      <x:c r="I41" s="90" t="n">
        <x:v>10101.16</x:v>
      </x:c>
      <x:c r="J41" s="90" t="n">
        <x:v>153132.53</x:v>
      </x:c>
      <x:c r="K41" s="90" t="n">
        <x:v>7303.27</x:v>
      </x:c>
      <x:c r="L41" s="90" t="n">
        <x:v>0</x:v>
      </x:c>
      <x:c r="M41" s="90" t="n">
        <x:v>64029.13</x:v>
      </x:c>
      <x:c r="N41" s="90" t="n">
        <x:v>56965.87</x:v>
      </x:c>
      <x:c r="O41" s="90" t="n">
        <x:v>230260.01</x:v>
      </x:c>
      <x:c r="P41" s="90" t="n">
        <x:v>107283.27</x:v>
      </x:c>
      <x:c r="Q41" s="90" t="n">
        <x:v>11912.73</x:v>
      </x:c>
      <x:c r="R41" s="90" t="n">
        <x:v>27.3</x:v>
      </x:c>
      <x:c r="S41" s="90" t="n">
        <x:v>-2.32</x:v>
      </x:c>
      <x:c r="T41" s="90" t="n">
        <x:v>0.18</x:v>
      </x:c>
      <x:c r="U41" s="90">
        <x:v>0</x:v>
      </x:c>
      <x:c r="V41" s="90">
        <x:v>0</x:v>
      </x:c>
      <x:c r="W41" s="90">
        <x:v>0</x:v>
      </x:c>
      <x:c r="X41" s="90">
        <x:v>0</x:v>
      </x:c>
      <x:c r="Y41" s="90">
        <x:v>0</x:v>
      </x:c>
      <x:c r="Z41" s="90" t="n">
        <x:v>0</x:v>
      </x:c>
    </x:row>
    <x:row r="42" spans="1:26" ht="12.75" customHeight="1" x14ac:dyDescent="0.2">
      <x:c r="D42" s="89" t="s">
        <x:v>86</x:v>
      </x:c>
      <x:c r="E42" s="89" t="s">
        <x:v>70</x:v>
      </x:c>
      <x:c r="F42" s="90" t="n">
        <x:v>143418885.31</x:v>
      </x:c>
      <x:c r="G42" s="90" t="n">
        <x:v>16267039.44</x:v>
      </x:c>
      <x:c r="H42" s="90" t="n">
        <x:v>8997825</x:v>
      </x:c>
      <x:c r="I42" s="90" t="n">
        <x:v>4692787.29</x:v>
      </x:c>
      <x:c r="J42" s="90" t="n">
        <x:v>17509848.5</x:v>
      </x:c>
      <x:c r="K42" s="90" t="n">
        <x:v>724452.21</x:v>
      </x:c>
      <x:c r="L42" s="90" t="n">
        <x:v>4122672</x:v>
      </x:c>
      <x:c r="M42" s="90" t="n">
        <x:v>6367973.46</x:v>
      </x:c>
      <x:c r="N42" s="90" t="n">
        <x:v>6954022.91</x:v>
      </x:c>
      <x:c r="O42" s="90" t="n">
        <x:v>32364888.16</x:v>
      </x:c>
      <x:c r="P42" s="90" t="n">
        <x:v>44234647.08</x:v>
      </x:c>
      <x:c r="Q42" s="90" t="n">
        <x:v>1182922.48</x:v>
      </x:c>
      <x:c r="R42" s="90" t="n">
        <x:v>-191.08</x:v>
      </x:c>
      <x:c r="S42" s="90" t="n">
        <x:v>-2.32</x:v>
      </x:c>
      <x:c r="T42" s="90" t="n">
        <x:v>0.18</x:v>
      </x:c>
      <x:c r="U42" s="90">
        <x:v>0</x:v>
      </x:c>
      <x:c r="V42" s="90">
        <x:v>0</x:v>
      </x:c>
      <x:c r="W42" s="90">
        <x:v>0</x:v>
      </x:c>
      <x:c r="X42" s="90">
        <x:v>0</x:v>
      </x:c>
      <x:c r="Y42" s="90">
        <x:v>0</x:v>
      </x:c>
      <x:c r="Z42" s="90" t="n">
        <x:v>0</x:v>
      </x:c>
    </x:row>
    <x:row r="43" spans="1:26" ht="12.75" customHeight="1" x14ac:dyDescent="0.2">
      <x:c r="C43" s="89"/>
      <x:c r="D43" s="89"/>
      <x:c r="E43" t="s">
        <x:v>72</x:v>
      </x:c>
      <x:c r="F43" s="90" t="n">
        <x:v>443299915.67</x:v>
      </x:c>
      <x:c r="G43" s="90" t="n">
        <x:v>77621929.12</x:v>
      </x:c>
      <x:c r="H43" s="90" t="n">
        <x:v>43739696.54</x:v>
      </x:c>
      <x:c r="I43" s="90" t="n">
        <x:v>23002911.08</x:v>
      </x:c>
      <x:c r="J43" s="90" t="n">
        <x:v>27531678.22</x:v>
      </x:c>
      <x:c r="K43" s="90" t="n">
        <x:v>700778.07</x:v>
      </x:c>
      <x:c r="L43" s="90" t="n">
        <x:v>4638006</x:v>
      </x:c>
      <x:c r="M43" s="90" t="n">
        <x:v>6178734.52</x:v>
      </x:c>
      <x:c r="N43" s="90" t="n">
        <x:v>8275304.75</x:v>
      </x:c>
      <x:c r="O43" s="90" t="n">
        <x:v>38410843.78</x:v>
      </x:c>
      <x:c r="P43" s="90" t="n">
        <x:v>212057412.17</x:v>
      </x:c>
      <x:c r="Q43" s="90" t="n">
        <x:v>1143387.66</x:v>
      </x:c>
      <x:c r="R43" s="90" t="n">
        <x:v>-766.24</x:v>
      </x:c>
      <x:c r="S43" s="90" t="n">
        <x:v>0</x:v>
      </x:c>
      <x:c r="T43" s="90" t="n">
        <x:v>0</x:v>
      </x:c>
      <x:c r="U43" s="90">
        <x:v>0</x:v>
      </x:c>
      <x:c r="V43" s="90">
        <x:v>0</x:v>
      </x:c>
      <x:c r="W43" s="90">
        <x:v>0</x:v>
      </x:c>
      <x:c r="X43" s="90">
        <x:v>0</x:v>
      </x:c>
      <x:c r="Y43" s="90">
        <x:v>0</x:v>
      </x:c>
      <x:c r="Z43" s="90" t="n">
        <x:v>0</x:v>
      </x:c>
    </x:row>
    <x:row r="44" spans="1:26" ht="12.75" customHeight="1" x14ac:dyDescent="0.2">
      <x:c r="B44" s="89"/>
      <x:c r="C44" s="89"/>
      <x:c r="E44" t="s">
        <x:v>81</x:v>
      </x:c>
      <x:c r="F44" s="90" t="n">
        <x:v>613877.45</x:v>
      </x:c>
      <x:c r="G44" s="90" t="n">
        <x:v>94058.21</x:v>
      </x:c>
      <x:c r="H44" s="90" t="n">
        <x:v>48331.99</x:v>
      </x:c>
      <x:c r="I44" s="90" t="n">
        <x:v>26441.83</x:v>
      </x:c>
      <x:c r="J44" s="90" t="n">
        <x:v>61251.38</x:v>
      </x:c>
      <x:c r="K44" s="90" t="n">
        <x:v>1855.3</x:v>
      </x:c>
      <x:c r="L44" s="90" t="n">
        <x:v>146.01</x:v>
      </x:c>
      <x:c r="M44" s="90" t="n">
        <x:v>16384.73</x:v>
      </x:c>
      <x:c r="N44" s="90" t="n">
        <x:v>20507.08</x:v>
      </x:c>
      <x:c r="O44" s="90" t="n">
        <x:v>89016.81</x:v>
      </x:c>
      <x:c r="P44" s="90" t="n">
        <x:v>254956.79</x:v>
      </x:c>
      <x:c r="Q44" s="90" t="n">
        <x:v>3029.72</x:v>
      </x:c>
      <x:c r="R44" s="90" t="n">
        <x:v>10.11</x:v>
      </x:c>
      <x:c r="S44" s="90" t="n">
        <x:v>-2112.51</x:v>
      </x:c>
      <x:c r="T44" s="90" t="n">
        <x:v>0</x:v>
      </x:c>
      <x:c r="U44" s="90">
        <x:v>0</x:v>
      </x:c>
      <x:c r="V44" s="90">
        <x:v>0</x:v>
      </x:c>
      <x:c r="W44" s="90">
        <x:v>0</x:v>
      </x:c>
      <x:c r="X44" s="90">
        <x:v>0</x:v>
      </x:c>
      <x:c r="Y44" s="90">
        <x:v>0</x:v>
      </x:c>
      <x:c r="Z44" s="90" t="n">
        <x:v>0</x:v>
      </x:c>
    </x:row>
    <x:row r="45" spans="1:26" ht="12.75" customHeight="1" x14ac:dyDescent="0.2">
      <x:c r="C45" s="89"/>
      <x:c r="D45" s="89" t="s">
        <x:v>87</x:v>
      </x:c>
      <x:c r="E45" t="s">
        <x:v>70</x:v>
      </x:c>
      <x:c r="F45" s="90" t="n">
        <x:v>443913793.12</x:v>
      </x:c>
      <x:c r="G45" s="90" t="n">
        <x:v>77715987.33</x:v>
      </x:c>
      <x:c r="H45" s="90" t="n">
        <x:v>43788028.53</x:v>
      </x:c>
      <x:c r="I45" s="90" t="n">
        <x:v>23029352.91</x:v>
      </x:c>
      <x:c r="J45" s="90" t="n">
        <x:v>27592929.6</x:v>
      </x:c>
      <x:c r="K45" s="90" t="n">
        <x:v>702633.37</x:v>
      </x:c>
      <x:c r="L45" s="90" t="n">
        <x:v>4638152.01</x:v>
      </x:c>
      <x:c r="M45" s="90" t="n">
        <x:v>6195119.25</x:v>
      </x:c>
      <x:c r="N45" s="90" t="n">
        <x:v>8295811.83</x:v>
      </x:c>
      <x:c r="O45" s="90" t="n">
        <x:v>38499860.59</x:v>
      </x:c>
      <x:c r="P45" s="90" t="n">
        <x:v>212312368.96</x:v>
      </x:c>
      <x:c r="Q45" s="90" t="n">
        <x:v>1146417.38</x:v>
      </x:c>
      <x:c r="R45" s="90" t="n">
        <x:v>-756.13</x:v>
      </x:c>
      <x:c r="S45" s="90" t="n">
        <x:v>-2112.51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1:26" s="94" customFormat="1" ht="12.75" customHeight="1" x14ac:dyDescent="0.2">
      <x:c r="C46" s="101" t="s">
        <x:v>119</x:v>
      </x:c>
      <x:c r="D46" s="101" t="s">
        <x:v>70</x:v>
      </x:c>
      <x:c r="F46" s="93" t="n">
        <x:v>619934942.23</x:v>
      </x:c>
      <x:c r="G46" s="93" t="n">
        <x:v>96578375.98</x:v>
      </x:c>
      <x:c r="H46" s="93" t="n">
        <x:v>54232009.4</x:v>
      </x:c>
      <x:c r="I46" s="93" t="n">
        <x:v>28481284.69</x:v>
      </x:c>
      <x:c r="J46" s="93" t="n">
        <x:v>51160312.99</x:v>
      </x:c>
      <x:c r="K46" s="93" t="n">
        <x:v>1633544.68</x:v>
      </x:c>
      <x:c r="L46" s="93" t="n">
        <x:v>8760824.01</x:v>
      </x:c>
      <x:c r="M46" s="93" t="n">
        <x:v>14374510.71</x:v>
      </x:c>
      <x:c r="N46" s="93" t="n">
        <x:v>17418379.51</x:v>
      </x:c>
      <x:c r="O46" s="93" t="n">
        <x:v>81010433.28</x:v>
      </x:c>
      <x:c r="P46" s="93" t="n">
        <x:v>263621935.18</x:v>
      </x:c>
      <x:c r="Q46" s="93" t="n">
        <x:v>2666227.12</x:v>
      </x:c>
      <x:c r="R46" s="93" t="n">
        <x:v>-780.94</x:v>
      </x:c>
      <x:c r="S46" s="93" t="n">
        <x:v>-2114.83</x:v>
      </x:c>
      <x:c r="T46" s="93" t="n">
        <x:v>0.45</x:v>
      </x:c>
      <x:c r="U46" s="93">
        <x:v>0</x:v>
      </x:c>
      <x:c r="V46" s="93">
        <x:v>0</x:v>
      </x:c>
      <x:c r="W46" s="93">
        <x:v>0</x:v>
      </x:c>
      <x:c r="X46" s="93">
        <x:v>0</x:v>
      </x:c>
      <x:c r="Y46" s="93">
        <x:v>0</x:v>
      </x:c>
      <x:c r="Z46" s="93" t="n">
        <x:v>0</x:v>
      </x:c>
    </x:row>
    <x:row r="47" spans="1:26" s="226" customFormat="1" ht="12.75" customHeight="1" x14ac:dyDescent="0.2">
      <x:c r="B47" s="98" t="s">
        <x:v>112</x:v>
      </x:c>
      <x:c r="C47" s="98" t="s">
        <x:v>70</x:v>
      </x:c>
      <x:c r="F47" s="100" t="n">
        <x:v>15935934803.39</x:v>
      </x:c>
      <x:c r="G47" s="100" t="n">
        <x:v>898223908.24</x:v>
      </x:c>
      <x:c r="H47" s="100" t="n">
        <x:v>506561116.02</x:v>
      </x:c>
      <x:c r="I47" s="100" t="n">
        <x:v>266134530.87</x:v>
      </x:c>
      <x:c r="J47" s="100" t="n">
        <x:v>3794560001.8</x:v>
      </x:c>
      <x:c r="K47" s="100" t="n">
        <x:v>133542830.63</x:v>
      </x:c>
      <x:c r="L47" s="100" t="n">
        <x:v>25277316.26</x:v>
      </x:c>
      <x:c r="M47" s="100" t="n">
        <x:v>1174929611.92</x:v>
      </x:c>
      <x:c r="N47" s="100" t="n">
        <x:v>1130889048.53</x:v>
      </x:c>
      <x:c r="O47" s="100" t="n">
        <x:v>5352179259.65</x:v>
      </x:c>
      <x:c r="P47" s="100" t="n">
        <x:v>2435751531.23</x:v>
      </x:c>
      <x:c r="Q47" s="100" t="n">
        <x:v>217904786.05</x:v>
      </x:c>
      <x:c r="R47" s="100" t="n">
        <x:v>-17545.2</x:v>
      </x:c>
      <x:c r="S47" s="100" t="n">
        <x:v>-2114.83</x:v>
      </x:c>
      <x:c r="T47" s="100" t="n">
        <x:v>522.25</x:v>
      </x:c>
      <x:c r="U47" s="100">
        <x:v>0</x:v>
      </x:c>
      <x:c r="V47" s="100">
        <x:v>0</x:v>
      </x:c>
      <x:c r="W47" s="100">
        <x:v>0</x:v>
      </x:c>
      <x:c r="X47" s="100">
        <x:v>0</x:v>
      </x:c>
      <x:c r="Y47" s="100">
        <x:v>0</x:v>
      </x:c>
      <x:c r="Z47" s="100" t="n">
        <x:v>-0.03</x:v>
      </x:c>
    </x:row>
    <x:row r="48" spans="1:26" ht="12.6" customHeight="1" x14ac:dyDescent="0.2">
      <x:c r="A48" t="s">
        <x:v>78</x:v>
      </x:c>
      <x:c r="B48" t="s">
        <x:v>70</x:v>
      </x:c>
      <x:c r="E48" s="89"/>
      <x:c r="F48" s="89" t="n">
        <x:v>15935944019.08</x:v>
      </x:c>
      <x:c r="G48" s="90" t="n">
        <x:v>898225915.68</x:v>
      </x:c>
      <x:c r="H48" s="90" t="n">
        <x:v>506562249.4</x:v>
      </x:c>
      <x:c r="I48" s="90" t="n">
        <x:v>266135125.75</x:v>
      </x:c>
      <x:c r="J48" s="90" t="n">
        <x:v>3794560001.8</x:v>
      </x:c>
      <x:c r="K48" s="90" t="n">
        <x:v>133542830.63</x:v>
      </x:c>
      <x:c r="L48" s="90" t="n">
        <x:v>25277316.26</x:v>
      </x:c>
      <x:c r="M48" s="90" t="n">
        <x:v>1174929611.92</x:v>
      </x:c>
      <x:c r="N48" s="90" t="n">
        <x:v>1130889048.53</x:v>
      </x:c>
      <x:c r="O48" s="90" t="n">
        <x:v>5352179259.65</x:v>
      </x:c>
      <x:c r="P48" s="90" t="n">
        <x:v>2435757013.83</x:v>
      </x:c>
      <x:c r="Q48" s="90" t="n">
        <x:v>217904786.05</x:v>
      </x:c>
      <x:c r="R48" s="90" t="n">
        <x:v>-17547.81</x:v>
      </x:c>
      <x:c r="S48" s="90" t="n">
        <x:v>-2114.83</x:v>
      </x:c>
      <x:c r="T48" s="90" t="n">
        <x:v>522.25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-0.03</x:v>
      </x:c>
    </x:row>
    <x:row r="49" spans="2:26" x14ac:dyDescent="0.2">
      <x:c r="E49" t="s">
        <x:v>73</x:v>
      </x:c>
      <x:c r="F49" s="90" t="n">
        <x:v>40364.31</x:v>
      </x:c>
      <x:c r="G49" s="90" t="n">
        <x:v>1974.08</x:v>
      </x:c>
      <x:c r="H49" s="90" t="n">
        <x:v>1114.56</x:v>
      </x:c>
      <x:c r="I49" s="90" t="n">
        <x:v>585</x:v>
      </x:c>
      <x:c r="J49" s="90" t="n">
        <x:v>9457.65</x:v>
      </x:c>
      <x:c r="K49" s="90" t="n">
        <x:v>361.03</x:v>
      </x:c>
      <x:c r="L49" s="90" t="n">
        <x:v>0</x:v>
      </x:c>
      <x:c r="M49" s="90" t="n">
        <x:v>3166.94</x:v>
      </x:c>
      <x:c r="N49" s="90" t="n">
        <x:v>3091.65</x:v>
      </x:c>
      <x:c r="O49" s="90" t="n">
        <x:v>14632.85</x:v>
      </x:c>
      <x:c r="P49" s="90" t="n">
        <x:v>5391.5</x:v>
      </x:c>
      <x:c r="Q49" s="90" t="n">
        <x:v>589.05</x:v>
      </x:c>
      <x:c r="R49" s="90" t="n">
        <x:v>0</x:v>
      </x:c>
      <x:c r="S49" s="90" t="n">
        <x:v>0</x:v>
      </x:c>
      <x:c r="T49" s="90" t="n">
        <x:v>0</x:v>
      </x:c>
      <x:c r="U49">
        <x:v>0</x:v>
      </x:c>
      <x:c r="V49">
        <x:v>0</x:v>
      </x:c>
      <x:c r="W49">
        <x:v>0</x:v>
      </x:c>
      <x:c r="X49">
        <x:v>0</x:v>
      </x:c>
      <x:c r="Y49">
        <x:v>0</x:v>
      </x:c>
      <x:c r="Z49" s="90" t="n">
        <x:v>0</x:v>
      </x:c>
    </x:row>
    <x:row r="50" spans="2:26" x14ac:dyDescent="0.2">
      <x:c r="D50" t="s">
        <x:v>156</x:v>
      </x:c>
      <x:c r="E50" t="s">
        <x:v>70</x:v>
      </x:c>
      <x:c r="F50" s="90" t="n">
        <x:v>40364.31</x:v>
      </x:c>
      <x:c r="G50" s="90" t="n">
        <x:v>1974.08</x:v>
      </x:c>
      <x:c r="H50" s="90" t="n">
        <x:v>1114.56</x:v>
      </x:c>
      <x:c r="I50" s="90" t="n">
        <x:v>585</x:v>
      </x:c>
      <x:c r="J50" s="90" t="n">
        <x:v>9457.65</x:v>
      </x:c>
      <x:c r="K50" s="90" t="n">
        <x:v>361.03</x:v>
      </x:c>
      <x:c r="L50" s="90" t="n">
        <x:v>0</x:v>
      </x:c>
      <x:c r="M50" s="90" t="n">
        <x:v>3166.94</x:v>
      </x:c>
      <x:c r="N50" s="90" t="n">
        <x:v>3091.65</x:v>
      </x:c>
      <x:c r="O50" s="90" t="n">
        <x:v>14632.85</x:v>
      </x:c>
      <x:c r="P50" s="90" t="n">
        <x:v>5391.5</x:v>
      </x:c>
      <x:c r="Q50" s="90" t="n">
        <x:v>589.05</x:v>
      </x:c>
      <x:c r="R50" s="90" t="n">
        <x:v>0</x:v>
      </x:c>
      <x:c r="S50" s="90" t="n">
        <x:v>0</x:v>
      </x:c>
      <x:c r="T50" s="90" t="n">
        <x:v>0</x:v>
      </x:c>
      <x:c r="U50">
        <x:v>0</x:v>
      </x:c>
      <x:c r="V50">
        <x:v>0</x:v>
      </x:c>
      <x:c r="W50">
        <x:v>0</x:v>
      </x:c>
      <x:c r="X50">
        <x:v>0</x:v>
      </x:c>
      <x:c r="Y50">
        <x:v>0</x:v>
      </x:c>
      <x:c r="Z50" s="90" t="n">
        <x:v>0</x:v>
      </x:c>
    </x:row>
    <x:row r="51" spans="2:26" s="286" customFormat="1" ht="12.75" customHeight="1" x14ac:dyDescent="0.2">
      <x:c r="C51" s="286" t="s">
        <x:v>155</x:v>
      </x:c>
      <x:c r="D51" s="286" t="s">
        <x:v>70</x:v>
      </x:c>
      <x:c r="E51" s="229"/>
      <x:c r="F51" s="229" t="n">
        <x:v>40364.31</x:v>
      </x:c>
      <x:c r="G51" s="230" t="n">
        <x:v>1974.08</x:v>
      </x:c>
      <x:c r="H51" s="230" t="n">
        <x:v>1114.56</x:v>
      </x:c>
      <x:c r="I51" s="230" t="n">
        <x:v>585</x:v>
      </x:c>
      <x:c r="J51" s="230" t="n">
        <x:v>9457.65</x:v>
      </x:c>
      <x:c r="K51" s="230" t="n">
        <x:v>361.03</x:v>
      </x:c>
      <x:c r="L51" s="230" t="n">
        <x:v>0</x:v>
      </x:c>
      <x:c r="M51" s="230" t="n">
        <x:v>3166.94</x:v>
      </x:c>
      <x:c r="N51" s="230" t="n">
        <x:v>3091.65</x:v>
      </x:c>
      <x:c r="O51" s="230" t="n">
        <x:v>14632.85</x:v>
      </x:c>
      <x:c r="P51" s="230" t="n">
        <x:v>5391.5</x:v>
      </x:c>
      <x:c r="Q51" s="230" t="n">
        <x:v>589.05</x:v>
      </x:c>
      <x:c r="R51" s="230" t="n">
        <x:v>0</x:v>
      </x:c>
      <x:c r="S51" s="230" t="n">
        <x:v>0</x:v>
      </x:c>
      <x:c r="T51" s="230" t="n">
        <x:v>0</x:v>
      </x:c>
      <x:c r="U51" s="230">
        <x:v>0</x:v>
      </x:c>
      <x:c r="V51" s="230">
        <x:v>0</x:v>
      </x:c>
      <x:c r="W51" s="230">
        <x:v>0</x:v>
      </x:c>
      <x:c r="X51" s="230">
        <x:v>0</x:v>
      </x:c>
      <x:c r="Y51" s="230">
        <x:v>0</x:v>
      </x:c>
      <x:c r="Z51" s="230" t="n">
        <x:v>0</x:v>
      </x:c>
    </x:row>
    <x:row r="52" spans="2:26" x14ac:dyDescent="0.2">
      <x:c r="E52" t="s">
        <x:v>73</x:v>
      </x:c>
      <x:c r="F52" s="90">
        <x:v>0</x:v>
      </x:c>
      <x:c r="G52" s="90">
        <x:v>0</x:v>
      </x:c>
      <x:c r="H52" s="90">
        <x:v>0</x:v>
      </x:c>
      <x:c r="I52" s="90">
        <x:v>0</x:v>
      </x:c>
      <x:c r="J52" s="90">
        <x:v>0</x:v>
      </x:c>
      <x:c r="K52" s="90">
        <x:v>0</x:v>
      </x:c>
      <x:c r="L52" s="90">
        <x:v>0</x:v>
      </x:c>
      <x:c r="M52" s="90">
        <x:v>0</x:v>
      </x:c>
      <x:c r="N52" s="90">
        <x:v>0</x:v>
      </x:c>
      <x:c r="O52" s="90">
        <x:v>0</x:v>
      </x:c>
      <x:c r="P52" s="90">
        <x:v>0</x:v>
      </x:c>
      <x:c r="Q52" s="90">
        <x:v>0</x:v>
      </x:c>
      <x:c r="R52" s="90">
        <x:v>0</x:v>
      </x:c>
      <x:c r="S52" s="90">
        <x:v>0</x:v>
      </x:c>
      <x:c r="T52" s="90">
        <x:v>0</x:v>
      </x:c>
      <x:c r="U52">
        <x:v>0</x:v>
      </x:c>
      <x:c r="V52">
        <x:v>0</x:v>
      </x:c>
      <x:c r="W52">
        <x:v>0</x:v>
      </x:c>
      <x:c r="X52">
        <x:v>0</x:v>
      </x:c>
      <x:c r="Y52">
        <x:v>0</x:v>
      </x:c>
      <x:c r="Z52" s="90">
        <x:v>0</x:v>
      </x:c>
    </x:row>
    <x:row r="53" spans="2:26" x14ac:dyDescent="0.2">
      <x:c r="D53" t="s">
        <x:v>82</x:v>
      </x:c>
      <x:c r="E53" t="s">
        <x:v>70</x:v>
      </x:c>
      <x:c r="F53" s="90">
        <x:v>0</x:v>
      </x:c>
      <x:c r="G53" s="90">
        <x:v>0</x:v>
      </x:c>
      <x:c r="H53" s="90">
        <x:v>0</x:v>
      </x:c>
      <x:c r="I53" s="90">
        <x:v>0</x:v>
      </x:c>
      <x:c r="J53" s="90">
        <x:v>0</x:v>
      </x:c>
      <x:c r="K53" s="90">
        <x:v>0</x:v>
      </x:c>
      <x:c r="L53" s="90">
        <x:v>0</x:v>
      </x:c>
      <x:c r="M53" s="90">
        <x:v>0</x:v>
      </x:c>
      <x:c r="N53" s="90">
        <x:v>0</x:v>
      </x:c>
      <x:c r="O53" s="90">
        <x:v>0</x:v>
      </x:c>
      <x:c r="P53" s="90">
        <x:v>0</x:v>
      </x:c>
      <x:c r="Q53" s="90">
        <x:v>0</x:v>
      </x:c>
      <x:c r="R53" s="90">
        <x:v>0</x:v>
      </x:c>
      <x:c r="S53" s="90">
        <x:v>0</x:v>
      </x:c>
      <x:c r="T53" s="90">
        <x:v>0</x:v>
      </x:c>
      <x:c r="U53">
        <x:v>0</x:v>
      </x:c>
      <x:c r="V53">
        <x:v>0</x:v>
      </x:c>
      <x:c r="W53">
        <x:v>0</x:v>
      </x:c>
      <x:c r="X53">
        <x:v>0</x:v>
      </x:c>
      <x:c r="Y53">
        <x:v>0</x:v>
      </x:c>
      <x:c r="Z53" s="90">
        <x:v>0</x:v>
      </x:c>
    </x:row>
    <x:row r="54" spans="2:26" x14ac:dyDescent="0.2">
      <x:c r="E54" t="s">
        <x:v>73</x:v>
      </x:c>
      <x:c r="F54" s="90">
        <x:v>0</x:v>
      </x:c>
      <x:c r="G54" s="90">
        <x:v>0</x:v>
      </x:c>
      <x:c r="H54" s="90">
        <x:v>0</x:v>
      </x:c>
      <x:c r="I54" s="90">
        <x:v>0</x:v>
      </x:c>
      <x:c r="J54" s="90">
        <x:v>0</x:v>
      </x:c>
      <x:c r="K54" s="90">
        <x:v>0</x:v>
      </x:c>
      <x:c r="L54" s="90">
        <x:v>0</x:v>
      </x:c>
      <x:c r="M54" s="90">
        <x:v>0</x:v>
      </x:c>
      <x:c r="N54" s="90">
        <x:v>0</x:v>
      </x:c>
      <x:c r="O54" s="90">
        <x:v>0</x:v>
      </x:c>
      <x:c r="P54" s="90">
        <x:v>0</x:v>
      </x:c>
      <x:c r="Q54" s="90">
        <x:v>0</x:v>
      </x:c>
      <x:c r="R54" s="90">
        <x:v>0</x:v>
      </x:c>
      <x:c r="S54" s="90">
        <x:v>0</x:v>
      </x:c>
      <x:c r="T54" s="90">
        <x:v>0</x:v>
      </x:c>
      <x:c r="U54">
        <x:v>0</x:v>
      </x:c>
      <x:c r="V54">
        <x:v>0</x:v>
      </x:c>
      <x:c r="W54">
        <x:v>0</x:v>
      </x:c>
      <x:c r="X54">
        <x:v>0</x:v>
      </x:c>
      <x:c r="Y54">
        <x:v>0</x:v>
      </x:c>
      <x:c r="Z54" s="90">
        <x:v>0</x:v>
      </x:c>
    </x:row>
    <x:row r="55" spans="2:26" x14ac:dyDescent="0.2">
      <x:c r="D55" t="s">
        <x:v>86</x:v>
      </x:c>
      <x:c r="E55" t="s">
        <x:v>70</x:v>
      </x:c>
      <x:c r="F55" s="90">
        <x:v>0</x:v>
      </x:c>
      <x:c r="G55" s="90">
        <x:v>0</x:v>
      </x:c>
      <x:c r="H55" s="90">
        <x:v>0</x:v>
      </x:c>
      <x:c r="I55" s="90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  <x:c r="P55" s="90">
        <x:v>0</x:v>
      </x:c>
      <x:c r="Q55" s="90">
        <x:v>0</x:v>
      </x:c>
      <x:c r="R55" s="90">
        <x:v>0</x:v>
      </x:c>
      <x:c r="S55" s="90">
        <x:v>0</x:v>
      </x:c>
      <x:c r="T55" s="90">
        <x:v>0</x:v>
      </x:c>
      <x:c r="U55">
        <x:v>0</x:v>
      </x:c>
      <x:c r="V55">
        <x:v>0</x:v>
      </x:c>
      <x:c r="W55">
        <x:v>0</x:v>
      </x:c>
      <x:c r="X55">
        <x:v>0</x:v>
      </x:c>
      <x:c r="Y55">
        <x:v>0</x:v>
      </x:c>
      <x:c r="Z55" s="90">
        <x:v>0</x:v>
      </x:c>
    </x:row>
    <x:row r="56" spans="2:26" x14ac:dyDescent="0.2">
      <x:c r="E56" t="s">
        <x:v>73</x:v>
      </x:c>
      <x:c r="F56" s="90">
        <x:v>0</x:v>
      </x:c>
      <x:c r="G56" s="90">
        <x:v>0</x:v>
      </x:c>
      <x:c r="H56" s="90">
        <x:v>0</x:v>
      </x:c>
      <x:c r="I56" s="90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  <x:c r="P56" s="90">
        <x:v>0</x:v>
      </x:c>
      <x:c r="Q56" s="90">
        <x:v>0</x:v>
      </x:c>
      <x:c r="R56" s="90">
        <x:v>0</x:v>
      </x:c>
      <x:c r="S56" s="90">
        <x:v>0</x:v>
      </x:c>
      <x:c r="T56" s="90">
        <x:v>0</x:v>
      </x:c>
      <x:c r="U56">
        <x:v>0</x:v>
      </x:c>
      <x:c r="V56">
        <x:v>0</x:v>
      </x:c>
      <x:c r="W56">
        <x:v>0</x:v>
      </x:c>
      <x:c r="X56">
        <x:v>0</x:v>
      </x:c>
      <x:c r="Y56">
        <x:v>0</x:v>
      </x:c>
      <x:c r="Z56" s="90">
        <x:v>0</x:v>
      </x:c>
    </x:row>
    <x:row r="57" spans="2:26" x14ac:dyDescent="0.2">
      <x:c r="D57" t="s">
        <x:v>87</x:v>
      </x:c>
      <x:c r="E57" t="s">
        <x:v>70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2:26" s="94" customFormat="1" ht="12.75" customHeight="1" x14ac:dyDescent="0.2">
      <x:c r="C58" s="101" t="s">
        <x:v>119</x:v>
      </x:c>
      <x:c r="D58" s="101" t="s">
        <x:v>70</x:v>
      </x:c>
      <x:c r="F58" s="93">
        <x:v>0</x:v>
      </x:c>
      <x:c r="G58" s="93">
        <x:v>0</x:v>
      </x:c>
      <x:c r="H58" s="93">
        <x:v>0</x:v>
      </x:c>
      <x:c r="I58" s="93">
        <x:v>0</x:v>
      </x:c>
      <x:c r="J58" s="93">
        <x:v>0</x:v>
      </x:c>
      <x:c r="K58" s="93">
        <x:v>0</x:v>
      </x:c>
      <x:c r="L58" s="93">
        <x:v>0</x:v>
      </x:c>
      <x:c r="M58" s="93">
        <x:v>0</x:v>
      </x:c>
      <x:c r="N58" s="93">
        <x:v>0</x:v>
      </x:c>
      <x:c r="O58" s="93">
        <x:v>0</x:v>
      </x:c>
      <x:c r="P58" s="93">
        <x:v>0</x:v>
      </x:c>
      <x:c r="Q58" s="93">
        <x:v>0</x:v>
      </x:c>
      <x:c r="R58" s="93">
        <x:v>0</x:v>
      </x:c>
      <x:c r="S58" s="93">
        <x:v>0</x:v>
      </x:c>
      <x:c r="T58" s="93">
        <x:v>0</x:v>
      </x:c>
      <x:c r="U58" s="93">
        <x:v>0</x:v>
      </x:c>
      <x:c r="V58" s="93">
        <x:v>0</x:v>
      </x:c>
      <x:c r="W58" s="93">
        <x:v>0</x:v>
      </x:c>
      <x:c r="X58" s="93">
        <x:v>0</x:v>
      </x:c>
      <x:c r="Y58" s="93">
        <x:v>0</x:v>
      </x:c>
      <x:c r="Z58" s="93">
        <x:v>0</x:v>
      </x:c>
    </x:row>
    <x:row r="59" spans="2:26" s="378" customFormat="1" ht="12.75" customHeight="1" x14ac:dyDescent="0.2">
      <x:c r="B59" s="378" t="s">
        <x:v>122</x:v>
      </x:c>
      <x:c r="C59" s="378" t="s">
        <x:v>70</x:v>
      </x:c>
      <x:c r="E59" s="376"/>
      <x:c r="F59" s="710" t="n">
        <x:v>40364.31</x:v>
      </x:c>
      <x:c r="G59" s="377" t="n">
        <x:v>1974.08</x:v>
      </x:c>
      <x:c r="H59" s="377" t="n">
        <x:v>1114.56</x:v>
      </x:c>
      <x:c r="I59" s="377" t="n">
        <x:v>585</x:v>
      </x:c>
      <x:c r="J59" s="377" t="n">
        <x:v>9457.65</x:v>
      </x:c>
      <x:c r="K59" s="377" t="n">
        <x:v>361.03</x:v>
      </x:c>
      <x:c r="L59" s="377" t="n">
        <x:v>0</x:v>
      </x:c>
      <x:c r="M59" s="377" t="n">
        <x:v>3166.94</x:v>
      </x:c>
      <x:c r="N59" s="377" t="n">
        <x:v>3091.65</x:v>
      </x:c>
      <x:c r="O59" s="377" t="n">
        <x:v>14632.85</x:v>
      </x:c>
      <x:c r="P59" s="377" t="n">
        <x:v>5391.5</x:v>
      </x:c>
      <x:c r="Q59" s="377" t="n">
        <x:v>589.05</x:v>
      </x:c>
      <x:c r="R59" s="377" t="n">
        <x:v>0</x:v>
      </x:c>
      <x:c r="S59" s="377" t="n">
        <x:v>0</x:v>
      </x:c>
      <x:c r="T59" s="377" t="n">
        <x:v>0</x:v>
      </x:c>
      <x:c r="U59" s="377">
        <x:v>0</x:v>
      </x:c>
      <x:c r="V59" s="377">
        <x:v>0</x:v>
      </x:c>
      <x:c r="W59" s="377">
        <x:v>0</x:v>
      </x:c>
      <x:c r="X59" s="377">
        <x:v>0</x:v>
      </x:c>
      <x:c r="Y59" s="377">
        <x:v>0</x:v>
      </x:c>
      <x:c r="Z59" s="377" t="n">
        <x:v>0</x:v>
      </x:c>
    </x:row>
    <x:row r="60" spans="2:26" ht="12.75" customHeight="1" x14ac:dyDescent="0.2">
      <x:c r="E60" s="89" t="s">
        <x:v>73</x:v>
      </x:c>
      <x:c r="F60" s="384" t="n">
        <x:v>1261122890.41</x:v>
      </x:c>
      <x:c r="G60" s="90" t="n">
        <x:v>145017642.29</x:v>
      </x:c>
      <x:c r="H60" s="90" t="n">
        <x:v>81882191.68</x:v>
      </x:c>
      <x:c r="I60" s="90" t="n">
        <x:v>42987613.01</x:v>
      </x:c>
      <x:c r="J60" s="90" t="n">
        <x:v>181283966.8</x:v>
      </x:c>
      <x:c r="K60" s="90" t="n">
        <x:v>6932108.75</x:v>
      </x:c>
      <x:c r="L60" s="90" t="n">
        <x:v>0</x:v>
      </x:c>
      <x:c r="M60" s="90" t="n">
        <x:v>59431479.55</x:v>
      </x:c>
      <x:c r="N60" s="90" t="n">
        <x:v>58073052.67</x:v>
      </x:c>
      <x:c r="O60" s="90" t="n">
        <x:v>274861035.99</x:v>
      </x:c>
      <x:c r="P60" s="90" t="n">
        <x:v>399343193.25</x:v>
      </x:c>
      <x:c r="Q60" s="90" t="n">
        <x:v>11310606.42</x:v>
      </x:c>
      <x:c r="R60" s="90" t="n">
        <x:v>0</x:v>
      </x:c>
      <x:c r="S60" s="90" t="n">
        <x:v>0</x:v>
      </x:c>
      <x:c r="T60" s="90" t="n">
        <x:v>0</x:v>
      </x:c>
      <x:c r="U60" s="90">
        <x:v>0</x:v>
      </x:c>
      <x:c r="V60" s="90">
        <x:v>0</x:v>
      </x:c>
      <x:c r="W60" s="90">
        <x:v>0</x:v>
      </x:c>
      <x:c r="X60" s="90">
        <x:v>0</x:v>
      </x:c>
      <x:c r="Y60" s="90">
        <x:v>0</x:v>
      </x:c>
      <x:c r="Z60" s="90" t="n">
        <x:v>0</x:v>
      </x:c>
    </x:row>
    <x:row r="61" spans="2:26" ht="12.75" customHeight="1" x14ac:dyDescent="0.2">
      <x:c r="D61" t="s">
        <x:v>156</x:v>
      </x:c>
      <x:c r="E61" s="89" t="s">
        <x:v>70</x:v>
      </x:c>
      <x:c r="F61" s="384" t="n">
        <x:v>1261122890.41</x:v>
      </x:c>
      <x:c r="G61" s="90" t="n">
        <x:v>145017642.29</x:v>
      </x:c>
      <x:c r="H61" s="90" t="n">
        <x:v>81882191.68</x:v>
      </x:c>
      <x:c r="I61" s="90" t="n">
        <x:v>42987613.01</x:v>
      </x:c>
      <x:c r="J61" s="90" t="n">
        <x:v>181283966.8</x:v>
      </x:c>
      <x:c r="K61" s="90" t="n">
        <x:v>6932108.75</x:v>
      </x:c>
      <x:c r="L61" s="90" t="n">
        <x:v>0</x:v>
      </x:c>
      <x:c r="M61" s="90" t="n">
        <x:v>59431479.55</x:v>
      </x:c>
      <x:c r="N61" s="90" t="n">
        <x:v>58073052.67</x:v>
      </x:c>
      <x:c r="O61" s="90" t="n">
        <x:v>274861035.99</x:v>
      </x:c>
      <x:c r="P61" s="90" t="n">
        <x:v>399343193.25</x:v>
      </x:c>
      <x:c r="Q61" s="90" t="n">
        <x:v>11310606.42</x:v>
      </x:c>
      <x:c r="R61" s="90" t="n">
        <x:v>0</x:v>
      </x:c>
      <x:c r="S61" s="90" t="n">
        <x:v>0</x:v>
      </x:c>
      <x:c r="T61" s="90" t="n">
        <x:v>0</x:v>
      </x:c>
      <x:c r="U61" s="90">
        <x:v>0</x:v>
      </x:c>
      <x:c r="V61" s="90">
        <x:v>0</x:v>
      </x:c>
      <x:c r="W61" s="90">
        <x:v>0</x:v>
      </x:c>
      <x:c r="X61" s="90">
        <x:v>0</x:v>
      </x:c>
      <x:c r="Y61" s="90">
        <x:v>0</x:v>
      </x:c>
      <x:c r="Z61" s="90" t="n">
        <x:v>0</x:v>
      </x:c>
    </x:row>
    <x:row r="62" spans="2:26" s="286" customFormat="1" ht="12.75" customHeight="1" x14ac:dyDescent="0.2">
      <x:c r="C62" s="286" t="s">
        <x:v>155</x:v>
      </x:c>
      <x:c r="D62" s="286" t="s">
        <x:v>70</x:v>
      </x:c>
      <x:c r="E62" s="229"/>
      <x:c r="F62" s="229" t="n">
        <x:v>1261122890.41</x:v>
      </x:c>
      <x:c r="G62" s="230" t="n">
        <x:v>145017642.29</x:v>
      </x:c>
      <x:c r="H62" s="230" t="n">
        <x:v>81882191.68</x:v>
      </x:c>
      <x:c r="I62" s="230" t="n">
        <x:v>42987613.01</x:v>
      </x:c>
      <x:c r="J62" s="230" t="n">
        <x:v>181283966.8</x:v>
      </x:c>
      <x:c r="K62" s="230" t="n">
        <x:v>6932108.75</x:v>
      </x:c>
      <x:c r="L62" s="230" t="n">
        <x:v>0</x:v>
      </x:c>
      <x:c r="M62" s="230" t="n">
        <x:v>59431479.55</x:v>
      </x:c>
      <x:c r="N62" s="230" t="n">
        <x:v>58073052.67</x:v>
      </x:c>
      <x:c r="O62" s="230" t="n">
        <x:v>274861035.99</x:v>
      </x:c>
      <x:c r="P62" s="230" t="n">
        <x:v>399343193.25</x:v>
      </x:c>
      <x:c r="Q62" s="230" t="n">
        <x:v>11310606.42</x:v>
      </x:c>
      <x:c r="R62" s="230" t="n">
        <x:v>0</x:v>
      </x:c>
      <x:c r="S62" s="230" t="n">
        <x:v>0</x:v>
      </x:c>
      <x:c r="T62" s="230" t="n">
        <x:v>0</x:v>
      </x:c>
      <x:c r="U62" s="230">
        <x:v>0</x:v>
      </x:c>
      <x:c r="V62" s="230">
        <x:v>0</x:v>
      </x:c>
      <x:c r="W62" s="230">
        <x:v>0</x:v>
      </x:c>
      <x:c r="X62" s="230">
        <x:v>0</x:v>
      </x:c>
      <x:c r="Y62" s="230">
        <x:v>0</x:v>
      </x:c>
      <x:c r="Z62" s="230" t="n">
        <x:v>0</x:v>
      </x:c>
    </x:row>
    <x:row r="63" spans="2:26" ht="12.75" customHeight="1" x14ac:dyDescent="0.2">
      <x:c r="D63" s="89"/>
      <x:c r="E63" s="89" t="s">
        <x:v>73</x:v>
      </x:c>
      <x:c r="F63" s="90" t="n">
        <x:v>6082566.2</x:v>
      </x:c>
      <x:c r="G63" s="90" t="n">
        <x:v>1209162.83</x:v>
      </x:c>
      <x:c r="H63" s="90" t="n">
        <x:v>679361.72</x:v>
      </x:c>
      <x:c r="I63" s="90" t="n">
        <x:v>354481.28</x:v>
      </x:c>
      <x:c r="J63" s="90" t="n">
        <x:v>358187.27</x:v>
      </x:c>
      <x:c r="K63" s="90" t="n">
        <x:v>-4705.56</x:v>
      </x:c>
      <x:c r="L63" s="90" t="n">
        <x:v>0</x:v>
      </x:c>
      <x:c r="M63" s="90" t="n">
        <x:v>-42042.77</x:v>
      </x:c>
      <x:c r="N63" s="90" t="n">
        <x:v>41264.06</x:v>
      </x:c>
      <x:c r="O63" s="90" t="n">
        <x:v>193736.04</x:v>
      </x:c>
      <x:c r="P63" s="90" t="n">
        <x:v>3300638.3</x:v>
      </x:c>
      <x:c r="Q63" s="90" t="n">
        <x:v>-7516.97</x:v>
      </x:c>
      <x:c r="R63" s="90" t="n">
        <x:v>0</x:v>
      </x:c>
      <x:c r="S63" s="90" t="n">
        <x:v>0</x:v>
      </x:c>
      <x:c r="T63" s="90" t="n">
        <x:v>0</x:v>
      </x:c>
      <x:c r="U63" s="90">
        <x:v>0</x:v>
      </x:c>
      <x:c r="V63" s="90">
        <x:v>0</x:v>
      </x:c>
      <x:c r="W63" s="90">
        <x:v>0</x:v>
      </x:c>
      <x:c r="X63" s="90">
        <x:v>0</x:v>
      </x:c>
      <x:c r="Y63" s="90">
        <x:v>0</x:v>
      </x:c>
      <x:c r="Z63" s="90" t="n">
        <x:v>0</x:v>
      </x:c>
    </x:row>
    <x:row r="64" spans="2:26" ht="12.75" customHeight="1" x14ac:dyDescent="0.2">
      <x:c r="D64" t="s">
        <x:v>82</x:v>
      </x:c>
      <x:c r="E64" s="89" t="s">
        <x:v>70</x:v>
      </x:c>
      <x:c r="F64" s="90" t="n">
        <x:v>6082566.2</x:v>
      </x:c>
      <x:c r="G64" s="90" t="n">
        <x:v>1209162.83</x:v>
      </x:c>
      <x:c r="H64" s="90" t="n">
        <x:v>679361.72</x:v>
      </x:c>
      <x:c r="I64" s="90" t="n">
        <x:v>354481.28</x:v>
      </x:c>
      <x:c r="J64" s="90" t="n">
        <x:v>358187.27</x:v>
      </x:c>
      <x:c r="K64" s="90" t="n">
        <x:v>-4705.56</x:v>
      </x:c>
      <x:c r="L64" s="90" t="n">
        <x:v>0</x:v>
      </x:c>
      <x:c r="M64" s="90" t="n">
        <x:v>-42042.77</x:v>
      </x:c>
      <x:c r="N64" s="90" t="n">
        <x:v>41264.06</x:v>
      </x:c>
      <x:c r="O64" s="90" t="n">
        <x:v>193736.04</x:v>
      </x:c>
      <x:c r="P64" s="90" t="n">
        <x:v>3300638.3</x:v>
      </x:c>
      <x:c r="Q64" s="90" t="n">
        <x:v>-7516.97</x:v>
      </x:c>
      <x:c r="R64" s="90" t="n">
        <x:v>0</x:v>
      </x:c>
      <x:c r="S64" s="90" t="n">
        <x:v>0</x:v>
      </x:c>
      <x:c r="T64" s="90" t="n">
        <x:v>0</x:v>
      </x:c>
      <x:c r="U64" s="90">
        <x:v>0</x:v>
      </x:c>
      <x:c r="V64" s="90">
        <x:v>0</x:v>
      </x:c>
      <x:c r="W64" s="90">
        <x:v>0</x:v>
      </x:c>
      <x:c r="X64" s="90">
        <x:v>0</x:v>
      </x:c>
      <x:c r="Y64" s="90">
        <x:v>0</x:v>
      </x:c>
      <x:c r="Z64" s="90" t="n">
        <x:v>0</x:v>
      </x:c>
    </x:row>
    <x:row r="65" spans="1:42" ht="12.75" customHeight="1" x14ac:dyDescent="0.2">
      <x:c r="D65" s="89"/>
      <x:c r="E65" s="89" t="s">
        <x:v>73</x:v>
      </x:c>
      <x:c r="F65" s="90" t="n">
        <x:v>29193363.24</x:v>
      </x:c>
      <x:c r="G65" s="90" t="n">
        <x:v>5503604.9</x:v>
      </x:c>
      <x:c r="H65" s="90" t="n">
        <x:v>3036599.6</x:v>
      </x:c>
      <x:c r="I65" s="90" t="n">
        <x:v>1564692.21</x:v>
      </x:c>
      <x:c r="J65" s="90" t="n">
        <x:v>1181412.52</x:v>
      </x:c>
      <x:c r="K65" s="90" t="n">
        <x:v>26083.53</x:v>
      </x:c>
      <x:c r="L65" s="90" t="n">
        <x:v>0</x:v>
      </x:c>
      <x:c r="M65" s="90" t="n">
        <x:v>217934.27</x:v>
      </x:c>
      <x:c r="N65" s="90" t="n">
        <x:v>473929.76</x:v>
      </x:c>
      <x:c r="O65" s="90" t="n">
        <x:v>2182082.49</x:v>
      </x:c>
      <x:c r="P65" s="90" t="n">
        <x:v>14964294.19</x:v>
      </x:c>
      <x:c r="Q65" s="90" t="n">
        <x:v>42729.77</x:v>
      </x:c>
      <x:c r="R65" s="90" t="n">
        <x:v>0</x:v>
      </x:c>
      <x:c r="S65" s="90" t="n">
        <x:v>0</x:v>
      </x:c>
      <x:c r="T65" s="90" t="n">
        <x:v>0</x:v>
      </x:c>
      <x:c r="U65" s="90">
        <x:v>0</x:v>
      </x:c>
      <x:c r="V65" s="90">
        <x:v>0</x:v>
      </x:c>
      <x:c r="W65" s="90">
        <x:v>0</x:v>
      </x:c>
      <x:c r="X65" s="90">
        <x:v>0</x:v>
      </x:c>
      <x:c r="Y65" s="90">
        <x:v>0</x:v>
      </x:c>
      <x:c r="Z65" s="90" t="n">
        <x:v>0</x:v>
      </x:c>
    </x:row>
    <x:row r="66" spans="1:42" ht="12.75" customHeight="1" x14ac:dyDescent="0.2">
      <x:c r="D66" t="s">
        <x:v>86</x:v>
      </x:c>
      <x:c r="E66" s="89" t="s">
        <x:v>70</x:v>
      </x:c>
      <x:c r="F66" s="90" t="n">
        <x:v>29193363.24</x:v>
      </x:c>
      <x:c r="G66" s="90" t="n">
        <x:v>5503604.9</x:v>
      </x:c>
      <x:c r="H66" s="90" t="n">
        <x:v>3036599.6</x:v>
      </x:c>
      <x:c r="I66" s="90" t="n">
        <x:v>1564692.21</x:v>
      </x:c>
      <x:c r="J66" s="90" t="n">
        <x:v>1181412.52</x:v>
      </x:c>
      <x:c r="K66" s="90" t="n">
        <x:v>26083.53</x:v>
      </x:c>
      <x:c r="L66" s="90" t="n">
        <x:v>0</x:v>
      </x:c>
      <x:c r="M66" s="90" t="n">
        <x:v>217934.27</x:v>
      </x:c>
      <x:c r="N66" s="90" t="n">
        <x:v>473929.76</x:v>
      </x:c>
      <x:c r="O66" s="90" t="n">
        <x:v>2182082.49</x:v>
      </x:c>
      <x:c r="P66" s="90" t="n">
        <x:v>14964294.19</x:v>
      </x:c>
      <x:c r="Q66" s="90" t="n">
        <x:v>42729.77</x:v>
      </x:c>
      <x:c r="R66" s="90" t="n">
        <x:v>0</x:v>
      </x:c>
      <x:c r="S66" s="90" t="n">
        <x:v>0</x:v>
      </x:c>
      <x:c r="T66" s="90" t="n">
        <x:v>0</x:v>
      </x:c>
      <x:c r="U66" s="90">
        <x:v>0</x:v>
      </x:c>
      <x:c r="V66" s="90">
        <x:v>0</x:v>
      </x:c>
      <x:c r="W66" s="90">
        <x:v>0</x:v>
      </x:c>
      <x:c r="X66" s="90">
        <x:v>0</x:v>
      </x:c>
      <x:c r="Y66" s="90">
        <x:v>0</x:v>
      </x:c>
      <x:c r="Z66" s="90" t="n">
        <x:v>0</x:v>
      </x:c>
    </x:row>
    <x:row r="67" spans="1:42" ht="12.75" customHeight="1" x14ac:dyDescent="0.2">
      <x:c r="D67" s="89"/>
      <x:c r="E67" s="89" t="s">
        <x:v>73</x:v>
      </x:c>
      <x:c r="F67" s="90" t="n">
        <x:v>132748470.25</x:v>
      </x:c>
      <x:c r="G67" s="90" t="n">
        <x:v>23581040.41</x:v>
      </x:c>
      <x:c r="H67" s="90" t="n">
        <x:v>13134900.38</x:v>
      </x:c>
      <x:c r="I67" s="90" t="n">
        <x:v>6932117.97</x:v>
      </x:c>
      <x:c r="J67" s="90" t="n">
        <x:v>8421230.27</x:v>
      </x:c>
      <x:c r="K67" s="90" t="n">
        <x:v>204893.95</x:v>
      </x:c>
      <x:c r="L67" s="90" t="n">
        <x:v>0</x:v>
      </x:c>
      <x:c r="M67" s="90" t="n">
        <x:v>1822856.43</x:v>
      </x:c>
      <x:c r="N67" s="90" t="n">
        <x:v>2503084.31</x:v>
      </x:c>
      <x:c r="O67" s="90" t="n">
        <x:v>11686632.25</x:v>
      </x:c>
      <x:c r="P67" s="90" t="n">
        <x:v>64127779.72</x:v>
      </x:c>
      <x:c r="Q67" s="90" t="n">
        <x:v>333934.56</x:v>
      </x:c>
      <x:c r="R67" s="90" t="n">
        <x:v>0</x:v>
      </x:c>
      <x:c r="S67" s="90" t="n">
        <x:v>0</x:v>
      </x:c>
      <x:c r="T67" s="90" t="n">
        <x:v>0</x:v>
      </x:c>
      <x:c r="U67" s="90">
        <x:v>0</x:v>
      </x:c>
      <x:c r="V67" s="90">
        <x:v>0</x:v>
      </x:c>
      <x:c r="W67" s="90">
        <x:v>0</x:v>
      </x:c>
      <x:c r="X67" s="90">
        <x:v>0</x:v>
      </x:c>
      <x:c r="Y67" s="90">
        <x:v>0</x:v>
      </x:c>
      <x:c r="Z67" s="90" t="n">
        <x:v>0</x:v>
      </x:c>
    </x:row>
    <x:row r="68" spans="1:42" ht="12.75" customHeight="1" x14ac:dyDescent="0.2">
      <x:c r="C68" s="89"/>
      <x:c r="D68" s="89" t="s">
        <x:v>87</x:v>
      </x:c>
      <x:c r="E68" t="s">
        <x:v>70</x:v>
      </x:c>
      <x:c r="F68" s="90" t="n">
        <x:v>132748470.25</x:v>
      </x:c>
      <x:c r="G68" s="90" t="n">
        <x:v>23581040.41</x:v>
      </x:c>
      <x:c r="H68" s="90" t="n">
        <x:v>13134900.38</x:v>
      </x:c>
      <x:c r="I68" s="90" t="n">
        <x:v>6932117.97</x:v>
      </x:c>
      <x:c r="J68" s="90" t="n">
        <x:v>8421230.27</x:v>
      </x:c>
      <x:c r="K68" s="90" t="n">
        <x:v>204893.95</x:v>
      </x:c>
      <x:c r="L68" s="90" t="n">
        <x:v>0</x:v>
      </x:c>
      <x:c r="M68" s="90" t="n">
        <x:v>1822856.43</x:v>
      </x:c>
      <x:c r="N68" s="90" t="n">
        <x:v>2503084.31</x:v>
      </x:c>
      <x:c r="O68" s="90" t="n">
        <x:v>11686632.25</x:v>
      </x:c>
      <x:c r="P68" s="90" t="n">
        <x:v>64127779.72</x:v>
      </x:c>
      <x:c r="Q68" s="90" t="n">
        <x:v>333934.56</x:v>
      </x:c>
      <x:c r="R68" s="90" t="n">
        <x:v>0</x:v>
      </x:c>
      <x:c r="S68" s="90" t="n">
        <x:v>0</x:v>
      </x:c>
      <x:c r="T68" s="90" t="n">
        <x:v>0</x:v>
      </x:c>
      <x:c r="U68" s="90">
        <x:v>0</x:v>
      </x:c>
      <x:c r="V68" s="90">
        <x:v>0</x:v>
      </x:c>
      <x:c r="W68" s="90">
        <x:v>0</x:v>
      </x:c>
      <x:c r="X68" s="90">
        <x:v>0</x:v>
      </x:c>
      <x:c r="Y68" s="90">
        <x:v>0</x:v>
      </x:c>
      <x:c r="Z68" s="90" t="n">
        <x:v>0</x:v>
      </x:c>
    </x:row>
    <x:row r="69" spans="1:42" s="94" customFormat="1" ht="12.75" customHeight="1" x14ac:dyDescent="0.2">
      <x:c r="C69" s="101" t="s">
        <x:v>119</x:v>
      </x:c>
      <x:c r="D69" s="101" t="s">
        <x:v>70</x:v>
      </x:c>
      <x:c r="F69" s="93" t="n">
        <x:v>168024399.69</x:v>
      </x:c>
      <x:c r="G69" s="93" t="n">
        <x:v>30293808.14</x:v>
      </x:c>
      <x:c r="H69" s="93" t="n">
        <x:v>16850861.7</x:v>
      </x:c>
      <x:c r="I69" s="93" t="n">
        <x:v>8851291.46</x:v>
      </x:c>
      <x:c r="J69" s="93" t="n">
        <x:v>9960830.06</x:v>
      </x:c>
      <x:c r="K69" s="93" t="n">
        <x:v>226271.92</x:v>
      </x:c>
      <x:c r="L69" s="93" t="n">
        <x:v>0</x:v>
      </x:c>
      <x:c r="M69" s="93" t="n">
        <x:v>1998747.93</x:v>
      </x:c>
      <x:c r="N69" s="93" t="n">
        <x:v>3018278.13</x:v>
      </x:c>
      <x:c r="O69" s="93" t="n">
        <x:v>14062450.78</x:v>
      </x:c>
      <x:c r="P69" s="93" t="n">
        <x:v>82392712.21</x:v>
      </x:c>
      <x:c r="Q69" s="93" t="n">
        <x:v>369147.36</x:v>
      </x:c>
      <x:c r="R69" s="93" t="n">
        <x:v>0</x:v>
      </x:c>
      <x:c r="S69" s="93" t="n">
        <x:v>0</x:v>
      </x:c>
      <x:c r="T69" s="93" t="n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 t="n">
        <x:v>0</x:v>
      </x:c>
    </x:row>
    <x:row r="70" spans="1:42" s="226" customFormat="1" ht="12.75" customHeight="1" x14ac:dyDescent="0.2">
      <x:c r="B70" s="98" t="s">
        <x:v>112</x:v>
      </x:c>
      <x:c r="C70" s="98" t="s">
        <x:v>70</x:v>
      </x:c>
      <x:c r="F70" s="100" t="n">
        <x:v>1429147290.1</x:v>
      </x:c>
      <x:c r="G70" s="100" t="n">
        <x:v>175311450.43</x:v>
      </x:c>
      <x:c r="H70" s="100" t="n">
        <x:v>98733053.38</x:v>
      </x:c>
      <x:c r="I70" s="100" t="n">
        <x:v>51838904.47</x:v>
      </x:c>
      <x:c r="J70" s="100" t="n">
        <x:v>191244796.86</x:v>
      </x:c>
      <x:c r="K70" s="100" t="n">
        <x:v>7158380.67</x:v>
      </x:c>
      <x:c r="L70" s="100" t="n">
        <x:v>0</x:v>
      </x:c>
      <x:c r="M70" s="100" t="n">
        <x:v>61430227.48</x:v>
      </x:c>
      <x:c r="N70" s="100" t="n">
        <x:v>61091330.8</x:v>
      </x:c>
      <x:c r="O70" s="100" t="n">
        <x:v>288923486.77</x:v>
      </x:c>
      <x:c r="P70" s="100" t="n">
        <x:v>481735905.46</x:v>
      </x:c>
      <x:c r="Q70" s="100" t="n">
        <x:v>11679753.78</x:v>
      </x:c>
      <x:c r="R70" s="100" t="n">
        <x:v>0</x:v>
      </x:c>
      <x:c r="S70" s="100" t="n">
        <x:v>0</x:v>
      </x:c>
      <x:c r="T70" s="100" t="n">
        <x:v>0</x:v>
      </x:c>
      <x:c r="U70" s="100">
        <x:v>0</x:v>
      </x:c>
      <x:c r="V70" s="100">
        <x:v>0</x:v>
      </x:c>
      <x:c r="W70" s="100">
        <x:v>0</x:v>
      </x:c>
      <x:c r="X70" s="100">
        <x:v>0</x:v>
      </x:c>
      <x:c r="Y70" s="100">
        <x:v>0</x:v>
      </x:c>
      <x:c r="Z70" s="100" t="n">
        <x:v>0</x:v>
      </x:c>
    </x:row>
    <x:row r="71" spans="1:42" ht="12.75" customHeight="1" x14ac:dyDescent="0.2">
      <x:c r="A71" s="89" t="s">
        <x:v>79</x:v>
      </x:c>
      <x:c r="B71" t="s">
        <x:v>70</x:v>
      </x:c>
      <x:c r="F71" s="90" t="n">
        <x:v>1429187654.41</x:v>
      </x:c>
      <x:c r="G71" s="90" t="n">
        <x:v>175313424.51</x:v>
      </x:c>
      <x:c r="H71" s="90" t="n">
        <x:v>98734167.94</x:v>
      </x:c>
      <x:c r="I71" s="90" t="n">
        <x:v>51839489.47</x:v>
      </x:c>
      <x:c r="J71" s="90" t="n">
        <x:v>191254254.51</x:v>
      </x:c>
      <x:c r="K71" s="90" t="n">
        <x:v>7158741.7</x:v>
      </x:c>
      <x:c r="L71" s="90" t="n">
        <x:v>0</x:v>
      </x:c>
      <x:c r="M71" s="90" t="n">
        <x:v>61433394.42</x:v>
      </x:c>
      <x:c r="N71" s="90" t="n">
        <x:v>61094422.45</x:v>
      </x:c>
      <x:c r="O71" s="90" t="n">
        <x:v>288938119.62</x:v>
      </x:c>
      <x:c r="P71" s="90" t="n">
        <x:v>481741296.96</x:v>
      </x:c>
      <x:c r="Q71" s="90" t="n">
        <x:v>11680342.83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1:42" ht="12.75" customHeight="1" x14ac:dyDescent="0.2">
      <x:c r="A72" s="89" t="s">
        <x:v>70</x:v>
      </x:c>
      <x:c r="F72" s="90" t="n">
        <x:v>17365120456.12</x:v>
      </x:c>
      <x:c r="G72" s="90" t="n">
        <x:v>1073538573.81</x:v>
      </x:c>
      <x:c r="H72" s="90" t="n">
        <x:v>605296091.75</x:v>
      </x:c>
      <x:c r="I72" s="90" t="n">
        <x:v>317974473.05</x:v>
      </x:c>
      <x:c r="J72" s="90" t="n">
        <x:v>3985812285.94</x:v>
      </x:c>
      <x:c r="K72" s="90" t="n">
        <x:v>140701445.01</x:v>
      </x:c>
      <x:c r="L72" s="90" t="n">
        <x:v>25277316.26</x:v>
      </x:c>
      <x:c r="M72" s="90" t="n">
        <x:v>1236361889.52</x:v>
      </x:c>
      <x:c r="N72" s="90" t="n">
        <x:v>1191982536.31</x:v>
      </x:c>
      <x:c r="O72" s="90" t="n">
        <x:v>5641113648.39</x:v>
      </x:c>
      <x:c r="P72" s="90" t="n">
        <x:v>2917496415.36</x:v>
      </x:c>
      <x:c r="Q72" s="90" t="n">
        <x:v>229584921.14</x:v>
      </x:c>
      <x:c r="R72" s="90" t="n">
        <x:v>-17547.81</x:v>
      </x:c>
      <x:c r="S72" s="90" t="n">
        <x:v>-2114.83</x:v>
      </x:c>
      <x:c r="T72" t="n">
        <x:v>522.25</x:v>
      </x:c>
      <x:c r="U72">
        <x:v>0</x:v>
      </x:c>
      <x:c r="V72">
        <x:v>0</x:v>
      </x:c>
      <x:c r="W72">
        <x:v>0</x:v>
      </x:c>
      <x:c r="X72" s="90">
        <x:v>0</x:v>
      </x:c>
      <x:c r="Y72" s="90">
        <x:v>0</x:v>
      </x:c>
      <x:c r="Z72" t="n">
        <x:v>-0.03</x:v>
      </x:c>
    </x:row>
    <x:row r="73" spans="1:42" ht="12.75" customHeight="1" x14ac:dyDescent="0.2">
      <x:c r="A73" s="89"/>
      <x:c r="D73" s="143"/>
      <x:c r="E73" s="137"/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  <x:c r="S73" s="90"/>
      <x:c r="X73" s="90"/>
      <x:c r="Y73" s="90"/>
    </x:row>
    <x:row r="74" spans="1:42" ht="12.75" customHeight="1" x14ac:dyDescent="0.2">
      <x:c r="A74" s="89"/>
      <x:c r="F74" s="90"/>
      <x:c r="G74" s="90"/>
      <x:c r="H74" s="90"/>
      <x:c r="I74" s="90"/>
      <x:c r="J74" s="90"/>
      <x:c r="K74" s="90"/>
      <x:c r="L74" s="90"/>
      <x:c r="M74" s="90"/>
      <x:c r="N74" s="90"/>
      <x:c r="O74" s="90"/>
      <x:c r="P74" s="90"/>
      <x:c r="Q74" s="90"/>
      <x:c r="R74" s="90"/>
      <x:c r="S74" s="90"/>
    </x:row>
    <x:row r="75" spans="1:42" ht="12.75" customHeight="1" x14ac:dyDescent="0.2">
      <x:c r="C75" s="778" t="s">
        <x:v>2</x:v>
      </x:c>
      <x:c r="D75" s="775" t="s">
        <x:v>132</x:v>
      </x:c>
      <x:c r="E75" s="98" t="s">
        <x:v>70</x:v>
      </x:c>
      <x:c r="F75" s="100">
        <x:f>F47+F70+F16-L16-L47</x:f>
        <x:v>0</x:v>
      </x:c>
      <x:c r="G75" s="100">
        <x:f>G47+G16</x:f>
        <x:v>0</x:v>
      </x:c>
      <x:c r="H75" s="100">
        <x:f t="shared" ref="H75:AP75" si="0">H47+H16</x:f>
        <x:v>0</x:v>
      </x:c>
      <x:c r="I75" s="100">
        <x:f t="shared" si="0"/>
        <x:v>0</x:v>
      </x:c>
      <x:c r="J75" s="100">
        <x:f t="shared" si="0"/>
        <x:v>0</x:v>
      </x:c>
      <x:c r="K75" s="100">
        <x:f t="shared" si="0"/>
        <x:v>0</x:v>
      </x:c>
      <x:c r="L75" s="100">
        <x:f t="shared" si="0"/>
        <x:v>0</x:v>
      </x:c>
      <x:c r="M75" s="100">
        <x:f t="shared" si="0"/>
        <x:v>0</x:v>
      </x:c>
      <x:c r="N75" s="100">
        <x:f t="shared" si="0"/>
        <x:v>0</x:v>
      </x:c>
      <x:c r="O75" s="100">
        <x:f t="shared" si="0"/>
        <x:v>0</x:v>
      </x:c>
      <x:c r="P75" s="100">
        <x:f t="shared" si="0"/>
        <x:v>0</x:v>
      </x:c>
      <x:c r="Q75" s="100">
        <x:f t="shared" si="0"/>
        <x:v>0</x:v>
      </x:c>
      <x:c r="R75" s="100">
        <x:f t="shared" si="0"/>
        <x:v>0</x:v>
      </x:c>
      <x:c r="S75" s="100">
        <x:f t="shared" si="0"/>
        <x:v>0</x:v>
      </x:c>
      <x:c r="T75" s="100">
        <x:f t="shared" si="0"/>
        <x:v>0</x:v>
      </x:c>
      <x:c r="U75" s="100">
        <x:f t="shared" si="0"/>
        <x:v>0</x:v>
      </x:c>
      <x:c r="V75" s="100">
        <x:f t="shared" si="0"/>
        <x:v>0</x:v>
      </x:c>
      <x:c r="W75" s="100">
        <x:f t="shared" si="0"/>
        <x:v>0</x:v>
      </x:c>
      <x:c r="X75" s="100">
        <x:f t="shared" si="0"/>
        <x:v>0</x:v>
      </x:c>
      <x:c r="Y75" s="100">
        <x:f t="shared" si="0"/>
        <x:v>0</x:v>
      </x:c>
      <x:c r="Z75" s="100">
        <x:f t="shared" si="0"/>
        <x:v>0</x:v>
      </x:c>
      <x:c r="AA75" s="100">
        <x:f t="shared" si="0"/>
        <x:v>0</x:v>
      </x:c>
      <x:c r="AB75" s="100">
        <x:f t="shared" si="0"/>
        <x:v>0</x:v>
      </x:c>
      <x:c r="AC75" s="100">
        <x:f t="shared" si="0"/>
        <x:v>0</x:v>
      </x:c>
      <x:c r="AD75" s="100">
        <x:f t="shared" si="0"/>
        <x:v>0</x:v>
      </x:c>
      <x:c r="AE75" s="100">
        <x:f t="shared" si="0"/>
        <x:v>0</x:v>
      </x:c>
      <x:c r="AF75" s="100">
        <x:f t="shared" si="0"/>
        <x:v>0</x:v>
      </x:c>
      <x:c r="AG75" s="100">
        <x:f t="shared" si="0"/>
        <x:v>0</x:v>
      </x:c>
      <x:c r="AH75" s="100">
        <x:f t="shared" si="0"/>
        <x:v>0</x:v>
      </x:c>
      <x:c r="AI75" s="100">
        <x:f t="shared" si="0"/>
        <x:v>0</x:v>
      </x:c>
      <x:c r="AJ75" s="100">
        <x:f t="shared" si="0"/>
        <x:v>0</x:v>
      </x:c>
      <x:c r="AK75" s="100">
        <x:f t="shared" si="0"/>
        <x:v>0</x:v>
      </x:c>
      <x:c r="AL75" s="100">
        <x:f t="shared" si="0"/>
        <x:v>0</x:v>
      </x:c>
      <x:c r="AM75" s="100">
        <x:f t="shared" si="0"/>
        <x:v>0</x:v>
      </x:c>
      <x:c r="AN75" s="100">
        <x:f t="shared" si="0"/>
        <x:v>0</x:v>
      </x:c>
      <x:c r="AO75" s="100">
        <x:f t="shared" si="0"/>
        <x:v>0</x:v>
      </x:c>
      <x:c r="AP75" s="100">
        <x:f t="shared" si="0"/>
        <x:v>0</x:v>
      </x:c>
    </x:row>
    <x:row r="76" spans="1:42" ht="12.75" customHeight="1" x14ac:dyDescent="0.2">
      <x:c r="C76" s="778"/>
      <x:c r="D76" s="775"/>
      <x:c r="E76" s="98" t="s">
        <x:v>73</x:v>
      </x:c>
      <x:c r="F76" s="100">
        <x:f>F70</x:f>
        <x:v>0</x:v>
      </x:c>
      <x:c r="G76" s="90"/>
      <x:c r="H76" s="90"/>
      <x:c r="I76" s="90"/>
      <x:c r="J76" s="90"/>
      <x:c r="K76" s="90"/>
      <x:c r="L76" s="90"/>
      <x:c r="M76" s="90"/>
      <x:c r="N76" s="90"/>
      <x:c r="O76" s="90"/>
      <x:c r="P76" s="90"/>
      <x:c r="Q76" s="90"/>
      <x:c r="R76" s="90"/>
      <x:c r="S76" s="90"/>
    </x:row>
    <x:row r="77" spans="1:42" ht="12.75" customHeight="1" x14ac:dyDescent="0.2">
      <x:c r="C77" s="778"/>
      <x:c r="D77" s="775" t="s">
        <x:v>133</x:v>
      </x:c>
      <x:c r="E77" s="233" t="s">
        <x:v>70</x:v>
      </x:c>
      <x:c r="F77" s="234">
        <x:f>F59+F32-L32</x:f>
        <x:v>0</x:v>
      </x:c>
      <x:c r="G77" s="234">
        <x:f>G32</x:f>
        <x:v>0</x:v>
      </x:c>
      <x:c r="H77" s="234">
        <x:f t="shared" ref="H77:AP77" si="1">H32</x:f>
        <x:v>0</x:v>
      </x:c>
      <x:c r="I77" s="234">
        <x:f t="shared" si="1"/>
        <x:v>0</x:v>
      </x:c>
      <x:c r="J77" s="234">
        <x:f t="shared" si="1"/>
        <x:v>0</x:v>
      </x:c>
      <x:c r="K77" s="234">
        <x:f t="shared" si="1"/>
        <x:v>0</x:v>
      </x:c>
      <x:c r="L77" s="234">
        <x:f t="shared" si="1"/>
        <x:v>0</x:v>
      </x:c>
      <x:c r="M77" s="234">
        <x:f t="shared" si="1"/>
        <x:v>0</x:v>
      </x:c>
      <x:c r="N77" s="234">
        <x:f t="shared" si="1"/>
        <x:v>0</x:v>
      </x:c>
      <x:c r="O77" s="234">
        <x:f t="shared" si="1"/>
        <x:v>0</x:v>
      </x:c>
      <x:c r="P77" s="234">
        <x:f t="shared" si="1"/>
        <x:v>0</x:v>
      </x:c>
      <x:c r="Q77" s="234">
        <x:f t="shared" si="1"/>
        <x:v>0</x:v>
      </x:c>
      <x:c r="R77" s="234">
        <x:f t="shared" si="1"/>
        <x:v>0</x:v>
      </x:c>
      <x:c r="S77" s="234">
        <x:f t="shared" si="1"/>
        <x:v>0</x:v>
      </x:c>
      <x:c r="T77" s="234">
        <x:f t="shared" si="1"/>
        <x:v>0</x:v>
      </x:c>
      <x:c r="U77" s="234">
        <x:f t="shared" si="1"/>
        <x:v>0</x:v>
      </x:c>
      <x:c r="V77" s="234">
        <x:f t="shared" si="1"/>
        <x:v>0</x:v>
      </x:c>
      <x:c r="W77" s="234">
        <x:f t="shared" si="1"/>
        <x:v>0</x:v>
      </x:c>
      <x:c r="X77" s="234">
        <x:f t="shared" si="1"/>
        <x:v>0</x:v>
      </x:c>
      <x:c r="Y77" s="234">
        <x:f t="shared" si="1"/>
        <x:v>0</x:v>
      </x:c>
      <x:c r="Z77" s="234">
        <x:f t="shared" si="1"/>
        <x:v>0</x:v>
      </x:c>
      <x:c r="AA77" s="234">
        <x:f t="shared" si="1"/>
        <x:v>0</x:v>
      </x:c>
      <x:c r="AB77" s="234">
        <x:f t="shared" si="1"/>
        <x:v>0</x:v>
      </x:c>
      <x:c r="AC77" s="234">
        <x:f t="shared" si="1"/>
        <x:v>0</x:v>
      </x:c>
      <x:c r="AD77" s="234">
        <x:f t="shared" si="1"/>
        <x:v>0</x:v>
      </x:c>
      <x:c r="AE77" s="234">
        <x:f t="shared" si="1"/>
        <x:v>0</x:v>
      </x:c>
      <x:c r="AF77" s="234">
        <x:f t="shared" si="1"/>
        <x:v>0</x:v>
      </x:c>
      <x:c r="AG77" s="234">
        <x:f t="shared" si="1"/>
        <x:v>0</x:v>
      </x:c>
      <x:c r="AH77" s="234">
        <x:f t="shared" si="1"/>
        <x:v>0</x:v>
      </x:c>
      <x:c r="AI77" s="234">
        <x:f t="shared" si="1"/>
        <x:v>0</x:v>
      </x:c>
      <x:c r="AJ77" s="234">
        <x:f t="shared" si="1"/>
        <x:v>0</x:v>
      </x:c>
      <x:c r="AK77" s="234">
        <x:f t="shared" si="1"/>
        <x:v>0</x:v>
      </x:c>
      <x:c r="AL77" s="234">
        <x:f t="shared" si="1"/>
        <x:v>0</x:v>
      </x:c>
      <x:c r="AM77" s="234">
        <x:f t="shared" si="1"/>
        <x:v>0</x:v>
      </x:c>
      <x:c r="AN77" s="234">
        <x:f t="shared" si="1"/>
        <x:v>0</x:v>
      </x:c>
      <x:c r="AO77" s="234">
        <x:f t="shared" si="1"/>
        <x:v>0</x:v>
      </x:c>
      <x:c r="AP77" s="234">
        <x:f t="shared" si="1"/>
        <x:v>0</x:v>
      </x:c>
    </x:row>
    <x:row r="78" spans="1:42" ht="12.75" customHeight="1" x14ac:dyDescent="0.2">
      <x:c r="C78" s="778"/>
      <x:c r="D78" s="775"/>
      <x:c r="E78" s="233" t="s">
        <x:v>73</x:v>
      </x:c>
      <x:c r="F78" s="234">
        <x:f>F59</x:f>
        <x:v>0</x:v>
      </x:c>
      <x:c r="G78" s="90"/>
      <x:c r="H78" s="90"/>
      <x:c r="I78" s="90"/>
      <x:c r="J78" s="90"/>
      <x:c r="K78" s="90"/>
      <x:c r="L78" s="90"/>
      <x:c r="M78" s="90"/>
      <x:c r="N78" s="90"/>
      <x:c r="O78" s="90"/>
      <x:c r="P78" s="90"/>
      <x:c r="Q78" s="90"/>
      <x:c r="R78" s="90"/>
    </x:row>
    <x:row r="79" spans="1:42" ht="12.75" customHeight="1" x14ac:dyDescent="0.2">
      <x:c r="A79" s="89"/>
      <x:c r="C79" s="97"/>
      <x:c r="F79" s="90"/>
      <x:c r="G79" s="90"/>
      <x:c r="H79" s="90"/>
      <x:c r="I79" s="90"/>
      <x:c r="J79" s="90"/>
      <x:c r="K79" s="90"/>
      <x:c r="L79" s="90"/>
      <x:c r="M79" s="90"/>
      <x:c r="N79" s="90"/>
      <x:c r="O79" s="90"/>
      <x:c r="P79" s="90"/>
      <x:c r="Q79" s="90"/>
      <x:c r="R79" s="90"/>
      <x:c r="S79" s="90"/>
    </x:row>
    <x:row r="80" spans="1:42" ht="12.75" customHeight="1" x14ac:dyDescent="0.2">
      <x:c r="C80" s="778" t="s">
        <x:v>160</x:v>
      </x:c>
      <x:c r="D80" s="775" t="s">
        <x:v>132</x:v>
      </x:c>
      <x:c r="E80" s="223" t="s">
        <x:v>70</x:v>
      </x:c>
      <x:c r="F80" s="225">
        <x:v>0</x:v>
      </x:c>
      <x:c r="G80" s="225">
        <x:v>0</x:v>
      </x:c>
      <x:c r="H80" s="225">
        <x:v>0</x:v>
      </x:c>
      <x:c r="I80" s="225">
        <x:v>0</x:v>
      </x:c>
      <x:c r="J80" s="225">
        <x:v>0</x:v>
      </x:c>
      <x:c r="K80" s="225">
        <x:v>0</x:v>
      </x:c>
      <x:c r="L80" s="225">
        <x:v>0</x:v>
      </x:c>
      <x:c r="M80" s="225">
        <x:v>0</x:v>
      </x:c>
      <x:c r="N80" s="225">
        <x:v>0</x:v>
      </x:c>
      <x:c r="O80" s="225">
        <x:v>0</x:v>
      </x:c>
      <x:c r="P80" s="225">
        <x:v>0</x:v>
      </x:c>
      <x:c r="Q80" s="225">
        <x:v>0</x:v>
      </x:c>
      <x:c r="R80" s="225">
        <x:v>0</x:v>
      </x:c>
      <x:c r="S80" s="225">
        <x:v>0</x:v>
      </x:c>
      <x:c r="T80" s="225">
        <x:v>0</x:v>
      </x:c>
      <x:c r="U80" s="225">
        <x:v>0</x:v>
      </x:c>
      <x:c r="V80" s="225">
        <x:v>0</x:v>
      </x:c>
      <x:c r="W80" s="225">
        <x:v>0</x:v>
      </x:c>
      <x:c r="X80" s="225">
        <x:v>0</x:v>
      </x:c>
      <x:c r="Y80" s="225">
        <x:v>0</x:v>
      </x:c>
      <x:c r="Z80" s="225">
        <x:v>0</x:v>
      </x:c>
      <x:c r="AA80" s="225">
        <x:v>0</x:v>
      </x:c>
      <x:c r="AB80" s="225">
        <x:v>0</x:v>
      </x:c>
      <x:c r="AC80" s="225">
        <x:v>0</x:v>
      </x:c>
      <x:c r="AD80" s="225">
        <x:v>0</x:v>
      </x:c>
      <x:c r="AE80" s="225">
        <x:v>0</x:v>
      </x:c>
      <x:c r="AF80" s="225">
        <x:v>0</x:v>
      </x:c>
      <x:c r="AG80" s="225">
        <x:v>0</x:v>
      </x:c>
      <x:c r="AH80" s="225">
        <x:v>0</x:v>
      </x:c>
      <x:c r="AI80" s="225">
        <x:v>0</x:v>
      </x:c>
      <x:c r="AJ80" s="225">
        <x:v>0</x:v>
      </x:c>
      <x:c r="AK80" s="225">
        <x:v>0</x:v>
      </x:c>
      <x:c r="AL80" s="225">
        <x:v>0</x:v>
      </x:c>
      <x:c r="AM80" s="225">
        <x:v>0</x:v>
      </x:c>
      <x:c r="AN80" s="225">
        <x:v>0</x:v>
      </x:c>
      <x:c r="AO80" s="225">
        <x:v>0</x:v>
      </x:c>
      <x:c r="AP80" s="225">
        <x:v>0</x:v>
      </x:c>
    </x:row>
    <x:row r="81" spans="1:42" ht="12.75" customHeight="1" x14ac:dyDescent="0.2">
      <x:c r="C81" s="778"/>
      <x:c r="D81" s="775"/>
      <x:c r="E81" s="223" t="s">
        <x:v>73</x:v>
      </x:c>
      <x:c r="F81" s="225">
        <x:v>0</x:v>
      </x:c>
      <x:c r="G81" s="90"/>
      <x:c r="H81" s="90"/>
      <x:c r="I81" s="90"/>
      <x:c r="J81" s="90"/>
      <x:c r="K81" s="90"/>
      <x:c r="L81" s="90"/>
      <x:c r="M81" s="90"/>
      <x:c r="N81" s="90"/>
      <x:c r="O81" s="90"/>
      <x:c r="P81" s="90"/>
      <x:c r="Q81" s="90"/>
      <x:c r="R81" s="90"/>
      <x:c r="S81" s="90"/>
    </x:row>
    <x:row r="82" spans="1:42" ht="12.75" customHeight="1" x14ac:dyDescent="0.2">
      <x:c r="C82" s="778"/>
      <x:c r="D82" s="775" t="s">
        <x:v>133</x:v>
      </x:c>
      <x:c r="E82" s="227" t="s">
        <x:v>70</x:v>
      </x:c>
      <x:c r="F82" s="228">
        <x:v>0</x:v>
      </x:c>
      <x:c r="G82" s="228">
        <x:v>0</x:v>
      </x:c>
      <x:c r="H82" s="228">
        <x:v>0</x:v>
      </x:c>
      <x:c r="I82" s="228">
        <x:v>0</x:v>
      </x:c>
      <x:c r="J82" s="228">
        <x:v>0</x:v>
      </x:c>
      <x:c r="K82" s="228">
        <x:v>0</x:v>
      </x:c>
      <x:c r="L82" s="228">
        <x:v>0</x:v>
      </x:c>
      <x:c r="M82" s="228">
        <x:v>0</x:v>
      </x:c>
      <x:c r="N82" s="228">
        <x:v>0</x:v>
      </x:c>
      <x:c r="O82" s="228">
        <x:v>0</x:v>
      </x:c>
      <x:c r="P82" s="228">
        <x:v>0</x:v>
      </x:c>
      <x:c r="Q82" s="228">
        <x:v>0</x:v>
      </x:c>
      <x:c r="R82" s="228">
        <x:v>0</x:v>
      </x:c>
      <x:c r="S82" s="228">
        <x:v>0</x:v>
      </x:c>
      <x:c r="T82" s="228">
        <x:v>0</x:v>
      </x:c>
      <x:c r="U82" s="228">
        <x:v>0</x:v>
      </x:c>
      <x:c r="V82" s="228">
        <x:v>0</x:v>
      </x:c>
      <x:c r="W82" s="228">
        <x:v>0</x:v>
      </x:c>
      <x:c r="X82" s="228">
        <x:v>0</x:v>
      </x:c>
      <x:c r="Y82" s="228">
        <x:v>0</x:v>
      </x:c>
      <x:c r="Z82" s="228">
        <x:v>0</x:v>
      </x:c>
      <x:c r="AA82" s="228">
        <x:v>0</x:v>
      </x:c>
      <x:c r="AB82" s="228">
        <x:v>0</x:v>
      </x:c>
      <x:c r="AC82" s="228">
        <x:v>0</x:v>
      </x:c>
      <x:c r="AD82" s="228">
        <x:v>0</x:v>
      </x:c>
      <x:c r="AE82" s="228">
        <x:v>0</x:v>
      </x:c>
      <x:c r="AF82" s="228">
        <x:v>0</x:v>
      </x:c>
      <x:c r="AG82" s="228">
        <x:v>0</x:v>
      </x:c>
      <x:c r="AH82" s="228">
        <x:v>0</x:v>
      </x:c>
      <x:c r="AI82" s="228">
        <x:v>0</x:v>
      </x:c>
      <x:c r="AJ82" s="228">
        <x:v>0</x:v>
      </x:c>
      <x:c r="AK82" s="228">
        <x:v>0</x:v>
      </x:c>
      <x:c r="AL82" s="228">
        <x:v>0</x:v>
      </x:c>
      <x:c r="AM82" s="228">
        <x:v>0</x:v>
      </x:c>
      <x:c r="AN82" s="228">
        <x:v>0</x:v>
      </x:c>
      <x:c r="AO82" s="228">
        <x:v>0</x:v>
      </x:c>
      <x:c r="AP82" s="228">
        <x:v>0</x:v>
      </x:c>
    </x:row>
    <x:row r="83" spans="1:42" ht="12.75" customHeight="1" x14ac:dyDescent="0.2">
      <x:c r="C83" s="778"/>
      <x:c r="D83" s="775"/>
      <x:c r="E83" s="227" t="s">
        <x:v>73</x:v>
      </x:c>
      <x:c r="F83" s="228">
        <x:v>0</x:v>
      </x:c>
      <x:c r="G83" s="90"/>
      <x:c r="H83" s="90"/>
      <x:c r="I83" s="90"/>
      <x:c r="J83" s="90"/>
      <x:c r="K83" s="90"/>
      <x:c r="L83" s="90"/>
      <x:c r="M83" s="90"/>
      <x:c r="N83" s="90"/>
      <x:c r="O83" s="90"/>
      <x:c r="P83" s="90"/>
      <x:c r="Q83" s="90"/>
      <x:c r="R83" s="90"/>
    </x:row>
    <x:row r="84" spans="1:42" ht="12.75" customHeight="1" x14ac:dyDescent="0.2">
      <x:c r="A84" s="89"/>
      <x:c r="C84" s="97"/>
      <x:c r="F84" s="90"/>
      <x:c r="G84" s="90"/>
      <x:c r="H84" s="90"/>
      <x:c r="I84" s="90"/>
      <x:c r="J84" s="90"/>
      <x:c r="K84" s="90"/>
      <x:c r="L84" s="90"/>
      <x:c r="M84" s="90"/>
      <x:c r="N84" s="90"/>
      <x:c r="O84" s="90"/>
      <x:c r="P84" s="90"/>
      <x:c r="Q84" s="90"/>
      <x:c r="R84" s="90"/>
      <x:c r="S84" s="90"/>
    </x:row>
    <x:row r="85" spans="1:42" ht="12.75" customHeight="1" x14ac:dyDescent="0.2">
      <x:c r="C85" s="778" t="s">
        <x:v>155</x:v>
      </x:c>
      <x:c r="D85" s="775" t="s">
        <x:v>132</x:v>
      </x:c>
      <x:c r="E85" s="221" t="s">
        <x:v>70</x:v>
      </x:c>
      <x:c r="F85" s="222">
        <x:f>F62+F36+F8-L8-L36</x:f>
        <x:v>0</x:v>
      </x:c>
      <x:c r="G85" s="222">
        <x:f>G36+G8</x:f>
        <x:v>0</x:v>
      </x:c>
      <x:c r="H85" s="222">
        <x:f t="shared" ref="H85:AP85" si="2">H36+H8</x:f>
        <x:v>0</x:v>
      </x:c>
      <x:c r="I85" s="222">
        <x:f t="shared" si="2"/>
        <x:v>0</x:v>
      </x:c>
      <x:c r="J85" s="222">
        <x:f t="shared" si="2"/>
        <x:v>0</x:v>
      </x:c>
      <x:c r="K85" s="222">
        <x:f t="shared" si="2"/>
        <x:v>0</x:v>
      </x:c>
      <x:c r="L85" s="222">
        <x:f t="shared" si="2"/>
        <x:v>0</x:v>
      </x:c>
      <x:c r="M85" s="222">
        <x:f t="shared" si="2"/>
        <x:v>0</x:v>
      </x:c>
      <x:c r="N85" s="222">
        <x:f t="shared" si="2"/>
        <x:v>0</x:v>
      </x:c>
      <x:c r="O85" s="222">
        <x:f t="shared" si="2"/>
        <x:v>0</x:v>
      </x:c>
      <x:c r="P85" s="222">
        <x:f t="shared" si="2"/>
        <x:v>0</x:v>
      </x:c>
      <x:c r="Q85" s="222">
        <x:f t="shared" si="2"/>
        <x:v>0</x:v>
      </x:c>
      <x:c r="R85" s="222">
        <x:f t="shared" si="2"/>
        <x:v>0</x:v>
      </x:c>
      <x:c r="S85" s="222">
        <x:f t="shared" si="2"/>
        <x:v>0</x:v>
      </x:c>
      <x:c r="T85" s="222">
        <x:f t="shared" si="2"/>
        <x:v>0</x:v>
      </x:c>
      <x:c r="U85" s="222">
        <x:f t="shared" si="2"/>
        <x:v>0</x:v>
      </x:c>
      <x:c r="V85" s="222">
        <x:f t="shared" si="2"/>
        <x:v>0</x:v>
      </x:c>
      <x:c r="W85" s="222">
        <x:f t="shared" si="2"/>
        <x:v>0</x:v>
      </x:c>
      <x:c r="X85" s="222">
        <x:f t="shared" si="2"/>
        <x:v>0</x:v>
      </x:c>
      <x:c r="Y85" s="222">
        <x:f t="shared" si="2"/>
        <x:v>0</x:v>
      </x:c>
      <x:c r="Z85" s="222">
        <x:f t="shared" si="2"/>
        <x:v>0</x:v>
      </x:c>
      <x:c r="AA85" s="222">
        <x:f t="shared" si="2"/>
        <x:v>0</x:v>
      </x:c>
      <x:c r="AB85" s="222">
        <x:f t="shared" si="2"/>
        <x:v>0</x:v>
      </x:c>
      <x:c r="AC85" s="222">
        <x:f t="shared" si="2"/>
        <x:v>0</x:v>
      </x:c>
      <x:c r="AD85" s="222">
        <x:f t="shared" si="2"/>
        <x:v>0</x:v>
      </x:c>
      <x:c r="AE85" s="222">
        <x:f t="shared" si="2"/>
        <x:v>0</x:v>
      </x:c>
      <x:c r="AF85" s="222">
        <x:f t="shared" si="2"/>
        <x:v>0</x:v>
      </x:c>
      <x:c r="AG85" s="222">
        <x:f t="shared" si="2"/>
        <x:v>0</x:v>
      </x:c>
      <x:c r="AH85" s="222">
        <x:f t="shared" si="2"/>
        <x:v>0</x:v>
      </x:c>
      <x:c r="AI85" s="222">
        <x:f t="shared" si="2"/>
        <x:v>0</x:v>
      </x:c>
      <x:c r="AJ85" s="222">
        <x:f t="shared" si="2"/>
        <x:v>0</x:v>
      </x:c>
      <x:c r="AK85" s="222">
        <x:f t="shared" si="2"/>
        <x:v>0</x:v>
      </x:c>
      <x:c r="AL85" s="222">
        <x:f t="shared" si="2"/>
        <x:v>0</x:v>
      </x:c>
      <x:c r="AM85" s="222">
        <x:f t="shared" si="2"/>
        <x:v>0</x:v>
      </x:c>
      <x:c r="AN85" s="222">
        <x:f t="shared" si="2"/>
        <x:v>0</x:v>
      </x:c>
      <x:c r="AO85" s="222">
        <x:f t="shared" si="2"/>
        <x:v>0</x:v>
      </x:c>
      <x:c r="AP85" s="222">
        <x:f t="shared" si="2"/>
        <x:v>0</x:v>
      </x:c>
    </x:row>
    <x:row r="86" spans="1:42" ht="12.75" customHeight="1" x14ac:dyDescent="0.2">
      <x:c r="C86" s="778"/>
      <x:c r="D86" s="775"/>
      <x:c r="E86" s="221" t="s">
        <x:v>73</x:v>
      </x:c>
      <x:c r="F86" s="222">
        <x:f>F62</x:f>
        <x:v>0</x:v>
      </x:c>
      <x:c r="G86" s="90"/>
      <x:c r="H86" s="90"/>
      <x:c r="I86" s="90"/>
      <x:c r="J86" s="90"/>
      <x:c r="K86" s="90"/>
      <x:c r="L86" s="90"/>
      <x:c r="M86" s="90"/>
      <x:c r="N86" s="90"/>
      <x:c r="O86" s="90"/>
      <x:c r="P86" s="90"/>
      <x:c r="Q86" s="90"/>
      <x:c r="R86" s="90"/>
      <x:c r="S86" s="90"/>
    </x:row>
    <x:row r="87" spans="1:42" ht="12.75" customHeight="1" x14ac:dyDescent="0.2">
      <x:c r="B87" s="150"/>
      <x:c r="C87" s="778"/>
      <x:c r="D87" s="775" t="s">
        <x:v>133</x:v>
      </x:c>
      <x:c r="E87" s="229" t="s">
        <x:v>70</x:v>
      </x:c>
      <x:c r="F87" s="230">
        <x:f>F51+F21-L21</x:f>
        <x:v>0</x:v>
      </x:c>
      <x:c r="G87" s="230">
        <x:f>G21</x:f>
        <x:v>0</x:v>
      </x:c>
      <x:c r="H87" s="230">
        <x:f t="shared" ref="H87:AP87" si="3">H21</x:f>
        <x:v>0</x:v>
      </x:c>
      <x:c r="I87" s="230">
        <x:f t="shared" si="3"/>
        <x:v>0</x:v>
      </x:c>
      <x:c r="J87" s="230">
        <x:f t="shared" si="3"/>
        <x:v>0</x:v>
      </x:c>
      <x:c r="K87" s="230">
        <x:f t="shared" si="3"/>
        <x:v>0</x:v>
      </x:c>
      <x:c r="L87" s="230">
        <x:f t="shared" si="3"/>
        <x:v>0</x:v>
      </x:c>
      <x:c r="M87" s="230">
        <x:f t="shared" si="3"/>
        <x:v>0</x:v>
      </x:c>
      <x:c r="N87" s="230">
        <x:f t="shared" si="3"/>
        <x:v>0</x:v>
      </x:c>
      <x:c r="O87" s="230">
        <x:f t="shared" si="3"/>
        <x:v>0</x:v>
      </x:c>
      <x:c r="P87" s="230">
        <x:f t="shared" si="3"/>
        <x:v>0</x:v>
      </x:c>
      <x:c r="Q87" s="230">
        <x:f t="shared" si="3"/>
        <x:v>0</x:v>
      </x:c>
      <x:c r="R87" s="230">
        <x:f t="shared" si="3"/>
        <x:v>0</x:v>
      </x:c>
      <x:c r="S87" s="230">
        <x:f t="shared" si="3"/>
        <x:v>0</x:v>
      </x:c>
      <x:c r="T87" s="230">
        <x:f t="shared" si="3"/>
        <x:v>0</x:v>
      </x:c>
      <x:c r="U87" s="230">
        <x:f t="shared" si="3"/>
        <x:v>0</x:v>
      </x:c>
      <x:c r="V87" s="230">
        <x:f t="shared" si="3"/>
        <x:v>0</x:v>
      </x:c>
      <x:c r="W87" s="230">
        <x:f t="shared" si="3"/>
        <x:v>0</x:v>
      </x:c>
      <x:c r="X87" s="230">
        <x:f t="shared" si="3"/>
        <x:v>0</x:v>
      </x:c>
      <x:c r="Y87" s="230">
        <x:f t="shared" si="3"/>
        <x:v>0</x:v>
      </x:c>
      <x:c r="Z87" s="230">
        <x:f t="shared" si="3"/>
        <x:v>0</x:v>
      </x:c>
      <x:c r="AA87" s="230">
        <x:f t="shared" si="3"/>
        <x:v>0</x:v>
      </x:c>
      <x:c r="AB87" s="230">
        <x:f t="shared" si="3"/>
        <x:v>0</x:v>
      </x:c>
      <x:c r="AC87" s="230">
        <x:f t="shared" si="3"/>
        <x:v>0</x:v>
      </x:c>
      <x:c r="AD87" s="230">
        <x:f t="shared" si="3"/>
        <x:v>0</x:v>
      </x:c>
      <x:c r="AE87" s="230">
        <x:f t="shared" si="3"/>
        <x:v>0</x:v>
      </x:c>
      <x:c r="AF87" s="230">
        <x:f t="shared" si="3"/>
        <x:v>0</x:v>
      </x:c>
      <x:c r="AG87" s="230">
        <x:f t="shared" si="3"/>
        <x:v>0</x:v>
      </x:c>
      <x:c r="AH87" s="230">
        <x:f t="shared" si="3"/>
        <x:v>0</x:v>
      </x:c>
      <x:c r="AI87" s="230">
        <x:f t="shared" si="3"/>
        <x:v>0</x:v>
      </x:c>
      <x:c r="AJ87" s="230">
        <x:f t="shared" si="3"/>
        <x:v>0</x:v>
      </x:c>
      <x:c r="AK87" s="230">
        <x:f t="shared" si="3"/>
        <x:v>0</x:v>
      </x:c>
      <x:c r="AL87" s="230">
        <x:f t="shared" si="3"/>
        <x:v>0</x:v>
      </x:c>
      <x:c r="AM87" s="230">
        <x:f t="shared" si="3"/>
        <x:v>0</x:v>
      </x:c>
      <x:c r="AN87" s="230">
        <x:f t="shared" si="3"/>
        <x:v>0</x:v>
      </x:c>
      <x:c r="AO87" s="230">
        <x:f t="shared" si="3"/>
        <x:v>0</x:v>
      </x:c>
      <x:c r="AP87" s="230">
        <x:f t="shared" si="3"/>
        <x:v>0</x:v>
      </x:c>
    </x:row>
    <x:row r="88" spans="1:42" ht="12.75" customHeight="1" x14ac:dyDescent="0.2">
      <x:c r="B88" s="150"/>
      <x:c r="C88" s="778"/>
      <x:c r="D88" s="775"/>
      <x:c r="E88" s="229" t="s">
        <x:v>73</x:v>
      </x:c>
      <x:c r="F88" s="230">
        <x:f>F51</x:f>
        <x:v>0</x:v>
      </x:c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</x:row>
    <x:row r="89" spans="1:42" ht="12.75" customHeight="1" x14ac:dyDescent="0.2">
      <x:c r="A89" s="89"/>
      <x:c r="C89" s="97"/>
      <x:c r="F89" s="90"/>
      <x:c r="G89" s="90"/>
      <x:c r="H89" s="90"/>
      <x:c r="I89" s="90"/>
      <x:c r="J89" s="90"/>
      <x:c r="K89" s="90"/>
      <x:c r="L89" s="90"/>
      <x:c r="M89" s="90"/>
      <x:c r="N89" s="90"/>
      <x:c r="O89" s="90"/>
      <x:c r="P89" s="90"/>
      <x:c r="Q89" s="90"/>
      <x:c r="R89" s="90"/>
      <x:c r="S89" s="90"/>
    </x:row>
    <x:row r="90" spans="1:42" ht="12.75" customHeight="1" x14ac:dyDescent="0.2">
      <x:c r="C90" s="776" t="s">
        <x:v>326</x:v>
      </x:c>
      <x:c r="D90" s="775" t="s">
        <x:v>132</x:v>
      </x:c>
      <x:c r="E90" s="373" t="s">
        <x:v>70</x:v>
      </x:c>
      <x:c r="F90" s="374">
        <x:v>0</x:v>
      </x:c>
      <x:c r="G90" s="374">
        <x:v>0</x:v>
      </x:c>
      <x:c r="H90" s="374">
        <x:v>0</x:v>
      </x:c>
      <x:c r="I90" s="374">
        <x:v>0</x:v>
      </x:c>
      <x:c r="J90" s="374">
        <x:v>0</x:v>
      </x:c>
      <x:c r="K90" s="374">
        <x:v>0</x:v>
      </x:c>
      <x:c r="L90" s="374">
        <x:v>0</x:v>
      </x:c>
      <x:c r="M90" s="374">
        <x:v>0</x:v>
      </x:c>
      <x:c r="N90" s="374">
        <x:v>0</x:v>
      </x:c>
      <x:c r="O90" s="374">
        <x:v>0</x:v>
      </x:c>
      <x:c r="P90" s="374">
        <x:v>0</x:v>
      </x:c>
      <x:c r="Q90" s="374">
        <x:v>0</x:v>
      </x:c>
      <x:c r="R90" s="374">
        <x:v>0</x:v>
      </x:c>
      <x:c r="S90" s="374">
        <x:v>0</x:v>
      </x:c>
      <x:c r="T90" s="374">
        <x:v>0</x:v>
      </x:c>
      <x:c r="U90" s="374">
        <x:v>0</x:v>
      </x:c>
      <x:c r="V90" s="374">
        <x:v>0</x:v>
      </x:c>
      <x:c r="W90" s="374">
        <x:v>0</x:v>
      </x:c>
      <x:c r="X90" s="374">
        <x:v>0</x:v>
      </x:c>
      <x:c r="Y90" s="374">
        <x:v>0</x:v>
      </x:c>
      <x:c r="Z90" s="374">
        <x:v>0</x:v>
      </x:c>
      <x:c r="AA90" s="374">
        <x:v>0</x:v>
      </x:c>
      <x:c r="AB90" s="374">
        <x:v>0</x:v>
      </x:c>
      <x:c r="AC90" s="374">
        <x:v>0</x:v>
      </x:c>
      <x:c r="AD90" s="374">
        <x:v>0</x:v>
      </x:c>
      <x:c r="AE90" s="374">
        <x:v>0</x:v>
      </x:c>
      <x:c r="AF90" s="374">
        <x:v>0</x:v>
      </x:c>
      <x:c r="AG90" s="374">
        <x:v>0</x:v>
      </x:c>
      <x:c r="AH90" s="374">
        <x:v>0</x:v>
      </x:c>
      <x:c r="AI90" s="374">
        <x:v>0</x:v>
      </x:c>
      <x:c r="AJ90" s="374">
        <x:v>0</x:v>
      </x:c>
      <x:c r="AK90" s="374">
        <x:v>0</x:v>
      </x:c>
      <x:c r="AL90" s="374">
        <x:v>0</x:v>
      </x:c>
      <x:c r="AM90" s="374">
        <x:v>0</x:v>
      </x:c>
      <x:c r="AN90" s="374">
        <x:v>0</x:v>
      </x:c>
      <x:c r="AO90" s="374">
        <x:v>0</x:v>
      </x:c>
    </x:row>
    <x:row r="91" spans="1:42" ht="12.75" customHeight="1" x14ac:dyDescent="0.2">
      <x:c r="C91" s="776"/>
      <x:c r="D91" s="775"/>
      <x:c r="E91" s="373" t="s">
        <x:v>73</x:v>
      </x:c>
      <x:c r="F91" s="374">
        <x:v>0</x:v>
      </x:c>
      <x:c r="G91" s="90"/>
      <x:c r="H91" s="90"/>
      <x:c r="I91" s="90"/>
      <x:c r="J91" s="90"/>
      <x:c r="K91" s="90"/>
      <x:c r="L91" s="90"/>
      <x:c r="M91" s="90"/>
      <x:c r="N91" s="90"/>
      <x:c r="O91" s="90"/>
      <x:c r="P91" s="90"/>
      <x:c r="Q91" s="90"/>
      <x:c r="R91" s="90"/>
      <x:c r="S91" s="90"/>
    </x:row>
    <x:row r="92" spans="1:42" ht="12.75" customHeight="1" x14ac:dyDescent="0.2">
      <x:c r="C92" s="776"/>
      <x:c r="D92" s="775" t="s">
        <x:v>133</x:v>
      </x:c>
      <x:c r="E92" s="242" t="s">
        <x:v>70</x:v>
      </x:c>
      <x:c r="F92" s="243">
        <x:v>0</x:v>
      </x:c>
      <x:c r="G92" s="243">
        <x:v>0</x:v>
      </x:c>
      <x:c r="H92" s="243">
        <x:v>0</x:v>
      </x:c>
      <x:c r="I92" s="243">
        <x:v>0</x:v>
      </x:c>
      <x:c r="J92" s="243">
        <x:v>0</x:v>
      </x:c>
      <x:c r="K92" s="243">
        <x:v>0</x:v>
      </x:c>
      <x:c r="L92" s="243">
        <x:v>0</x:v>
      </x:c>
      <x:c r="M92" s="243">
        <x:v>0</x:v>
      </x:c>
      <x:c r="N92" s="243">
        <x:v>0</x:v>
      </x:c>
      <x:c r="O92" s="243">
        <x:v>0</x:v>
      </x:c>
      <x:c r="P92" s="243">
        <x:v>0</x:v>
      </x:c>
      <x:c r="Q92" s="243">
        <x:v>0</x:v>
      </x:c>
      <x:c r="R92" s="243">
        <x:v>0</x:v>
      </x:c>
      <x:c r="S92" s="243">
        <x:v>0</x:v>
      </x:c>
      <x:c r="T92" s="243">
        <x:v>0</x:v>
      </x:c>
      <x:c r="U92" s="243">
        <x:v>0</x:v>
      </x:c>
      <x:c r="V92" s="243">
        <x:v>0</x:v>
      </x:c>
      <x:c r="W92" s="243">
        <x:v>0</x:v>
      </x:c>
      <x:c r="X92" s="243">
        <x:v>0</x:v>
      </x:c>
      <x:c r="Y92" s="243">
        <x:v>0</x:v>
      </x:c>
      <x:c r="Z92" s="243">
        <x:v>0</x:v>
      </x:c>
      <x:c r="AA92" s="243">
        <x:v>0</x:v>
      </x:c>
      <x:c r="AB92" s="243">
        <x:v>0</x:v>
      </x:c>
      <x:c r="AC92" s="243">
        <x:v>0</x:v>
      </x:c>
      <x:c r="AD92" s="243">
        <x:v>0</x:v>
      </x:c>
      <x:c r="AE92" s="243">
        <x:v>0</x:v>
      </x:c>
      <x:c r="AF92" s="243">
        <x:v>0</x:v>
      </x:c>
      <x:c r="AG92" s="243">
        <x:v>0</x:v>
      </x:c>
      <x:c r="AH92" s="243">
        <x:v>0</x:v>
      </x:c>
      <x:c r="AI92" s="243">
        <x:v>0</x:v>
      </x:c>
      <x:c r="AJ92" s="243">
        <x:v>0</x:v>
      </x:c>
      <x:c r="AK92" s="243">
        <x:v>0</x:v>
      </x:c>
      <x:c r="AL92" s="243">
        <x:v>0</x:v>
      </x:c>
      <x:c r="AM92" s="243">
        <x:v>0</x:v>
      </x:c>
      <x:c r="AN92" s="243">
        <x:v>0</x:v>
      </x:c>
      <x:c r="AO92" s="243">
        <x:v>0</x:v>
      </x:c>
    </x:row>
    <x:row r="93" spans="1:42" ht="12.75" customHeight="1" x14ac:dyDescent="0.2">
      <x:c r="C93" s="776"/>
      <x:c r="D93" s="775"/>
      <x:c r="E93" s="242" t="s">
        <x:v>73</x:v>
      </x:c>
      <x:c r="F93" s="243">
        <x:v>0</x:v>
      </x:c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</x:row>
    <x:row r="94" spans="1:42" ht="12.75" customHeight="1" x14ac:dyDescent="0.2">
      <x:c r="A94" s="89"/>
      <x:c r="C94" s="97"/>
      <x:c r="F94" s="90"/>
      <x:c r="G94" s="90"/>
      <x:c r="H94" s="90"/>
      <x:c r="I94" s="90"/>
      <x:c r="J94" s="90"/>
      <x:c r="K94" s="90"/>
      <x:c r="L94" s="90"/>
      <x:c r="M94" s="90"/>
      <x:c r="N94" s="90"/>
      <x:c r="O94" s="90"/>
      <x:c r="P94" s="90"/>
      <x:c r="Q94" s="90"/>
      <x:c r="R94" s="90"/>
      <x:c r="S94" s="90"/>
    </x:row>
    <x:row r="95" spans="1:42" ht="12.75" customHeight="1" x14ac:dyDescent="0.2">
      <x:c r="C95" s="778" t="s">
        <x:v>119</x:v>
      </x:c>
      <x:c r="D95" s="775" t="s">
        <x:v>132</x:v>
      </x:c>
      <x:c r="E95" s="101" t="s">
        <x:v>70</x:v>
      </x:c>
      <x:c r="F95" s="93">
        <x:f>F69+F46+F15-L15-L46</x:f>
        <x:v>0</x:v>
      </x:c>
      <x:c r="G95" s="93">
        <x:f t="shared" ref="G95:AP95" si="4">G46+G15</x:f>
        <x:v>0</x:v>
      </x:c>
      <x:c r="H95" s="93">
        <x:f t="shared" si="4"/>
        <x:v>0</x:v>
      </x:c>
      <x:c r="I95" s="93">
        <x:f t="shared" si="4"/>
        <x:v>0</x:v>
      </x:c>
      <x:c r="J95" s="93">
        <x:f t="shared" si="4"/>
        <x:v>0</x:v>
      </x:c>
      <x:c r="K95" s="93">
        <x:f t="shared" si="4"/>
        <x:v>0</x:v>
      </x:c>
      <x:c r="L95" s="93">
        <x:f t="shared" si="4"/>
        <x:v>0</x:v>
      </x:c>
      <x:c r="M95" s="93">
        <x:f t="shared" si="4"/>
        <x:v>0</x:v>
      </x:c>
      <x:c r="N95" s="93">
        <x:f t="shared" si="4"/>
        <x:v>0</x:v>
      </x:c>
      <x:c r="O95" s="93">
        <x:f t="shared" si="4"/>
        <x:v>0</x:v>
      </x:c>
      <x:c r="P95" s="93">
        <x:f t="shared" si="4"/>
        <x:v>0</x:v>
      </x:c>
      <x:c r="Q95" s="93">
        <x:f t="shared" si="4"/>
        <x:v>0</x:v>
      </x:c>
      <x:c r="R95" s="93">
        <x:f t="shared" si="4"/>
        <x:v>0</x:v>
      </x:c>
      <x:c r="S95" s="93">
        <x:f t="shared" si="4"/>
        <x:v>0</x:v>
      </x:c>
      <x:c r="T95" s="93">
        <x:f t="shared" si="4"/>
        <x:v>0</x:v>
      </x:c>
      <x:c r="U95" s="93">
        <x:f t="shared" si="4"/>
        <x:v>0</x:v>
      </x:c>
      <x:c r="V95" s="93">
        <x:f t="shared" si="4"/>
        <x:v>0</x:v>
      </x:c>
      <x:c r="W95" s="93">
        <x:f t="shared" si="4"/>
        <x:v>0</x:v>
      </x:c>
      <x:c r="X95" s="93">
        <x:f t="shared" si="4"/>
        <x:v>0</x:v>
      </x:c>
      <x:c r="Y95" s="93">
        <x:f t="shared" si="4"/>
        <x:v>0</x:v>
      </x:c>
      <x:c r="Z95" s="93">
        <x:f t="shared" si="4"/>
        <x:v>0</x:v>
      </x:c>
      <x:c r="AA95" s="93">
        <x:f t="shared" si="4"/>
        <x:v>0</x:v>
      </x:c>
      <x:c r="AB95" s="93">
        <x:f t="shared" si="4"/>
        <x:v>0</x:v>
      </x:c>
      <x:c r="AC95" s="93">
        <x:f t="shared" si="4"/>
        <x:v>0</x:v>
      </x:c>
      <x:c r="AD95" s="93">
        <x:f t="shared" si="4"/>
        <x:v>0</x:v>
      </x:c>
      <x:c r="AE95" s="93">
        <x:f t="shared" si="4"/>
        <x:v>0</x:v>
      </x:c>
      <x:c r="AF95" s="93">
        <x:f t="shared" si="4"/>
        <x:v>0</x:v>
      </x:c>
      <x:c r="AG95" s="93">
        <x:f t="shared" si="4"/>
        <x:v>0</x:v>
      </x:c>
      <x:c r="AH95" s="93">
        <x:f t="shared" si="4"/>
        <x:v>0</x:v>
      </x:c>
      <x:c r="AI95" s="93">
        <x:f t="shared" si="4"/>
        <x:v>0</x:v>
      </x:c>
      <x:c r="AJ95" s="93">
        <x:f t="shared" si="4"/>
        <x:v>0</x:v>
      </x:c>
      <x:c r="AK95" s="93">
        <x:f t="shared" si="4"/>
        <x:v>0</x:v>
      </x:c>
      <x:c r="AL95" s="93">
        <x:f t="shared" si="4"/>
        <x:v>0</x:v>
      </x:c>
      <x:c r="AM95" s="93">
        <x:f t="shared" si="4"/>
        <x:v>0</x:v>
      </x:c>
      <x:c r="AN95" s="93">
        <x:f t="shared" si="4"/>
        <x:v>0</x:v>
      </x:c>
      <x:c r="AO95" s="93">
        <x:f t="shared" si="4"/>
        <x:v>0</x:v>
      </x:c>
      <x:c r="AP95" s="93">
        <x:f t="shared" si="4"/>
        <x:v>0</x:v>
      </x:c>
    </x:row>
    <x:row r="96" spans="1:42" ht="12.75" customHeight="1" x14ac:dyDescent="0.2">
      <x:c r="C96" s="778"/>
      <x:c r="D96" s="775"/>
      <x:c r="E96" s="101" t="s">
        <x:v>73</x:v>
      </x:c>
      <x:c r="F96" s="93">
        <x:f>F69</x:f>
        <x:v>0</x:v>
      </x:c>
      <x:c r="G96" s="90"/>
      <x:c r="H96" s="90"/>
      <x:c r="I96" s="90"/>
      <x:c r="J96" s="90"/>
      <x:c r="K96" s="90"/>
      <x:c r="L96" s="90"/>
      <x:c r="M96" s="90"/>
      <x:c r="N96" s="90"/>
      <x:c r="O96" s="90"/>
      <x:c r="P96" s="90"/>
      <x:c r="Q96" s="90"/>
      <x:c r="R96" s="90"/>
      <x:c r="S96" s="90"/>
    </x:row>
    <x:row r="97" spans="1:42" ht="12.75" customHeight="1" x14ac:dyDescent="0.2">
      <x:c r="C97" s="778"/>
      <x:c r="D97" s="775" t="s">
        <x:v>133</x:v>
      </x:c>
      <x:c r="E97" s="235" t="s">
        <x:v>70</x:v>
      </x:c>
      <x:c r="F97" s="236">
        <x:f>F58+F31-L31</x:f>
        <x:v>0</x:v>
      </x:c>
      <x:c r="G97" s="236">
        <x:f>G31</x:f>
        <x:v>0</x:v>
      </x:c>
      <x:c r="H97" s="236">
        <x:f t="shared" ref="H97:AP97" si="5">H31</x:f>
        <x:v>0</x:v>
      </x:c>
      <x:c r="I97" s="236">
        <x:f t="shared" si="5"/>
        <x:v>0</x:v>
      </x:c>
      <x:c r="J97" s="236">
        <x:f t="shared" si="5"/>
        <x:v>0</x:v>
      </x:c>
      <x:c r="K97" s="236">
        <x:f t="shared" si="5"/>
        <x:v>0</x:v>
      </x:c>
      <x:c r="L97" s="236">
        <x:f t="shared" si="5"/>
        <x:v>0</x:v>
      </x:c>
      <x:c r="M97" s="236">
        <x:f t="shared" si="5"/>
        <x:v>0</x:v>
      </x:c>
      <x:c r="N97" s="236">
        <x:f t="shared" si="5"/>
        <x:v>0</x:v>
      </x:c>
      <x:c r="O97" s="236">
        <x:f t="shared" si="5"/>
        <x:v>0</x:v>
      </x:c>
      <x:c r="P97" s="236">
        <x:f t="shared" si="5"/>
        <x:v>0</x:v>
      </x:c>
      <x:c r="Q97" s="236">
        <x:f t="shared" si="5"/>
        <x:v>0</x:v>
      </x:c>
      <x:c r="R97" s="236">
        <x:f t="shared" si="5"/>
        <x:v>0</x:v>
      </x:c>
      <x:c r="S97" s="236">
        <x:f t="shared" si="5"/>
        <x:v>0</x:v>
      </x:c>
      <x:c r="T97" s="236">
        <x:f t="shared" si="5"/>
        <x:v>0</x:v>
      </x:c>
      <x:c r="U97" s="236">
        <x:f t="shared" si="5"/>
        <x:v>0</x:v>
      </x:c>
      <x:c r="V97" s="236">
        <x:f t="shared" si="5"/>
        <x:v>0</x:v>
      </x:c>
      <x:c r="W97" s="236">
        <x:f t="shared" si="5"/>
        <x:v>0</x:v>
      </x:c>
      <x:c r="X97" s="236">
        <x:f t="shared" si="5"/>
        <x:v>0</x:v>
      </x:c>
      <x:c r="Y97" s="236">
        <x:f t="shared" si="5"/>
        <x:v>0</x:v>
      </x:c>
      <x:c r="Z97" s="236">
        <x:f t="shared" si="5"/>
        <x:v>0</x:v>
      </x:c>
      <x:c r="AA97" s="236">
        <x:f t="shared" si="5"/>
        <x:v>0</x:v>
      </x:c>
      <x:c r="AB97" s="236">
        <x:f t="shared" si="5"/>
        <x:v>0</x:v>
      </x:c>
      <x:c r="AC97" s="236">
        <x:f t="shared" si="5"/>
        <x:v>0</x:v>
      </x:c>
      <x:c r="AD97" s="236">
        <x:f t="shared" si="5"/>
        <x:v>0</x:v>
      </x:c>
      <x:c r="AE97" s="236">
        <x:f t="shared" si="5"/>
        <x:v>0</x:v>
      </x:c>
      <x:c r="AF97" s="236">
        <x:f t="shared" si="5"/>
        <x:v>0</x:v>
      </x:c>
      <x:c r="AG97" s="236">
        <x:f t="shared" si="5"/>
        <x:v>0</x:v>
      </x:c>
      <x:c r="AH97" s="236">
        <x:f t="shared" si="5"/>
        <x:v>0</x:v>
      </x:c>
      <x:c r="AI97" s="236">
        <x:f t="shared" si="5"/>
        <x:v>0</x:v>
      </x:c>
      <x:c r="AJ97" s="236">
        <x:f t="shared" si="5"/>
        <x:v>0</x:v>
      </x:c>
      <x:c r="AK97" s="236">
        <x:f t="shared" si="5"/>
        <x:v>0</x:v>
      </x:c>
      <x:c r="AL97" s="236">
        <x:f t="shared" si="5"/>
        <x:v>0</x:v>
      </x:c>
      <x:c r="AM97" s="236">
        <x:f t="shared" si="5"/>
        <x:v>0</x:v>
      </x:c>
      <x:c r="AN97" s="236">
        <x:f t="shared" si="5"/>
        <x:v>0</x:v>
      </x:c>
      <x:c r="AO97" s="236">
        <x:f t="shared" si="5"/>
        <x:v>0</x:v>
      </x:c>
      <x:c r="AP97" s="236">
        <x:f t="shared" si="5"/>
        <x:v>0</x:v>
      </x:c>
    </x:row>
    <x:row r="98" spans="1:42" ht="12.75" customHeight="1" x14ac:dyDescent="0.2">
      <x:c r="C98" s="778"/>
      <x:c r="D98" s="775"/>
      <x:c r="E98" s="235" t="s">
        <x:v>73</x:v>
      </x:c>
      <x:c r="F98" s="236">
        <x:f>F58</x:f>
        <x:v>0</x:v>
      </x:c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</x:row>
    <x:row r="99" spans="1:42" ht="12.75" customHeight="1" x14ac:dyDescent="0.2">
      <x:c r="A99" s="89"/>
      <x:c r="C99" s="97"/>
      <x:c r="F99" s="90"/>
      <x:c r="G99" s="90"/>
      <x:c r="H99" s="90"/>
      <x:c r="I99" s="90"/>
      <x:c r="J99" s="90"/>
      <x:c r="K99" s="90"/>
      <x:c r="L99" s="90"/>
      <x:c r="M99" s="90"/>
      <x:c r="N99" s="90"/>
      <x:c r="O99" s="90"/>
      <x:c r="P99" s="90"/>
      <x:c r="Q99" s="90"/>
      <x:c r="R99" s="90"/>
      <x:c r="S99" s="90"/>
    </x:row>
    <x:row r="100" spans="1:42" ht="12.75" customHeight="1" x14ac:dyDescent="0.2">
      <x:c r="C100" s="777" t="s">
        <x:v>161</x:v>
      </x:c>
      <x:c r="D100" s="775" t="s">
        <x:v>132</x:v>
      </x:c>
      <x:c r="E100" s="231" t="s">
        <x:v>70</x:v>
      </x:c>
      <x:c r="F100" s="232">
        <x:v>0</x:v>
      </x:c>
      <x:c r="G100" s="232">
        <x:v>0</x:v>
      </x:c>
      <x:c r="H100" s="232">
        <x:v>0</x:v>
      </x:c>
      <x:c r="I100" s="232">
        <x:v>0</x:v>
      </x:c>
      <x:c r="J100" s="232">
        <x:v>0</x:v>
      </x:c>
      <x:c r="K100" s="232">
        <x:v>0</x:v>
      </x:c>
      <x:c r="L100" s="232">
        <x:v>0</x:v>
      </x:c>
      <x:c r="M100" s="232">
        <x:v>0</x:v>
      </x:c>
      <x:c r="N100" s="232">
        <x:v>0</x:v>
      </x:c>
      <x:c r="O100" s="232">
        <x:v>0</x:v>
      </x:c>
      <x:c r="P100" s="232">
        <x:v>0</x:v>
      </x:c>
      <x:c r="Q100" s="232">
        <x:v>0</x:v>
      </x:c>
      <x:c r="R100" s="232">
        <x:v>0</x:v>
      </x:c>
      <x:c r="S100" s="232">
        <x:v>0</x:v>
      </x:c>
      <x:c r="T100" s="232">
        <x:v>0</x:v>
      </x:c>
      <x:c r="U100" s="232">
        <x:v>0</x:v>
      </x:c>
      <x:c r="V100" s="232">
        <x:v>0</x:v>
      </x:c>
      <x:c r="W100" s="232">
        <x:v>0</x:v>
      </x:c>
      <x:c r="X100" s="232">
        <x:v>0</x:v>
      </x:c>
      <x:c r="Y100" s="232">
        <x:v>0</x:v>
      </x:c>
      <x:c r="Z100" s="232">
        <x:v>0</x:v>
      </x:c>
      <x:c r="AA100" s="232">
        <x:v>0</x:v>
      </x:c>
      <x:c r="AB100" s="232">
        <x:v>0</x:v>
      </x:c>
      <x:c r="AC100" s="232">
        <x:v>0</x:v>
      </x:c>
      <x:c r="AD100" s="232">
        <x:v>0</x:v>
      </x:c>
      <x:c r="AE100" s="232">
        <x:v>0</x:v>
      </x:c>
      <x:c r="AF100" s="232">
        <x:v>0</x:v>
      </x:c>
      <x:c r="AG100" s="232">
        <x:v>0</x:v>
      </x:c>
      <x:c r="AH100" s="232">
        <x:v>0</x:v>
      </x:c>
      <x:c r="AI100" s="232">
        <x:v>0</x:v>
      </x:c>
      <x:c r="AJ100" s="232">
        <x:v>0</x:v>
      </x:c>
      <x:c r="AK100" s="232">
        <x:v>0</x:v>
      </x:c>
      <x:c r="AL100" s="232">
        <x:v>0</x:v>
      </x:c>
      <x:c r="AM100" s="232">
        <x:v>0</x:v>
      </x:c>
      <x:c r="AN100" s="232">
        <x:v>0</x:v>
      </x:c>
      <x:c r="AO100" s="232">
        <x:v>0</x:v>
      </x:c>
      <x:c r="AP100" s="232">
        <x:v>0</x:v>
      </x:c>
    </x:row>
    <x:row r="101" spans="1:42" ht="12.75" customHeight="1" x14ac:dyDescent="0.2">
      <x:c r="C101" s="777"/>
      <x:c r="D101" s="775"/>
      <x:c r="E101" s="231" t="s">
        <x:v>73</x:v>
      </x:c>
      <x:c r="F101" s="232">
        <x:v>0</x:v>
      </x:c>
      <x:c r="G101" s="90"/>
      <x:c r="H101" s="90"/>
      <x:c r="I101" s="90"/>
      <x:c r="J101" s="90"/>
      <x:c r="K101" s="90"/>
      <x:c r="L101" s="90"/>
      <x:c r="M101" s="90"/>
      <x:c r="N101" s="90"/>
      <x:c r="O101" s="90"/>
      <x:c r="P101" s="90"/>
      <x:c r="Q101" s="90"/>
      <x:c r="R101" s="90"/>
      <x:c r="S101" s="90"/>
    </x:row>
    <x:row r="102" spans="1:42" ht="12.75" customHeight="1" x14ac:dyDescent="0.2">
      <x:c r="C102" s="777"/>
      <x:c r="D102" s="775" t="s">
        <x:v>133</x:v>
      </x:c>
      <x:c r="E102" s="148" t="s">
        <x:v>70</x:v>
      </x:c>
      <x:c r="F102" s="149">
        <x:v>0</x:v>
      </x:c>
      <x:c r="G102" s="149">
        <x:v>0</x:v>
      </x:c>
      <x:c r="H102" s="149">
        <x:v>0</x:v>
      </x:c>
      <x:c r="I102" s="149">
        <x:v>0</x:v>
      </x:c>
      <x:c r="J102" s="149">
        <x:v>0</x:v>
      </x:c>
      <x:c r="K102" s="149">
        <x:v>0</x:v>
      </x:c>
      <x:c r="L102" s="149">
        <x:v>0</x:v>
      </x:c>
      <x:c r="M102" s="149">
        <x:v>0</x:v>
      </x:c>
      <x:c r="N102" s="149">
        <x:v>0</x:v>
      </x:c>
      <x:c r="O102" s="149">
        <x:v>0</x:v>
      </x:c>
      <x:c r="P102" s="149">
        <x:v>0</x:v>
      </x:c>
      <x:c r="Q102" s="149">
        <x:v>0</x:v>
      </x:c>
      <x:c r="R102" s="149">
        <x:v>0</x:v>
      </x:c>
      <x:c r="S102" s="149">
        <x:v>0</x:v>
      </x:c>
      <x:c r="T102" s="149">
        <x:v>0</x:v>
      </x:c>
      <x:c r="U102" s="149">
        <x:v>0</x:v>
      </x:c>
      <x:c r="V102" s="149">
        <x:v>0</x:v>
      </x:c>
      <x:c r="W102" s="149">
        <x:v>0</x:v>
      </x:c>
      <x:c r="X102" s="149">
        <x:v>0</x:v>
      </x:c>
      <x:c r="Y102" s="149">
        <x:v>0</x:v>
      </x:c>
      <x:c r="Z102" s="149">
        <x:v>0</x:v>
      </x:c>
      <x:c r="AA102" s="149">
        <x:v>0</x:v>
      </x:c>
      <x:c r="AB102" s="149">
        <x:v>0</x:v>
      </x:c>
      <x:c r="AC102" s="149">
        <x:v>0</x:v>
      </x:c>
      <x:c r="AD102" s="149">
        <x:v>0</x:v>
      </x:c>
      <x:c r="AE102" s="149">
        <x:v>0</x:v>
      </x:c>
      <x:c r="AF102" s="149">
        <x:v>0</x:v>
      </x:c>
      <x:c r="AG102" s="149">
        <x:v>0</x:v>
      </x:c>
      <x:c r="AH102" s="149">
        <x:v>0</x:v>
      </x:c>
      <x:c r="AI102" s="149">
        <x:v>0</x:v>
      </x:c>
      <x:c r="AJ102" s="149">
        <x:v>0</x:v>
      </x:c>
      <x:c r="AK102" s="149">
        <x:v>0</x:v>
      </x:c>
      <x:c r="AL102" s="149">
        <x:v>0</x:v>
      </x:c>
      <x:c r="AM102" s="149">
        <x:v>0</x:v>
      </x:c>
      <x:c r="AN102" s="149">
        <x:v>0</x:v>
      </x:c>
      <x:c r="AO102" s="149">
        <x:v>0</x:v>
      </x:c>
      <x:c r="AP102" s="149">
        <x:v>0</x:v>
      </x:c>
    </x:row>
    <x:row r="103" spans="1:42" ht="12.75" customHeight="1" x14ac:dyDescent="0.2">
      <x:c r="C103" s="777"/>
      <x:c r="D103" s="775"/>
      <x:c r="E103" s="148" t="s">
        <x:v>73</x:v>
      </x:c>
      <x:c r="F103" s="149">
        <x:v>0</x:v>
      </x:c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</x:row>
    <x:row r="104" spans="1:42" ht="12.75" customHeight="1" x14ac:dyDescent="0.2">
      <x:c r="C104" s="388"/>
      <x:c r="D104" s="220"/>
      <x:c r="E104" s="89"/>
      <x:c r="F104" s="90"/>
      <x:c r="G104" s="90"/>
      <x:c r="H104" s="90"/>
      <x:c r="I104" s="90"/>
      <x:c r="J104" s="90"/>
      <x:c r="K104" s="90"/>
      <x:c r="L104" s="90"/>
      <x:c r="M104" s="90"/>
      <x:c r="N104" s="90"/>
      <x:c r="O104" s="90"/>
      <x:c r="P104" s="90"/>
      <x:c r="Q104" s="90"/>
      <x:c r="R104" s="90"/>
    </x:row>
    <x:row r="105" spans="1:42" ht="12.75" customHeight="1" x14ac:dyDescent="0.2">
      <x:c r="D105" s="458" t="s">
        <x:v>186</x:v>
      </x:c>
      <x:c r="E105" s="459" t="s">
        <x:v>70</x:v>
      </x:c>
      <x:c r="F105" s="460">
        <x:f t="shared" ref="F105:AP105" si="6">F17</x:f>
        <x:v>0</x:v>
      </x:c>
      <x:c r="G105" s="460">
        <x:f t="shared" si="6"/>
        <x:v>0</x:v>
      </x:c>
      <x:c r="H105" s="460">
        <x:f t="shared" si="6"/>
        <x:v>0</x:v>
      </x:c>
      <x:c r="I105" s="460">
        <x:f t="shared" si="6"/>
        <x:v>0</x:v>
      </x:c>
      <x:c r="J105" s="460">
        <x:f t="shared" si="6"/>
        <x:v>0</x:v>
      </x:c>
      <x:c r="K105" s="460">
        <x:f t="shared" si="6"/>
        <x:v>0</x:v>
      </x:c>
      <x:c r="L105" s="460">
        <x:f t="shared" si="6"/>
        <x:v>0</x:v>
      </x:c>
      <x:c r="M105" s="460">
        <x:f t="shared" si="6"/>
        <x:v>0</x:v>
      </x:c>
      <x:c r="N105" s="460">
        <x:f t="shared" si="6"/>
        <x:v>0</x:v>
      </x:c>
      <x:c r="O105" s="460">
        <x:f t="shared" si="6"/>
        <x:v>0</x:v>
      </x:c>
      <x:c r="P105" s="460">
        <x:f t="shared" si="6"/>
        <x:v>0</x:v>
      </x:c>
      <x:c r="Q105" s="460">
        <x:f t="shared" si="6"/>
        <x:v>0</x:v>
      </x:c>
      <x:c r="R105" s="460">
        <x:f t="shared" si="6"/>
        <x:v>0</x:v>
      </x:c>
      <x:c r="S105" s="460">
        <x:f t="shared" si="6"/>
        <x:v>0</x:v>
      </x:c>
      <x:c r="T105" s="460">
        <x:f t="shared" si="6"/>
        <x:v>0</x:v>
      </x:c>
      <x:c r="U105" s="460">
        <x:f t="shared" si="6"/>
        <x:v>0</x:v>
      </x:c>
      <x:c r="V105" s="460">
        <x:f t="shared" si="6"/>
        <x:v>0</x:v>
      </x:c>
      <x:c r="W105" s="460">
        <x:f t="shared" si="6"/>
        <x:v>0</x:v>
      </x:c>
      <x:c r="X105" s="460">
        <x:f t="shared" si="6"/>
        <x:v>0</x:v>
      </x:c>
      <x:c r="Y105" s="460">
        <x:f t="shared" si="6"/>
        <x:v>0</x:v>
      </x:c>
      <x:c r="Z105" s="460">
        <x:f t="shared" si="6"/>
        <x:v>0</x:v>
      </x:c>
      <x:c r="AA105" s="460">
        <x:f t="shared" si="6"/>
        <x:v>0</x:v>
      </x:c>
      <x:c r="AB105" s="460">
        <x:f t="shared" si="6"/>
        <x:v>0</x:v>
      </x:c>
      <x:c r="AC105" s="460">
        <x:f t="shared" si="6"/>
        <x:v>0</x:v>
      </x:c>
      <x:c r="AD105" s="460">
        <x:f t="shared" si="6"/>
        <x:v>0</x:v>
      </x:c>
      <x:c r="AE105" s="460">
        <x:f t="shared" si="6"/>
        <x:v>0</x:v>
      </x:c>
      <x:c r="AF105" s="460">
        <x:f t="shared" si="6"/>
        <x:v>0</x:v>
      </x:c>
      <x:c r="AG105" s="460">
        <x:f t="shared" si="6"/>
        <x:v>0</x:v>
      </x:c>
      <x:c r="AH105" s="460">
        <x:f t="shared" si="6"/>
        <x:v>0</x:v>
      </x:c>
      <x:c r="AI105" s="460">
        <x:f t="shared" si="6"/>
        <x:v>0</x:v>
      </x:c>
      <x:c r="AJ105" s="460">
        <x:f t="shared" si="6"/>
        <x:v>0</x:v>
      </x:c>
      <x:c r="AK105" s="460">
        <x:f t="shared" si="6"/>
        <x:v>0</x:v>
      </x:c>
      <x:c r="AL105" s="460">
        <x:f t="shared" si="6"/>
        <x:v>0</x:v>
      </x:c>
      <x:c r="AM105" s="460">
        <x:f t="shared" si="6"/>
        <x:v>0</x:v>
      </x:c>
      <x:c r="AN105" s="460">
        <x:f t="shared" si="6"/>
        <x:v>0</x:v>
      </x:c>
      <x:c r="AO105" s="460">
        <x:f t="shared" si="6"/>
        <x:v>0</x:v>
      </x:c>
      <x:c r="AP105" s="460">
        <x:f t="shared" si="6"/>
        <x:v>0</x:v>
      </x:c>
    </x:row>
    <x:row r="106" spans="1:42" ht="12.75" customHeight="1" x14ac:dyDescent="0.2">
      <x:c r="C106" s="388"/>
      <x:c r="D106" s="220"/>
      <x:c r="E106" s="89"/>
      <x:c r="F106" s="90"/>
      <x:c r="G106" s="90"/>
      <x:c r="H106" s="90"/>
      <x:c r="I106" s="90"/>
      <x:c r="J106" s="90"/>
      <x:c r="K106" s="90"/>
      <x:c r="L106" s="90"/>
      <x:c r="M106" s="90"/>
      <x:c r="N106" s="90"/>
      <x:c r="O106" s="90"/>
      <x:c r="P106" s="90"/>
      <x:c r="Q106" s="90"/>
      <x:c r="R106" s="90"/>
    </x:row>
    <x:row r="107" spans="1:42" s="238" customFormat="1" ht="12.75" customHeight="1" x14ac:dyDescent="0.2">
      <x:c r="B107" s="239"/>
      <x:c r="C107" s="239"/>
      <x:c r="E107" s="240"/>
      <x:c r="F107" s="240"/>
      <x:c r="G107" s="240"/>
      <x:c r="H107" s="240"/>
      <x:c r="I107" s="240"/>
      <x:c r="J107" s="240"/>
      <x:c r="K107" s="240"/>
      <x:c r="L107" s="240"/>
      <x:c r="M107" s="240"/>
      <x:c r="N107" s="240"/>
      <x:c r="O107" s="240"/>
      <x:c r="P107" s="240"/>
      <x:c r="Q107" s="240"/>
      <x:c r="R107" s="240"/>
    </x:row>
    <x:row r="108" spans="1:42" ht="12" customHeight="1" x14ac:dyDescent="0.2">
      <x:c r="A108" s="89"/>
      <x:c r="B108" s="97" t="s">
        <x:v>75</x:v>
      </x:c>
      <x:c r="E108" s="90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</x:row>
    <x:row r="109" spans="1:42" ht="12.6" customHeight="1" x14ac:dyDescent="0.2">
      <x:c r="F109" s="89" t="s">
        <x:v>70</x:v>
      </x:c>
      <x:c r="G109" s="89" t="s">
        <x:v>64</x:v>
      </x:c>
      <x:c r="H109" s="89" t="s">
        <x:v>65</x:v>
      </x:c>
      <x:c r="I109" s="218" t="s">
        <x:v>164</x:v>
      </x:c>
      <x:c r="J109" s="89" t="s">
        <x:v>69</x:v>
      </x:c>
      <x:c r="K109" s="89" t="s">
        <x:v>68</x:v>
      </x:c>
      <x:c r="L109" s="89" t="s">
        <x:v>71</x:v>
      </x:c>
      <x:c r="M109" s="89" t="s">
        <x:v>66</x:v>
      </x:c>
      <x:c r="N109" s="89" t="s">
        <x:v>63</x:v>
      </x:c>
      <x:c r="O109" s="89" t="s">
        <x:v>61</x:v>
      </x:c>
      <x:c r="P109" s="89" t="s">
        <x:v>62</x:v>
      </x:c>
      <x:c r="Q109" s="89" t="s">
        <x:v>67</x:v>
      </x:c>
      <x:c r="R109" s="89" t="s">
        <x:v>77</x:v>
      </x:c>
      <x:c r="S109" s="89" t="s">
        <x:v>80</x:v>
      </x:c>
      <x:c r="T109" s="89" t="s">
        <x:v>135</x:v>
      </x:c>
      <x:c r="U109" s="89" t="s">
        <x:v>173</x:v>
      </x:c>
      <x:c r="V109" s="89" t="s">
        <x:v>222</x:v>
      </x:c>
      <x:c r="W109" s="89" t="s">
        <x:v>173</x:v>
      </x:c>
      <x:c r="X109" t="s">
        <x:v>173</x:v>
      </x:c>
      <x:c r="Y109" s="89" t="s">
        <x:v>135</x:v>
      </x:c>
      <x:c r="Z109" s="89" t="s">
        <x:v>167</x:v>
      </x:c>
    </x:row>
    <x:row r="110" spans="1:42" ht="12.75" customHeight="1" x14ac:dyDescent="0.2">
      <x:c r="E110" t="s">
        <x:v>72</x:v>
      </x:c>
      <x:c r="F110" s="384" t="n">
        <x:v>-381705.66</x:v>
      </x:c>
      <x:c r="G110" s="89" t="n">
        <x:v>-34085.26</x:v>
      </x:c>
      <x:c r="H110" s="89" t="n">
        <x:v>-14480.34</x:v>
      </x:c>
      <x:c r="I110" s="664" t="n">
        <x:v>-6323.59</x:v>
      </x:c>
      <x:c r="J110" s="89" t="n">
        <x:v>-75196.47</x:v>
      </x:c>
      <x:c r="K110" s="89" t="n">
        <x:v>-3165.32</x:v>
      </x:c>
      <x:c r="L110" s="89" t="n">
        <x:v>0</x:v>
      </x:c>
      <x:c r="M110" s="89" t="n">
        <x:v>-27767.22</x:v>
      </x:c>
      <x:c r="N110" s="89" t="n">
        <x:v>-34797.83</x:v>
      </x:c>
      <x:c r="O110" s="89" t="n">
        <x:v>-116911.93</x:v>
      </x:c>
      <x:c r="P110" s="89" t="n">
        <x:v>-63812.98</x:v>
      </x:c>
      <x:c r="Q110" s="89" t="n">
        <x:v>-5164.72</x:v>
      </x:c>
      <x:c r="R110" s="89" t="n">
        <x:v>0</x:v>
      </x:c>
      <x:c r="S110" s="89" t="n">
        <x:v>0</x:v>
      </x:c>
      <x:c r="T110" s="89" t="n">
        <x:v>0</x:v>
      </x:c>
      <x:c r="U110" s="89">
        <x:v>0</x:v>
      </x:c>
      <x:c r="V110" s="89">
        <x:v>0</x:v>
      </x:c>
      <x:c r="W110" s="89">
        <x:v>0</x:v>
      </x:c>
      <x:c r="X110">
        <x:v>0</x:v>
      </x:c>
      <x:c r="Y110" s="89">
        <x:v>0</x:v>
      </x:c>
      <x:c r="Z110" s="89" t="n">
        <x:v>0</x:v>
      </x:c>
    </x:row>
    <x:row r="111" spans="1:42" ht="12.75" customHeight="1" x14ac:dyDescent="0.2">
      <x:c r="D111" t="s">
        <x:v>156</x:v>
      </x:c>
      <x:c r="E111" t="s">
        <x:v>70</x:v>
      </x:c>
      <x:c r="F111" s="384" t="n">
        <x:v>-381705.66</x:v>
      </x:c>
      <x:c r="G111" s="89" t="n">
        <x:v>-34085.26</x:v>
      </x:c>
      <x:c r="H111" s="89" t="n">
        <x:v>-14480.34</x:v>
      </x:c>
      <x:c r="I111" s="664" t="n">
        <x:v>-6323.59</x:v>
      </x:c>
      <x:c r="J111" s="89" t="n">
        <x:v>-75196.47</x:v>
      </x:c>
      <x:c r="K111" s="89" t="n">
        <x:v>-3165.32</x:v>
      </x:c>
      <x:c r="L111" s="89" t="n">
        <x:v>0</x:v>
      </x:c>
      <x:c r="M111" s="89" t="n">
        <x:v>-27767.22</x:v>
      </x:c>
      <x:c r="N111" s="89" t="n">
        <x:v>-34797.83</x:v>
      </x:c>
      <x:c r="O111" s="89" t="n">
        <x:v>-116911.93</x:v>
      </x:c>
      <x:c r="P111" s="89" t="n">
        <x:v>-63812.98</x:v>
      </x:c>
      <x:c r="Q111" s="89" t="n">
        <x:v>-5164.72</x:v>
      </x:c>
      <x:c r="R111" s="89" t="n">
        <x:v>0</x:v>
      </x:c>
      <x:c r="S111" s="89" t="n">
        <x:v>0</x:v>
      </x:c>
      <x:c r="T111" s="89" t="n">
        <x:v>0</x:v>
      </x:c>
      <x:c r="U111" s="89">
        <x:v>0</x:v>
      </x:c>
      <x:c r="V111" s="89">
        <x:v>0</x:v>
      </x:c>
      <x:c r="W111" s="89">
        <x:v>0</x:v>
      </x:c>
      <x:c r="X111">
        <x:v>0</x:v>
      </x:c>
      <x:c r="Y111" s="89">
        <x:v>0</x:v>
      </x:c>
      <x:c r="Z111" s="89" t="n">
        <x:v>0</x:v>
      </x:c>
    </x:row>
    <x:row r="112" spans="1:42" s="656" customFormat="1" ht="12.75" customHeight="1" x14ac:dyDescent="0.2">
      <x:c r="C112" s="656" t="s">
        <x:v>155</x:v>
      </x:c>
      <x:c r="D112" s="656" t="s">
        <x:v>70</x:v>
      </x:c>
      <x:c r="F112" s="736" t="n">
        <x:v>-381705.66</x:v>
      </x:c>
      <x:c r="G112" s="657" t="n">
        <x:v>-34085.26</x:v>
      </x:c>
      <x:c r="H112" s="657" t="n">
        <x:v>-14480.34</x:v>
      </x:c>
      <x:c r="I112" s="737" t="n">
        <x:v>-6323.59</x:v>
      </x:c>
      <x:c r="J112" s="657" t="n">
        <x:v>-75196.47</x:v>
      </x:c>
      <x:c r="K112" s="657" t="n">
        <x:v>-3165.32</x:v>
      </x:c>
      <x:c r="L112" s="657" t="n">
        <x:v>0</x:v>
      </x:c>
      <x:c r="M112" s="657" t="n">
        <x:v>-27767.22</x:v>
      </x:c>
      <x:c r="N112" s="657" t="n">
        <x:v>-34797.83</x:v>
      </x:c>
      <x:c r="O112" s="657" t="n">
        <x:v>-116911.93</x:v>
      </x:c>
      <x:c r="P112" s="657" t="n">
        <x:v>-63812.98</x:v>
      </x:c>
      <x:c r="Q112" s="657" t="n">
        <x:v>-5164.72</x:v>
      </x:c>
      <x:c r="R112" s="657" t="n">
        <x:v>0</x:v>
      </x:c>
      <x:c r="S112" s="657" t="n">
        <x:v>0</x:v>
      </x:c>
      <x:c r="T112" s="657" t="n">
        <x:v>0</x:v>
      </x:c>
      <x:c r="U112" s="657">
        <x:v>0</x:v>
      </x:c>
      <x:c r="V112" s="657">
        <x:v>0</x:v>
      </x:c>
      <x:c r="W112" s="657">
        <x:v>0</x:v>
      </x:c>
      <x:c r="X112" s="656">
        <x:v>0</x:v>
      </x:c>
      <x:c r="Y112" s="657">
        <x:v>0</x:v>
      </x:c>
      <x:c r="Z112" s="657" t="n">
        <x:v>0</x:v>
      </x:c>
    </x:row>
    <x:row r="113" spans="1:26" ht="12.75" customHeight="1" x14ac:dyDescent="0.2">
      <x:c r="E113" s="89" t="s">
        <x:v>72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 s="90">
        <x:v>0</x:v>
      </x:c>
      <x:c r="S113" s="90">
        <x:v>0</x:v>
      </x:c>
      <x:c r="T113" s="90">
        <x:v>0</x:v>
      </x:c>
      <x:c r="U113" s="90">
        <x:v>0</x:v>
      </x:c>
      <x:c r="V113" s="90">
        <x:v>0</x:v>
      </x:c>
      <x:c r="W113" s="90">
        <x:v>0</x:v>
      </x:c>
      <x:c r="X113">
        <x:v>0</x:v>
      </x:c>
      <x:c r="Y113">
        <x:v>0</x:v>
      </x:c>
      <x:c r="Z113">
        <x:v>0</x:v>
      </x:c>
    </x:row>
    <x:row r="114" spans="1:26" ht="12.75" customHeight="1" x14ac:dyDescent="0.2">
      <x:c r="D114" t="s">
        <x:v>82</x:v>
      </x:c>
      <x:c r="E114" s="89" t="s">
        <x:v>70</x:v>
      </x:c>
      <x:c r="F114" s="371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 s="90">
        <x:v>0</x:v>
      </x:c>
      <x:c r="S114" s="90">
        <x:v>0</x:v>
      </x:c>
      <x:c r="T114" s="90">
        <x:v>0</x:v>
      </x:c>
      <x:c r="U114" s="90">
        <x:v>0</x:v>
      </x:c>
      <x:c r="V114" s="90">
        <x:v>0</x:v>
      </x:c>
      <x:c r="W114" s="90">
        <x:v>0</x:v>
      </x:c>
      <x:c r="X114">
        <x:v>0</x:v>
      </x:c>
      <x:c r="Y114">
        <x:v>0</x:v>
      </x:c>
      <x:c r="Z114">
        <x:v>0</x:v>
      </x:c>
    </x:row>
    <x:row r="115" spans="1:26" ht="12.75" customHeight="1" x14ac:dyDescent="0.2">
      <x:c r="E115" s="89" t="s">
        <x:v>72</x:v>
      </x:c>
      <x:c r="F115" s="371" t="n">
        <x:v>-24201.09</x:v>
      </x:c>
      <x:c r="G115" s="90" t="n">
        <x:v>-2167.98</x:v>
      </x:c>
      <x:c r="H115" s="90" t="n">
        <x:v>-921.01</x:v>
      </x:c>
      <x:c r="I115" s="90" t="n">
        <x:v>-402.21</x:v>
      </x:c>
      <x:c r="J115" s="90" t="n">
        <x:v>-4825.89</x:v>
      </x:c>
      <x:c r="K115" s="90" t="n">
        <x:v>-199.14</x:v>
      </x:c>
      <x:c r="L115" s="90" t="n">
        <x:v>0</x:v>
      </x:c>
      <x:c r="M115" s="90" t="n">
        <x:v>-1746.78</x:v>
      </x:c>
      <x:c r="N115" s="90" t="n">
        <x:v>-2190.07</x:v>
      </x:c>
      <x:c r="O115" s="90" t="n">
        <x:v>-7354.7</x:v>
      </x:c>
      <x:c r="P115" s="90" t="n">
        <x:v>-4068.42</x:v>
      </x:c>
      <x:c r="Q115" s="90" t="n">
        <x:v>-324.89</x:v>
      </x:c>
      <x:c r="R115" s="90" t="n">
        <x:v>0</x:v>
      </x:c>
      <x:c r="S115" s="90" t="n">
        <x:v>0</x:v>
      </x:c>
      <x:c r="T115" s="90" t="n">
        <x:v>0</x:v>
      </x:c>
      <x:c r="U115" s="90">
        <x:v>0</x:v>
      </x:c>
      <x:c r="V115" s="90">
        <x:v>0</x:v>
      </x:c>
      <x:c r="W115" s="90">
        <x:v>0</x:v>
      </x:c>
      <x:c r="X115">
        <x:v>0</x:v>
      </x:c>
      <x:c r="Y115">
        <x:v>0</x:v>
      </x:c>
      <x:c r="Z115" t="n">
        <x:v>0</x:v>
      </x:c>
    </x:row>
    <x:row r="116" spans="1:26" ht="12.75" customHeight="1" x14ac:dyDescent="0.2">
      <x:c r="D116" t="s">
        <x:v>86</x:v>
      </x:c>
      <x:c r="E116" s="89" t="s">
        <x:v>70</x:v>
      </x:c>
      <x:c r="F116" s="371" t="n">
        <x:v>-24201.09</x:v>
      </x:c>
      <x:c r="G116" s="90" t="n">
        <x:v>-2167.98</x:v>
      </x:c>
      <x:c r="H116" s="90" t="n">
        <x:v>-921.01</x:v>
      </x:c>
      <x:c r="I116" s="90" t="n">
        <x:v>-402.21</x:v>
      </x:c>
      <x:c r="J116" s="90" t="n">
        <x:v>-4825.89</x:v>
      </x:c>
      <x:c r="K116" s="90" t="n">
        <x:v>-199.14</x:v>
      </x:c>
      <x:c r="L116" s="90" t="n">
        <x:v>0</x:v>
      </x:c>
      <x:c r="M116" s="90" t="n">
        <x:v>-1746.78</x:v>
      </x:c>
      <x:c r="N116" s="90" t="n">
        <x:v>-2190.07</x:v>
      </x:c>
      <x:c r="O116" s="90" t="n">
        <x:v>-7354.7</x:v>
      </x:c>
      <x:c r="P116" s="90" t="n">
        <x:v>-4068.42</x:v>
      </x:c>
      <x:c r="Q116" s="90" t="n">
        <x:v>-324.89</x:v>
      </x:c>
      <x:c r="R116" s="90" t="n">
        <x:v>0</x:v>
      </x:c>
      <x:c r="S116" s="90" t="n">
        <x:v>0</x:v>
      </x:c>
      <x:c r="T116" s="90" t="n">
        <x:v>0</x:v>
      </x:c>
      <x:c r="U116" s="90">
        <x:v>0</x:v>
      </x:c>
      <x:c r="V116" s="90">
        <x:v>0</x:v>
      </x:c>
      <x:c r="W116" s="90">
        <x:v>0</x:v>
      </x:c>
      <x:c r="X116">
        <x:v>0</x:v>
      </x:c>
      <x:c r="Y116">
        <x:v>0</x:v>
      </x:c>
      <x:c r="Z116" t="n">
        <x:v>0</x:v>
      </x:c>
    </x:row>
    <x:row r="117" spans="1:26" ht="12.75" customHeight="1" x14ac:dyDescent="0.2">
      <x:c r="E117" s="89" t="s">
        <x:v>72</x:v>
      </x:c>
      <x:c r="F117" s="371">
        <x:v>0</x:v>
      </x:c>
      <x:c r="G117" s="90">
        <x:v>0</x:v>
      </x:c>
      <x:c r="H117" s="90">
        <x:v>0</x:v>
      </x:c>
      <x:c r="I117" s="90">
        <x:v>0</x:v>
      </x:c>
      <x:c r="J117" s="90">
        <x:v>0</x:v>
      </x:c>
      <x:c r="K117" s="90">
        <x:v>0</x:v>
      </x:c>
      <x:c r="L117" s="90">
        <x:v>0</x:v>
      </x:c>
      <x:c r="M117" s="90">
        <x:v>0</x:v>
      </x:c>
      <x:c r="N117" s="90">
        <x:v>0</x:v>
      </x:c>
      <x:c r="O117" s="90">
        <x:v>0</x:v>
      </x:c>
      <x:c r="P117" s="90">
        <x:v>0</x:v>
      </x:c>
      <x:c r="Q117" s="90">
        <x:v>0</x:v>
      </x:c>
      <x:c r="R117" s="90">
        <x:v>0</x:v>
      </x:c>
      <x:c r="S117" s="90">
        <x:v>0</x:v>
      </x:c>
      <x:c r="T117" s="90">
        <x:v>0</x:v>
      </x:c>
      <x:c r="U117" s="90">
        <x:v>0</x:v>
      </x:c>
      <x:c r="V117" s="90">
        <x:v>0</x:v>
      </x:c>
      <x:c r="W117" s="90">
        <x:v>0</x:v>
      </x:c>
      <x:c r="X117" s="90">
        <x:v>0</x:v>
      </x:c>
      <x:c r="Y117" s="90">
        <x:v>0</x:v>
      </x:c>
      <x:c r="Z117" s="90">
        <x:v>0</x:v>
      </x:c>
    </x:row>
    <x:row r="118" spans="1:26" ht="12.75" customHeight="1" x14ac:dyDescent="0.2">
      <x:c r="D118" t="s">
        <x:v>87</x:v>
      </x:c>
      <x:c r="E118" s="89" t="s">
        <x:v>70</x:v>
      </x:c>
      <x:c r="F118" s="371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 s="90">
        <x:v>0</x:v>
      </x:c>
      <x:c r="S118" s="90">
        <x:v>0</x:v>
      </x:c>
      <x:c r="T118" s="90">
        <x:v>0</x:v>
      </x:c>
      <x:c r="U118" s="90">
        <x:v>0</x:v>
      </x:c>
      <x:c r="V118" s="90">
        <x:v>0</x:v>
      </x:c>
      <x:c r="W118" s="90">
        <x:v>0</x:v>
      </x:c>
      <x:c r="X118" s="90">
        <x:v>0</x:v>
      </x:c>
      <x:c r="Y118" s="90">
        <x:v>0</x:v>
      </x:c>
      <x:c r="Z118" s="90">
        <x:v>0</x:v>
      </x:c>
    </x:row>
    <x:row r="119" spans="1:26" s="94" customFormat="1" ht="12.75" customHeight="1" x14ac:dyDescent="0.2">
      <x:c r="C119" s="94" t="s">
        <x:v>119</x:v>
      </x:c>
      <x:c r="D119" s="94" t="s">
        <x:v>70</x:v>
      </x:c>
      <x:c r="E119" s="101"/>
      <x:c r="F119" s="93" t="n">
        <x:v>-24201.09</x:v>
      </x:c>
      <x:c r="G119" s="93" t="n">
        <x:v>-2167.98</x:v>
      </x:c>
      <x:c r="H119" s="93" t="n">
        <x:v>-921.01</x:v>
      </x:c>
      <x:c r="I119" s="93" t="n">
        <x:v>-402.21</x:v>
      </x:c>
      <x:c r="J119" s="93" t="n">
        <x:v>-4825.89</x:v>
      </x:c>
      <x:c r="K119" s="93" t="n">
        <x:v>-199.14</x:v>
      </x:c>
      <x:c r="L119" s="93" t="n">
        <x:v>0</x:v>
      </x:c>
      <x:c r="M119" s="93" t="n">
        <x:v>-1746.78</x:v>
      </x:c>
      <x:c r="N119" s="93" t="n">
        <x:v>-2190.07</x:v>
      </x:c>
      <x:c r="O119" s="93" t="n">
        <x:v>-7354.7</x:v>
      </x:c>
      <x:c r="P119" s="93" t="n">
        <x:v>-4068.42</x:v>
      </x:c>
      <x:c r="Q119" s="93" t="n">
        <x:v>-324.89</x:v>
      </x:c>
      <x:c r="R119" s="93" t="n">
        <x:v>0</x:v>
      </x:c>
      <x:c r="S119" s="93" t="n">
        <x:v>0</x:v>
      </x:c>
      <x:c r="T119" s="93" t="n">
        <x:v>0</x:v>
      </x:c>
      <x:c r="U119" s="93">
        <x:v>0</x:v>
      </x:c>
      <x:c r="V119" s="93">
        <x:v>0</x:v>
      </x:c>
      <x:c r="W119" s="93">
        <x:v>0</x:v>
      </x:c>
      <x:c r="X119" s="94">
        <x:v>0</x:v>
      </x:c>
      <x:c r="Y119" s="94">
        <x:v>0</x:v>
      </x:c>
      <x:c r="Z119" s="94" t="n">
        <x:v>0</x:v>
      </x:c>
    </x:row>
    <x:row r="120" spans="1:26" ht="12.75" customHeight="1" x14ac:dyDescent="0.2">
      <x:c r="B120" s="89" t="s">
        <x:v>112</x:v>
      </x:c>
      <x:c r="C120" s="89" t="s">
        <x:v>70</x:v>
      </x:c>
      <x:c r="F120" s="90" t="n">
        <x:v>-405906.75</x:v>
      </x:c>
      <x:c r="G120" s="90" t="n">
        <x:v>-36253.24</x:v>
      </x:c>
      <x:c r="H120" s="90" t="n">
        <x:v>-15401.35</x:v>
      </x:c>
      <x:c r="I120" s="90" t="n">
        <x:v>-6725.8</x:v>
      </x:c>
      <x:c r="J120" s="90" t="n">
        <x:v>-80022.36</x:v>
      </x:c>
      <x:c r="K120" s="90" t="n">
        <x:v>-3364.46</x:v>
      </x:c>
      <x:c r="L120" s="90" t="n">
        <x:v>0</x:v>
      </x:c>
      <x:c r="M120" s="90" t="n">
        <x:v>-29514</x:v>
      </x:c>
      <x:c r="N120" s="90" t="n">
        <x:v>-36987.9</x:v>
      </x:c>
      <x:c r="O120" s="90" t="n">
        <x:v>-124266.63</x:v>
      </x:c>
      <x:c r="P120" s="90" t="n">
        <x:v>-67881.4</x:v>
      </x:c>
      <x:c r="Q120" s="90" t="n">
        <x:v>-5489.61</x:v>
      </x:c>
      <x:c r="R120" s="90" t="n">
        <x:v>0</x:v>
      </x:c>
      <x:c r="S120" s="90" t="n">
        <x:v>0</x:v>
      </x:c>
      <x:c r="T120" t="n">
        <x:v>0</x:v>
      </x:c>
      <x:c r="U120">
        <x:v>0</x:v>
      </x:c>
      <x:c r="V120">
        <x:v>0</x:v>
      </x:c>
      <x:c r="W120">
        <x:v>0</x:v>
      </x:c>
      <x:c r="X120">
        <x:v>0</x:v>
      </x:c>
      <x:c r="Y120" s="90">
        <x:v>0</x:v>
      </x:c>
      <x:c r="Z120" t="n">
        <x:v>0</x:v>
      </x:c>
    </x:row>
    <x:row r="121" spans="1:26" s="458" customFormat="1" x14ac:dyDescent="0.2">
      <x:c r="A121" s="458" t="s">
        <x:v>186</x:v>
      </x:c>
      <x:c r="B121" s="459" t="s">
        <x:v>70</x:v>
      </x:c>
      <x:c r="C121" s="459"/>
      <x:c r="F121" s="460" t="n">
        <x:v>-405906.75</x:v>
      </x:c>
      <x:c r="G121" s="460" t="n">
        <x:v>-36253.24</x:v>
      </x:c>
      <x:c r="H121" s="460" t="n">
        <x:v>-15401.35</x:v>
      </x:c>
      <x:c r="I121" s="460" t="n">
        <x:v>-6725.8</x:v>
      </x:c>
      <x:c r="J121" s="460" t="n">
        <x:v>-80022.36</x:v>
      </x:c>
      <x:c r="K121" s="460" t="n">
        <x:v>-3364.46</x:v>
      </x:c>
      <x:c r="L121" s="460" t="n">
        <x:v>0</x:v>
      </x:c>
      <x:c r="M121" s="460" t="n">
        <x:v>-29514</x:v>
      </x:c>
      <x:c r="N121" s="460" t="n">
        <x:v>-36987.9</x:v>
      </x:c>
      <x:c r="O121" s="460" t="n">
        <x:v>-124266.63</x:v>
      </x:c>
      <x:c r="P121" s="460" t="n">
        <x:v>-67881.4</x:v>
      </x:c>
      <x:c r="Q121" s="460" t="n">
        <x:v>-5489.61</x:v>
      </x:c>
      <x:c r="R121" s="460" t="n">
        <x:v>0</x:v>
      </x:c>
      <x:c r="S121" s="460" t="n">
        <x:v>0</x:v>
      </x:c>
      <x:c r="T121" s="460" t="n">
        <x:v>0</x:v>
      </x:c>
      <x:c r="U121" s="460">
        <x:v>0</x:v>
      </x:c>
      <x:c r="V121" s="460">
        <x:v>0</x:v>
      </x:c>
      <x:c r="W121" s="460">
        <x:v>0</x:v>
      </x:c>
      <x:c r="X121" s="460">
        <x:v>0</x:v>
      </x:c>
      <x:c r="Y121" s="460">
        <x:v>0</x:v>
      </x:c>
      <x:c r="Z121" s="460" t="n">
        <x:v>0</x:v>
      </x:c>
    </x:row>
    <x:row r="122" spans="1:26" ht="12.75" customHeight="1" x14ac:dyDescent="0.2">
      <x:c r="E122" s="89" t="s">
        <x:v>72</x:v>
      </x:c>
      <x:c r="F122" s="371" t="n">
        <x:v>29151843.97</x:v>
      </x:c>
      <x:c r="G122" s="90" t="n">
        <x:v>7443854.02</x:v>
      </x:c>
      <x:c r="H122" s="90" t="n">
        <x:v>4208102.86</x:v>
      </x:c>
      <x:c r="I122" s="90" t="n">
        <x:v>2229592.12</x:v>
      </x:c>
      <x:c r="J122" s="90" t="n">
        <x:v>106030.3</x:v>
      </x:c>
      <x:c r="K122" s="90" t="n">
        <x:v>3346.71</x:v>
      </x:c>
      <x:c r="L122" s="90" t="n">
        <x:v>0</x:v>
      </x:c>
      <x:c r="M122" s="90" t="n">
        <x:v>29357.04</x:v>
      </x:c>
      <x:c r="N122" s="90" t="n">
        <x:v>33413.22</x:v>
      </x:c>
      <x:c r="O122" s="90" t="n">
        <x:v>155851.47</x:v>
      </x:c>
      <x:c r="P122" s="90" t="n">
        <x:v>14936833.09</x:v>
      </x:c>
      <x:c r="Q122" s="90" t="n">
        <x:v>5460.42</x:v>
      </x:c>
      <x:c r="R122" s="90" t="n">
        <x:v>2.72</x:v>
      </x:c>
      <x:c r="S122" s="90" t="n">
        <x:v>0</x:v>
      </x:c>
      <x:c r="T122" s="90" t="n">
        <x:v>0</x:v>
      </x:c>
      <x:c r="U122" s="90">
        <x:v>0</x:v>
      </x:c>
      <x:c r="V122" s="90">
        <x:v>0</x:v>
      </x:c>
      <x:c r="W122" s="90">
        <x:v>0</x:v>
      </x:c>
      <x:c r="X122">
        <x:v>0</x:v>
      </x:c>
      <x:c r="Y122">
        <x:v>0</x:v>
      </x:c>
      <x:c r="Z122" t="n">
        <x:v>0</x:v>
      </x:c>
    </x:row>
    <x:row r="123" spans="1:26" ht="12.75" customHeight="1" x14ac:dyDescent="0.2">
      <x:c r="E123" s="89" t="s">
        <x:v>81</x:v>
      </x:c>
      <x:c r="F123" s="371" t="n">
        <x:v>992415.4</x:v>
      </x:c>
      <x:c r="G123" s="90" t="n">
        <x:v>253115.22</x:v>
      </x:c>
      <x:c r="H123" s="90" t="n">
        <x:v>143337.73</x:v>
      </x:c>
      <x:c r="I123" s="90" t="n">
        <x:v>76924.18</x:v>
      </x:c>
      <x:c r="J123" s="90" t="n">
        <x:v>1233.39</x:v>
      </x:c>
      <x:c r="K123" s="90" t="n">
        <x:v>29.74</x:v>
      </x:c>
      <x:c r="L123" s="90" t="n">
        <x:v>0</x:v>
      </x:c>
      <x:c r="M123" s="90" t="n">
        <x:v>260.94</x:v>
      </x:c>
      <x:c r="N123" s="90" t="n">
        <x:v>382.11</x:v>
      </x:c>
      <x:c r="O123" s="90" t="n">
        <x:v>1741.16</x:v>
      </x:c>
      <x:c r="P123" s="90" t="n">
        <x:v>515342.29</x:v>
      </x:c>
      <x:c r="Q123" s="90" t="n">
        <x:v>48.53</x:v>
      </x:c>
      <x:c r="R123" s="90" t="n">
        <x:v>0.11</x:v>
      </x:c>
      <x:c r="S123" s="90" t="n">
        <x:v>0</x:v>
      </x:c>
      <x:c r="T123" s="90" t="n">
        <x:v>0</x:v>
      </x:c>
      <x:c r="U123" s="90">
        <x:v>0</x:v>
      </x:c>
      <x:c r="V123" s="90">
        <x:v>0</x:v>
      </x:c>
      <x:c r="W123" s="90">
        <x:v>0</x:v>
      </x:c>
      <x:c r="X123">
        <x:v>0</x:v>
      </x:c>
      <x:c r="Y123">
        <x:v>0</x:v>
      </x:c>
      <x:c r="Z123" t="n">
        <x:v>0</x:v>
      </x:c>
    </x:row>
    <x:row r="124" spans="1:26" ht="12.75" customHeight="1" x14ac:dyDescent="0.2">
      <x:c r="D124" t="s">
        <x:v>156</x:v>
      </x:c>
      <x:c r="E124" t="s">
        <x:v>70</x:v>
      </x:c>
      <x:c r="F124" s="384" t="n">
        <x:v>30144259.37</x:v>
      </x:c>
      <x:c r="G124" s="89" t="n">
        <x:v>7696969.24</x:v>
      </x:c>
      <x:c r="H124" s="89" t="n">
        <x:v>4351440.59</x:v>
      </x:c>
      <x:c r="I124" s="664" t="n">
        <x:v>2306516.3</x:v>
      </x:c>
      <x:c r="J124" s="89" t="n">
        <x:v>107263.69</x:v>
      </x:c>
      <x:c r="K124" s="89" t="n">
        <x:v>3376.45</x:v>
      </x:c>
      <x:c r="L124" s="89" t="n">
        <x:v>0</x:v>
      </x:c>
      <x:c r="M124" s="89" t="n">
        <x:v>29617.98</x:v>
      </x:c>
      <x:c r="N124" s="89" t="n">
        <x:v>33795.33</x:v>
      </x:c>
      <x:c r="O124" s="89" t="n">
        <x:v>157592.63</x:v>
      </x:c>
      <x:c r="P124" s="89" t="n">
        <x:v>15452175.38</x:v>
      </x:c>
      <x:c r="Q124" s="89" t="n">
        <x:v>5508.95</x:v>
      </x:c>
      <x:c r="R124" s="89" t="n">
        <x:v>2.83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26" s="656" customFormat="1" ht="12.75" customHeight="1" x14ac:dyDescent="0.2">
      <x:c r="C125" s="656" t="s">
        <x:v>155</x:v>
      </x:c>
      <x:c r="D125" s="656" t="s">
        <x:v>70</x:v>
      </x:c>
      <x:c r="F125" s="736" t="n">
        <x:v>30144259.37</x:v>
      </x:c>
      <x:c r="G125" s="657" t="n">
        <x:v>7696969.24</x:v>
      </x:c>
      <x:c r="H125" s="657" t="n">
        <x:v>4351440.59</x:v>
      </x:c>
      <x:c r="I125" s="737" t="n">
        <x:v>2306516.3</x:v>
      </x:c>
      <x:c r="J125" s="657" t="n">
        <x:v>107263.69</x:v>
      </x:c>
      <x:c r="K125" s="657" t="n">
        <x:v>3376.45</x:v>
      </x:c>
      <x:c r="L125" s="657" t="n">
        <x:v>0</x:v>
      </x:c>
      <x:c r="M125" s="657" t="n">
        <x:v>29617.98</x:v>
      </x:c>
      <x:c r="N125" s="657" t="n">
        <x:v>33795.33</x:v>
      </x:c>
      <x:c r="O125" s="657" t="n">
        <x:v>157592.63</x:v>
      </x:c>
      <x:c r="P125" s="657" t="n">
        <x:v>15452175.38</x:v>
      </x:c>
      <x:c r="Q125" s="657" t="n">
        <x:v>5508.95</x:v>
      </x:c>
      <x:c r="R125" s="657" t="n">
        <x:v>2.83</x:v>
      </x:c>
      <x:c r="S125" s="657" t="n">
        <x:v>0</x:v>
      </x:c>
      <x:c r="T125" s="657" t="n">
        <x:v>0</x:v>
      </x:c>
      <x:c r="U125" s="657">
        <x:v>0</x:v>
      </x:c>
      <x:c r="V125" s="657">
        <x:v>0</x:v>
      </x:c>
      <x:c r="W125" s="657">
        <x:v>0</x:v>
      </x:c>
      <x:c r="X125" s="656">
        <x:v>0</x:v>
      </x:c>
      <x:c r="Y125" s="657">
        <x:v>0</x:v>
      </x:c>
      <x:c r="Z125" s="657" t="n">
        <x:v>0</x:v>
      </x:c>
    </x:row>
    <x:row r="126" spans="1:26" ht="12.75" customHeight="1" x14ac:dyDescent="0.2">
      <x:c r="D126" s="89"/>
      <x:c r="E126" s="89" t="s">
        <x:v>72</x:v>
      </x:c>
      <x:c r="F126" s="371">
        <x:v>0</x:v>
      </x:c>
      <x:c r="G126" s="90">
        <x:v>0</x:v>
      </x:c>
      <x:c r="H126" s="90">
        <x:v>0</x:v>
      </x:c>
      <x:c r="I126" s="90">
        <x:v>0</x:v>
      </x:c>
      <x:c r="J126" s="90">
        <x:v>0</x:v>
      </x:c>
      <x:c r="K126" s="90">
        <x:v>0</x:v>
      </x:c>
      <x:c r="L126" s="90">
        <x:v>0</x:v>
      </x:c>
      <x:c r="M126" s="90">
        <x:v>0</x:v>
      </x:c>
      <x:c r="N126" s="90">
        <x:v>0</x:v>
      </x:c>
      <x:c r="O126" s="90">
        <x:v>0</x:v>
      </x:c>
      <x:c r="P126" s="90">
        <x:v>0</x:v>
      </x:c>
      <x:c r="Q126" s="90">
        <x:v>0</x:v>
      </x:c>
      <x:c r="R126" s="90">
        <x:v>0</x:v>
      </x:c>
      <x:c r="S126" s="90">
        <x:v>0</x:v>
      </x:c>
      <x:c r="T126" s="90">
        <x:v>0</x:v>
      </x:c>
      <x:c r="U126" s="90">
        <x:v>0</x:v>
      </x:c>
      <x:c r="V126" s="90">
        <x:v>0</x:v>
      </x:c>
      <x:c r="W126" s="90">
        <x:v>0</x:v>
      </x:c>
      <x:c r="X126">
        <x:v>0</x:v>
      </x:c>
      <x:c r="Y126">
        <x:v>0</x:v>
      </x:c>
      <x:c r="Z126">
        <x:v>0</x:v>
      </x:c>
    </x:row>
    <x:row r="127" spans="1:26" ht="12.75" customHeight="1" x14ac:dyDescent="0.2">
      <x:c r="D127" s="89"/>
      <x:c r="E127" s="89" t="s">
        <x:v>81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26" ht="12.75" customHeight="1" x14ac:dyDescent="0.2">
      <x:c r="D128" s="89" t="s">
        <x:v>115</x:v>
      </x:c>
      <x:c r="E128" s="89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ht="12.75" customHeight="1" x14ac:dyDescent="0.2">
      <x:c r="D129" s="89"/>
      <x:c r="E129" s="8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ht="12.75" customHeight="1" x14ac:dyDescent="0.2">
      <x:c r="D130" s="89"/>
      <x:c r="E130" s="89" t="s">
        <x:v>81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ht="12.75" customHeight="1" x14ac:dyDescent="0.2">
      <x:c r="D131" t="s">
        <x:v>116</x:v>
      </x:c>
      <x:c r="E131" s="89" t="s">
        <x:v>70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ht="12.75" customHeight="1" x14ac:dyDescent="0.2">
      <x:c r="D132" s="89"/>
      <x:c r="E132" s="89" t="s">
        <x:v>72</x:v>
      </x:c>
      <x:c r="F132" s="90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ht="12.75" customHeight="1" x14ac:dyDescent="0.2">
      <x:c r="E133" s="89" t="s">
        <x:v>81</x:v>
      </x:c>
      <x:c r="F133" s="90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ht="12.75" customHeight="1" x14ac:dyDescent="0.2">
      <x:c r="D134" t="s">
        <x:v>118</x:v>
      </x:c>
      <x:c r="E134" s="89" t="s">
        <x:v>70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s="224" customFormat="1" ht="12.75" customHeight="1" x14ac:dyDescent="0.2">
      <x:c r="C135" s="223" t="s">
        <x:v>120</x:v>
      </x:c>
      <x:c r="D135" s="223" t="s">
        <x:v>70</x:v>
      </x:c>
      <x:c r="F135" s="225">
        <x:v>0</x:v>
      </x:c>
      <x:c r="G135" s="225">
        <x:v>0</x:v>
      </x:c>
      <x:c r="H135" s="225">
        <x:v>0</x:v>
      </x:c>
      <x:c r="I135" s="225">
        <x:v>0</x:v>
      </x:c>
      <x:c r="J135" s="225">
        <x:v>0</x:v>
      </x:c>
      <x:c r="K135" s="225">
        <x:v>0</x:v>
      </x:c>
      <x:c r="L135" s="225">
        <x:v>0</x:v>
      </x:c>
      <x:c r="M135" s="225">
        <x:v>0</x:v>
      </x:c>
      <x:c r="N135" s="225">
        <x:v>0</x:v>
      </x:c>
      <x:c r="O135" s="225">
        <x:v>0</x:v>
      </x:c>
      <x:c r="P135" s="225">
        <x:v>0</x:v>
      </x:c>
      <x:c r="Q135" s="225">
        <x:v>0</x:v>
      </x:c>
      <x:c r="R135" s="225">
        <x:v>0</x:v>
      </x:c>
      <x:c r="S135" s="225">
        <x:v>0</x:v>
      </x:c>
      <x:c r="T135" s="224">
        <x:v>0</x:v>
      </x:c>
      <x:c r="U135" s="224">
        <x:v>0</x:v>
      </x:c>
      <x:c r="V135" s="224">
        <x:v>0</x:v>
      </x:c>
      <x:c r="W135" s="224">
        <x:v>0</x:v>
      </x:c>
      <x:c r="X135" s="224">
        <x:v>0</x:v>
      </x:c>
      <x:c r="Y135" s="225">
        <x:v>0</x:v>
      </x:c>
      <x:c r="Z135" s="224">
        <x:v>0</x:v>
      </x:c>
    </x:row>
    <x:row r="136" spans="3:26" ht="12.75" customHeight="1" x14ac:dyDescent="0.2">
      <x:c r="E136" s="89" t="s">
        <x:v>72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ht="12.75" customHeight="1" x14ac:dyDescent="0.2">
      <x:c r="E137" s="89" t="s">
        <x:v>81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ht="12.75" customHeight="1" x14ac:dyDescent="0.2">
      <x:c r="D138" t="s">
        <x:v>82</x:v>
      </x:c>
      <x:c r="E138" s="89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ht="12.75" customHeight="1" x14ac:dyDescent="0.2">
      <x:c r="E139" s="89" t="s">
        <x:v>72</x:v>
      </x:c>
      <x:c r="F139" s="371" t="n">
        <x:v>188747.7</x:v>
      </x:c>
      <x:c r="G139" s="90" t="n">
        <x:v>8807.75</x:v>
      </x:c>
      <x:c r="H139" s="90" t="n">
        <x:v>4981.6</x:v>
      </x:c>
      <x:c r="I139" s="90" t="n">
        <x:v>2648.47</x:v>
      </x:c>
      <x:c r="J139" s="90" t="n">
        <x:v>50746.9</x:v>
      </x:c>
      <x:c r="K139" s="90" t="n">
        <x:v>1551.38</x:v>
      </x:c>
      <x:c r="L139" s="90" t="n">
        <x:v>0</x:v>
      </x:c>
      <x:c r="M139" s="90" t="n">
        <x:v>13608.5</x:v>
      </x:c>
      <x:c r="N139" s="90" t="n">
        <x:v>15187.5</x:v>
      </x:c>
      <x:c r="O139" s="90" t="n">
        <x:v>70935.25</x:v>
      </x:c>
      <x:c r="P139" s="90" t="n">
        <x:v>17748.1</x:v>
      </x:c>
      <x:c r="Q139" s="90" t="n">
        <x:v>2531.18</x:v>
      </x:c>
      <x:c r="R139" s="90" t="n">
        <x:v>1.07</x:v>
      </x:c>
      <x:c r="S139" s="90" t="n">
        <x:v>0</x:v>
      </x:c>
      <x:c r="T139" s="90" t="n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 t="n">
        <x:v>0</x:v>
      </x:c>
    </x:row>
    <x:row r="140" spans="3:26" ht="12.75" customHeight="1" x14ac:dyDescent="0.2">
      <x:c r="E140" s="89" t="s">
        <x:v>81</x:v>
      </x:c>
      <x:c r="F140" s="371" t="n">
        <x:v>529.67</x:v>
      </x:c>
      <x:c r="G140" s="90" t="n">
        <x:v>26.68</x:v>
      </x:c>
      <x:c r="H140" s="90" t="n">
        <x:v>15.11</x:v>
      </x:c>
      <x:c r="I140" s="90" t="n">
        <x:v>8.09</x:v>
      </x:c>
      <x:c r="J140" s="90" t="n">
        <x:v>141.21</x:v>
      </x:c>
      <x:c r="K140" s="90" t="n">
        <x:v>3.52</x:v>
      </x:c>
      <x:c r="L140" s="90" t="n">
        <x:v>0</x:v>
      </x:c>
      <x:c r="M140" s="90" t="n">
        <x:v>30.82</x:v>
      </x:c>
      <x:c r="N140" s="90" t="n">
        <x:v>43.87</x:v>
      </x:c>
      <x:c r="O140" s="90" t="n">
        <x:v>200.36</x:v>
      </x:c>
      <x:c r="P140" s="90" t="n">
        <x:v>54.25</x:v>
      </x:c>
      <x:c r="Q140" s="90" t="n">
        <x:v>5.73</x:v>
      </x:c>
      <x:c r="R140" s="90" t="n">
        <x:v>0.03</x:v>
      </x:c>
      <x:c r="S140" s="90" t="n">
        <x:v>0</x:v>
      </x:c>
      <x:c r="T140" s="90" t="n">
        <x:v>0</x:v>
      </x:c>
      <x:c r="U140" s="90">
        <x:v>0</x:v>
      </x:c>
      <x:c r="V140" s="90">
        <x:v>0</x:v>
      </x:c>
      <x:c r="W140" s="90">
        <x:v>0</x:v>
      </x:c>
      <x:c r="X140">
        <x:v>0</x:v>
      </x:c>
      <x:c r="Y140">
        <x:v>0</x:v>
      </x:c>
      <x:c r="Z140" t="n">
        <x:v>0</x:v>
      </x:c>
    </x:row>
    <x:row r="141" spans="3:26" ht="12.75" customHeight="1" x14ac:dyDescent="0.2">
      <x:c r="D141" t="s">
        <x:v>86</x:v>
      </x:c>
      <x:c r="E141" s="89" t="s">
        <x:v>70</x:v>
      </x:c>
      <x:c r="F141" s="371" t="n">
        <x:v>189277.37</x:v>
      </x:c>
      <x:c r="G141" s="90" t="n">
        <x:v>8834.43</x:v>
      </x:c>
      <x:c r="H141" s="90" t="n">
        <x:v>4996.71</x:v>
      </x:c>
      <x:c r="I141" s="90" t="n">
        <x:v>2656.56</x:v>
      </x:c>
      <x:c r="J141" s="90" t="n">
        <x:v>50888.11</x:v>
      </x:c>
      <x:c r="K141" s="90" t="n">
        <x:v>1554.9</x:v>
      </x:c>
      <x:c r="L141" s="90" t="n">
        <x:v>0</x:v>
      </x:c>
      <x:c r="M141" s="90" t="n">
        <x:v>13639.32</x:v>
      </x:c>
      <x:c r="N141" s="90" t="n">
        <x:v>15231.37</x:v>
      </x:c>
      <x:c r="O141" s="90" t="n">
        <x:v>71135.61</x:v>
      </x:c>
      <x:c r="P141" s="90" t="n">
        <x:v>17802.35</x:v>
      </x:c>
      <x:c r="Q141" s="90" t="n">
        <x:v>2536.91</x:v>
      </x:c>
      <x:c r="R141" s="90" t="n">
        <x:v>1.1</x:v>
      </x:c>
      <x:c r="S141" s="90" t="n">
        <x:v>0</x:v>
      </x:c>
      <x:c r="T141" s="90" t="n">
        <x:v>0</x:v>
      </x:c>
      <x:c r="U141" s="90">
        <x:v>0</x:v>
      </x:c>
      <x:c r="V141" s="90">
        <x:v>0</x:v>
      </x:c>
      <x:c r="W141" s="90">
        <x:v>0</x:v>
      </x:c>
      <x:c r="X141">
        <x:v>0</x:v>
      </x:c>
      <x:c r="Y141">
        <x:v>0</x:v>
      </x:c>
      <x:c r="Z141" t="n">
        <x:v>0</x:v>
      </x:c>
    </x:row>
    <x:row r="142" spans="3:26" ht="12.75" customHeight="1" x14ac:dyDescent="0.2">
      <x:c r="E142" s="89" t="s">
        <x:v>72</x:v>
      </x:c>
      <x:c r="F142" s="371" t="n">
        <x:v>59523.21</x:v>
      </x:c>
      <x:c r="G142" s="90" t="n">
        <x:v>3111.79</x:v>
      </x:c>
      <x:c r="H142" s="90" t="n">
        <x:v>1764.74</x:v>
      </x:c>
      <x:c r="I142" s="90" t="n">
        <x:v>956.87</x:v>
      </x:c>
      <x:c r="J142" s="90" t="n">
        <x:v>15677.68</x:v>
      </x:c>
      <x:c r="K142" s="90" t="n">
        <x:v>377.39</x:v>
      </x:c>
      <x:c r="L142" s="90" t="n">
        <x:v>0</x:v>
      </x:c>
      <x:c r="M142" s="90" t="n">
        <x:v>3310.46</x:v>
      </x:c>
      <x:c r="N142" s="90" t="n">
        <x:v>4880.88</x:v>
      </x:c>
      <x:c r="O142" s="90" t="n">
        <x:v>22562.4</x:v>
      </x:c>
      <x:c r="P142" s="90" t="n">
        <x:v>6269.57</x:v>
      </x:c>
      <x:c r="Q142" s="90" t="n">
        <x:v>615.74</x:v>
      </x:c>
      <x:c r="R142" s="90" t="n">
        <x:v>-4.31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 s="90">
        <x:v>0</x:v>
      </x:c>
      <x:c r="Y142" s="90">
        <x:v>0</x:v>
      </x:c>
      <x:c r="Z142" s="90" t="n">
        <x:v>0</x:v>
      </x:c>
    </x:row>
    <x:row r="143" spans="3:26" x14ac:dyDescent="0.2">
      <x:c r="E143" t="s">
        <x:v>81</x:v>
      </x:c>
      <x:c r="F143" s="90" t="n">
        <x:v>371.68</x:v>
      </x:c>
      <x:c r="G143" s="90" t="n">
        <x:v>19.44</x:v>
      </x:c>
      <x:c r="H143" s="90" t="n">
        <x:v>11.01</x:v>
      </x:c>
      <x:c r="I143" s="90" t="n">
        <x:v>5.98</x:v>
      </x:c>
      <x:c r="J143" s="90" t="n">
        <x:v>97.9</x:v>
      </x:c>
      <x:c r="K143" s="90" t="n">
        <x:v>2.35</x:v>
      </x:c>
      <x:c r="L143" s="90" t="n">
        <x:v>0</x:v>
      </x:c>
      <x:c r="M143" s="90" t="n">
        <x:v>20.67</x:v>
      </x:c>
      <x:c r="N143" s="90" t="n">
        <x:v>30.48</x:v>
      </x:c>
      <x:c r="O143" s="90" t="n">
        <x:v>140.88</x:v>
      </x:c>
      <x:c r="P143" s="90" t="n">
        <x:v>39.15</x:v>
      </x:c>
      <x:c r="Q143" s="90" t="n">
        <x:v>3.85</x:v>
      </x:c>
      <x:c r="R143" s="90" t="n">
        <x:v>-0.03</x:v>
      </x:c>
      <x:c r="S143" s="90" t="n">
        <x:v>0</x:v>
      </x:c>
      <x:c r="T143" s="90" t="n">
        <x:v>0</x:v>
      </x:c>
      <x:c r="U143">
        <x:v>0</x:v>
      </x:c>
      <x:c r="V143">
        <x:v>0</x:v>
      </x:c>
      <x:c r="W143">
        <x:v>0</x:v>
      </x:c>
      <x:c r="X143">
        <x:v>0</x:v>
      </x:c>
      <x:c r="Y143">
        <x:v>0</x:v>
      </x:c>
      <x:c r="Z143" s="90" t="n">
        <x:v>0</x:v>
      </x:c>
    </x:row>
    <x:row r="144" spans="3:26" ht="12.75" customHeight="1" x14ac:dyDescent="0.2">
      <x:c r="D144" t="s">
        <x:v>87</x:v>
      </x:c>
      <x:c r="E144" s="89" t="s">
        <x:v>70</x:v>
      </x:c>
      <x:c r="F144" s="371" t="n">
        <x:v>59894.89</x:v>
      </x:c>
      <x:c r="G144" s="90" t="n">
        <x:v>3131.23</x:v>
      </x:c>
      <x:c r="H144" s="90" t="n">
        <x:v>1775.75</x:v>
      </x:c>
      <x:c r="I144" s="90" t="n">
        <x:v>962.85</x:v>
      </x:c>
      <x:c r="J144" s="90" t="n">
        <x:v>15775.58</x:v>
      </x:c>
      <x:c r="K144" s="90" t="n">
        <x:v>379.74</x:v>
      </x:c>
      <x:c r="L144" s="90" t="n">
        <x:v>0</x:v>
      </x:c>
      <x:c r="M144" s="90" t="n">
        <x:v>3331.13</x:v>
      </x:c>
      <x:c r="N144" s="90" t="n">
        <x:v>4911.36</x:v>
      </x:c>
      <x:c r="O144" s="90" t="n">
        <x:v>22703.28</x:v>
      </x:c>
      <x:c r="P144" s="90" t="n">
        <x:v>6308.72</x:v>
      </x:c>
      <x:c r="Q144" s="90" t="n">
        <x:v>619.59</x:v>
      </x:c>
      <x:c r="R144" s="90" t="n">
        <x:v>-4.34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 s="90">
        <x:v>0</x:v>
      </x:c>
      <x:c r="Y144" s="90">
        <x:v>0</x:v>
      </x:c>
      <x:c r="Z144" s="90" t="n">
        <x:v>0</x:v>
      </x:c>
    </x:row>
    <x:row r="145" spans="2:26" s="94" customFormat="1" ht="12.75" customHeight="1" x14ac:dyDescent="0.2">
      <x:c r="C145" s="94" t="s">
        <x:v>119</x:v>
      </x:c>
      <x:c r="D145" s="94" t="s">
        <x:v>70</x:v>
      </x:c>
      <x:c r="E145" s="101"/>
      <x:c r="F145" s="93" t="n">
        <x:v>249172.26</x:v>
      </x:c>
      <x:c r="G145" s="93" t="n">
        <x:v>11965.66</x:v>
      </x:c>
      <x:c r="H145" s="93" t="n">
        <x:v>6772.46</x:v>
      </x:c>
      <x:c r="I145" s="93" t="n">
        <x:v>3619.41</x:v>
      </x:c>
      <x:c r="J145" s="93" t="n">
        <x:v>66663.69</x:v>
      </x:c>
      <x:c r="K145" s="93" t="n">
        <x:v>1934.64</x:v>
      </x:c>
      <x:c r="L145" s="93" t="n">
        <x:v>0</x:v>
      </x:c>
      <x:c r="M145" s="93" t="n">
        <x:v>16970.45</x:v>
      </x:c>
      <x:c r="N145" s="93" t="n">
        <x:v>20142.73</x:v>
      </x:c>
      <x:c r="O145" s="93" t="n">
        <x:v>93838.89</x:v>
      </x:c>
      <x:c r="P145" s="93" t="n">
        <x:v>24111.07</x:v>
      </x:c>
      <x:c r="Q145" s="93" t="n">
        <x:v>3156.5</x:v>
      </x:c>
      <x:c r="R145" s="93" t="n">
        <x:v>-3.24</x:v>
      </x:c>
      <x:c r="S145" s="93" t="n">
        <x:v>0</x:v>
      </x:c>
      <x:c r="T145" s="93" t="n">
        <x:v>0</x:v>
      </x:c>
      <x:c r="U145" s="93">
        <x:v>0</x:v>
      </x:c>
      <x:c r="V145" s="93">
        <x:v>0</x:v>
      </x:c>
      <x:c r="W145" s="93">
        <x:v>0</x:v>
      </x:c>
      <x:c r="X145" s="94">
        <x:v>0</x:v>
      </x:c>
      <x:c r="Y145" s="94">
        <x:v>0</x:v>
      </x:c>
      <x:c r="Z145" s="94" t="n">
        <x:v>0</x:v>
      </x:c>
    </x:row>
    <x:row r="146" spans="2:26" s="378" customFormat="1" ht="12.75" customHeight="1" x14ac:dyDescent="0.2">
      <x:c r="B146" s="378" t="s">
        <x:v>122</x:v>
      </x:c>
      <x:c r="C146" s="378" t="s">
        <x:v>70</x:v>
      </x:c>
      <x:c r="E146" s="376"/>
      <x:c r="F146" s="710" t="n">
        <x:v>30393431.63</x:v>
      </x:c>
      <x:c r="G146" s="377" t="n">
        <x:v>7708934.9</x:v>
      </x:c>
      <x:c r="H146" s="377" t="n">
        <x:v>4358213.05</x:v>
      </x:c>
      <x:c r="I146" s="377" t="n">
        <x:v>2310135.71</x:v>
      </x:c>
      <x:c r="J146" s="377" t="n">
        <x:v>173927.38</x:v>
      </x:c>
      <x:c r="K146" s="377" t="n">
        <x:v>5311.09</x:v>
      </x:c>
      <x:c r="L146" s="377" t="n">
        <x:v>0</x:v>
      </x:c>
      <x:c r="M146" s="377" t="n">
        <x:v>46588.43</x:v>
      </x:c>
      <x:c r="N146" s="377" t="n">
        <x:v>53938.06</x:v>
      </x:c>
      <x:c r="O146" s="377" t="n">
        <x:v>251431.52</x:v>
      </x:c>
      <x:c r="P146" s="377" t="n">
        <x:v>15476286.45</x:v>
      </x:c>
      <x:c r="Q146" s="377" t="n">
        <x:v>8665.45</x:v>
      </x:c>
      <x:c r="R146" s="377" t="n">
        <x:v>-0.409999999999999</x:v>
      </x:c>
      <x:c r="S146" s="377" t="n">
        <x:v>0</x:v>
      </x:c>
      <x:c r="T146" s="377" t="n">
        <x:v>0</x:v>
      </x:c>
      <x:c r="U146" s="377">
        <x:v>0</x:v>
      </x:c>
      <x:c r="V146" s="377">
        <x:v>0</x:v>
      </x:c>
      <x:c r="W146" s="377">
        <x:v>0</x:v>
      </x:c>
      <x:c r="X146" s="378">
        <x:v>0</x:v>
      </x:c>
      <x:c r="Y146" s="378">
        <x:v>0</x:v>
      </x:c>
      <x:c r="Z146" s="378" t="n">
        <x:v>0</x:v>
      </x:c>
    </x:row>
    <x:row r="147" spans="2:26" ht="12.75" customHeight="1" x14ac:dyDescent="0.2">
      <x:c r="E147" s="89" t="s">
        <x:v>72</x:v>
      </x:c>
      <x:c r="F147" s="371" t="n">
        <x:v>23902898063.38</x:v>
      </x:c>
      <x:c r="G147" s="90" t="n">
        <x:v>1381350603.32</x:v>
      </x:c>
      <x:c r="H147" s="90" t="n">
        <x:v>776537530.45</x:v>
      </x:c>
      <x:c r="I147" s="90" t="n">
        <x:v>407911355.66</x:v>
      </x:c>
      <x:c r="J147" s="90" t="n">
        <x:v>5537035232.24</x:v>
      </x:c>
      <x:c r="K147" s="90" t="n">
        <x:v>214461078.68</x:v>
      </x:c>
      <x:c r="L147" s="90" t="n">
        <x:v>24255269.25</x:v>
      </x:c>
      <x:c r="M147" s="90" t="n">
        <x:v>1879555764.02</x:v>
      </x:c>
      <x:c r="N147" s="90" t="n">
        <x:v>1854401852.35</x:v>
      </x:c>
      <x:c r="O147" s="90" t="n">
        <x:v>8755909642.47</x:v>
      </x:c>
      <x:c r="P147" s="90" t="n">
        <x:v>2720975584.04</x:v>
      </x:c>
      <x:c r="Q147" s="90" t="n">
        <x:v>350419003.26</x:v>
      </x:c>
      <x:c r="R147" s="90" t="n">
        <x:v>85147.64</x:v>
      </x:c>
      <x:c r="S147" s="90" t="n">
        <x:v>0</x:v>
      </x:c>
      <x:c r="T147" s="90" t="n">
        <x:v>0</x:v>
      </x:c>
      <x:c r="U147" s="90">
        <x:v>0</x:v>
      </x:c>
      <x:c r="V147" s="90">
        <x:v>0</x:v>
      </x:c>
      <x:c r="W147" s="90">
        <x:v>0</x:v>
      </x:c>
      <x:c r="X147">
        <x:v>0</x:v>
      </x:c>
      <x:c r="Y147">
        <x:v>0</x:v>
      </x:c>
      <x:c r="Z147" t="n">
        <x:v>0</x:v>
      </x:c>
    </x:row>
    <x:row r="148" spans="2:26" ht="12.75" customHeight="1" x14ac:dyDescent="0.2">
      <x:c r="E148" s="89" t="s">
        <x:v>81</x:v>
      </x:c>
      <x:c r="F148" s="90" t="n">
        <x:v>161922359.95</x:v>
      </x:c>
      <x:c r="G148" s="90" t="n">
        <x:v>18825772.87</x:v>
      </x:c>
      <x:c r="H148" s="90" t="n">
        <x:v>8911778.56</x:v>
      </x:c>
      <x:c r="I148" s="90" t="n">
        <x:v>4071687.82</x:v>
      </x:c>
      <x:c r="J148" s="90" t="n">
        <x:v>30018521.53</x:v>
      </x:c>
      <x:c r="K148" s="90" t="n">
        <x:v>1044885.63</x:v>
      </x:c>
      <x:c r="L148" s="90" t="n">
        <x:v>17960.64</x:v>
      </x:c>
      <x:c r="M148" s="90" t="n">
        <x:v>9163599.1</x:v>
      </x:c>
      <x:c r="N148" s="90" t="n">
        <x:v>10764552.54</x:v>
      </x:c>
      <x:c r="O148" s="90" t="n">
        <x:v>40397442.39</x:v>
      </x:c>
      <x:c r="P148" s="90" t="n">
        <x:v>36995764.23</x:v>
      </x:c>
      <x:c r="Q148" s="90" t="n">
        <x:v>1705687.47</x:v>
      </x:c>
      <x:c r="R148" s="90" t="n">
        <x:v>4816.78</x:v>
      </x:c>
      <x:c r="S148" s="90" t="n">
        <x:v>-70.86</x:v>
      </x:c>
      <x:c r="T148" s="90" t="n">
        <x:v>4.14</x:v>
      </x:c>
      <x:c r="U148" s="90">
        <x:v>0</x:v>
      </x:c>
      <x:c r="V148" s="90">
        <x:v>0</x:v>
      </x:c>
      <x:c r="W148" s="90">
        <x:v>0</x:v>
      </x:c>
      <x:c r="X148">
        <x:v>0</x:v>
      </x:c>
      <x:c r="Y148">
        <x:v>0</x:v>
      </x:c>
      <x:c r="Z148" t="n">
        <x:v>-42.89</x:v>
      </x:c>
    </x:row>
    <x:row r="149" spans="2:26" ht="12.75" customHeight="1" x14ac:dyDescent="0.2">
      <x:c r="D149" t="s">
        <x:v>156</x:v>
      </x:c>
      <x:c r="E149" s="89" t="s">
        <x:v>70</x:v>
      </x:c>
      <x:c r="F149" s="90" t="n">
        <x:v>24064820423.33</x:v>
      </x:c>
      <x:c r="G149" s="90" t="n">
        <x:v>1400176376.19</x:v>
      </x:c>
      <x:c r="H149" s="90" t="n">
        <x:v>785449309.01</x:v>
      </x:c>
      <x:c r="I149" s="90" t="n">
        <x:v>411983043.48</x:v>
      </x:c>
      <x:c r="J149" s="90" t="n">
        <x:v>5567053753.77</x:v>
      </x:c>
      <x:c r="K149" s="90" t="n">
        <x:v>215505964.31</x:v>
      </x:c>
      <x:c r="L149" s="90" t="n">
        <x:v>24273229.89</x:v>
      </x:c>
      <x:c r="M149" s="90" t="n">
        <x:v>1888719363.12</x:v>
      </x:c>
      <x:c r="N149" s="90" t="n">
        <x:v>1865166404.89</x:v>
      </x:c>
      <x:c r="O149" s="90" t="n">
        <x:v>8796307084.86</x:v>
      </x:c>
      <x:c r="P149" s="90" t="n">
        <x:v>2757971348.27</x:v>
      </x:c>
      <x:c r="Q149" s="90" t="n">
        <x:v>352124690.73</x:v>
      </x:c>
      <x:c r="R149" s="90" t="n">
        <x:v>89964.42</x:v>
      </x:c>
      <x:c r="S149" s="90" t="n">
        <x:v>-70.86</x:v>
      </x:c>
      <x:c r="T149" s="90" t="n">
        <x:v>4.14</x:v>
      </x:c>
      <x:c r="U149" s="90">
        <x:v>0</x:v>
      </x:c>
      <x:c r="V149" s="90">
        <x:v>0</x:v>
      </x:c>
      <x:c r="W149" s="90">
        <x:v>0</x:v>
      </x:c>
      <x:c r="X149">
        <x:v>0</x:v>
      </x:c>
      <x:c r="Y149">
        <x:v>0</x:v>
      </x:c>
      <x:c r="Z149" t="n">
        <x:v>-42.89</x:v>
      </x:c>
    </x:row>
    <x:row r="150" spans="2:26" s="656" customFormat="1" ht="12.75" customHeight="1" x14ac:dyDescent="0.2">
      <x:c r="C150" s="656" t="s">
        <x:v>155</x:v>
      </x:c>
      <x:c r="D150" s="657" t="s">
        <x:v>70</x:v>
      </x:c>
      <x:c r="E150" s="657"/>
      <x:c r="F150" s="658" t="n">
        <x:v>24064820423.33</x:v>
      </x:c>
      <x:c r="G150" s="658" t="n">
        <x:v>1400176376.19</x:v>
      </x:c>
      <x:c r="H150" s="658" t="n">
        <x:v>785449309.01</x:v>
      </x:c>
      <x:c r="I150" s="658" t="n">
        <x:v>411983043.48</x:v>
      </x:c>
      <x:c r="J150" s="658" t="n">
        <x:v>5567053753.77</x:v>
      </x:c>
      <x:c r="K150" s="658" t="n">
        <x:v>215505964.31</x:v>
      </x:c>
      <x:c r="L150" s="658" t="n">
        <x:v>24273229.89</x:v>
      </x:c>
      <x:c r="M150" s="658" t="n">
        <x:v>1888719363.12</x:v>
      </x:c>
      <x:c r="N150" s="658" t="n">
        <x:v>1865166404.89</x:v>
      </x:c>
      <x:c r="O150" s="658" t="n">
        <x:v>8796307084.86</x:v>
      </x:c>
      <x:c r="P150" s="658" t="n">
        <x:v>2757971348.27</x:v>
      </x:c>
      <x:c r="Q150" s="658" t="n">
        <x:v>352124690.73</x:v>
      </x:c>
      <x:c r="R150" s="658" t="n">
        <x:v>89964.42</x:v>
      </x:c>
      <x:c r="S150" s="658" t="n">
        <x:v>-70.86</x:v>
      </x:c>
      <x:c r="T150" s="658" t="n">
        <x:v>4.14</x:v>
      </x:c>
      <x:c r="U150" s="658">
        <x:v>0</x:v>
      </x:c>
      <x:c r="V150" s="658">
        <x:v>0</x:v>
      </x:c>
      <x:c r="W150" s="658">
        <x:v>0</x:v>
      </x:c>
      <x:c r="X150" s="656">
        <x:v>0</x:v>
      </x:c>
      <x:c r="Y150" s="656">
        <x:v>0</x:v>
      </x:c>
      <x:c r="Z150" s="656" t="n">
        <x:v>-42.89</x:v>
      </x:c>
    </x:row>
    <x:row r="151" spans="2:26" ht="12.75" customHeight="1" x14ac:dyDescent="0.2">
      <x:c r="D151" s="89"/>
      <x:c r="E151" s="89" t="s">
        <x:v>72</x:v>
      </x:c>
      <x:c r="F151" s="371" t="n">
        <x:v>1971431.11</x:v>
      </x:c>
      <x:c r="G151" s="90" t="n">
        <x:v>107001.83</x:v>
      </x:c>
      <x:c r="H151" s="90" t="n">
        <x:v>51575.5</x:v>
      </x:c>
      <x:c r="I151" s="90" t="n">
        <x:v>29270.41</x:v>
      </x:c>
      <x:c r="J151" s="90" t="n">
        <x:v>520554.47</x:v>
      </x:c>
      <x:c r="K151" s="90" t="n">
        <x:v>14389.55</x:v>
      </x:c>
      <x:c r="L151" s="90" t="n">
        <x:v>0</x:v>
      </x:c>
      <x:c r="M151" s="90" t="n">
        <x:v>126225.52</x:v>
      </x:c>
      <x:c r="N151" s="90" t="n">
        <x:v>157541.67</x:v>
      </x:c>
      <x:c r="O151" s="90" t="n">
        <x:v>726381.08</x:v>
      </x:c>
      <x:c r="P151" s="90" t="n">
        <x:v>215014.43</x:v>
      </x:c>
      <x:c r="Q151" s="90" t="n">
        <x:v>23478.09</x:v>
      </x:c>
      <x:c r="R151" s="90" t="n">
        <x:v>-1.44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2:26" ht="12.75" customHeight="1" x14ac:dyDescent="0.2">
      <x:c r="D152" s="89"/>
      <x:c r="E152" s="89" t="s">
        <x:v>81</x:v>
      </x:c>
      <x:c r="F152" s="371" t="n">
        <x:v>45276.38</x:v>
      </x:c>
      <x:c r="G152" s="90" t="n">
        <x:v>3165.1</x:v>
      </x:c>
      <x:c r="H152" s="90" t="n">
        <x:v>1469.01</x:v>
      </x:c>
      <x:c r="I152" s="90" t="n">
        <x:v>833.37</x:v>
      </x:c>
      <x:c r="J152" s="90" t="n">
        <x:v>12201.77</x:v>
      </x:c>
      <x:c r="K152" s="90" t="n">
        <x:v>287.71</x:v>
      </x:c>
      <x:c r="L152" s="90" t="n">
        <x:v>0</x:v>
      </x:c>
      <x:c r="M152" s="90" t="n">
        <x:v>2524.3</x:v>
      </x:c>
      <x:c r="N152" s="90" t="n">
        <x:v>3179.87</x:v>
      </x:c>
      <x:c r="O152" s="90" t="n">
        <x:v>14776.64</x:v>
      </x:c>
      <x:c r="P152" s="90" t="n">
        <x:v>6369.21</x:v>
      </x:c>
      <x:c r="Q152" s="90" t="n">
        <x:v>469.35</x:v>
      </x:c>
      <x:c r="R152" s="90" t="n">
        <x:v>0.12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-0.07</x:v>
      </x:c>
    </x:row>
    <x:row r="153" spans="2:26" ht="12.75" customHeight="1" x14ac:dyDescent="0.2">
      <x:c r="D153" s="89" t="s">
        <x:v>115</x:v>
      </x:c>
      <x:c r="E153" s="89" t="s">
        <x:v>70</x:v>
      </x:c>
      <x:c r="F153" s="371" t="n">
        <x:v>2016707.49</x:v>
      </x:c>
      <x:c r="G153" s="90" t="n">
        <x:v>110166.93</x:v>
      </x:c>
      <x:c r="H153" s="90" t="n">
        <x:v>53044.51</x:v>
      </x:c>
      <x:c r="I153" s="90" t="n">
        <x:v>30103.78</x:v>
      </x:c>
      <x:c r="J153" s="90" t="n">
        <x:v>532756.24</x:v>
      </x:c>
      <x:c r="K153" s="90" t="n">
        <x:v>14677.26</x:v>
      </x:c>
      <x:c r="L153" s="90" t="n">
        <x:v>0</x:v>
      </x:c>
      <x:c r="M153" s="90" t="n">
        <x:v>128749.82</x:v>
      </x:c>
      <x:c r="N153" s="90" t="n">
        <x:v>160721.54</x:v>
      </x:c>
      <x:c r="O153" s="90" t="n">
        <x:v>741157.72</x:v>
      </x:c>
      <x:c r="P153" s="90" t="n">
        <x:v>221383.64</x:v>
      </x:c>
      <x:c r="Q153" s="90" t="n">
        <x:v>23947.44</x:v>
      </x:c>
      <x:c r="R153" s="90" t="n">
        <x:v>-1.32</x:v>
      </x:c>
      <x:c r="S153" s="90" t="n">
        <x:v>0</x:v>
      </x:c>
      <x:c r="T153" s="90" t="n">
        <x:v>0</x:v>
      </x:c>
      <x:c r="U153" s="90">
        <x:v>0</x:v>
      </x:c>
      <x:c r="V153" s="90">
        <x:v>0</x:v>
      </x:c>
      <x:c r="W153" s="90">
        <x:v>0</x:v>
      </x:c>
      <x:c r="X153">
        <x:v>0</x:v>
      </x:c>
      <x:c r="Y153">
        <x:v>0</x:v>
      </x:c>
      <x:c r="Z153" t="n">
        <x:v>-0.07</x:v>
      </x:c>
    </x:row>
    <x:row r="154" spans="2:26" ht="12.75" customHeight="1" x14ac:dyDescent="0.2">
      <x:c r="D154" s="89"/>
      <x:c r="E154" s="89" t="s">
        <x:v>72</x:v>
      </x:c>
      <x:c r="F154" s="371" t="n">
        <x:v>419516.23</x:v>
      </x:c>
      <x:c r="G154" s="90" t="n">
        <x:v>25972.88</x:v>
      </x:c>
      <x:c r="H154" s="90" t="n">
        <x:v>12592.54</x:v>
      </x:c>
      <x:c r="I154" s="90" t="n">
        <x:v>6939.94</x:v>
      </x:c>
      <x:c r="J154" s="90" t="n">
        <x:v>120301.92</x:v>
      </x:c>
      <x:c r="K154" s="90" t="n">
        <x:v>2941.24</x:v>
      </x:c>
      <x:c r="L154" s="90" t="n">
        <x:v>0</x:v>
      </x:c>
      <x:c r="M154" s="90" t="n">
        <x:v>25800.7</x:v>
      </x:c>
      <x:c r="N154" s="90" t="n">
        <x:v>30113.79</x:v>
      </x:c>
      <x:c r="O154" s="90" t="n">
        <x:v>139376.88</x:v>
      </x:c>
      <x:c r="P154" s="90" t="n">
        <x:v>50670.06</x:v>
      </x:c>
      <x:c r="Q154" s="90" t="n">
        <x:v>4798.96</x:v>
      </x:c>
      <x:c r="R154" s="90" t="n">
        <x:v>7.32</x:v>
      </x:c>
      <x:c r="S154" s="90" t="n">
        <x:v>0</x:v>
      </x:c>
      <x:c r="T154" s="90" t="n">
        <x:v>0</x:v>
      </x:c>
      <x:c r="U154" s="90">
        <x:v>0</x:v>
      </x:c>
      <x:c r="V154" s="90">
        <x:v>0</x:v>
      </x:c>
      <x:c r="W154" s="90">
        <x:v>0</x:v>
      </x:c>
      <x:c r="X154">
        <x:v>0</x:v>
      </x:c>
      <x:c r="Y154">
        <x:v>0</x:v>
      </x:c>
      <x:c r="Z154" t="n">
        <x:v>0</x:v>
      </x:c>
    </x:row>
    <x:row r="155" spans="2:26" ht="12.75" customHeight="1" x14ac:dyDescent="0.2">
      <x:c r="D155" s="89"/>
      <x:c r="E155" s="89" t="s">
        <x:v>81</x:v>
      </x:c>
      <x:c r="F155" s="90" t="n">
        <x:v>7178.99</x:v>
      </x:c>
      <x:c r="G155" s="90" t="n">
        <x:v>374.66</x:v>
      </x:c>
      <x:c r="H155" s="90" t="n">
        <x:v>168.63</x:v>
      </x:c>
      <x:c r="I155" s="90" t="n">
        <x:v>100.33</x:v>
      </x:c>
      <x:c r="J155" s="90" t="n">
        <x:v>2116.03</x:v>
      </x:c>
      <x:c r="K155" s="90" t="n">
        <x:v>48.58</x:v>
      </x:c>
      <x:c r="L155" s="90" t="n">
        <x:v>0</x:v>
      </x:c>
      <x:c r="M155" s="90" t="n">
        <x:v>425.77</x:v>
      </x:c>
      <x:c r="N155" s="90" t="n">
        <x:v>547.15</x:v>
      </x:c>
      <x:c r="O155" s="90" t="n">
        <x:v>2568.7</x:v>
      </x:c>
      <x:c r="P155" s="90" t="n">
        <x:v>749.68</x:v>
      </x:c>
      <x:c r="Q155" s="90" t="n">
        <x:v>79.23</x:v>
      </x:c>
      <x:c r="R155" s="90" t="n">
        <x:v>0.23</x:v>
      </x:c>
      <x:c r="S155" s="90" t="n">
        <x:v>0</x:v>
      </x:c>
      <x:c r="T155" s="90" t="n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 t="n">
        <x:v>0</x:v>
      </x:c>
    </x:row>
    <x:row r="156" spans="2:26" ht="12.75" customHeight="1" x14ac:dyDescent="0.2">
      <x:c r="D156" t="s">
        <x:v>116</x:v>
      </x:c>
      <x:c r="E156" s="89" t="s">
        <x:v>70</x:v>
      </x:c>
      <x:c r="F156" s="90" t="n">
        <x:v>426695.22</x:v>
      </x:c>
      <x:c r="G156" s="90" t="n">
        <x:v>26347.54</x:v>
      </x:c>
      <x:c r="H156" s="90" t="n">
        <x:v>12761.17</x:v>
      </x:c>
      <x:c r="I156" s="90" t="n">
        <x:v>7040.27</x:v>
      </x:c>
      <x:c r="J156" s="90" t="n">
        <x:v>122417.95</x:v>
      </x:c>
      <x:c r="K156" s="90" t="n">
        <x:v>2989.82</x:v>
      </x:c>
      <x:c r="L156" s="90" t="n">
        <x:v>0</x:v>
      </x:c>
      <x:c r="M156" s="90" t="n">
        <x:v>26226.47</x:v>
      </x:c>
      <x:c r="N156" s="90" t="n">
        <x:v>30660.94</x:v>
      </x:c>
      <x:c r="O156" s="90" t="n">
        <x:v>141945.58</x:v>
      </x:c>
      <x:c r="P156" s="90" t="n">
        <x:v>51419.74</x:v>
      </x:c>
      <x:c r="Q156" s="90" t="n">
        <x:v>4878.19</x:v>
      </x:c>
      <x:c r="R156" s="90" t="n">
        <x:v>7.55</x:v>
      </x:c>
      <x:c r="S156" s="90" t="n">
        <x:v>0</x:v>
      </x:c>
      <x:c r="T156" s="90" t="n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 t="n">
        <x:v>0</x:v>
      </x:c>
    </x:row>
    <x:row r="157" spans="2:26" ht="12.75" customHeight="1" x14ac:dyDescent="0.2">
      <x:c r="D157" s="89"/>
      <x:c r="E157" s="89" t="s">
        <x:v>72</x:v>
      </x:c>
      <x:c r="F157" s="90" t="n">
        <x:v>12785198.32</x:v>
      </x:c>
      <x:c r="G157" s="90" t="n">
        <x:v>703609.95</x:v>
      </x:c>
      <x:c r="H157" s="90" t="n">
        <x:v>387545.6</x:v>
      </x:c>
      <x:c r="I157" s="90" t="n">
        <x:v>207630.35</x:v>
      </x:c>
      <x:c r="J157" s="90" t="n">
        <x:v>3187955.94</x:v>
      </x:c>
      <x:c r="K157" s="90" t="n">
        <x:v>106822.11</x:v>
      </x:c>
      <x:c r="L157" s="90" t="n">
        <x:v>0</x:v>
      </x:c>
      <x:c r="M157" s="90" t="n">
        <x:v>942031.97</x:v>
      </x:c>
      <x:c r="N157" s="90" t="n">
        <x:v>1002072.56</x:v>
      </x:c>
      <x:c r="O157" s="90" t="n">
        <x:v>4691016.74</x:v>
      </x:c>
      <x:c r="P157" s="90" t="n">
        <x:v>1381254.47</x:v>
      </x:c>
      <x:c r="Q157" s="90" t="n">
        <x:v>175192.74</x:v>
      </x:c>
      <x:c r="R157" s="90" t="n">
        <x:v>65.89</x:v>
      </x:c>
      <x:c r="S157" s="90" t="n">
        <x:v>0</x:v>
      </x:c>
      <x:c r="T157" s="90" t="n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 t="n">
        <x:v>0</x:v>
      </x:c>
    </x:row>
    <x:row r="158" spans="2:26" ht="12.75" customHeight="1" x14ac:dyDescent="0.2">
      <x:c r="E158" s="89" t="s">
        <x:v>81</x:v>
      </x:c>
      <x:c r="F158" s="90" t="n">
        <x:v>74732.16</x:v>
      </x:c>
      <x:c r="G158" s="90" t="n">
        <x:v>6320.89</x:v>
      </x:c>
      <x:c r="H158" s="90" t="n">
        <x:v>3463.36</x:v>
      </x:c>
      <x:c r="I158" s="90" t="n">
        <x:v>1859.06</x:v>
      </x:c>
      <x:c r="J158" s="90" t="n">
        <x:v>16027.83</x:v>
      </x:c>
      <x:c r="K158" s="90" t="n">
        <x:v>531.94</x:v>
      </x:c>
      <x:c r="L158" s="90" t="n">
        <x:v>0</x:v>
      </x:c>
      <x:c r="M158" s="90" t="n">
        <x:v>4669.95</x:v>
      </x:c>
      <x:c r="N158" s="90" t="n">
        <x:v>5098.07</x:v>
      </x:c>
      <x:c r="O158" s="90" t="n">
        <x:v>23528.73</x:v>
      </x:c>
      <x:c r="P158" s="90" t="n">
        <x:v>12364.11</x:v>
      </x:c>
      <x:c r="Q158" s="90" t="n">
        <x:v>868.28</x:v>
      </x:c>
      <x:c r="R158" s="90" t="n">
        <x:v>-0.06</x:v>
      </x:c>
      <x:c r="S158" s="90" t="n">
        <x:v>0</x:v>
      </x:c>
      <x:c r="T158" s="90" t="n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 t="n">
        <x:v>0</x:v>
      </x:c>
    </x:row>
    <x:row r="159" spans="2:26" ht="12.75" customHeight="1" x14ac:dyDescent="0.2">
      <x:c r="D159" t="s">
        <x:v>118</x:v>
      </x:c>
      <x:c r="E159" s="89" t="s">
        <x:v>70</x:v>
      </x:c>
      <x:c r="F159" s="90" t="n">
        <x:v>12859930.48</x:v>
      </x:c>
      <x:c r="G159" s="90" t="n">
        <x:v>709930.84</x:v>
      </x:c>
      <x:c r="H159" s="90" t="n">
        <x:v>391008.96</x:v>
      </x:c>
      <x:c r="I159" s="90" t="n">
        <x:v>209489.41</x:v>
      </x:c>
      <x:c r="J159" s="90" t="n">
        <x:v>3203983.77</x:v>
      </x:c>
      <x:c r="K159" s="90" t="n">
        <x:v>107354.05</x:v>
      </x:c>
      <x:c r="L159" s="90" t="n">
        <x:v>0</x:v>
      </x:c>
      <x:c r="M159" s="90" t="n">
        <x:v>946701.92</x:v>
      </x:c>
      <x:c r="N159" s="90" t="n">
        <x:v>1007170.63</x:v>
      </x:c>
      <x:c r="O159" s="90" t="n">
        <x:v>4714545.47</x:v>
      </x:c>
      <x:c r="P159" s="90" t="n">
        <x:v>1393618.58</x:v>
      </x:c>
      <x:c r="Q159" s="90" t="n">
        <x:v>176061.02</x:v>
      </x:c>
      <x:c r="R159" s="90" t="n">
        <x:v>65.83</x:v>
      </x:c>
      <x:c r="S159" s="90" t="n">
        <x:v>0</x:v>
      </x:c>
      <x:c r="T159" s="90" t="n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 t="n">
        <x:v>0</x:v>
      </x:c>
    </x:row>
    <x:row r="160" spans="2:26" s="224" customFormat="1" ht="12.75" customHeight="1" x14ac:dyDescent="0.2">
      <x:c r="C160" s="223" t="s">
        <x:v>120</x:v>
      </x:c>
      <x:c r="D160" s="223" t="s">
        <x:v>70</x:v>
      </x:c>
      <x:c r="F160" s="225" t="n">
        <x:v>15303333.19</x:v>
      </x:c>
      <x:c r="G160" s="225" t="n">
        <x:v>846445.31</x:v>
      </x:c>
      <x:c r="H160" s="225" t="n">
        <x:v>456814.64</x:v>
      </x:c>
      <x:c r="I160" s="225" t="n">
        <x:v>246633.46</x:v>
      </x:c>
      <x:c r="J160" s="225" t="n">
        <x:v>3859157.96</x:v>
      </x:c>
      <x:c r="K160" s="225" t="n">
        <x:v>125021.13</x:v>
      </x:c>
      <x:c r="L160" s="225" t="n">
        <x:v>0</x:v>
      </x:c>
      <x:c r="M160" s="225" t="n">
        <x:v>1101678.21</x:v>
      </x:c>
      <x:c r="N160" s="225" t="n">
        <x:v>1198553.11</x:v>
      </x:c>
      <x:c r="O160" s="225" t="n">
        <x:v>5597648.77</x:v>
      </x:c>
      <x:c r="P160" s="225" t="n">
        <x:v>1666421.96</x:v>
      </x:c>
      <x:c r="Q160" s="225" t="n">
        <x:v>204886.65</x:v>
      </x:c>
      <x:c r="R160" s="225" t="n">
        <x:v>72.06</x:v>
      </x:c>
      <x:c r="S160" s="225" t="n">
        <x:v>0</x:v>
      </x:c>
      <x:c r="T160" s="225" t="n">
        <x:v>0</x:v>
      </x:c>
      <x:c r="U160" s="225">
        <x:v>0</x:v>
      </x:c>
      <x:c r="V160" s="225">
        <x:v>0</x:v>
      </x:c>
      <x:c r="W160" s="225">
        <x:v>0</x:v>
      </x:c>
      <x:c r="X160" s="224">
        <x:v>0</x:v>
      </x:c>
      <x:c r="Y160" s="224">
        <x:v>0</x:v>
      </x:c>
      <x:c r="Z160" s="224" t="n">
        <x:v>-0.07</x:v>
      </x:c>
    </x:row>
    <x:row r="161" spans="1:26" ht="12.75" customHeight="1" x14ac:dyDescent="0.2">
      <x:c r="C161" s="89"/>
      <x:c r="D161" s="89"/>
      <x:c r="E161" t="s">
        <x:v>72</x:v>
      </x:c>
      <x:c r="F161" s="90" t="n">
        <x:v>455939001.99</x:v>
      </x:c>
      <x:c r="G161" s="90" t="n">
        <x:v>31166168.33</x:v>
      </x:c>
      <x:c r="H161" s="90" t="n">
        <x:v>17414261.35</x:v>
      </x:c>
      <x:c r="I161" s="90" t="n">
        <x:v>9320448.56</x:v>
      </x:c>
      <x:c r="J161" s="90" t="n">
        <x:v>107716548.78</x:v>
      </x:c>
      <x:c r="K161" s="90" t="n">
        <x:v>2778581.48</x:v>
      </x:c>
      <x:c r="L161" s="90" t="n">
        <x:v>223000</x:v>
      </x:c>
      <x:c r="M161" s="90" t="n">
        <x:v>24356285.66</x:v>
      </x:c>
      <x:c r="N161" s="90" t="n">
        <x:v>34967660.87</x:v>
      </x:c>
      <x:c r="O161" s="90" t="n">
        <x:v>161072747.18</x:v>
      </x:c>
      <x:c r="P161" s="90" t="n">
        <x:v>62379437.01</x:v>
      </x:c>
      <x:c r="Q161" s="90" t="n">
        <x:v>4546029.75</x:v>
      </x:c>
      <x:c r="R161" s="90" t="n">
        <x:v>-2166.98</x:v>
      </x:c>
      <x:c r="S161" s="90" t="n">
        <x:v>0</x:v>
      </x:c>
      <x:c r="T161" s="90" t="n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 t="n">
        <x:v>0</x:v>
      </x:c>
    </x:row>
    <x:row r="162" spans="1:26" ht="12.75" customHeight="1" x14ac:dyDescent="0.2">
      <x:c r="C162" s="89"/>
      <x:c r="D162" s="89"/>
      <x:c r="E162" t="s">
        <x:v>81</x:v>
      </x:c>
      <x:c r="F162" s="90" t="n">
        <x:v>4505253.39</x:v>
      </x:c>
      <x:c r="G162" s="90" t="n">
        <x:v>686613.92</x:v>
      </x:c>
      <x:c r="H162" s="90" t="n">
        <x:v>335505.83</x:v>
      </x:c>
      <x:c r="I162" s="90" t="n">
        <x:v>186385.59</x:v>
      </x:c>
      <x:c r="J162" s="90" t="n">
        <x:v>633051.63</x:v>
      </x:c>
      <x:c r="K162" s="90" t="n">
        <x:v>16253.71</x:v>
      </x:c>
      <x:c r="L162" s="90" t="n">
        <x:v>423.43</x:v>
      </x:c>
      <x:c r="M162" s="90" t="n">
        <x:v>141566.92</x:v>
      </x:c>
      <x:c r="N162" s="90" t="n">
        <x:v>197973.31</x:v>
      </x:c>
      <x:c r="O162" s="90" t="n">
        <x:v>907304.36</x:v>
      </x:c>
      <x:c r="P162" s="90" t="n">
        <x:v>1373624.55</x:v>
      </x:c>
      <x:c r="Q162" s="90" t="n">
        <x:v>26555.9</x:v>
      </x:c>
      <x:c r="R162" s="90" t="n">
        <x:v>-5.38</x:v>
      </x:c>
      <x:c r="S162" s="90" t="n">
        <x:v>0</x:v>
      </x:c>
      <x:c r="T162" s="90" t="n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 t="n">
        <x:v>-0.38</x:v>
      </x:c>
    </x:row>
    <x:row r="163" spans="1:26" ht="12.75" customHeight="1" x14ac:dyDescent="0.2">
      <x:c r="D163" t="s">
        <x:v>82</x:v>
      </x:c>
      <x:c r="E163" s="89" t="s">
        <x:v>70</x:v>
      </x:c>
      <x:c r="F163" s="90" t="n">
        <x:v>460444255.38</x:v>
      </x:c>
      <x:c r="G163" s="90" t="n">
        <x:v>31852782.25</x:v>
      </x:c>
      <x:c r="H163" s="90" t="n">
        <x:v>17749767.18</x:v>
      </x:c>
      <x:c r="I163" s="90" t="n">
        <x:v>9506834.15</x:v>
      </x:c>
      <x:c r="J163" s="90" t="n">
        <x:v>108349600.41</x:v>
      </x:c>
      <x:c r="K163" s="90" t="n">
        <x:v>2794835.19</x:v>
      </x:c>
      <x:c r="L163" s="90" t="n">
        <x:v>223423.43</x:v>
      </x:c>
      <x:c r="M163" s="90" t="n">
        <x:v>24497852.58</x:v>
      </x:c>
      <x:c r="N163" s="90" t="n">
        <x:v>35165634.18</x:v>
      </x:c>
      <x:c r="O163" s="90" t="n">
        <x:v>161980051.54</x:v>
      </x:c>
      <x:c r="P163" s="90" t="n">
        <x:v>63753061.56</x:v>
      </x:c>
      <x:c r="Q163" s="90" t="n">
        <x:v>4572585.65</x:v>
      </x:c>
      <x:c r="R163" s="90" t="n">
        <x:v>-2172.36</x:v>
      </x:c>
      <x:c r="S163" s="90" t="n">
        <x:v>0</x:v>
      </x:c>
      <x:c r="T163" s="90" t="n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 t="n">
        <x:v>-0.38</x:v>
      </x:c>
    </x:row>
    <x:row r="164" spans="1:26" ht="12.75" customHeight="1" x14ac:dyDescent="0.2">
      <x:c r="E164" s="89" t="s">
        <x:v>72</x:v>
      </x:c>
      <x:c r="F164" s="90" t="n">
        <x:v>193966389.73</x:v>
      </x:c>
      <x:c r="G164" s="90" t="n">
        <x:v>18753395.74</x:v>
      </x:c>
      <x:c r="H164" s="90" t="n">
        <x:v>10057409.18</x:v>
      </x:c>
      <x:c r="I164" s="90" t="n">
        <x:v>5168574.85</x:v>
      </x:c>
      <x:c r="J164" s="90" t="n">
        <x:v>37118799.35</x:v>
      </x:c>
      <x:c r="K164" s="90" t="n">
        <x:v>1216758.52</x:v>
      </x:c>
      <x:c r="L164" s="90" t="n">
        <x:v>1204189.42</x:v>
      </x:c>
      <x:c r="M164" s="90" t="n">
        <x:v>10633285.03</x:v>
      </x:c>
      <x:c r="N164" s="90" t="n">
        <x:v>12932629.94</x:v>
      </x:c>
      <x:c r="O164" s="90" t="n">
        <x:v>57515757.55</x:v>
      </x:c>
      <x:c r="P164" s="90" t="n">
        <x:v>37372824.68</x:v>
      </x:c>
      <x:c r="Q164" s="90" t="n">
        <x:v>1993046.78</x:v>
      </x:c>
      <x:c r="R164" s="90" t="n">
        <x:v>-281.31</x:v>
      </x:c>
      <x:c r="S164" s="90" t="n">
        <x:v>0</x:v>
      </x:c>
      <x:c r="T164" s="90" t="n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 t="n">
        <x:v>0</x:v>
      </x:c>
    </x:row>
    <x:row r="165" spans="1:26" ht="12.75" customHeight="1" x14ac:dyDescent="0.2">
      <x:c r="D165" s="89"/>
      <x:c r="E165" s="89" t="s">
        <x:v>81</x:v>
      </x:c>
      <x:c r="F165" s="90" t="n">
        <x:v>9166147.28</x:v>
      </x:c>
      <x:c r="G165" s="90" t="n">
        <x:v>1183506.74</x:v>
      </x:c>
      <x:c r="H165" s="90" t="n">
        <x:v>586131.58</x:v>
      </x:c>
      <x:c r="I165" s="90" t="n">
        <x:v>271123.56</x:v>
      </x:c>
      <x:c r="J165" s="90" t="n">
        <x:v>1563968.47</x:v>
      </x:c>
      <x:c r="K165" s="90" t="n">
        <x:v>53802.28</x:v>
      </x:c>
      <x:c r="L165" s="90" t="n">
        <x:v>0</x:v>
      </x:c>
      <x:c r="M165" s="90" t="n">
        <x:v>473676.04</x:v>
      </x:c>
      <x:c r="N165" s="90" t="n">
        <x:v>570702.61</x:v>
      </x:c>
      <x:c r="O165" s="90" t="n">
        <x:v>2048592.22</x:v>
      </x:c>
      <x:c r="P165" s="90" t="n">
        <x:v>2326821.14</x:v>
      </x:c>
      <x:c r="Q165" s="90" t="n">
        <x:v>87828.33</x:v>
      </x:c>
      <x:c r="R165" s="90" t="n">
        <x:v>7.07</x:v>
      </x:c>
      <x:c r="S165" s="90" t="n">
        <x:v>-12.38</x:v>
      </x:c>
      <x:c r="T165" s="90" t="n">
        <x:v>0.04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 t="n">
        <x:v>-0.42</x:v>
      </x:c>
    </x:row>
    <x:row r="166" spans="1:26" ht="12.75" customHeight="1" x14ac:dyDescent="0.2">
      <x:c r="D166" t="s">
        <x:v>86</x:v>
      </x:c>
      <x:c r="E166" s="89" t="s">
        <x:v>70</x:v>
      </x:c>
      <x:c r="F166" s="90" t="n">
        <x:v>203132537.01</x:v>
      </x:c>
      <x:c r="G166" s="90" t="n">
        <x:v>19936902.48</x:v>
      </x:c>
      <x:c r="H166" s="90" t="n">
        <x:v>10643540.76</x:v>
      </x:c>
      <x:c r="I166" s="90" t="n">
        <x:v>5439698.41</x:v>
      </x:c>
      <x:c r="J166" s="90" t="n">
        <x:v>38682767.82</x:v>
      </x:c>
      <x:c r="K166" s="90" t="n">
        <x:v>1270560.8</x:v>
      </x:c>
      <x:c r="L166" s="90" t="n">
        <x:v>1204189.42</x:v>
      </x:c>
      <x:c r="M166" s="90" t="n">
        <x:v>11106961.07</x:v>
      </x:c>
      <x:c r="N166" s="90" t="n">
        <x:v>13503332.55</x:v>
      </x:c>
      <x:c r="O166" s="90" t="n">
        <x:v>59564349.77</x:v>
      </x:c>
      <x:c r="P166" s="90" t="n">
        <x:v>39699645.82</x:v>
      </x:c>
      <x:c r="Q166" s="90" t="n">
        <x:v>2080875.11</x:v>
      </x:c>
      <x:c r="R166" s="90" t="n">
        <x:v>-274.24</x:v>
      </x:c>
      <x:c r="S166" s="90" t="n">
        <x:v>-12.38</x:v>
      </x:c>
      <x:c r="T166" s="90" t="n">
        <x:v>0.04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 t="n">
        <x:v>-0.42</x:v>
      </x:c>
    </x:row>
    <x:row r="167" spans="1:26" ht="12.75" customHeight="1" x14ac:dyDescent="0.2">
      <x:c r="E167" s="89" t="s">
        <x:v>72</x:v>
      </x:c>
      <x:c r="F167" s="90" t="n">
        <x:v>661355110.55</x:v>
      </x:c>
      <x:c r="G167" s="90" t="n">
        <x:v>121001900.95</x:v>
      </x:c>
      <x:c r="H167" s="90" t="n">
        <x:v>68302622.36</x:v>
      </x:c>
      <x:c r="I167" s="90" t="n">
        <x:v>36083615.55</x:v>
      </x:c>
      <x:c r="J167" s="90" t="n">
        <x:v>52633126.53</x:v>
      </x:c>
      <x:c r="K167" s="90" t="n">
        <x:v>1383826.41</x:v>
      </x:c>
      <x:c r="L167" s="90" t="n">
        <x:v>27689500</x:v>
      </x:c>
      <x:c r="M167" s="90" t="n">
        <x:v>12143895.78</x:v>
      </x:c>
      <x:c r="N167" s="90" t="n">
        <x:v>17276124.08</x:v>
      </x:c>
      <x:c r="O167" s="90" t="n">
        <x:v>82150350.08</x:v>
      </x:c>
      <x:c r="P167" s="90" t="n">
        <x:v>240422477.77</x:v>
      </x:c>
      <x:c r="Q167" s="90" t="n">
        <x:v>2268567.74</x:v>
      </x:c>
      <x:c r="R167" s="90" t="n">
        <x:v>-896.7</x:v>
      </x:c>
      <x:c r="S167" s="90" t="n">
        <x:v>0</x:v>
      </x:c>
      <x:c r="T167" s="90" t="n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 t="n">
        <x:v>0</x:v>
      </x:c>
    </x:row>
    <x:row r="168" spans="1:26" ht="12.75" customHeight="1" x14ac:dyDescent="0.2">
      <x:c r="D168" s="89"/>
      <x:c r="E168" s="89" t="s">
        <x:v>81</x:v>
      </x:c>
      <x:c r="F168" s="90" t="n">
        <x:v>6600836.3</x:v>
      </x:c>
      <x:c r="G168" s="90" t="n">
        <x:v>1349445.39</x:v>
      </x:c>
      <x:c r="H168" s="90" t="n">
        <x:v>757512.17</x:v>
      </x:c>
      <x:c r="I168" s="90" t="n">
        <x:v>404376.25</x:v>
      </x:c>
      <x:c r="J168" s="90" t="n">
        <x:v>441370.36</x:v>
      </x:c>
      <x:c r="K168" s="90" t="n">
        <x:v>10958.07</x:v>
      </x:c>
      <x:c r="L168" s="90" t="n">
        <x:v>63878.54</x:v>
      </x:c>
      <x:c r="M168" s="90" t="n">
        <x:v>95989.48</x:v>
      </x:c>
      <x:c r="N168" s="90" t="n">
        <x:v>135954.56</x:v>
      </x:c>
      <x:c r="O168" s="90" t="n">
        <x:v>626871.1</x:v>
      </x:c>
      <x:c r="P168" s="90" t="n">
        <x:v>2696583.37</x:v>
      </x:c>
      <x:c r="Q168" s="90" t="n">
        <x:v>17899.55</x:v>
      </x:c>
      <x:c r="R168" s="90" t="n">
        <x:v>-2.15</x:v>
      </x:c>
      <x:c r="S168" s="90" t="n">
        <x:v>-0.39</x:v>
      </x:c>
      <x:c r="T168" s="90" t="n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 t="n">
        <x:v>0</x:v>
      </x:c>
    </x:row>
    <x:row r="169" spans="1:26" ht="12.75" customHeight="1" x14ac:dyDescent="0.2">
      <x:c r="D169" t="s">
        <x:v>87</x:v>
      </x:c>
      <x:c r="E169" s="89" t="s">
        <x:v>70</x:v>
      </x:c>
      <x:c r="F169" s="90" t="n">
        <x:v>667955946.85</x:v>
      </x:c>
      <x:c r="G169" s="90" t="n">
        <x:v>122351346.34</x:v>
      </x:c>
      <x:c r="H169" s="90" t="n">
        <x:v>69060134.53</x:v>
      </x:c>
      <x:c r="I169" s="90" t="n">
        <x:v>36487991.8</x:v>
      </x:c>
      <x:c r="J169" s="90" t="n">
        <x:v>53074496.89</x:v>
      </x:c>
      <x:c r="K169" s="90" t="n">
        <x:v>1394784.48</x:v>
      </x:c>
      <x:c r="L169" s="90" t="n">
        <x:v>27753378.54</x:v>
      </x:c>
      <x:c r="M169" s="90" t="n">
        <x:v>12239885.26</x:v>
      </x:c>
      <x:c r="N169" s="90" t="n">
        <x:v>17412078.64</x:v>
      </x:c>
      <x:c r="O169" s="90" t="n">
        <x:v>82777221.18</x:v>
      </x:c>
      <x:c r="P169" s="90" t="n">
        <x:v>243119061.14</x:v>
      </x:c>
      <x:c r="Q169" s="90" t="n">
        <x:v>2286467.29</x:v>
      </x:c>
      <x:c r="R169" s="90" t="n">
        <x:v>-898.85</x:v>
      </x:c>
      <x:c r="S169" s="90" t="n">
        <x:v>-0.39</x:v>
      </x:c>
      <x:c r="T169" s="90" t="n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 t="n">
        <x:v>0</x:v>
      </x:c>
    </x:row>
    <x:row r="170" spans="1:26" s="94" customFormat="1" ht="12.75" customHeight="1" x14ac:dyDescent="0.2">
      <x:c r="C170" s="94" t="s">
        <x:v>119</x:v>
      </x:c>
      <x:c r="D170" s="94" t="s">
        <x:v>70</x:v>
      </x:c>
      <x:c r="E170" s="101"/>
      <x:c r="F170" s="93" t="n">
        <x:v>1331532739.24</x:v>
      </x:c>
      <x:c r="G170" s="93" t="n">
        <x:v>174141031.07</x:v>
      </x:c>
      <x:c r="H170" s="93" t="n">
        <x:v>97453442.47</x:v>
      </x:c>
      <x:c r="I170" s="93" t="n">
        <x:v>51434524.36</x:v>
      </x:c>
      <x:c r="J170" s="93" t="n">
        <x:v>200106865.12</x:v>
      </x:c>
      <x:c r="K170" s="93" t="n">
        <x:v>5460180.47</x:v>
      </x:c>
      <x:c r="L170" s="93" t="n">
        <x:v>29180991.39</x:v>
      </x:c>
      <x:c r="M170" s="93" t="n">
        <x:v>47844698.91</x:v>
      </x:c>
      <x:c r="N170" s="93" t="n">
        <x:v>66081045.37</x:v>
      </x:c>
      <x:c r="O170" s="93" t="n">
        <x:v>304321622.49</x:v>
      </x:c>
      <x:c r="P170" s="93" t="n">
        <x:v>346571768.52</x:v>
      </x:c>
      <x:c r="Q170" s="93" t="n">
        <x:v>8939928.05</x:v>
      </x:c>
      <x:c r="R170" s="93" t="n">
        <x:v>-3345.45</x:v>
      </x:c>
      <x:c r="S170" s="93" t="n">
        <x:v>-12.77</x:v>
      </x:c>
      <x:c r="T170" s="93" t="n">
        <x:v>0.04</x:v>
      </x:c>
      <x:c r="U170" s="93">
        <x:v>0</x:v>
      </x:c>
      <x:c r="V170" s="93">
        <x:v>0</x:v>
      </x:c>
      <x:c r="W170" s="93">
        <x:v>0</x:v>
      </x:c>
      <x:c r="X170" s="94">
        <x:v>0</x:v>
      </x:c>
      <x:c r="Y170" s="94">
        <x:v>0</x:v>
      </x:c>
      <x:c r="Z170" s="94" t="n">
        <x:v>-0.8</x:v>
      </x:c>
    </x:row>
    <x:row r="171" spans="1:26" s="226" customFormat="1" ht="12.75" customHeight="1" x14ac:dyDescent="0.2">
      <x:c r="B171" s="98" t="s">
        <x:v>112</x:v>
      </x:c>
      <x:c r="C171" s="98" t="s">
        <x:v>70</x:v>
      </x:c>
      <x:c r="F171" s="100" t="n">
        <x:v>25411656495.76</x:v>
      </x:c>
      <x:c r="G171" s="100" t="n">
        <x:v>1575163852.57</x:v>
      </x:c>
      <x:c r="H171" s="100" t="n">
        <x:v>883359566.12</x:v>
      </x:c>
      <x:c r="I171" s="100" t="n">
        <x:v>463664201.3</x:v>
      </x:c>
      <x:c r="J171" s="100" t="n">
        <x:v>5771019776.85</x:v>
      </x:c>
      <x:c r="K171" s="100" t="n">
        <x:v>221091165.91</x:v>
      </x:c>
      <x:c r="L171" s="100" t="n">
        <x:v>53454221.28</x:v>
      </x:c>
      <x:c r="M171" s="100" t="n">
        <x:v>1937665740.24</x:v>
      </x:c>
      <x:c r="N171" s="100" t="n">
        <x:v>1932446003.37</x:v>
      </x:c>
      <x:c r="O171" s="100" t="n">
        <x:v>9106226356.12</x:v>
      </x:c>
      <x:c r="P171" s="100" t="n">
        <x:v>3106209538.75</x:v>
      </x:c>
      <x:c r="Q171" s="100" t="n">
        <x:v>361269505.43</x:v>
      </x:c>
      <x:c r="R171" s="100" t="n">
        <x:v>86691.03</x:v>
      </x:c>
      <x:c r="S171" s="100" t="n">
        <x:v>-83.63</x:v>
      </x:c>
      <x:c r="T171" s="100" t="n">
        <x:v>4.18</x:v>
      </x:c>
      <x:c r="U171" s="100">
        <x:v>0</x:v>
      </x:c>
      <x:c r="V171" s="100">
        <x:v>0</x:v>
      </x:c>
      <x:c r="W171" s="100">
        <x:v>0</x:v>
      </x:c>
      <x:c r="X171" s="226">
        <x:v>0</x:v>
      </x:c>
      <x:c r="Y171" s="226">
        <x:v>0</x:v>
      </x:c>
      <x:c r="Z171" s="226" t="n">
        <x:v>-43.76</x:v>
      </x:c>
    </x:row>
    <x:row r="172" spans="1:26" ht="12.75" customHeight="1" x14ac:dyDescent="0.2">
      <x:c r="A172" t="s">
        <x:v>78</x:v>
      </x:c>
      <x:c r="B172" s="89" t="s">
        <x:v>70</x:v>
      </x:c>
      <x:c r="C172" s="89"/>
      <x:c r="F172" s="90" t="n">
        <x:v>25442049927.39</x:v>
      </x:c>
      <x:c r="G172" s="90" t="n">
        <x:v>1582872787.47</x:v>
      </x:c>
      <x:c r="H172" s="90" t="n">
        <x:v>887717779.17</x:v>
      </x:c>
      <x:c r="I172" s="90" t="n">
        <x:v>465974337.01</x:v>
      </x:c>
      <x:c r="J172" s="90" t="n">
        <x:v>5771193704.23</x:v>
      </x:c>
      <x:c r="K172" s="90" t="n">
        <x:v>221096477</x:v>
      </x:c>
      <x:c r="L172" s="90" t="n">
        <x:v>53454221.28</x:v>
      </x:c>
      <x:c r="M172" s="90" t="n">
        <x:v>1937712328.67</x:v>
      </x:c>
      <x:c r="N172" s="90" t="n">
        <x:v>1932499941.43</x:v>
      </x:c>
      <x:c r="O172" s="90" t="n">
        <x:v>9106477787.64</x:v>
      </x:c>
      <x:c r="P172" s="90" t="n">
        <x:v>3121685825.2</x:v>
      </x:c>
      <x:c r="Q172" s="90" t="n">
        <x:v>361278170.88</x:v>
      </x:c>
      <x:c r="R172" s="90" t="n">
        <x:v>86690.62</x:v>
      </x:c>
      <x:c r="S172" s="90" t="n">
        <x:v>-83.63</x:v>
      </x:c>
      <x:c r="T172" s="90" t="n">
        <x:v>4.18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 t="n">
        <x:v>-43.76</x:v>
      </x:c>
    </x:row>
    <x:row r="173" spans="1:26" ht="12.75" customHeight="1" x14ac:dyDescent="0.2">
      <x:c r="B173" s="89"/>
      <x:c r="C173" s="89"/>
      <x:c r="E173" t="s">
        <x:v>73</x:v>
      </x:c>
      <x:c r="F173" s="90" t="n">
        <x:v>25934600.63</x:v>
      </x:c>
      <x:c r="G173" s="90" t="n">
        <x:v>6682708.85</x:v>
      </x:c>
      <x:c r="H173" s="90" t="n">
        <x:v>3777829.13</x:v>
      </x:c>
      <x:c r="I173" s="90" t="n">
        <x:v>2001663.41</x:v>
      </x:c>
      <x:c r="J173" s="90" t="n">
        <x:v>21059.44</x:v>
      </x:c>
      <x:c r="K173" s="90" t="n">
        <x:v>388.78</x:v>
      </x:c>
      <x:c r="L173" s="90" t="n">
        <x:v>0</x:v>
      </x:c>
      <x:c r="M173" s="90" t="n">
        <x:v>3410.32</x:v>
      </x:c>
      <x:c r="N173" s="90" t="n">
        <x:v>6455.7</x:v>
      </x:c>
      <x:c r="O173" s="90" t="n">
        <x:v>30601.34</x:v>
      </x:c>
      <x:c r="P173" s="90" t="n">
        <x:v>13409849.35</x:v>
      </x:c>
      <x:c r="Q173" s="90" t="n">
        <x:v>634.31</x:v>
      </x:c>
      <x:c r="R173" s="90" t="n">
        <x:v>0</x:v>
      </x:c>
      <x:c r="S173" s="90" t="n">
        <x:v>0</x:v>
      </x:c>
      <x:c r="T173" s="90" t="n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 t="n">
        <x:v>0</x:v>
      </x:c>
    </x:row>
    <x:row r="174" spans="1:26" ht="12.75" customHeight="1" x14ac:dyDescent="0.2">
      <x:c r="B174" s="89"/>
      <x:c r="C174" s="89"/>
      <x:c r="D174" t="s">
        <x:v>156</x:v>
      </x:c>
      <x:c r="E174" t="s">
        <x:v>70</x:v>
      </x:c>
      <x:c r="F174" s="90" t="n">
        <x:v>25934600.63</x:v>
      </x:c>
      <x:c r="G174" s="90" t="n">
        <x:v>6682708.85</x:v>
      </x:c>
      <x:c r="H174" s="90" t="n">
        <x:v>3777829.13</x:v>
      </x:c>
      <x:c r="I174" s="90" t="n">
        <x:v>2001663.41</x:v>
      </x:c>
      <x:c r="J174" s="90" t="n">
        <x:v>21059.44</x:v>
      </x:c>
      <x:c r="K174" s="90" t="n">
        <x:v>388.78</x:v>
      </x:c>
      <x:c r="L174" s="90" t="n">
        <x:v>0</x:v>
      </x:c>
      <x:c r="M174" s="90" t="n">
        <x:v>3410.32</x:v>
      </x:c>
      <x:c r="N174" s="90" t="n">
        <x:v>6455.7</x:v>
      </x:c>
      <x:c r="O174" s="90" t="n">
        <x:v>30601.34</x:v>
      </x:c>
      <x:c r="P174" s="90" t="n">
        <x:v>13409849.35</x:v>
      </x:c>
      <x:c r="Q174" s="90" t="n">
        <x:v>634.31</x:v>
      </x:c>
      <x:c r="R174" s="90" t="n">
        <x:v>0</x:v>
      </x:c>
      <x:c r="S174" s="90" t="n">
        <x:v>0</x:v>
      </x:c>
      <x:c r="T174" s="90" t="n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 t="n">
        <x:v>0</x:v>
      </x:c>
    </x:row>
    <x:row r="175" spans="1:26" s="656" customFormat="1" ht="12.75" customHeight="1" x14ac:dyDescent="0.2">
      <x:c r="C175" s="656" t="s">
        <x:v>155</x:v>
      </x:c>
      <x:c r="D175" s="657" t="s">
        <x:v>70</x:v>
      </x:c>
      <x:c r="E175" s="657"/>
      <x:c r="F175" s="658" t="n">
        <x:v>25934600.63</x:v>
      </x:c>
      <x:c r="G175" s="658" t="n">
        <x:v>6682708.85</x:v>
      </x:c>
      <x:c r="H175" s="658" t="n">
        <x:v>3777829.13</x:v>
      </x:c>
      <x:c r="I175" s="658" t="n">
        <x:v>2001663.41</x:v>
      </x:c>
      <x:c r="J175" s="658" t="n">
        <x:v>21059.44</x:v>
      </x:c>
      <x:c r="K175" s="658" t="n">
        <x:v>388.78</x:v>
      </x:c>
      <x:c r="L175" s="658" t="n">
        <x:v>0</x:v>
      </x:c>
      <x:c r="M175" s="658" t="n">
        <x:v>3410.32</x:v>
      </x:c>
      <x:c r="N175" s="658" t="n">
        <x:v>6455.7</x:v>
      </x:c>
      <x:c r="O175" s="658" t="n">
        <x:v>30601.34</x:v>
      </x:c>
      <x:c r="P175" s="658" t="n">
        <x:v>13409849.35</x:v>
      </x:c>
      <x:c r="Q175" s="658" t="n">
        <x:v>634.31</x:v>
      </x:c>
      <x:c r="R175" s="658" t="n">
        <x:v>0</x:v>
      </x:c>
      <x:c r="S175" s="658" t="n">
        <x:v>0</x:v>
      </x:c>
      <x:c r="T175" s="658" t="n">
        <x:v>0</x:v>
      </x:c>
      <x:c r="U175" s="658">
        <x:v>0</x:v>
      </x:c>
      <x:c r="V175" s="658">
        <x:v>0</x:v>
      </x:c>
      <x:c r="W175" s="658">
        <x:v>0</x:v>
      </x:c>
      <x:c r="X175" s="656">
        <x:v>0</x:v>
      </x:c>
      <x:c r="Y175" s="656">
        <x:v>0</x:v>
      </x:c>
      <x:c r="Z175" s="656" t="n">
        <x:v>0</x:v>
      </x:c>
    </x:row>
    <x:row r="176" spans="1:26" ht="12.75" customHeight="1" x14ac:dyDescent="0.2">
      <x:c r="E176" s="89" t="s">
        <x:v>73</x:v>
      </x:c>
      <x:c r="F176" s="90">
        <x:v>0</x:v>
      </x:c>
      <x:c r="G176" s="90">
        <x:v>0</x:v>
      </x:c>
      <x:c r="H176" s="90">
        <x:v>0</x:v>
      </x:c>
      <x:c r="I176" s="90">
        <x:v>0</x:v>
      </x:c>
      <x:c r="J176" s="90">
        <x:v>0</x:v>
      </x:c>
      <x:c r="K176" s="90">
        <x:v>0</x:v>
      </x:c>
      <x:c r="L176" s="90">
        <x:v>0</x:v>
      </x:c>
      <x:c r="M176" s="90">
        <x:v>0</x:v>
      </x:c>
      <x:c r="N176" s="90">
        <x:v>0</x:v>
      </x:c>
      <x:c r="O176" s="90">
        <x:v>0</x:v>
      </x:c>
      <x:c r="P176" s="90">
        <x:v>0</x:v>
      </x:c>
      <x:c r="Q176" s="90">
        <x:v>0</x:v>
      </x:c>
      <x:c r="R176" s="90">
        <x:v>0</x:v>
      </x:c>
      <x:c r="S176" s="90">
        <x:v>0</x:v>
      </x:c>
      <x:c r="T176">
        <x:v>0</x:v>
      </x:c>
      <x:c r="U176">
        <x:v>0</x:v>
      </x:c>
      <x:c r="V176">
        <x:v>0</x:v>
      </x:c>
      <x:c r="W176">
        <x:v>0</x:v>
      </x:c>
      <x:c r="X176">
        <x:v>0</x:v>
      </x:c>
      <x:c r="Y176" s="90">
        <x:v>0</x:v>
      </x:c>
      <x:c r="Z176">
        <x:v>0</x:v>
      </x:c>
    </x:row>
    <x:row r="177" spans="2:26" ht="12.75" customHeight="1" x14ac:dyDescent="0.2">
      <x:c r="D177" t="s">
        <x:v>115</x:v>
      </x:c>
      <x:c r="E177" s="89" t="s">
        <x:v>70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>
        <x:v>0</x:v>
      </x:c>
      <x:c r="U177">
        <x:v>0</x:v>
      </x:c>
      <x:c r="V177">
        <x:v>0</x:v>
      </x:c>
      <x:c r="W177">
        <x:v>0</x:v>
      </x:c>
      <x:c r="X177">
        <x:v>0</x:v>
      </x:c>
      <x:c r="Y177" s="90">
        <x:v>0</x:v>
      </x:c>
      <x:c r="Z177">
        <x:v>0</x:v>
      </x:c>
    </x:row>
    <x:row r="178" spans="2:26" ht="12.75" customHeight="1" x14ac:dyDescent="0.2">
      <x:c r="E178" s="89" t="s">
        <x:v>73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>
        <x:v>0</x:v>
      </x:c>
      <x:c r="U178">
        <x:v>0</x:v>
      </x:c>
      <x:c r="V178">
        <x:v>0</x:v>
      </x:c>
      <x:c r="W178">
        <x:v>0</x:v>
      </x:c>
      <x:c r="X178">
        <x:v>0</x:v>
      </x:c>
      <x:c r="Y178" s="90">
        <x:v>0</x:v>
      </x:c>
      <x:c r="Z178">
        <x:v>0</x:v>
      </x:c>
    </x:row>
    <x:row r="179" spans="2:26" ht="12.75" customHeight="1" x14ac:dyDescent="0.2">
      <x:c r="D179" s="772">
        <x:v>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>
        <x:v>0</x:v>
      </x:c>
      <x:c r="U179">
        <x:v>0</x:v>
      </x:c>
      <x:c r="V179">
        <x:v>0</x:v>
      </x:c>
      <x:c r="W179">
        <x:v>0</x:v>
      </x:c>
      <x:c r="X179">
        <x:v>0</x:v>
      </x:c>
      <x:c r="Y179" s="90">
        <x:v>0</x:v>
      </x:c>
      <x:c r="Z179">
        <x:v>0</x:v>
      </x:c>
    </x:row>
    <x:row r="180" spans="2:26" ht="12.75" customHeight="1" x14ac:dyDescent="0.2">
      <x:c r="E180" s="89" t="s">
        <x:v>73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>
        <x:v>0</x:v>
      </x:c>
      <x:c r="U180">
        <x:v>0</x:v>
      </x:c>
      <x:c r="V180">
        <x:v>0</x:v>
      </x:c>
      <x:c r="W180">
        <x:v>0</x:v>
      </x:c>
      <x:c r="X180">
        <x:v>0</x:v>
      </x:c>
      <x:c r="Y180" s="90">
        <x:v>0</x:v>
      </x:c>
      <x:c r="Z180">
        <x:v>0</x:v>
      </x:c>
    </x:row>
    <x:row r="181" spans="2:26" ht="12.75" customHeight="1" x14ac:dyDescent="0.2">
      <x:c r="D181" t="s">
        <x:v>118</x:v>
      </x:c>
      <x:c r="E181" s="89" t="s">
        <x:v>70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>
        <x:v>0</x:v>
      </x:c>
      <x:c r="U181">
        <x:v>0</x:v>
      </x:c>
      <x:c r="V181">
        <x:v>0</x:v>
      </x:c>
      <x:c r="W181">
        <x:v>0</x:v>
      </x:c>
      <x:c r="X181">
        <x:v>0</x:v>
      </x:c>
      <x:c r="Y181" s="90">
        <x:v>0</x:v>
      </x:c>
      <x:c r="Z181">
        <x:v>0</x:v>
      </x:c>
    </x:row>
    <x:row r="182" spans="2:26" s="224" customFormat="1" ht="12.75" customHeight="1" x14ac:dyDescent="0.2">
      <x:c r="C182" s="223" t="s">
        <x:v>120</x:v>
      </x:c>
      <x:c r="D182" s="223" t="s">
        <x:v>70</x:v>
      </x:c>
      <x:c r="F182" s="225">
        <x:v>0</x:v>
      </x:c>
      <x:c r="G182" s="225">
        <x:v>0</x:v>
      </x:c>
      <x:c r="H182" s="225">
        <x:v>0</x:v>
      </x:c>
      <x:c r="I182" s="225">
        <x:v>0</x:v>
      </x:c>
      <x:c r="J182" s="225">
        <x:v>0</x:v>
      </x:c>
      <x:c r="K182" s="225">
        <x:v>0</x:v>
      </x:c>
      <x:c r="L182" s="225">
        <x:v>0</x:v>
      </x:c>
      <x:c r="M182" s="225">
        <x:v>0</x:v>
      </x:c>
      <x:c r="N182" s="225">
        <x:v>0</x:v>
      </x:c>
      <x:c r="O182" s="225">
        <x:v>0</x:v>
      </x:c>
      <x:c r="P182" s="225">
        <x:v>0</x:v>
      </x:c>
      <x:c r="Q182" s="225">
        <x:v>0</x:v>
      </x:c>
      <x:c r="R182" s="225">
        <x:v>0</x:v>
      </x:c>
      <x:c r="S182" s="225">
        <x:v>0</x:v>
      </x:c>
      <x:c r="T182" s="224">
        <x:v>0</x:v>
      </x:c>
      <x:c r="U182" s="224">
        <x:v>0</x:v>
      </x:c>
      <x:c r="V182" s="224">
        <x:v>0</x:v>
      </x:c>
      <x:c r="W182" s="224">
        <x:v>0</x:v>
      </x:c>
      <x:c r="X182" s="224">
        <x:v>0</x:v>
      </x:c>
      <x:c r="Y182" s="225">
        <x:v>0</x:v>
      </x:c>
      <x:c r="Z182" s="224">
        <x:v>0</x:v>
      </x:c>
    </x:row>
    <x:row r="183" spans="2:26" ht="12.75" customHeight="1" x14ac:dyDescent="0.2">
      <x:c r="D183" s="89"/>
      <x:c r="E183" s="89" t="s">
        <x:v>73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>
        <x:v>0</x:v>
      </x:c>
      <x:c r="Y183">
        <x:v>0</x:v>
      </x:c>
      <x:c r="Z183">
        <x:v>0</x:v>
      </x:c>
    </x:row>
    <x:row r="184" spans="2:26" ht="12.75" customHeight="1" x14ac:dyDescent="0.2">
      <x:c r="D184" s="89" t="s">
        <x:v>82</x:v>
      </x:c>
      <x:c r="E184" s="89" t="s">
        <x:v>70</x:v>
      </x:c>
      <x:c r="F184" s="371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 s="90">
        <x:v>0</x:v>
      </x:c>
      <x:c r="V184" s="90">
        <x:v>0</x:v>
      </x:c>
      <x:c r="W184" s="90">
        <x:v>0</x:v>
      </x:c>
      <x:c r="X184">
        <x:v>0</x:v>
      </x:c>
      <x:c r="Y184">
        <x:v>0</x:v>
      </x:c>
      <x:c r="Z184">
        <x:v>0</x:v>
      </x:c>
    </x:row>
    <x:row r="185" spans="2:26" ht="12.75" customHeight="1" x14ac:dyDescent="0.2">
      <x:c r="D185" s="89"/>
      <x:c r="E185" s="89" t="s">
        <x:v>73</x:v>
      </x:c>
      <x:c r="F185" s="371" t="n">
        <x:v>-128977.37</x:v>
      </x:c>
      <x:c r="G185" s="90" t="n">
        <x:v>-6033.92</x:v>
      </x:c>
      <x:c r="H185" s="90" t="n">
        <x:v>-3410.66</x:v>
      </x:c>
      <x:c r="I185" s="90" t="n">
        <x:v>-1805.06</x:v>
      </x:c>
      <x:c r="J185" s="90" t="n">
        <x:v>-34653.02</x:v>
      </x:c>
      <x:c r="K185" s="90" t="n">
        <x:v>-1065.44</x:v>
      </x:c>
      <x:c r="L185" s="90" t="n">
        <x:v>0</x:v>
      </x:c>
      <x:c r="M185" s="90" t="n">
        <x:v>-9345.88</x:v>
      </x:c>
      <x:c r="N185" s="90" t="n">
        <x:v>-10375.78</x:v>
      </x:c>
      <x:c r="O185" s="90" t="n">
        <x:v>-48453.07</x:v>
      </x:c>
      <x:c r="P185" s="90" t="n">
        <x:v>-12096.2</x:v>
      </x:c>
      <x:c r="Q185" s="90" t="n">
        <x:v>-1738.34</x:v>
      </x:c>
      <x:c r="R185" s="90" t="n">
        <x:v>0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>
        <x:v>0</x:v>
      </x:c>
      <x:c r="Y185">
        <x:v>0</x:v>
      </x:c>
      <x:c r="Z185" t="n">
        <x:v>0</x:v>
      </x:c>
    </x:row>
    <x:row r="186" spans="2:26" ht="12.75" customHeight="1" x14ac:dyDescent="0.2">
      <x:c r="D186" s="89" t="s">
        <x:v>86</x:v>
      </x:c>
      <x:c r="E186" s="89" t="s">
        <x:v>70</x:v>
      </x:c>
      <x:c r="F186" s="371" t="n">
        <x:v>-128977.37</x:v>
      </x:c>
      <x:c r="G186" s="90" t="n">
        <x:v>-6033.92</x:v>
      </x:c>
      <x:c r="H186" s="90" t="n">
        <x:v>-3410.66</x:v>
      </x:c>
      <x:c r="I186" s="90" t="n">
        <x:v>-1805.06</x:v>
      </x:c>
      <x:c r="J186" s="90" t="n">
        <x:v>-34653.02</x:v>
      </x:c>
      <x:c r="K186" s="90" t="n">
        <x:v>-1065.44</x:v>
      </x:c>
      <x:c r="L186" s="90" t="n">
        <x:v>0</x:v>
      </x:c>
      <x:c r="M186" s="90" t="n">
        <x:v>-9345.88</x:v>
      </x:c>
      <x:c r="N186" s="90" t="n">
        <x:v>-10375.78</x:v>
      </x:c>
      <x:c r="O186" s="90" t="n">
        <x:v>-48453.07</x:v>
      </x:c>
      <x:c r="P186" s="90" t="n">
        <x:v>-12096.2</x:v>
      </x:c>
      <x:c r="Q186" s="90" t="n">
        <x:v>-1738.34</x:v>
      </x:c>
      <x:c r="R186" s="90" t="n">
        <x:v>0</x:v>
      </x:c>
      <x:c r="S186" s="90" t="n">
        <x:v>0</x:v>
      </x:c>
      <x:c r="T186" s="90" t="n">
        <x:v>0</x:v>
      </x:c>
      <x:c r="U186" s="90">
        <x:v>0</x:v>
      </x:c>
      <x:c r="V186" s="90">
        <x:v>0</x:v>
      </x:c>
      <x:c r="W186" s="90">
        <x:v>0</x:v>
      </x:c>
      <x:c r="X186">
        <x:v>0</x:v>
      </x:c>
      <x:c r="Y186">
        <x:v>0</x:v>
      </x:c>
      <x:c r="Z186" t="n">
        <x:v>0</x:v>
      </x:c>
    </x:row>
    <x:row r="187" spans="2:26" x14ac:dyDescent="0.2">
      <x:c r="E187" t="s">
        <x:v>73</x:v>
      </x:c>
      <x:c r="F187" s="90" t="n">
        <x:v>-8984.89</x:v>
      </x:c>
      <x:c r="G187" s="90" t="n">
        <x:v>-469.66</x:v>
      </x:c>
      <x:c r="H187" s="90" t="n">
        <x:v>-266.35</x:v>
      </x:c>
      <x:c r="I187" s="90" t="n">
        <x:v>-144.42</x:v>
      </x:c>
      <x:c r="J187" s="90" t="n">
        <x:v>-2366.48</x:v>
      </x:c>
      <x:c r="K187" s="90" t="n">
        <x:v>-56.96</x:v>
      </x:c>
      <x:c r="L187" s="90" t="n">
        <x:v>0</x:v>
      </x:c>
      <x:c r="M187" s="90" t="n">
        <x:v>-499.71</x:v>
      </x:c>
      <x:c r="N187" s="90" t="n">
        <x:v>-736.71</x:v>
      </x:c>
      <x:c r="O187" s="90" t="n">
        <x:v>-3405.27</x:v>
      </x:c>
      <x:c r="P187" s="90" t="n">
        <x:v>-946.38</x:v>
      </x:c>
      <x:c r="Q187" s="90" t="n">
        <x:v>-92.95</x:v>
      </x:c>
      <x:c r="R187" s="90" t="n">
        <x:v>0</x:v>
      </x:c>
      <x:c r="S187" s="90" t="n">
        <x:v>0</x:v>
      </x:c>
      <x:c r="T187" s="90" t="n">
        <x:v>0</x:v>
      </x:c>
      <x:c r="U187">
        <x:v>0</x:v>
      </x:c>
      <x:c r="V187">
        <x:v>0</x:v>
      </x:c>
      <x:c r="W187">
        <x:v>0</x:v>
      </x:c>
      <x:c r="X187">
        <x:v>0</x:v>
      </x:c>
      <x:c r="Y187">
        <x:v>0</x:v>
      </x:c>
      <x:c r="Z187" s="90" t="n">
        <x:v>0</x:v>
      </x:c>
    </x:row>
    <x:row r="188" spans="2:26" x14ac:dyDescent="0.2">
      <x:c r="D188" t="s">
        <x:v>87</x:v>
      </x:c>
      <x:c r="E188" t="s">
        <x:v>70</x:v>
      </x:c>
      <x:c r="F188" s="90" t="n">
        <x:v>-8984.89</x:v>
      </x:c>
      <x:c r="G188" s="90" t="n">
        <x:v>-469.66</x:v>
      </x:c>
      <x:c r="H188" s="90" t="n">
        <x:v>-266.35</x:v>
      </x:c>
      <x:c r="I188" s="90" t="n">
        <x:v>-144.42</x:v>
      </x:c>
      <x:c r="J188" s="90" t="n">
        <x:v>-2366.48</x:v>
      </x:c>
      <x:c r="K188" s="90" t="n">
        <x:v>-56.96</x:v>
      </x:c>
      <x:c r="L188" s="90" t="n">
        <x:v>0</x:v>
      </x:c>
      <x:c r="M188" s="90" t="n">
        <x:v>-499.71</x:v>
      </x:c>
      <x:c r="N188" s="90" t="n">
        <x:v>-736.71</x:v>
      </x:c>
      <x:c r="O188" s="90" t="n">
        <x:v>-3405.27</x:v>
      </x:c>
      <x:c r="P188" s="90" t="n">
        <x:v>-946.38</x:v>
      </x:c>
      <x:c r="Q188" s="90" t="n">
        <x:v>-92.95</x:v>
      </x:c>
      <x:c r="R188" s="90" t="n">
        <x:v>0</x:v>
      </x:c>
      <x:c r="S188" s="90" t="n">
        <x:v>0</x:v>
      </x:c>
      <x:c r="T188" s="90" t="n">
        <x:v>0</x:v>
      </x:c>
      <x:c r="U188">
        <x:v>0</x:v>
      </x:c>
      <x:c r="V188">
        <x:v>0</x:v>
      </x:c>
      <x:c r="W188">
        <x:v>0</x:v>
      </x:c>
      <x:c r="X188">
        <x:v>0</x:v>
      </x:c>
      <x:c r="Y188">
        <x:v>0</x:v>
      </x:c>
      <x:c r="Z188" s="90" t="n">
        <x:v>0</x:v>
      </x:c>
    </x:row>
    <x:row r="189" spans="2:26" s="94" customFormat="1" ht="12.75" customHeight="1" x14ac:dyDescent="0.2">
      <x:c r="C189" s="94" t="s">
        <x:v>119</x:v>
      </x:c>
      <x:c r="D189" s="94" t="s">
        <x:v>70</x:v>
      </x:c>
      <x:c r="E189" s="101"/>
      <x:c r="F189" s="93" t="n">
        <x:v>-137962.26</x:v>
      </x:c>
      <x:c r="G189" s="93" t="n">
        <x:v>-6503.58</x:v>
      </x:c>
      <x:c r="H189" s="93" t="n">
        <x:v>-3677.01</x:v>
      </x:c>
      <x:c r="I189" s="93" t="n">
        <x:v>-1949.48</x:v>
      </x:c>
      <x:c r="J189" s="93" t="n">
        <x:v>-37019.5</x:v>
      </x:c>
      <x:c r="K189" s="93" t="n">
        <x:v>-1122.4</x:v>
      </x:c>
      <x:c r="L189" s="93" t="n">
        <x:v>0</x:v>
      </x:c>
      <x:c r="M189" s="93" t="n">
        <x:v>-9845.59</x:v>
      </x:c>
      <x:c r="N189" s="93" t="n">
        <x:v>-11112.49</x:v>
      </x:c>
      <x:c r="O189" s="93" t="n">
        <x:v>-51858.34</x:v>
      </x:c>
      <x:c r="P189" s="93" t="n">
        <x:v>-13042.58</x:v>
      </x:c>
      <x:c r="Q189" s="93" t="n">
        <x:v>-1831.29</x:v>
      </x:c>
      <x:c r="R189" s="93" t="n">
        <x:v>0</x:v>
      </x:c>
      <x:c r="S189" s="93" t="n">
        <x:v>0</x:v>
      </x:c>
      <x:c r="T189" s="93" t="n">
        <x:v>0</x:v>
      </x:c>
      <x:c r="U189" s="93">
        <x:v>0</x:v>
      </x:c>
      <x:c r="V189" s="93">
        <x:v>0</x:v>
      </x:c>
      <x:c r="W189" s="93">
        <x:v>0</x:v>
      </x:c>
      <x:c r="X189" s="94">
        <x:v>0</x:v>
      </x:c>
      <x:c r="Y189" s="94">
        <x:v>0</x:v>
      </x:c>
      <x:c r="Z189" s="94" t="n">
        <x:v>0</x:v>
      </x:c>
    </x:row>
    <x:row r="190" spans="2:26" s="378" customFormat="1" ht="12.75" customHeight="1" x14ac:dyDescent="0.2">
      <x:c r="B190" s="378" t="s">
        <x:v>122</x:v>
      </x:c>
      <x:c r="C190" s="378" t="s">
        <x:v>70</x:v>
      </x:c>
      <x:c r="E190" s="376"/>
      <x:c r="F190" s="710" t="n">
        <x:v>25796638.37</x:v>
      </x:c>
      <x:c r="G190" s="377" t="n">
        <x:v>6676205.27</x:v>
      </x:c>
      <x:c r="H190" s="377" t="n">
        <x:v>3774152.12</x:v>
      </x:c>
      <x:c r="I190" s="377" t="n">
        <x:v>1999713.93</x:v>
      </x:c>
      <x:c r="J190" s="377" t="n">
        <x:v>-15960.06</x:v>
      </x:c>
      <x:c r="K190" s="377" t="n">
        <x:v>-733.62</x:v>
      </x:c>
      <x:c r="L190" s="377" t="n">
        <x:v>0</x:v>
      </x:c>
      <x:c r="M190" s="377" t="n">
        <x:v>-6435.27</x:v>
      </x:c>
      <x:c r="N190" s="377" t="n">
        <x:v>-4656.79</x:v>
      </x:c>
      <x:c r="O190" s="377" t="n">
        <x:v>-21257</x:v>
      </x:c>
      <x:c r="P190" s="377" t="n">
        <x:v>13396806.77</x:v>
      </x:c>
      <x:c r="Q190" s="377" t="n">
        <x:v>-1196.98</x:v>
      </x:c>
      <x:c r="R190" s="377" t="n">
        <x:v>0</x:v>
      </x:c>
      <x:c r="S190" s="377" t="n">
        <x:v>0</x:v>
      </x:c>
      <x:c r="T190" s="377" t="n">
        <x:v>0</x:v>
      </x:c>
      <x:c r="U190" s="377">
        <x:v>0</x:v>
      </x:c>
      <x:c r="V190" s="377">
        <x:v>0</x:v>
      </x:c>
      <x:c r="W190" s="377">
        <x:v>0</x:v>
      </x:c>
      <x:c r="X190" s="378">
        <x:v>0</x:v>
      </x:c>
      <x:c r="Y190" s="378">
        <x:v>0</x:v>
      </x:c>
      <x:c r="Z190" s="378" t="n">
        <x:v>0</x:v>
      </x:c>
    </x:row>
    <x:row r="191" spans="2:26" ht="12.75" customHeight="1" x14ac:dyDescent="0.2">
      <x:c r="E191" s="89" t="s">
        <x:v>73</x:v>
      </x:c>
      <x:c r="F191" s="90" t="n">
        <x:v>-5016640264.67</x:v>
      </x:c>
      <x:c r="G191" s="90" t="n">
        <x:v>-120615699.15</x:v>
      </x:c>
      <x:c r="H191" s="90" t="n">
        <x:v>-67567315.69</x:v>
      </x:c>
      <x:c r="I191" s="90" t="n">
        <x:v>-35149668.94</x:v>
      </x:c>
      <x:c r="J191" s="90" t="n">
        <x:v>-1363592731.79</x:v>
      </x:c>
      <x:c r="K191" s="90" t="n">
        <x:v>-52548443.06</x:v>
      </x:c>
      <x:c r="L191" s="90" t="n">
        <x:v>0</x:v>
      </x:c>
      <x:c r="M191" s="90" t="n">
        <x:v>-460998533.55</x:v>
      </x:c>
      <x:c r="N191" s="90" t="n">
        <x:v>-454669135.03</x:v>
      </x:c>
      <x:c r="O191" s="90" t="n">
        <x:v>-2143895846.29</x:v>
      </x:c>
      <x:c r="P191" s="90" t="n">
        <x:v>-231862522.76</x:v>
      </x:c>
      <x:c r="Q191" s="90" t="n">
        <x:v>-85740368.41</x:v>
      </x:c>
      <x:c r="R191" s="90" t="n">
        <x:v>0</x:v>
      </x:c>
      <x:c r="S191" s="90" t="n">
        <x:v>0</x:v>
      </x:c>
      <x:c r="T191" s="90" t="n">
        <x:v>0</x:v>
      </x:c>
      <x:c r="U191" s="90">
        <x:v>0</x:v>
      </x:c>
      <x:c r="V191" s="90">
        <x:v>0</x:v>
      </x:c>
      <x:c r="W191" s="90">
        <x:v>0</x:v>
      </x:c>
      <x:c r="X191">
        <x:v>0</x:v>
      </x:c>
      <x:c r="Y191">
        <x:v>0</x:v>
      </x:c>
      <x:c r="Z191" t="n">
        <x:v>0</x:v>
      </x:c>
    </x:row>
    <x:row r="192" spans="2:26" ht="12.75" customHeight="1" x14ac:dyDescent="0.2">
      <x:c r="D192" s="89" t="s">
        <x:v>156</x:v>
      </x:c>
      <x:c r="E192" s="89" t="s">
        <x:v>70</x:v>
      </x:c>
      <x:c r="F192" s="90" t="n">
        <x:v>-5016640264.67</x:v>
      </x:c>
      <x:c r="G192" s="90" t="n">
        <x:v>-120615699.15</x:v>
      </x:c>
      <x:c r="H192" s="90" t="n">
        <x:v>-67567315.69</x:v>
      </x:c>
      <x:c r="I192" s="90" t="n">
        <x:v>-35149668.94</x:v>
      </x:c>
      <x:c r="J192" s="90" t="n">
        <x:v>-1363592731.79</x:v>
      </x:c>
      <x:c r="K192" s="90" t="n">
        <x:v>-52548443.06</x:v>
      </x:c>
      <x:c r="L192" s="90" t="n">
        <x:v>0</x:v>
      </x:c>
      <x:c r="M192" s="90" t="n">
        <x:v>-460998533.55</x:v>
      </x:c>
      <x:c r="N192" s="90" t="n">
        <x:v>-454669135.03</x:v>
      </x:c>
      <x:c r="O192" s="90" t="n">
        <x:v>-2143895846.29</x:v>
      </x:c>
      <x:c r="P192" s="90" t="n">
        <x:v>-231862522.76</x:v>
      </x:c>
      <x:c r="Q192" s="90" t="n">
        <x:v>-85740368.41</x:v>
      </x:c>
      <x:c r="R192" s="90" t="n">
        <x:v>0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2:26" s="656" customFormat="1" ht="12.75" customHeight="1" x14ac:dyDescent="0.2">
      <x:c r="C193" s="656" t="s">
        <x:v>155</x:v>
      </x:c>
      <x:c r="D193" s="657" t="s">
        <x:v>70</x:v>
      </x:c>
      <x:c r="E193" s="657"/>
      <x:c r="F193" s="738" t="n">
        <x:v>-5016640264.67</x:v>
      </x:c>
      <x:c r="G193" s="658" t="n">
        <x:v>-120615699.15</x:v>
      </x:c>
      <x:c r="H193" s="658" t="n">
        <x:v>-67567315.69</x:v>
      </x:c>
      <x:c r="I193" s="658" t="n">
        <x:v>-35149668.94</x:v>
      </x:c>
      <x:c r="J193" s="658" t="n">
        <x:v>-1363592731.79</x:v>
      </x:c>
      <x:c r="K193" s="658" t="n">
        <x:v>-52548443.06</x:v>
      </x:c>
      <x:c r="L193" s="658" t="n">
        <x:v>0</x:v>
      </x:c>
      <x:c r="M193" s="658" t="n">
        <x:v>-460998533.55</x:v>
      </x:c>
      <x:c r="N193" s="658" t="n">
        <x:v>-454669135.03</x:v>
      </x:c>
      <x:c r="O193" s="658" t="n">
        <x:v>-2143895846.29</x:v>
      </x:c>
      <x:c r="P193" s="658" t="n">
        <x:v>-231862522.76</x:v>
      </x:c>
      <x:c r="Q193" s="658" t="n">
        <x:v>-85740368.41</x:v>
      </x:c>
      <x:c r="R193" s="658" t="n">
        <x:v>0</x:v>
      </x:c>
      <x:c r="S193" s="658" t="n">
        <x:v>0</x:v>
      </x:c>
      <x:c r="T193" s="658" t="n">
        <x:v>0</x:v>
      </x:c>
      <x:c r="U193" s="658">
        <x:v>0</x:v>
      </x:c>
      <x:c r="V193" s="658">
        <x:v>0</x:v>
      </x:c>
      <x:c r="W193" s="658">
        <x:v>0</x:v>
      </x:c>
      <x:c r="X193" s="656">
        <x:v>0</x:v>
      </x:c>
      <x:c r="Y193" s="656">
        <x:v>0</x:v>
      </x:c>
      <x:c r="Z193" s="656" t="n">
        <x:v>0</x:v>
      </x:c>
    </x:row>
    <x:row r="194" spans="2:26" ht="12.75" customHeight="1" x14ac:dyDescent="0.2">
      <x:c r="D194" s="89"/>
      <x:c r="E194" s="89" t="s">
        <x:v>73</x:v>
      </x:c>
      <x:c r="F194" s="371" t="n">
        <x:v>-328437.49</x:v>
      </x:c>
      <x:c r="G194" s="90" t="n">
        <x:v>-11613.87</x:v>
      </x:c>
      <x:c r="H194" s="90" t="n">
        <x:v>-5643.65</x:v>
      </x:c>
      <x:c r="I194" s="90" t="n">
        <x:v>-3115.56</x:v>
      </x:c>
      <x:c r="J194" s="90" t="n">
        <x:v>-94908.85</x:v>
      </x:c>
      <x:c r="K194" s="90" t="n">
        <x:v>-2649.28</x:v>
      </x:c>
      <x:c r="L194" s="90" t="n">
        <x:v>0</x:v>
      </x:c>
      <x:c r="M194" s="90" t="n">
        <x:v>-23240.44</x:v>
      </x:c>
      <x:c r="N194" s="90" t="n">
        <x:v>-28376.91</x:v>
      </x:c>
      <x:c r="O194" s="90" t="n">
        <x:v>-131234.69</x:v>
      </x:c>
      <x:c r="P194" s="90" t="n">
        <x:v>-23331.45</x:v>
      </x:c>
      <x:c r="Q194" s="90" t="n">
        <x:v>-4322.79</x:v>
      </x:c>
      <x:c r="R194" s="90" t="n">
        <x:v>0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2:26" ht="12.75" customHeight="1" x14ac:dyDescent="0.2">
      <x:c r="D195" s="89" t="s">
        <x:v>115</x:v>
      </x:c>
      <x:c r="E195" s="89" t="s">
        <x:v>70</x:v>
      </x:c>
      <x:c r="F195" s="371" t="n">
        <x:v>-328437.49</x:v>
      </x:c>
      <x:c r="G195" s="90" t="n">
        <x:v>-11613.87</x:v>
      </x:c>
      <x:c r="H195" s="90" t="n">
        <x:v>-5643.65</x:v>
      </x:c>
      <x:c r="I195" s="90" t="n">
        <x:v>-3115.56</x:v>
      </x:c>
      <x:c r="J195" s="90" t="n">
        <x:v>-94908.85</x:v>
      </x:c>
      <x:c r="K195" s="90" t="n">
        <x:v>-2649.28</x:v>
      </x:c>
      <x:c r="L195" s="90" t="n">
        <x:v>0</x:v>
      </x:c>
      <x:c r="M195" s="90" t="n">
        <x:v>-23240.44</x:v>
      </x:c>
      <x:c r="N195" s="90" t="n">
        <x:v>-28376.91</x:v>
      </x:c>
      <x:c r="O195" s="90" t="n">
        <x:v>-131234.69</x:v>
      </x:c>
      <x:c r="P195" s="90" t="n">
        <x:v>-23331.45</x:v>
      </x:c>
      <x:c r="Q195" s="90" t="n">
        <x:v>-4322.79</x:v>
      </x:c>
      <x:c r="R195" s="90" t="n">
        <x:v>0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2:26" ht="12.75" customHeight="1" x14ac:dyDescent="0.2">
      <x:c r="D196" s="89"/>
      <x:c r="E196" s="89" t="s">
        <x:v>73</x:v>
      </x:c>
      <x:c r="F196" s="371" t="n">
        <x:v>-112415.22</x:v>
      </x:c>
      <x:c r="G196" s="90" t="n">
        <x:v>-4551.45</x:v>
      </x:c>
      <x:c r="H196" s="90" t="n">
        <x:v>-1756.71</x:v>
      </x:c>
      <x:c r="I196" s="90" t="n">
        <x:v>-1018.9</x:v>
      </x:c>
      <x:c r="J196" s="90" t="n">
        <x:v>-37031.17</x:v>
      </x:c>
      <x:c r="K196" s="90" t="n">
        <x:v>-812.03</x:v>
      </x:c>
      <x:c r="L196" s="90" t="n">
        <x:v>0</x:v>
      </x:c>
      <x:c r="M196" s="90" t="n">
        <x:v>-7123.15</x:v>
      </x:c>
      <x:c r="N196" s="90" t="n">
        <x:v>-9135.71</x:v>
      </x:c>
      <x:c r="O196" s="90" t="n">
        <x:v>-41432.52</x:v>
      </x:c>
      <x:c r="P196" s="90" t="n">
        <x:v>-8228.67</x:v>
      </x:c>
      <x:c r="Q196" s="90" t="n">
        <x:v>-1324.91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2:26" ht="12.75" customHeight="1" x14ac:dyDescent="0.2">
      <x:c r="D197" s="89" t="s">
        <x:v>116</x:v>
      </x:c>
      <x:c r="E197" s="89" t="s">
        <x:v>70</x:v>
      </x:c>
      <x:c r="F197" s="371" t="n">
        <x:v>-112415.22</x:v>
      </x:c>
      <x:c r="G197" s="90" t="n">
        <x:v>-4551.45</x:v>
      </x:c>
      <x:c r="H197" s="90" t="n">
        <x:v>-1756.71</x:v>
      </x:c>
      <x:c r="I197" s="90" t="n">
        <x:v>-1018.9</x:v>
      </x:c>
      <x:c r="J197" s="90" t="n">
        <x:v>-37031.17</x:v>
      </x:c>
      <x:c r="K197" s="90" t="n">
        <x:v>-812.03</x:v>
      </x:c>
      <x:c r="L197" s="90" t="n">
        <x:v>0</x:v>
      </x:c>
      <x:c r="M197" s="90" t="n">
        <x:v>-7123.15</x:v>
      </x:c>
      <x:c r="N197" s="90" t="n">
        <x:v>-9135.71</x:v>
      </x:c>
      <x:c r="O197" s="90" t="n">
        <x:v>-41432.52</x:v>
      </x:c>
      <x:c r="P197" s="90" t="n">
        <x:v>-8228.67</x:v>
      </x:c>
      <x:c r="Q197" s="90" t="n">
        <x:v>-1324.91</x:v>
      </x:c>
      <x:c r="R197" s="90" t="n">
        <x:v>0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2:26" ht="12.75" customHeight="1" x14ac:dyDescent="0.2">
      <x:c r="E198" s="89" t="s">
        <x:v>73</x:v>
      </x:c>
      <x:c r="F198" s="90" t="n">
        <x:v>-3451240.48</x:v>
      </x:c>
      <x:c r="G198" s="90" t="n">
        <x:v>-135031.02</x:v>
      </x:c>
      <x:c r="H198" s="90" t="n">
        <x:v>-72868.27</x:v>
      </x:c>
      <x:c r="I198" s="90" t="n">
        <x:v>-38986.63</x:v>
      </x:c>
      <x:c r="J198" s="90" t="n">
        <x:v>-945786.81</x:v>
      </x:c>
      <x:c r="K198" s="90" t="n">
        <x:v>-30905.95</x:v>
      </x:c>
      <x:c r="L198" s="90" t="n">
        <x:v>0</x:v>
      </x:c>
      <x:c r="M198" s="90" t="n">
        <x:v>-271103.17</x:v>
      </x:c>
      <x:c r="N198" s="90" t="n">
        <x:v>-289542.81</x:v>
      </x:c>
      <x:c r="O198" s="90" t="n">
        <x:v>-1357719.27</x:v>
      </x:c>
      <x:c r="P198" s="90" t="n">
        <x:v>-258871.15</x:v>
      </x:c>
      <x:c r="Q198" s="90" t="n">
        <x:v>-50425.4</x:v>
      </x:c>
      <x:c r="R198" s="90" t="n">
        <x:v>0</x:v>
      </x:c>
      <x:c r="S198" s="90" t="n">
        <x:v>0</x:v>
      </x:c>
      <x:c r="T198" s="90" t="n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 t="n">
        <x:v>0</x:v>
      </x:c>
    </x:row>
    <x:row r="199" spans="2:26" ht="12.75" customHeight="1" x14ac:dyDescent="0.2">
      <x:c r="D199" s="89" t="s">
        <x:v>118</x:v>
      </x:c>
      <x:c r="E199" s="89" t="s">
        <x:v>70</x:v>
      </x:c>
      <x:c r="F199" s="90" t="n">
        <x:v>-3451240.48</x:v>
      </x:c>
      <x:c r="G199" s="90" t="n">
        <x:v>-135031.02</x:v>
      </x:c>
      <x:c r="H199" s="90" t="n">
        <x:v>-72868.27</x:v>
      </x:c>
      <x:c r="I199" s="90" t="n">
        <x:v>-38986.63</x:v>
      </x:c>
      <x:c r="J199" s="90" t="n">
        <x:v>-945786.81</x:v>
      </x:c>
      <x:c r="K199" s="90" t="n">
        <x:v>-30905.95</x:v>
      </x:c>
      <x:c r="L199" s="90" t="n">
        <x:v>0</x:v>
      </x:c>
      <x:c r="M199" s="90" t="n">
        <x:v>-271103.17</x:v>
      </x:c>
      <x:c r="N199" s="90" t="n">
        <x:v>-289542.81</x:v>
      </x:c>
      <x:c r="O199" s="90" t="n">
        <x:v>-1357719.27</x:v>
      </x:c>
      <x:c r="P199" s="90" t="n">
        <x:v>-258871.15</x:v>
      </x:c>
      <x:c r="Q199" s="90" t="n">
        <x:v>-50425.4</x:v>
      </x:c>
      <x:c r="R199" s="90" t="n">
        <x:v>0</x:v>
      </x:c>
      <x:c r="S199" s="90" t="n">
        <x:v>0</x:v>
      </x:c>
      <x:c r="T199" s="90" t="n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 t="n">
        <x:v>0</x:v>
      </x:c>
    </x:row>
    <x:row r="200" spans="2:26" s="224" customFormat="1" ht="12.75" customHeight="1" x14ac:dyDescent="0.2">
      <x:c r="C200" s="223" t="s">
        <x:v>120</x:v>
      </x:c>
      <x:c r="D200" s="223" t="s">
        <x:v>70</x:v>
      </x:c>
      <x:c r="F200" s="225" t="n">
        <x:v>-3892093.19</x:v>
      </x:c>
      <x:c r="G200" s="225" t="n">
        <x:v>-151196.34</x:v>
      </x:c>
      <x:c r="H200" s="225" t="n">
        <x:v>-80268.63</x:v>
      </x:c>
      <x:c r="I200" s="225" t="n">
        <x:v>-43121.09</x:v>
      </x:c>
      <x:c r="J200" s="225" t="n">
        <x:v>-1077726.83</x:v>
      </x:c>
      <x:c r="K200" s="225" t="n">
        <x:v>-34367.26</x:v>
      </x:c>
      <x:c r="L200" s="225" t="n">
        <x:v>0</x:v>
      </x:c>
      <x:c r="M200" s="225" t="n">
        <x:v>-301466.76</x:v>
      </x:c>
      <x:c r="N200" s="225" t="n">
        <x:v>-327055.43</x:v>
      </x:c>
      <x:c r="O200" s="225" t="n">
        <x:v>-1530386.48</x:v>
      </x:c>
      <x:c r="P200" s="225" t="n">
        <x:v>-290431.27</x:v>
      </x:c>
      <x:c r="Q200" s="225" t="n">
        <x:v>-56073.1</x:v>
      </x:c>
      <x:c r="R200" s="225" t="n">
        <x:v>0</x:v>
      </x:c>
      <x:c r="S200" s="225" t="n">
        <x:v>0</x:v>
      </x:c>
      <x:c r="T200" s="225" t="n">
        <x:v>0</x:v>
      </x:c>
      <x:c r="U200" s="225">
        <x:v>0</x:v>
      </x:c>
      <x:c r="V200" s="225">
        <x:v>0</x:v>
      </x:c>
      <x:c r="W200" s="225">
        <x:v>0</x:v>
      </x:c>
      <x:c r="X200" s="224">
        <x:v>0</x:v>
      </x:c>
      <x:c r="Y200" s="224">
        <x:v>0</x:v>
      </x:c>
      <x:c r="Z200" s="224" t="n">
        <x:v>0</x:v>
      </x:c>
    </x:row>
    <x:row r="201" spans="2:26" ht="12.75" customHeight="1" x14ac:dyDescent="0.2">
      <x:c r="E201" s="89" t="s">
        <x:v>73</x:v>
      </x:c>
      <x:c r="F201" s="90" t="n">
        <x:v>-42013168.38</x:v>
      </x:c>
      <x:c r="G201" s="90" t="n">
        <x:v>1551885.63</x:v>
      </x:c>
      <x:c r="H201" s="90" t="n">
        <x:v>903751.08</x:v>
      </x:c>
      <x:c r="I201" s="90" t="n">
        <x:v>494344.81</x:v>
      </x:c>
      <x:c r="J201" s="90" t="n">
        <x:v>-15659485.85</x:v>
      </x:c>
      <x:c r="K201" s="90" t="n">
        <x:v>-397964.69</x:v>
      </x:c>
      <x:c r="L201" s="90" t="n">
        <x:v>0</x:v>
      </x:c>
      <x:c r="M201" s="90" t="n">
        <x:v>-3500779.72</x:v>
      </x:c>
      <x:c r="N201" s="90" t="n">
        <x:v>-5014588.16</x:v>
      </x:c>
      <x:c r="O201" s="90" t="n">
        <x:v>-23024162.74</x:v>
      </x:c>
      <x:c r="P201" s="90" t="n">
        <x:v>3283440.05</x:v>
      </x:c>
      <x:c r="Q201" s="90" t="n">
        <x:v>-649608.79</x:v>
      </x:c>
      <x:c r="R201" s="90" t="n">
        <x:v>0</x:v>
      </x:c>
      <x:c r="S201" s="90" t="n">
        <x:v>0</x:v>
      </x:c>
      <x:c r="T201" s="90" t="n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 t="n">
        <x:v>0</x:v>
      </x:c>
    </x:row>
    <x:row r="202" spans="2:26" ht="12.75" customHeight="1" x14ac:dyDescent="0.2">
      <x:c r="D202" s="89" t="s">
        <x:v>82</x:v>
      </x:c>
      <x:c r="E202" s="89" t="s">
        <x:v>70</x:v>
      </x:c>
      <x:c r="F202" s="90" t="n">
        <x:v>-42013168.38</x:v>
      </x:c>
      <x:c r="G202" s="90" t="n">
        <x:v>1551885.63</x:v>
      </x:c>
      <x:c r="H202" s="90" t="n">
        <x:v>903751.08</x:v>
      </x:c>
      <x:c r="I202" s="90" t="n">
        <x:v>494344.81</x:v>
      </x:c>
      <x:c r="J202" s="90" t="n">
        <x:v>-15659485.85</x:v>
      </x:c>
      <x:c r="K202" s="90" t="n">
        <x:v>-397964.69</x:v>
      </x:c>
      <x:c r="L202" s="90" t="n">
        <x:v>0</x:v>
      </x:c>
      <x:c r="M202" s="90" t="n">
        <x:v>-3500779.72</x:v>
      </x:c>
      <x:c r="N202" s="90" t="n">
        <x:v>-5014588.16</x:v>
      </x:c>
      <x:c r="O202" s="90" t="n">
        <x:v>-23024162.74</x:v>
      </x:c>
      <x:c r="P202" s="90" t="n">
        <x:v>3283440.05</x:v>
      </x:c>
      <x:c r="Q202" s="90" t="n">
        <x:v>-649608.79</x:v>
      </x:c>
      <x:c r="R202" s="90" t="n">
        <x:v>0</x:v>
      </x:c>
      <x:c r="S202" s="90" t="n">
        <x:v>0</x:v>
      </x:c>
      <x:c r="T202" s="90" t="n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 t="n">
        <x:v>0</x:v>
      </x:c>
    </x:row>
    <x:row r="203" spans="2:26" ht="12.75" customHeight="1" x14ac:dyDescent="0.2">
      <x:c r="E203" s="89" t="s">
        <x:v>73</x:v>
      </x:c>
      <x:c r="F203" s="90" t="n">
        <x:v>5200539.08</x:v>
      </x:c>
      <x:c r="G203" s="90" t="n">
        <x:v>4284652.66</x:v>
      </x:c>
      <x:c r="H203" s="90" t="n">
        <x:v>2271169.16</x:v>
      </x:c>
      <x:c r="I203" s="90" t="n">
        <x:v>1160829.6</x:v>
      </x:c>
      <x:c r="J203" s="90" t="n">
        <x:v>-3512101.13</x:v>
      </x:c>
      <x:c r="K203" s="90" t="n">
        <x:v>-95526.76</x:v>
      </x:c>
      <x:c r="L203" s="90" t="n">
        <x:v>0</x:v>
      </x:c>
      <x:c r="M203" s="90" t="n">
        <x:v>-838541.47</x:v>
      </x:c>
      <x:c r="N203" s="90" t="n">
        <x:v>-1042638.62</x:v>
      </x:c>
      <x:c r="O203" s="90" t="n">
        <x:v>-5481137.81</x:v>
      </x:c>
      <x:c r="P203" s="90" t="n">
        <x:v>8609797.88</x:v>
      </x:c>
      <x:c r="Q203" s="90" t="n">
        <x:v>-155964.43</x:v>
      </x:c>
      <x:c r="R203" s="90" t="n">
        <x:v>0</x:v>
      </x:c>
      <x:c r="S203" s="90" t="n">
        <x:v>0</x:v>
      </x:c>
      <x:c r="T203" s="90" t="n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 t="n">
        <x:v>0</x:v>
      </x:c>
    </x:row>
    <x:row r="204" spans="2:26" ht="12.75" customHeight="1" x14ac:dyDescent="0.2">
      <x:c r="D204" s="89" t="s">
        <x:v>86</x:v>
      </x:c>
      <x:c r="E204" s="89" t="s">
        <x:v>70</x:v>
      </x:c>
      <x:c r="F204" s="90" t="n">
        <x:v>5200539.08</x:v>
      </x:c>
      <x:c r="G204" s="90" t="n">
        <x:v>4284652.66</x:v>
      </x:c>
      <x:c r="H204" s="90" t="n">
        <x:v>2271169.16</x:v>
      </x:c>
      <x:c r="I204" s="90" t="n">
        <x:v>1160829.6</x:v>
      </x:c>
      <x:c r="J204" s="90" t="n">
        <x:v>-3512101.13</x:v>
      </x:c>
      <x:c r="K204" s="90" t="n">
        <x:v>-95526.76</x:v>
      </x:c>
      <x:c r="L204" s="90" t="n">
        <x:v>0</x:v>
      </x:c>
      <x:c r="M204" s="90" t="n">
        <x:v>-838541.47</x:v>
      </x:c>
      <x:c r="N204" s="90" t="n">
        <x:v>-1042638.62</x:v>
      </x:c>
      <x:c r="O204" s="90" t="n">
        <x:v>-5481137.81</x:v>
      </x:c>
      <x:c r="P204" s="90" t="n">
        <x:v>8609797.88</x:v>
      </x:c>
      <x:c r="Q204" s="90" t="n">
        <x:v>-155964.43</x:v>
      </x:c>
      <x:c r="R204" s="90" t="n">
        <x:v>0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2:26" ht="12.75" customHeight="1" x14ac:dyDescent="0.2">
      <x:c r="E205" s="89" t="s">
        <x:v>73</x:v>
      </x:c>
      <x:c r="F205" s="90" t="n">
        <x:v>51817160.15</x:v>
      </x:c>
      <x:c r="G205" s="90" t="n">
        <x:v>15021525.93</x:v>
      </x:c>
      <x:c r="H205" s="90" t="n">
        <x:v>8504894.69</x:v>
      </x:c>
      <x:c r="I205" s="90" t="n">
        <x:v>4570984.68</x:v>
      </x:c>
      <x:c r="J205" s="90" t="n">
        <x:v>-1718924.16</x:v>
      </x:c>
      <x:c r="K205" s="90" t="n">
        <x:v>-58626.77</x:v>
      </x:c>
      <x:c r="L205" s="90" t="n">
        <x:v>0</x:v>
      </x:c>
      <x:c r="M205" s="90" t="n">
        <x:v>-521631.88</x:v>
      </x:c>
      <x:c r="N205" s="90" t="n">
        <x:v>-773257.11</x:v>
      </x:c>
      <x:c r="O205" s="90" t="n">
        <x:v>-3589904.61</x:v>
      </x:c>
      <x:c r="P205" s="90" t="n">
        <x:v>30477829.46</x:v>
      </x:c>
      <x:c r="Q205" s="90" t="n">
        <x:v>-95730.08</x:v>
      </x:c>
      <x:c r="R205" s="90" t="n">
        <x:v>0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2:26" ht="12.75" customHeight="1" x14ac:dyDescent="0.2">
      <x:c r="D206" s="89" t="s">
        <x:v>87</x:v>
      </x:c>
      <x:c r="E206" s="89" t="s">
        <x:v>70</x:v>
      </x:c>
      <x:c r="F206" s="90" t="n">
        <x:v>51817160.15</x:v>
      </x:c>
      <x:c r="G206" s="90" t="n">
        <x:v>15021525.93</x:v>
      </x:c>
      <x:c r="H206" s="90" t="n">
        <x:v>8504894.69</x:v>
      </x:c>
      <x:c r="I206" s="90" t="n">
        <x:v>4570984.68</x:v>
      </x:c>
      <x:c r="J206" s="90" t="n">
        <x:v>-1718924.16</x:v>
      </x:c>
      <x:c r="K206" s="90" t="n">
        <x:v>-58626.77</x:v>
      </x:c>
      <x:c r="L206" s="90" t="n">
        <x:v>0</x:v>
      </x:c>
      <x:c r="M206" s="90" t="n">
        <x:v>-521631.88</x:v>
      </x:c>
      <x:c r="N206" s="90" t="n">
        <x:v>-773257.11</x:v>
      </x:c>
      <x:c r="O206" s="90" t="n">
        <x:v>-3589904.61</x:v>
      </x:c>
      <x:c r="P206" s="90" t="n">
        <x:v>30477829.46</x:v>
      </x:c>
      <x:c r="Q206" s="90" t="n">
        <x:v>-95730.08</x:v>
      </x:c>
      <x:c r="R206" s="90" t="n">
        <x:v>0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2:26" s="94" customFormat="1" ht="12.75" customHeight="1" x14ac:dyDescent="0.2">
      <x:c r="C207" s="101" t="s">
        <x:v>119</x:v>
      </x:c>
      <x:c r="D207" s="101" t="s">
        <x:v>70</x:v>
      </x:c>
      <x:c r="F207" s="93" t="n">
        <x:v>15004530.85</x:v>
      </x:c>
      <x:c r="G207" s="93" t="n">
        <x:v>20858064.22</x:v>
      </x:c>
      <x:c r="H207" s="93" t="n">
        <x:v>11679814.93</x:v>
      </x:c>
      <x:c r="I207" s="93" t="n">
        <x:v>6226159.09</x:v>
      </x:c>
      <x:c r="J207" s="93" t="n">
        <x:v>-20890511.14</x:v>
      </x:c>
      <x:c r="K207" s="93" t="n">
        <x:v>-552118.22</x:v>
      </x:c>
      <x:c r="L207" s="93" t="n">
        <x:v>0</x:v>
      </x:c>
      <x:c r="M207" s="93" t="n">
        <x:v>-4860953.07</x:v>
      </x:c>
      <x:c r="N207" s="93" t="n">
        <x:v>-6830483.89</x:v>
      </x:c>
      <x:c r="O207" s="93" t="n">
        <x:v>-32095205.16</x:v>
      </x:c>
      <x:c r="P207" s="93" t="n">
        <x:v>42371067.39</x:v>
      </x:c>
      <x:c r="Q207" s="93" t="n">
        <x:v>-901303.3</x:v>
      </x:c>
      <x:c r="R207" s="93" t="n">
        <x:v>0</x:v>
      </x:c>
      <x:c r="S207" s="93" t="n">
        <x:v>0</x:v>
      </x:c>
      <x:c r="T207" s="93" t="n">
        <x:v>0</x:v>
      </x:c>
      <x:c r="U207" s="93">
        <x:v>0</x:v>
      </x:c>
      <x:c r="V207" s="93">
        <x:v>0</x:v>
      </x:c>
      <x:c r="W207" s="93">
        <x:v>0</x:v>
      </x:c>
      <x:c r="X207" s="94">
        <x:v>0</x:v>
      </x:c>
      <x:c r="Y207" s="94">
        <x:v>0</x:v>
      </x:c>
      <x:c r="Z207" s="94" t="n">
        <x:v>0</x:v>
      </x:c>
    </x:row>
    <x:row r="208" spans="2:26" s="226" customFormat="1" ht="12.75" customHeight="1" x14ac:dyDescent="0.2">
      <x:c r="B208" s="98" t="s">
        <x:v>112</x:v>
      </x:c>
      <x:c r="C208" s="98" t="s">
        <x:v>70</x:v>
      </x:c>
      <x:c r="F208" s="100" t="n">
        <x:v>-5005527827.01</x:v>
      </x:c>
      <x:c r="G208" s="100" t="n">
        <x:v>-99908831.27</x:v>
      </x:c>
      <x:c r="H208" s="100" t="n">
        <x:v>-55967769.39</x:v>
      </x:c>
      <x:c r="I208" s="100" t="n">
        <x:v>-28966630.94</x:v>
      </x:c>
      <x:c r="J208" s="100" t="n">
        <x:v>-1385560969.76</x:v>
      </x:c>
      <x:c r="K208" s="100" t="n">
        <x:v>-53134928.54</x:v>
      </x:c>
      <x:c r="L208" s="100" t="n">
        <x:v>0</x:v>
      </x:c>
      <x:c r="M208" s="100" t="n">
        <x:v>-466160953.38</x:v>
      </x:c>
      <x:c r="N208" s="100" t="n">
        <x:v>-461826674.35</x:v>
      </x:c>
      <x:c r="O208" s="100" t="n">
        <x:v>-2177521437.93</x:v>
      </x:c>
      <x:c r="P208" s="100" t="n">
        <x:v>-189781886.64</x:v>
      </x:c>
      <x:c r="Q208" s="100" t="n">
        <x:v>-86697744.81</x:v>
      </x:c>
      <x:c r="R208" s="100" t="n">
        <x:v>0</x:v>
      </x:c>
      <x:c r="S208" s="100" t="n">
        <x:v>0</x:v>
      </x:c>
      <x:c r="T208" s="100" t="n">
        <x:v>0</x:v>
      </x:c>
      <x:c r="U208" s="100">
        <x:v>0</x:v>
      </x:c>
      <x:c r="V208" s="100">
        <x:v>0</x:v>
      </x:c>
      <x:c r="W208" s="100">
        <x:v>0</x:v>
      </x:c>
      <x:c r="X208" s="226">
        <x:v>0</x:v>
      </x:c>
      <x:c r="Y208" s="226">
        <x:v>0</x:v>
      </x:c>
      <x:c r="Z208" s="226" t="n">
        <x:v>0</x:v>
      </x:c>
    </x:row>
    <x:row r="209" spans="1:26" ht="12.75" customHeight="1" x14ac:dyDescent="0.2">
      <x:c r="A209" s="89" t="s">
        <x:v>79</x:v>
      </x:c>
      <x:c r="B209" s="89" t="s">
        <x:v>70</x:v>
      </x:c>
      <x:c r="F209" s="90" t="n">
        <x:v>-4979731188.64</x:v>
      </x:c>
      <x:c r="G209" s="90" t="n">
        <x:v>-93232626</x:v>
      </x:c>
      <x:c r="H209" s="90" t="n">
        <x:v>-52193617.27</x:v>
      </x:c>
      <x:c r="I209" s="90" t="n">
        <x:v>-26966917.01</x:v>
      </x:c>
      <x:c r="J209" s="90" t="n">
        <x:v>-1385576929.82</x:v>
      </x:c>
      <x:c r="K209" s="90" t="n">
        <x:v>-53135662.16</x:v>
      </x:c>
      <x:c r="L209" s="90" t="n">
        <x:v>0</x:v>
      </x:c>
      <x:c r="M209" s="90" t="n">
        <x:v>-466167388.65</x:v>
      </x:c>
      <x:c r="N209" s="90" t="n">
        <x:v>-461831331.14</x:v>
      </x:c>
      <x:c r="O209" s="90" t="n">
        <x:v>-2177542694.93</x:v>
      </x:c>
      <x:c r="P209" s="90" t="n">
        <x:v>-176385079.87</x:v>
      </x:c>
      <x:c r="Q209" s="90" t="n">
        <x:v>-86698941.79</x:v>
      </x:c>
      <x:c r="R209" s="90" t="n">
        <x:v>0</x:v>
      </x:c>
      <x:c r="S209" s="90" t="n">
        <x:v>0</x:v>
      </x:c>
      <x:c r="T209" s="90" t="n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 t="n">
        <x:v>0</x:v>
      </x:c>
    </x:row>
    <x:row r="210" spans="1:26" ht="12.75" customHeight="1" x14ac:dyDescent="0.2">
      <x:c r="A210" s="89" t="s">
        <x:v>70</x:v>
      </x:c>
      <x:c r="F210" s="90" t="n">
        <x:v>20461912832</x:v>
      </x:c>
      <x:c r="G210" s="90" t="n">
        <x:v>1489603908.23</x:v>
      </x:c>
      <x:c r="H210" s="90" t="n">
        <x:v>835508760.55</x:v>
      </x:c>
      <x:c r="I210" s="90" t="n">
        <x:v>439000694.2</x:v>
      </x:c>
      <x:c r="J210" s="90" t="n">
        <x:v>4385536752.05</x:v>
      </x:c>
      <x:c r="K210" s="90" t="n">
        <x:v>167957450.38</x:v>
      </x:c>
      <x:c r="L210" s="90" t="n">
        <x:v>53454221.28</x:v>
      </x:c>
      <x:c r="M210" s="90" t="n">
        <x:v>1471515426.02</x:v>
      </x:c>
      <x:c r="N210" s="90" t="n">
        <x:v>1470631622.39</x:v>
      </x:c>
      <x:c r="O210" s="90" t="n">
        <x:v>6928810826.08</x:v>
      </x:c>
      <x:c r="P210" s="90" t="n">
        <x:v>2945232863.93</x:v>
      </x:c>
      <x:c r="Q210" s="90" t="n">
        <x:v>274573739.48</x:v>
      </x:c>
      <x:c r="R210" s="90" t="n">
        <x:v>86690.62</x:v>
      </x:c>
      <x:c r="S210" s="90" t="n">
        <x:v>-83.63</x:v>
      </x:c>
      <x:c r="T210" s="90" t="n">
        <x:v>4.18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 t="n">
        <x:v>-43.76</x:v>
      </x:c>
    </x:row>
    <x:row r="211" spans="1:26" ht="12.75" customHeight="1" x14ac:dyDescent="0.2">
      <x:c r="A211" s="89"/>
      <x:c r="D211" s="89"/>
      <x:c r="E211" s="89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  <x:c r="R211" s="90"/>
      <x:c r="S211" s="90"/>
    </x:row>
    <x:row r="212" spans="1:26" ht="12.75" customHeight="1" x14ac:dyDescent="0.2">
      <x:c r="A212" s="89"/>
      <x:c r="C212" s="89"/>
      <x:c r="D212" s="89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  <x:c r="R212" s="90"/>
      <x:c r="S212" s="90"/>
    </x:row>
    <x:row r="213" spans="1:26" ht="12.75" hidden="1" customHeight="1" x14ac:dyDescent="0.2">
      <x:c r="A213" s="89"/>
      <x:c r="E213" s="89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  <x:c r="R213" s="90"/>
      <x:c r="S213" s="90"/>
    </x:row>
    <x:row r="214" spans="1:26" ht="12.75" hidden="1" customHeight="1" x14ac:dyDescent="0.2">
      <x:c r="A214" s="89"/>
      <x:c r="D214" s="89"/>
      <x:c r="E214" s="89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  <x:c r="R214" s="90"/>
      <x:c r="S214" s="90"/>
    </x:row>
    <x:row r="215" spans="1:26" ht="12.75" hidden="1" customHeight="1" x14ac:dyDescent="0.2">
      <x:c r="A215" s="89"/>
      <x:c r="E215" s="89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  <x:c r="R215" s="90"/>
      <x:c r="S215" s="90"/>
    </x:row>
    <x:row r="216" spans="1:26" ht="12.75" hidden="1" customHeight="1" x14ac:dyDescent="0.2">
      <x:c r="A216" s="89"/>
      <x:c r="D216" s="89"/>
      <x:c r="E216" s="89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  <x:c r="R216" s="90"/>
      <x:c r="S216" s="90"/>
    </x:row>
    <x:row r="217" spans="1:26" ht="12.75" hidden="1" customHeight="1" x14ac:dyDescent="0.2">
      <x:c r="A217" s="89"/>
      <x:c r="E217" s="89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  <x:c r="R217" s="90"/>
      <x:c r="S217" s="90"/>
    </x:row>
    <x:row r="218" spans="1:26" ht="12.75" hidden="1" customHeight="1" x14ac:dyDescent="0.2">
      <x:c r="A218" s="89"/>
      <x:c r="D218" s="89"/>
      <x:c r="E218" s="89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  <x:c r="R218" s="90"/>
      <x:c r="S218" s="90"/>
    </x:row>
    <x:row r="219" spans="1:26" ht="12.75" hidden="1" customHeight="1" x14ac:dyDescent="0.2">
      <x:c r="A219" s="89"/>
      <x:c r="C219" s="89"/>
      <x:c r="D219" s="89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  <x:c r="R219" s="90"/>
      <x:c r="S219" s="90"/>
    </x:row>
    <x:row r="220" spans="1:26" ht="12.75" hidden="1" customHeight="1" x14ac:dyDescent="0.2">
      <x:c r="A220" s="89"/>
      <x:c r="B220" s="89"/>
      <x:c r="C220" s="89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  <x:c r="R220" s="90"/>
      <x:c r="S220" s="90"/>
    </x:row>
    <x:row r="221" spans="1:26" ht="12.75" hidden="1" customHeight="1" x14ac:dyDescent="0.2">
      <x:c r="A221" s="89"/>
      <x:c r="B221" s="89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  <x:c r="R221" s="90"/>
      <x:c r="S221" s="90"/>
    </x:row>
    <x:row r="222" spans="1:26" ht="12.75" hidden="1" customHeight="1" x14ac:dyDescent="0.2">
      <x:c r="A222" s="89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  <x:c r="R222" s="90"/>
      <x:c r="S222" s="90"/>
    </x:row>
    <x:row r="223" spans="1:26" ht="12.75" hidden="1" customHeight="1" x14ac:dyDescent="0.2">
      <x:c r="A223" s="89"/>
      <x:c r="B223" s="89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  <x:c r="R223" s="90"/>
      <x:c r="S223" s="90"/>
    </x:row>
    <x:row r="224" spans="1:26" ht="12.75" hidden="1" customHeight="1" x14ac:dyDescent="0.2">
      <x:c r="A224" s="89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  <x:c r="R224" s="90"/>
      <x:c r="S224" s="90"/>
    </x:row>
    <x:row r="225" spans="1:19" ht="12.75" hidden="1" customHeight="1" x14ac:dyDescent="0.2">
      <x:c r="A225" s="89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  <x:c r="R225" s="90"/>
      <x:c r="S225" s="90"/>
    </x:row>
    <x:row r="226" spans="1:19" ht="12.75" hidden="1" customHeight="1" x14ac:dyDescent="0.2">
      <x:c r="A226" s="89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  <x:c r="R226" s="90"/>
      <x:c r="S226" s="90"/>
    </x:row>
    <x:row r="227" spans="1:19" ht="12.75" hidden="1" customHeight="1" x14ac:dyDescent="0.2">
      <x:c r="A227" s="89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  <x:c r="R227" s="90"/>
      <x:c r="S227" s="90"/>
    </x:row>
    <x:row r="228" spans="1:19" ht="12.75" hidden="1" customHeight="1" x14ac:dyDescent="0.2">
      <x:c r="A228" s="89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  <x:c r="R228" s="90"/>
      <x:c r="S228" s="90"/>
    </x:row>
    <x:row r="229" spans="1:19" ht="12.75" hidden="1" customHeight="1" x14ac:dyDescent="0.2">
      <x:c r="A229" s="89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  <x:c r="R229" s="90"/>
      <x:c r="S229" s="90"/>
    </x:row>
    <x:row r="230" spans="1:19" ht="12.75" hidden="1" customHeight="1" x14ac:dyDescent="0.2">
      <x:c r="A230" s="89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  <x:c r="R230" s="90"/>
      <x:c r="S230" s="90"/>
    </x:row>
    <x:row r="231" spans="1:19" ht="12.75" hidden="1" customHeight="1" x14ac:dyDescent="0.2">
      <x:c r="A231" s="89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  <x:c r="R231" s="90"/>
      <x:c r="S231" s="90"/>
    </x:row>
    <x:row r="232" spans="1:19" ht="12.75" hidden="1" customHeight="1" x14ac:dyDescent="0.2">
      <x:c r="A232" s="89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  <x:c r="R232" s="90"/>
      <x:c r="S232" s="90"/>
    </x:row>
    <x:row r="233" spans="1:19" ht="12.75" hidden="1" customHeight="1" x14ac:dyDescent="0.2">
      <x:c r="A233" s="89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  <x:c r="R233" s="90"/>
      <x:c r="S233" s="90"/>
    </x:row>
    <x:row r="234" spans="1:19" ht="12.75" hidden="1" customHeight="1" x14ac:dyDescent="0.2">
      <x:c r="A234" s="89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  <x:c r="R234" s="90"/>
      <x:c r="S234" s="90"/>
    </x:row>
    <x:row r="235" spans="1:19" ht="12.75" hidden="1" customHeight="1" x14ac:dyDescent="0.2">
      <x:c r="A235" s="89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  <x:c r="R235" s="90"/>
      <x:c r="S235" s="90"/>
    </x:row>
    <x:row r="236" spans="1:19" ht="12.75" hidden="1" customHeight="1" x14ac:dyDescent="0.2">
      <x:c r="A236" s="89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  <x:c r="R236" s="90"/>
      <x:c r="S236" s="90"/>
    </x:row>
    <x:row r="237" spans="1:19" ht="12.75" hidden="1" customHeight="1" x14ac:dyDescent="0.2">
      <x:c r="A237" s="89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  <x:c r="S237" s="90"/>
    </x:row>
    <x:row r="238" spans="1:19" ht="12.75" hidden="1" customHeight="1" x14ac:dyDescent="0.2">
      <x:c r="A238" s="89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  <x:c r="S238" s="90"/>
    </x:row>
    <x:row r="239" spans="1:19" ht="12.75" hidden="1" customHeight="1" x14ac:dyDescent="0.2">
      <x:c r="A239" s="89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  <x:c r="S239" s="90"/>
    </x:row>
    <x:row r="240" spans="1:19" ht="12.75" hidden="1" customHeight="1" x14ac:dyDescent="0.2">
      <x:c r="A240" s="89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  <x:c r="S240" s="90"/>
    </x:row>
    <x:row r="241" spans="1:42" ht="12.75" hidden="1" customHeight="1" x14ac:dyDescent="0.2">
      <x:c r="A241" s="89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  <x:c r="S241" s="90"/>
    </x:row>
    <x:row r="242" spans="1:42" ht="12.75" hidden="1" customHeight="1" x14ac:dyDescent="0.2">
      <x:c r="A242" s="89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  <x:c r="S242" s="90"/>
    </x:row>
    <x:row r="243" spans="1:42" ht="12.75" hidden="1" customHeight="1" x14ac:dyDescent="0.2">
      <x:c r="A243" s="89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  <x:c r="S243" s="90"/>
    </x:row>
    <x:row r="244" spans="1:42" ht="12.75" hidden="1" customHeight="1" x14ac:dyDescent="0.2">
      <x:c r="A244" s="89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  <x:c r="S244" s="90"/>
    </x:row>
    <x:row r="245" spans="1:42" ht="12.75" hidden="1" customHeight="1" x14ac:dyDescent="0.2">
      <x:c r="A245" s="89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  <x:c r="R245" s="90"/>
      <x:c r="S245" s="90"/>
    </x:row>
    <x:row r="246" spans="1:42" ht="12.75" hidden="1" customHeight="1" x14ac:dyDescent="0.2">
      <x:c r="A246" s="89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  <x:c r="R246" s="90"/>
      <x:c r="S246" s="90"/>
    </x:row>
    <x:row r="247" spans="1:42" ht="12.75" hidden="1" customHeight="1" x14ac:dyDescent="0.2">
      <x:c r="A247" s="89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  <x:c r="R247" s="90"/>
      <x:c r="S247" s="90"/>
    </x:row>
    <x:row r="248" spans="1:42" ht="12.75" hidden="1" customHeight="1" x14ac:dyDescent="0.2">
      <x:c r="A248" s="89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  <x:c r="R248" s="90"/>
      <x:c r="S248" s="90"/>
    </x:row>
    <x:row r="249" spans="1:42" ht="12.75" hidden="1" customHeight="1" x14ac:dyDescent="0.2">
      <x:c r="A249" s="89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  <x:c r="R249" s="90"/>
      <x:c r="S249" s="90"/>
    </x:row>
    <x:row r="250" spans="1:42" ht="12.75" hidden="1" customHeight="1" x14ac:dyDescent="0.2">
      <x:c r="A250" s="89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  <x:c r="R250" s="90"/>
      <x:c r="S250" s="90"/>
    </x:row>
    <x:row r="251" spans="1:42" ht="12.75" hidden="1" customHeight="1" x14ac:dyDescent="0.2">
      <x:c r="A251" s="89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  <x:c r="R251" s="90"/>
      <x:c r="S251" s="90"/>
    </x:row>
    <x:row r="252" spans="1:42" ht="12.75" customHeight="1" x14ac:dyDescent="0.2">
      <x:c r="A252" s="89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  <x:c r="R252" s="90"/>
      <x:c r="S252" s="90"/>
    </x:row>
    <x:row r="253" spans="1:42" ht="12.75" customHeight="1" x14ac:dyDescent="0.2">
      <x:c r="A253" s="89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  <x:c r="R253" s="90"/>
      <x:c r="S253" s="90"/>
    </x:row>
    <x:row r="254" spans="1:42" ht="12.75" customHeight="1" x14ac:dyDescent="0.2">
      <x:c r="C254" s="778" t="s">
        <x:v>2</x:v>
      </x:c>
      <x:c r="D254" s="775" t="s">
        <x:v>132</x:v>
      </x:c>
      <x:c r="E254" s="98" t="s">
        <x:v>70</x:v>
      </x:c>
      <x:c r="F254" s="100">
        <x:f>F171+F208-L171+F120-L120</x:f>
        <x:v>0</x:v>
      </x:c>
      <x:c r="G254" s="100">
        <x:f t="shared" ref="G254:AP254" si="7">G171+G120</x:f>
        <x:v>0</x:v>
      </x:c>
      <x:c r="H254" s="100">
        <x:f t="shared" si="7"/>
        <x:v>0</x:v>
      </x:c>
      <x:c r="I254" s="100">
        <x:f t="shared" si="7"/>
        <x:v>0</x:v>
      </x:c>
      <x:c r="J254" s="100">
        <x:f t="shared" si="7"/>
        <x:v>0</x:v>
      </x:c>
      <x:c r="K254" s="100">
        <x:f t="shared" si="7"/>
        <x:v>0</x:v>
      </x:c>
      <x:c r="L254" s="100">
        <x:f t="shared" si="7"/>
        <x:v>0</x:v>
      </x:c>
      <x:c r="M254" s="100">
        <x:f t="shared" si="7"/>
        <x:v>0</x:v>
      </x:c>
      <x:c r="N254" s="100">
        <x:f t="shared" si="7"/>
        <x:v>0</x:v>
      </x:c>
      <x:c r="O254" s="100">
        <x:f t="shared" si="7"/>
        <x:v>0</x:v>
      </x:c>
      <x:c r="P254" s="100">
        <x:f t="shared" si="7"/>
        <x:v>0</x:v>
      </x:c>
      <x:c r="Q254" s="100">
        <x:f t="shared" si="7"/>
        <x:v>0</x:v>
      </x:c>
      <x:c r="R254" s="100">
        <x:f t="shared" si="7"/>
        <x:v>0</x:v>
      </x:c>
      <x:c r="S254" s="100">
        <x:f t="shared" si="7"/>
        <x:v>0</x:v>
      </x:c>
      <x:c r="T254" s="100">
        <x:f t="shared" si="7"/>
        <x:v>0</x:v>
      </x:c>
      <x:c r="U254" s="100">
        <x:f t="shared" si="7"/>
        <x:v>0</x:v>
      </x:c>
      <x:c r="V254" s="100">
        <x:f t="shared" si="7"/>
        <x:v>0</x:v>
      </x:c>
      <x:c r="W254" s="100">
        <x:f t="shared" si="7"/>
        <x:v>0</x:v>
      </x:c>
      <x:c r="X254" s="100">
        <x:f t="shared" si="7"/>
        <x:v>0</x:v>
      </x:c>
      <x:c r="Y254" s="100">
        <x:f t="shared" si="7"/>
        <x:v>0</x:v>
      </x:c>
      <x:c r="Z254" s="100">
        <x:f t="shared" si="7"/>
        <x:v>0</x:v>
      </x:c>
      <x:c r="AA254" s="100">
        <x:f t="shared" si="7"/>
        <x:v>0</x:v>
      </x:c>
      <x:c r="AB254" s="100">
        <x:f t="shared" si="7"/>
        <x:v>0</x:v>
      </x:c>
      <x:c r="AC254" s="100">
        <x:f t="shared" si="7"/>
        <x:v>0</x:v>
      </x:c>
      <x:c r="AD254" s="100">
        <x:f t="shared" si="7"/>
        <x:v>0</x:v>
      </x:c>
      <x:c r="AE254" s="100">
        <x:f t="shared" si="7"/>
        <x:v>0</x:v>
      </x:c>
      <x:c r="AF254" s="100">
        <x:f t="shared" si="7"/>
        <x:v>0</x:v>
      </x:c>
      <x:c r="AG254" s="100">
        <x:f t="shared" si="7"/>
        <x:v>0</x:v>
      </x:c>
      <x:c r="AH254" s="100">
        <x:f t="shared" si="7"/>
        <x:v>0</x:v>
      </x:c>
      <x:c r="AI254" s="100">
        <x:f t="shared" si="7"/>
        <x:v>0</x:v>
      </x:c>
      <x:c r="AJ254" s="100">
        <x:f t="shared" si="7"/>
        <x:v>0</x:v>
      </x:c>
      <x:c r="AK254" s="100">
        <x:f t="shared" si="7"/>
        <x:v>0</x:v>
      </x:c>
      <x:c r="AL254" s="100">
        <x:f t="shared" si="7"/>
        <x:v>0</x:v>
      </x:c>
      <x:c r="AM254" s="100">
        <x:f t="shared" si="7"/>
        <x:v>0</x:v>
      </x:c>
      <x:c r="AN254" s="100">
        <x:f t="shared" si="7"/>
        <x:v>0</x:v>
      </x:c>
      <x:c r="AO254" s="100">
        <x:f t="shared" si="7"/>
        <x:v>0</x:v>
      </x:c>
      <x:c r="AP254" s="100">
        <x:f t="shared" si="7"/>
        <x:v>0</x:v>
      </x:c>
    </x:row>
    <x:row r="255" spans="1:42" ht="12.75" customHeight="1" x14ac:dyDescent="0.2">
      <x:c r="C255" s="778"/>
      <x:c r="D255" s="775"/>
      <x:c r="E255" s="98" t="s">
        <x:v>73</x:v>
      </x:c>
      <x:c r="F255" s="100">
        <x:f>F208</x:f>
        <x:v>0</x:v>
      </x:c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  <x:c r="R255" s="90"/>
      <x:c r="S255" s="90"/>
    </x:row>
    <x:row r="256" spans="1:42" ht="12.75" customHeight="1" x14ac:dyDescent="0.2">
      <x:c r="C256" s="778"/>
      <x:c r="D256" s="775" t="s">
        <x:v>133</x:v>
      </x:c>
      <x:c r="E256" s="233" t="s">
        <x:v>70</x:v>
      </x:c>
      <x:c r="F256" s="234">
        <x:f>F190+F146-L146</x:f>
        <x:v>0</x:v>
      </x:c>
      <x:c r="G256" s="234">
        <x:f t="shared" ref="G256:AP256" si="8">G146</x:f>
        <x:v>0</x:v>
      </x:c>
      <x:c r="H256" s="234">
        <x:f t="shared" si="8"/>
        <x:v>0</x:v>
      </x:c>
      <x:c r="I256" s="234">
        <x:f t="shared" si="8"/>
        <x:v>0</x:v>
      </x:c>
      <x:c r="J256" s="234">
        <x:f t="shared" si="8"/>
        <x:v>0</x:v>
      </x:c>
      <x:c r="K256" s="234">
        <x:f t="shared" si="8"/>
        <x:v>0</x:v>
      </x:c>
      <x:c r="L256" s="234">
        <x:f t="shared" si="8"/>
        <x:v>0</x:v>
      </x:c>
      <x:c r="M256" s="234">
        <x:f t="shared" si="8"/>
        <x:v>0</x:v>
      </x:c>
      <x:c r="N256" s="234">
        <x:f t="shared" si="8"/>
        <x:v>0</x:v>
      </x:c>
      <x:c r="O256" s="234">
        <x:f t="shared" si="8"/>
        <x:v>0</x:v>
      </x:c>
      <x:c r="P256" s="234">
        <x:f t="shared" si="8"/>
        <x:v>0</x:v>
      </x:c>
      <x:c r="Q256" s="234">
        <x:f t="shared" si="8"/>
        <x:v>0</x:v>
      </x:c>
      <x:c r="R256" s="234">
        <x:f t="shared" si="8"/>
        <x:v>0</x:v>
      </x:c>
      <x:c r="S256" s="234">
        <x:f t="shared" si="8"/>
        <x:v>0</x:v>
      </x:c>
      <x:c r="T256" s="234">
        <x:f t="shared" si="8"/>
        <x:v>0</x:v>
      </x:c>
      <x:c r="U256" s="234">
        <x:f t="shared" si="8"/>
        <x:v>0</x:v>
      </x:c>
      <x:c r="V256" s="234">
        <x:f t="shared" si="8"/>
        <x:v>0</x:v>
      </x:c>
      <x:c r="W256" s="234">
        <x:f t="shared" si="8"/>
        <x:v>0</x:v>
      </x:c>
      <x:c r="X256" s="234">
        <x:f t="shared" si="8"/>
        <x:v>0</x:v>
      </x:c>
      <x:c r="Y256" s="234">
        <x:f t="shared" si="8"/>
        <x:v>0</x:v>
      </x:c>
      <x:c r="Z256" s="234">
        <x:f t="shared" si="8"/>
        <x:v>0</x:v>
      </x:c>
      <x:c r="AA256" s="234">
        <x:f t="shared" si="8"/>
        <x:v>0</x:v>
      </x:c>
      <x:c r="AB256" s="234">
        <x:f t="shared" si="8"/>
        <x:v>0</x:v>
      </x:c>
      <x:c r="AC256" s="234">
        <x:f t="shared" si="8"/>
        <x:v>0</x:v>
      </x:c>
      <x:c r="AD256" s="234">
        <x:f t="shared" si="8"/>
        <x:v>0</x:v>
      </x:c>
      <x:c r="AE256" s="234">
        <x:f t="shared" si="8"/>
        <x:v>0</x:v>
      </x:c>
      <x:c r="AF256" s="234">
        <x:f t="shared" si="8"/>
        <x:v>0</x:v>
      </x:c>
      <x:c r="AG256" s="234">
        <x:f t="shared" si="8"/>
        <x:v>0</x:v>
      </x:c>
      <x:c r="AH256" s="234">
        <x:f t="shared" si="8"/>
        <x:v>0</x:v>
      </x:c>
      <x:c r="AI256" s="234">
        <x:f t="shared" si="8"/>
        <x:v>0</x:v>
      </x:c>
      <x:c r="AJ256" s="234">
        <x:f t="shared" si="8"/>
        <x:v>0</x:v>
      </x:c>
      <x:c r="AK256" s="234">
        <x:f t="shared" si="8"/>
        <x:v>0</x:v>
      </x:c>
      <x:c r="AL256" s="234">
        <x:f t="shared" si="8"/>
        <x:v>0</x:v>
      </x:c>
      <x:c r="AM256" s="234">
        <x:f t="shared" si="8"/>
        <x:v>0</x:v>
      </x:c>
      <x:c r="AN256" s="234">
        <x:f t="shared" si="8"/>
        <x:v>0</x:v>
      </x:c>
      <x:c r="AO256" s="234">
        <x:f t="shared" si="8"/>
        <x:v>0</x:v>
      </x:c>
      <x:c r="AP256" s="234">
        <x:f t="shared" si="8"/>
        <x:v>0</x:v>
      </x:c>
    </x:row>
    <x:row r="257" spans="1:42" ht="12.75" customHeight="1" x14ac:dyDescent="0.2">
      <x:c r="C257" s="778"/>
      <x:c r="D257" s="775"/>
      <x:c r="E257" s="233" t="s">
        <x:v>73</x:v>
      </x:c>
      <x:c r="F257" s="234">
        <x:f>F190</x:f>
        <x:v>0</x:v>
      </x:c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  <x:c r="R257" s="90"/>
    </x:row>
    <x:row r="258" spans="1:42" ht="12.75" customHeight="1" x14ac:dyDescent="0.2">
      <x:c r="A258" s="89"/>
      <x:c r="C258" s="97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  <x:c r="R258" s="90"/>
      <x:c r="S258" s="90"/>
    </x:row>
    <x:row r="259" spans="1:42" ht="12.75" customHeight="1" x14ac:dyDescent="0.2">
      <x:c r="C259" s="778" t="s">
        <x:v>160</x:v>
      </x:c>
      <x:c r="D259" s="775" t="s">
        <x:v>132</x:v>
      </x:c>
      <x:c r="E259" s="223" t="s">
        <x:v>70</x:v>
      </x:c>
      <x:c r="F259" s="225">
        <x:f>F200+F160-L160</x:f>
        <x:v>0</x:v>
      </x:c>
      <x:c r="G259" s="225">
        <x:f t="shared" ref="G259:AP259" si="9">G160</x:f>
        <x:v>0</x:v>
      </x:c>
      <x:c r="H259" s="225">
        <x:f t="shared" si="9"/>
        <x:v>0</x:v>
      </x:c>
      <x:c r="I259" s="225">
        <x:f t="shared" si="9"/>
        <x:v>0</x:v>
      </x:c>
      <x:c r="J259" s="225">
        <x:f t="shared" si="9"/>
        <x:v>0</x:v>
      </x:c>
      <x:c r="K259" s="225">
        <x:f t="shared" si="9"/>
        <x:v>0</x:v>
      </x:c>
      <x:c r="L259" s="225">
        <x:f t="shared" si="9"/>
        <x:v>0</x:v>
      </x:c>
      <x:c r="M259" s="225">
        <x:f t="shared" si="9"/>
        <x:v>0</x:v>
      </x:c>
      <x:c r="N259" s="225">
        <x:f t="shared" si="9"/>
        <x:v>0</x:v>
      </x:c>
      <x:c r="O259" s="225">
        <x:f t="shared" si="9"/>
        <x:v>0</x:v>
      </x:c>
      <x:c r="P259" s="225">
        <x:f t="shared" si="9"/>
        <x:v>0</x:v>
      </x:c>
      <x:c r="Q259" s="225">
        <x:f t="shared" si="9"/>
        <x:v>0</x:v>
      </x:c>
      <x:c r="R259" s="225">
        <x:f t="shared" si="9"/>
        <x:v>0</x:v>
      </x:c>
      <x:c r="S259" s="225">
        <x:f t="shared" si="9"/>
        <x:v>0</x:v>
      </x:c>
      <x:c r="T259" s="225">
        <x:f t="shared" si="9"/>
        <x:v>0</x:v>
      </x:c>
      <x:c r="U259" s="225">
        <x:f t="shared" si="9"/>
        <x:v>0</x:v>
      </x:c>
      <x:c r="V259" s="225">
        <x:f t="shared" si="9"/>
        <x:v>0</x:v>
      </x:c>
      <x:c r="W259" s="225">
        <x:f t="shared" si="9"/>
        <x:v>0</x:v>
      </x:c>
      <x:c r="X259" s="225">
        <x:f t="shared" si="9"/>
        <x:v>0</x:v>
      </x:c>
      <x:c r="Y259" s="225">
        <x:f t="shared" si="9"/>
        <x:v>0</x:v>
      </x:c>
      <x:c r="Z259" s="225">
        <x:f t="shared" si="9"/>
        <x:v>0</x:v>
      </x:c>
      <x:c r="AA259" s="225">
        <x:f t="shared" si="9"/>
        <x:v>0</x:v>
      </x:c>
      <x:c r="AB259" s="225">
        <x:f t="shared" si="9"/>
        <x:v>0</x:v>
      </x:c>
      <x:c r="AC259" s="225">
        <x:f t="shared" si="9"/>
        <x:v>0</x:v>
      </x:c>
      <x:c r="AD259" s="225">
        <x:f t="shared" si="9"/>
        <x:v>0</x:v>
      </x:c>
      <x:c r="AE259" s="225">
        <x:f t="shared" si="9"/>
        <x:v>0</x:v>
      </x:c>
      <x:c r="AF259" s="225">
        <x:f t="shared" si="9"/>
        <x:v>0</x:v>
      </x:c>
      <x:c r="AG259" s="225">
        <x:f t="shared" si="9"/>
        <x:v>0</x:v>
      </x:c>
      <x:c r="AH259" s="225">
        <x:f t="shared" si="9"/>
        <x:v>0</x:v>
      </x:c>
      <x:c r="AI259" s="225">
        <x:f t="shared" si="9"/>
        <x:v>0</x:v>
      </x:c>
      <x:c r="AJ259" s="225">
        <x:f t="shared" si="9"/>
        <x:v>0</x:v>
      </x:c>
      <x:c r="AK259" s="225">
        <x:f t="shared" si="9"/>
        <x:v>0</x:v>
      </x:c>
      <x:c r="AL259" s="225">
        <x:f t="shared" si="9"/>
        <x:v>0</x:v>
      </x:c>
      <x:c r="AM259" s="225">
        <x:f t="shared" si="9"/>
        <x:v>0</x:v>
      </x:c>
      <x:c r="AN259" s="225">
        <x:f t="shared" si="9"/>
        <x:v>0</x:v>
      </x:c>
      <x:c r="AO259" s="225">
        <x:f t="shared" si="9"/>
        <x:v>0</x:v>
      </x:c>
      <x:c r="AP259" s="225">
        <x:f t="shared" si="9"/>
        <x:v>0</x:v>
      </x:c>
    </x:row>
    <x:row r="260" spans="1:42" ht="12.75" customHeight="1" x14ac:dyDescent="0.2">
      <x:c r="C260" s="778"/>
      <x:c r="D260" s="775"/>
      <x:c r="E260" s="223" t="s">
        <x:v>73</x:v>
      </x:c>
      <x:c r="F260" s="225">
        <x:f>F200</x:f>
        <x:v>0</x:v>
      </x:c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  <x:c r="R260" s="90"/>
      <x:c r="S260" s="90"/>
    </x:row>
    <x:row r="261" spans="1:42" ht="12.75" customHeight="1" x14ac:dyDescent="0.2">
      <x:c r="C261" s="778"/>
      <x:c r="D261" s="775" t="s">
        <x:v>133</x:v>
      </x:c>
      <x:c r="E261" s="227" t="s">
        <x:v>70</x:v>
      </x:c>
      <x:c r="F261" s="228">
        <x:f>F182+F135-L135</x:f>
        <x:v>0</x:v>
      </x:c>
      <x:c r="G261" s="228">
        <x:f>G135</x:f>
        <x:v>0</x:v>
      </x:c>
      <x:c r="H261" s="228">
        <x:f t="shared" ref="H261:AP261" si="10">H135</x:f>
        <x:v>0</x:v>
      </x:c>
      <x:c r="I261" s="228">
        <x:f t="shared" si="10"/>
        <x:v>0</x:v>
      </x:c>
      <x:c r="J261" s="228">
        <x:f t="shared" si="10"/>
        <x:v>0</x:v>
      </x:c>
      <x:c r="K261" s="228">
        <x:f t="shared" si="10"/>
        <x:v>0</x:v>
      </x:c>
      <x:c r="L261" s="228">
        <x:f t="shared" si="10"/>
        <x:v>0</x:v>
      </x:c>
      <x:c r="M261" s="228">
        <x:f t="shared" si="10"/>
        <x:v>0</x:v>
      </x:c>
      <x:c r="N261" s="228">
        <x:f t="shared" si="10"/>
        <x:v>0</x:v>
      </x:c>
      <x:c r="O261" s="228">
        <x:f t="shared" si="10"/>
        <x:v>0</x:v>
      </x:c>
      <x:c r="P261" s="228">
        <x:f t="shared" si="10"/>
        <x:v>0</x:v>
      </x:c>
      <x:c r="Q261" s="228">
        <x:f t="shared" si="10"/>
        <x:v>0</x:v>
      </x:c>
      <x:c r="R261" s="228">
        <x:f t="shared" si="10"/>
        <x:v>0</x:v>
      </x:c>
      <x:c r="S261" s="228">
        <x:f t="shared" si="10"/>
        <x:v>0</x:v>
      </x:c>
      <x:c r="T261" s="228">
        <x:f t="shared" si="10"/>
        <x:v>0</x:v>
      </x:c>
      <x:c r="U261" s="228">
        <x:f t="shared" si="10"/>
        <x:v>0</x:v>
      </x:c>
      <x:c r="V261" s="228">
        <x:f t="shared" si="10"/>
        <x:v>0</x:v>
      </x:c>
      <x:c r="W261" s="228">
        <x:f t="shared" si="10"/>
        <x:v>0</x:v>
      </x:c>
      <x:c r="X261" s="228">
        <x:f t="shared" si="10"/>
        <x:v>0</x:v>
      </x:c>
      <x:c r="Y261" s="228">
        <x:f t="shared" si="10"/>
        <x:v>0</x:v>
      </x:c>
      <x:c r="Z261" s="228">
        <x:f t="shared" si="10"/>
        <x:v>0</x:v>
      </x:c>
      <x:c r="AA261" s="228">
        <x:f t="shared" si="10"/>
        <x:v>0</x:v>
      </x:c>
      <x:c r="AB261" s="228">
        <x:f t="shared" si="10"/>
        <x:v>0</x:v>
      </x:c>
      <x:c r="AC261" s="228">
        <x:f t="shared" si="10"/>
        <x:v>0</x:v>
      </x:c>
      <x:c r="AD261" s="228">
        <x:f t="shared" si="10"/>
        <x:v>0</x:v>
      </x:c>
      <x:c r="AE261" s="228">
        <x:f t="shared" si="10"/>
        <x:v>0</x:v>
      </x:c>
      <x:c r="AF261" s="228">
        <x:f t="shared" si="10"/>
        <x:v>0</x:v>
      </x:c>
      <x:c r="AG261" s="228">
        <x:f t="shared" si="10"/>
        <x:v>0</x:v>
      </x:c>
      <x:c r="AH261" s="228">
        <x:f t="shared" si="10"/>
        <x:v>0</x:v>
      </x:c>
      <x:c r="AI261" s="228">
        <x:f t="shared" si="10"/>
        <x:v>0</x:v>
      </x:c>
      <x:c r="AJ261" s="228">
        <x:f t="shared" si="10"/>
        <x:v>0</x:v>
      </x:c>
      <x:c r="AK261" s="228">
        <x:f t="shared" si="10"/>
        <x:v>0</x:v>
      </x:c>
      <x:c r="AL261" s="228">
        <x:f t="shared" si="10"/>
        <x:v>0</x:v>
      </x:c>
      <x:c r="AM261" s="228">
        <x:f t="shared" si="10"/>
        <x:v>0</x:v>
      </x:c>
      <x:c r="AN261" s="228">
        <x:f t="shared" si="10"/>
        <x:v>0</x:v>
      </x:c>
      <x:c r="AO261" s="228">
        <x:f t="shared" si="10"/>
        <x:v>0</x:v>
      </x:c>
      <x:c r="AP261" s="228">
        <x:f t="shared" si="10"/>
        <x:v>0</x:v>
      </x:c>
    </x:row>
    <x:row r="262" spans="1:42" ht="12.75" customHeight="1" x14ac:dyDescent="0.2">
      <x:c r="C262" s="778"/>
      <x:c r="D262" s="775"/>
      <x:c r="E262" s="227" t="s">
        <x:v>73</x:v>
      </x:c>
      <x:c r="F262" s="228">
        <x:f>F182</x:f>
        <x:v>0</x:v>
      </x:c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  <x:c r="R262" s="90"/>
    </x:row>
    <x:row r="263" spans="1:42" ht="12.75" customHeight="1" x14ac:dyDescent="0.2">
      <x:c r="A263" s="89"/>
      <x:c r="C263" s="97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  <x:c r="S263" s="90"/>
    </x:row>
    <x:row r="264" spans="1:42" ht="12.75" customHeight="1" x14ac:dyDescent="0.2">
      <x:c r="C264" s="778" t="s">
        <x:v>155</x:v>
      </x:c>
      <x:c r="D264" s="775" t="s">
        <x:v>132</x:v>
      </x:c>
      <x:c r="E264" s="221" t="s">
        <x:v>70</x:v>
      </x:c>
      <x:c r="F264" s="222">
        <x:f>F193+F150+F112--L112-L150</x:f>
        <x:v>0</x:v>
      </x:c>
      <x:c r="G264" s="222">
        <x:f t="shared" ref="G264:AA264" si="11">G150+G112</x:f>
        <x:v>0</x:v>
      </x:c>
      <x:c r="H264" s="222">
        <x:f t="shared" si="11"/>
        <x:v>0</x:v>
      </x:c>
      <x:c r="I264" s="222">
        <x:f t="shared" si="11"/>
        <x:v>0</x:v>
      </x:c>
      <x:c r="J264" s="222">
        <x:f t="shared" si="11"/>
        <x:v>0</x:v>
      </x:c>
      <x:c r="K264" s="222">
        <x:f t="shared" si="11"/>
        <x:v>0</x:v>
      </x:c>
      <x:c r="L264" s="222">
        <x:f t="shared" si="11"/>
        <x:v>0</x:v>
      </x:c>
      <x:c r="M264" s="222">
        <x:f t="shared" si="11"/>
        <x:v>0</x:v>
      </x:c>
      <x:c r="N264" s="222">
        <x:f t="shared" si="11"/>
        <x:v>0</x:v>
      </x:c>
      <x:c r="O264" s="222">
        <x:f t="shared" si="11"/>
        <x:v>0</x:v>
      </x:c>
      <x:c r="P264" s="222">
        <x:f t="shared" si="11"/>
        <x:v>0</x:v>
      </x:c>
      <x:c r="Q264" s="222">
        <x:f t="shared" si="11"/>
        <x:v>0</x:v>
      </x:c>
      <x:c r="R264" s="222">
        <x:f t="shared" si="11"/>
        <x:v>0</x:v>
      </x:c>
      <x:c r="S264" s="222">
        <x:f t="shared" si="11"/>
        <x:v>0</x:v>
      </x:c>
      <x:c r="T264" s="222">
        <x:f t="shared" si="11"/>
        <x:v>0</x:v>
      </x:c>
      <x:c r="U264" s="222">
        <x:f t="shared" si="11"/>
        <x:v>0</x:v>
      </x:c>
      <x:c r="V264" s="222">
        <x:f t="shared" si="11"/>
        <x:v>0</x:v>
      </x:c>
      <x:c r="W264" s="222">
        <x:f t="shared" si="11"/>
        <x:v>0</x:v>
      </x:c>
      <x:c r="X264" s="222">
        <x:f t="shared" si="11"/>
        <x:v>0</x:v>
      </x:c>
      <x:c r="Y264" s="222">
        <x:f t="shared" si="11"/>
        <x:v>0</x:v>
      </x:c>
      <x:c r="Z264" s="222">
        <x:f t="shared" si="11"/>
        <x:v>0</x:v>
      </x:c>
      <x:c r="AA264" s="222">
        <x:f t="shared" si="11"/>
        <x:v>0</x:v>
      </x:c>
    </x:row>
    <x:row r="265" spans="1:42" ht="12.75" customHeight="1" x14ac:dyDescent="0.2">
      <x:c r="C265" s="778"/>
      <x:c r="D265" s="775"/>
      <x:c r="E265" s="221" t="s">
        <x:v>73</x:v>
      </x:c>
      <x:c r="F265" s="222">
        <x:f>F193</x:f>
        <x:v>0</x:v>
      </x:c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  <x:c r="S265" s="90"/>
    </x:row>
    <x:row r="266" spans="1:42" ht="12.75" customHeight="1" x14ac:dyDescent="0.2">
      <x:c r="C266" s="778"/>
      <x:c r="D266" s="775" t="s">
        <x:v>133</x:v>
      </x:c>
      <x:c r="E266" s="229" t="s">
        <x:v>70</x:v>
      </x:c>
      <x:c r="F266" s="230">
        <x:f>F175+F125-L125</x:f>
        <x:v>0</x:v>
      </x:c>
      <x:c r="G266" s="230">
        <x:f t="shared" ref="G266:AA266" si="12">G125</x:f>
        <x:v>0</x:v>
      </x:c>
      <x:c r="H266" s="230">
        <x:f t="shared" si="12"/>
        <x:v>0</x:v>
      </x:c>
      <x:c r="I266" s="230">
        <x:f t="shared" si="12"/>
        <x:v>0</x:v>
      </x:c>
      <x:c r="J266" s="230">
        <x:f t="shared" si="12"/>
        <x:v>0</x:v>
      </x:c>
      <x:c r="K266" s="230">
        <x:f t="shared" si="12"/>
        <x:v>0</x:v>
      </x:c>
      <x:c r="L266" s="230">
        <x:f t="shared" si="12"/>
        <x:v>0</x:v>
      </x:c>
      <x:c r="M266" s="230">
        <x:f t="shared" si="12"/>
        <x:v>0</x:v>
      </x:c>
      <x:c r="N266" s="230">
        <x:f t="shared" si="12"/>
        <x:v>0</x:v>
      </x:c>
      <x:c r="O266" s="230">
        <x:f t="shared" si="12"/>
        <x:v>0</x:v>
      </x:c>
      <x:c r="P266" s="230">
        <x:f t="shared" si="12"/>
        <x:v>0</x:v>
      </x:c>
      <x:c r="Q266" s="230">
        <x:f t="shared" si="12"/>
        <x:v>0</x:v>
      </x:c>
      <x:c r="R266" s="230">
        <x:f t="shared" si="12"/>
        <x:v>0</x:v>
      </x:c>
      <x:c r="S266" s="230">
        <x:f t="shared" si="12"/>
        <x:v>0</x:v>
      </x:c>
      <x:c r="T266" s="230">
        <x:f t="shared" si="12"/>
        <x:v>0</x:v>
      </x:c>
      <x:c r="U266" s="230">
        <x:f t="shared" si="12"/>
        <x:v>0</x:v>
      </x:c>
      <x:c r="V266" s="230">
        <x:f t="shared" si="12"/>
        <x:v>0</x:v>
      </x:c>
      <x:c r="W266" s="230">
        <x:f t="shared" si="12"/>
        <x:v>0</x:v>
      </x:c>
      <x:c r="X266" s="230">
        <x:f t="shared" si="12"/>
        <x:v>0</x:v>
      </x:c>
      <x:c r="Y266" s="230">
        <x:f t="shared" si="12"/>
        <x:v>0</x:v>
      </x:c>
      <x:c r="Z266" s="230">
        <x:f t="shared" si="12"/>
        <x:v>0</x:v>
      </x:c>
      <x:c r="AA266" s="230">
        <x:f t="shared" si="12"/>
        <x:v>0</x:v>
      </x:c>
    </x:row>
    <x:row r="267" spans="1:42" ht="12.75" customHeight="1" x14ac:dyDescent="0.2">
      <x:c r="C267" s="778"/>
      <x:c r="D267" s="775"/>
      <x:c r="E267" s="229" t="s">
        <x:v>73</x:v>
      </x:c>
      <x:c r="F267" s="230">
        <x:f>F175</x:f>
        <x:v>0</x:v>
      </x:c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42" ht="12.75" customHeight="1" x14ac:dyDescent="0.2">
      <x:c r="A268" s="89"/>
      <x:c r="C268" s="97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  <x:c r="S268" s="90"/>
    </x:row>
    <x:row r="269" spans="1:42" ht="12.75" customHeight="1" x14ac:dyDescent="0.2">
      <x:c r="C269" s="776" t="s">
        <x:v>326</x:v>
      </x:c>
      <x:c r="D269" s="775" t="s">
        <x:v>132</x:v>
      </x:c>
      <x:c r="E269" s="373" t="s">
        <x:v>70</x:v>
      </x:c>
      <x:c r="F269" s="374">
        <x:v>0</x:v>
      </x:c>
      <x:c r="G269" s="374">
        <x:v>0</x:v>
      </x:c>
      <x:c r="H269" s="374">
        <x:v>0</x:v>
      </x:c>
      <x:c r="I269" s="374">
        <x:v>0</x:v>
      </x:c>
      <x:c r="J269" s="374">
        <x:v>0</x:v>
      </x:c>
      <x:c r="K269" s="374">
        <x:v>0</x:v>
      </x:c>
      <x:c r="L269" s="374">
        <x:v>0</x:v>
      </x:c>
      <x:c r="M269" s="374">
        <x:v>0</x:v>
      </x:c>
      <x:c r="N269" s="374">
        <x:v>0</x:v>
      </x:c>
      <x:c r="O269" s="374">
        <x:v>0</x:v>
      </x:c>
      <x:c r="P269" s="374">
        <x:v>0</x:v>
      </x:c>
      <x:c r="Q269" s="374">
        <x:v>0</x:v>
      </x:c>
      <x:c r="R269" s="374">
        <x:v>0</x:v>
      </x:c>
      <x:c r="S269" s="374">
        <x:v>0</x:v>
      </x:c>
      <x:c r="T269" s="374">
        <x:v>0</x:v>
      </x:c>
      <x:c r="U269" s="374">
        <x:v>0</x:v>
      </x:c>
      <x:c r="V269" s="374">
        <x:v>0</x:v>
      </x:c>
      <x:c r="W269" s="374">
        <x:v>0</x:v>
      </x:c>
      <x:c r="X269" s="374">
        <x:v>0</x:v>
      </x:c>
      <x:c r="Y269" s="374">
        <x:v>0</x:v>
      </x:c>
      <x:c r="Z269" s="374">
        <x:v>0</x:v>
      </x:c>
      <x:c r="AA269" s="374">
        <x:v>0</x:v>
      </x:c>
      <x:c r="AB269" s="374">
        <x:v>0</x:v>
      </x:c>
      <x:c r="AC269" s="374">
        <x:v>0</x:v>
      </x:c>
      <x:c r="AD269" s="374">
        <x:v>0</x:v>
      </x:c>
      <x:c r="AE269" s="374">
        <x:v>0</x:v>
      </x:c>
      <x:c r="AF269" s="374">
        <x:v>0</x:v>
      </x:c>
      <x:c r="AG269" s="374">
        <x:v>0</x:v>
      </x:c>
      <x:c r="AH269" s="374">
        <x:v>0</x:v>
      </x:c>
      <x:c r="AI269" s="374">
        <x:v>0</x:v>
      </x:c>
      <x:c r="AJ269" s="374">
        <x:v>0</x:v>
      </x:c>
      <x:c r="AK269" s="374">
        <x:v>0</x:v>
      </x:c>
      <x:c r="AL269" s="374">
        <x:v>0</x:v>
      </x:c>
      <x:c r="AM269" s="374">
        <x:v>0</x:v>
      </x:c>
      <x:c r="AN269" s="374">
        <x:v>0</x:v>
      </x:c>
      <x:c r="AO269" s="374">
        <x:v>0</x:v>
      </x:c>
    </x:row>
    <x:row r="270" spans="1:42" ht="12.75" customHeight="1" x14ac:dyDescent="0.2">
      <x:c r="C270" s="776"/>
      <x:c r="D270" s="775"/>
      <x:c r="E270" s="373" t="s">
        <x:v>73</x:v>
      </x:c>
      <x:c r="F270" s="374">
        <x:v>0</x:v>
      </x:c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  <x:c r="S270" s="90"/>
    </x:row>
    <x:row r="271" spans="1:42" ht="12.75" customHeight="1" x14ac:dyDescent="0.2">
      <x:c r="C271" s="776"/>
      <x:c r="D271" s="775" t="s">
        <x:v>133</x:v>
      </x:c>
      <x:c r="E271" s="242" t="s">
        <x:v>70</x:v>
      </x:c>
      <x:c r="F271" s="243">
        <x:v>0</x:v>
      </x:c>
      <x:c r="G271" s="243">
        <x:v>0</x:v>
      </x:c>
      <x:c r="H271" s="243">
        <x:v>0</x:v>
      </x:c>
      <x:c r="I271" s="243">
        <x:v>0</x:v>
      </x:c>
      <x:c r="J271" s="243">
        <x:v>0</x:v>
      </x:c>
      <x:c r="K271" s="243">
        <x:v>0</x:v>
      </x:c>
      <x:c r="L271" s="243">
        <x:v>0</x:v>
      </x:c>
      <x:c r="M271" s="243">
        <x:v>0</x:v>
      </x:c>
      <x:c r="N271" s="243">
        <x:v>0</x:v>
      </x:c>
      <x:c r="O271" s="243">
        <x:v>0</x:v>
      </x:c>
      <x:c r="P271" s="243">
        <x:v>0</x:v>
      </x:c>
      <x:c r="Q271" s="243">
        <x:v>0</x:v>
      </x:c>
      <x:c r="R271" s="243">
        <x:v>0</x:v>
      </x:c>
      <x:c r="S271" s="243">
        <x:v>0</x:v>
      </x:c>
      <x:c r="T271" s="243">
        <x:v>0</x:v>
      </x:c>
      <x:c r="U271" s="243">
        <x:v>0</x:v>
      </x:c>
      <x:c r="V271" s="243">
        <x:v>0</x:v>
      </x:c>
      <x:c r="W271" s="243">
        <x:v>0</x:v>
      </x:c>
      <x:c r="X271" s="243">
        <x:v>0</x:v>
      </x:c>
      <x:c r="Y271" s="243">
        <x:v>0</x:v>
      </x:c>
      <x:c r="Z271" s="243">
        <x:v>0</x:v>
      </x:c>
      <x:c r="AA271" s="243">
        <x:v>0</x:v>
      </x:c>
      <x:c r="AB271" s="243">
        <x:v>0</x:v>
      </x:c>
      <x:c r="AC271" s="243">
        <x:v>0</x:v>
      </x:c>
      <x:c r="AD271" s="243">
        <x:v>0</x:v>
      </x:c>
      <x:c r="AE271" s="243">
        <x:v>0</x:v>
      </x:c>
      <x:c r="AF271" s="243">
        <x:v>0</x:v>
      </x:c>
      <x:c r="AG271" s="243">
        <x:v>0</x:v>
      </x:c>
      <x:c r="AH271" s="243">
        <x:v>0</x:v>
      </x:c>
      <x:c r="AI271" s="243">
        <x:v>0</x:v>
      </x:c>
      <x:c r="AJ271" s="243">
        <x:v>0</x:v>
      </x:c>
      <x:c r="AK271" s="243">
        <x:v>0</x:v>
      </x:c>
      <x:c r="AL271" s="243">
        <x:v>0</x:v>
      </x:c>
      <x:c r="AM271" s="243">
        <x:v>0</x:v>
      </x:c>
      <x:c r="AN271" s="243">
        <x:v>0</x:v>
      </x:c>
      <x:c r="AO271" s="243">
        <x:v>0</x:v>
      </x:c>
    </x:row>
    <x:row r="272" spans="1:42" ht="12.75" customHeight="1" x14ac:dyDescent="0.2">
      <x:c r="C272" s="776"/>
      <x:c r="D272" s="775"/>
      <x:c r="E272" s="242" t="s">
        <x:v>73</x:v>
      </x:c>
      <x:c r="F272" s="243">
        <x:v>0</x:v>
      </x:c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  <x:c r="R272" s="90"/>
    </x:row>
    <x:row r="273" spans="1:42" ht="12.75" customHeight="1" x14ac:dyDescent="0.2">
      <x:c r="A273" s="89"/>
      <x:c r="C273" s="97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  <x:c r="R273" s="90"/>
      <x:c r="S273" s="90"/>
    </x:row>
    <x:row r="274" spans="1:42" ht="12.75" customHeight="1" x14ac:dyDescent="0.2">
      <x:c r="C274" s="778" t="s">
        <x:v>119</x:v>
      </x:c>
      <x:c r="D274" s="775" t="s">
        <x:v>132</x:v>
      </x:c>
      <x:c r="E274" s="101" t="s">
        <x:v>70</x:v>
      </x:c>
      <x:c r="F274" s="93">
        <x:f>F207+F170+F119-L119-L170</x:f>
        <x:v>0</x:v>
      </x:c>
      <x:c r="G274" s="93">
        <x:f t="shared" ref="G274:AP274" si="13">G170+G119</x:f>
        <x:v>0</x:v>
      </x:c>
      <x:c r="H274" s="93">
        <x:f t="shared" si="13"/>
        <x:v>0</x:v>
      </x:c>
      <x:c r="I274" s="93">
        <x:f t="shared" si="13"/>
        <x:v>0</x:v>
      </x:c>
      <x:c r="J274" s="93">
        <x:f t="shared" si="13"/>
        <x:v>0</x:v>
      </x:c>
      <x:c r="K274" s="93">
        <x:f t="shared" si="13"/>
        <x:v>0</x:v>
      </x:c>
      <x:c r="L274" s="93">
        <x:f t="shared" si="13"/>
        <x:v>0</x:v>
      </x:c>
      <x:c r="M274" s="93">
        <x:f t="shared" si="13"/>
        <x:v>0</x:v>
      </x:c>
      <x:c r="N274" s="93">
        <x:f t="shared" si="13"/>
        <x:v>0</x:v>
      </x:c>
      <x:c r="O274" s="93">
        <x:f t="shared" si="13"/>
        <x:v>0</x:v>
      </x:c>
      <x:c r="P274" s="93">
        <x:f t="shared" si="13"/>
        <x:v>0</x:v>
      </x:c>
      <x:c r="Q274" s="93">
        <x:f t="shared" si="13"/>
        <x:v>0</x:v>
      </x:c>
      <x:c r="R274" s="93">
        <x:f t="shared" si="13"/>
        <x:v>0</x:v>
      </x:c>
      <x:c r="S274" s="93">
        <x:f t="shared" si="13"/>
        <x:v>0</x:v>
      </x:c>
      <x:c r="T274" s="93">
        <x:f t="shared" si="13"/>
        <x:v>0</x:v>
      </x:c>
      <x:c r="U274" s="93">
        <x:f t="shared" si="13"/>
        <x:v>0</x:v>
      </x:c>
      <x:c r="V274" s="93">
        <x:f t="shared" si="13"/>
        <x:v>0</x:v>
      </x:c>
      <x:c r="W274" s="93">
        <x:f t="shared" si="13"/>
        <x:v>0</x:v>
      </x:c>
      <x:c r="X274" s="93">
        <x:f t="shared" si="13"/>
        <x:v>0</x:v>
      </x:c>
      <x:c r="Y274" s="93">
        <x:f t="shared" si="13"/>
        <x:v>0</x:v>
      </x:c>
      <x:c r="Z274" s="93">
        <x:f t="shared" si="13"/>
        <x:v>0</x:v>
      </x:c>
      <x:c r="AA274" s="93">
        <x:f t="shared" si="13"/>
        <x:v>0</x:v>
      </x:c>
      <x:c r="AB274" s="93">
        <x:f t="shared" si="13"/>
        <x:v>0</x:v>
      </x:c>
      <x:c r="AC274" s="93">
        <x:f t="shared" si="13"/>
        <x:v>0</x:v>
      </x:c>
      <x:c r="AD274" s="93">
        <x:f t="shared" si="13"/>
        <x:v>0</x:v>
      </x:c>
      <x:c r="AE274" s="93">
        <x:f t="shared" si="13"/>
        <x:v>0</x:v>
      </x:c>
      <x:c r="AF274" s="93">
        <x:f t="shared" si="13"/>
        <x:v>0</x:v>
      </x:c>
      <x:c r="AG274" s="93">
        <x:f t="shared" si="13"/>
        <x:v>0</x:v>
      </x:c>
      <x:c r="AH274" s="93">
        <x:f t="shared" si="13"/>
        <x:v>0</x:v>
      </x:c>
      <x:c r="AI274" s="93">
        <x:f t="shared" si="13"/>
        <x:v>0</x:v>
      </x:c>
      <x:c r="AJ274" s="93">
        <x:f t="shared" si="13"/>
        <x:v>0</x:v>
      </x:c>
      <x:c r="AK274" s="93">
        <x:f t="shared" si="13"/>
        <x:v>0</x:v>
      </x:c>
      <x:c r="AL274" s="93">
        <x:f t="shared" si="13"/>
        <x:v>0</x:v>
      </x:c>
      <x:c r="AM274" s="93">
        <x:f t="shared" si="13"/>
        <x:v>0</x:v>
      </x:c>
      <x:c r="AN274" s="93">
        <x:f t="shared" si="13"/>
        <x:v>0</x:v>
      </x:c>
      <x:c r="AO274" s="93">
        <x:f t="shared" si="13"/>
        <x:v>0</x:v>
      </x:c>
      <x:c r="AP274" s="93">
        <x:f t="shared" si="13"/>
        <x:v>0</x:v>
      </x:c>
    </x:row>
    <x:row r="275" spans="1:42" ht="12.75" customHeight="1" x14ac:dyDescent="0.2">
      <x:c r="C275" s="778"/>
      <x:c r="D275" s="775"/>
      <x:c r="E275" s="101" t="s">
        <x:v>73</x:v>
      </x:c>
      <x:c r="F275" s="93">
        <x:f>F207</x:f>
        <x:v>0</x:v>
      </x:c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  <x:c r="S275" s="90"/>
    </x:row>
    <x:row r="276" spans="1:42" ht="12.75" customHeight="1" x14ac:dyDescent="0.2">
      <x:c r="C276" s="778"/>
      <x:c r="D276" s="775" t="s">
        <x:v>133</x:v>
      </x:c>
      <x:c r="E276" s="235" t="s">
        <x:v>70</x:v>
      </x:c>
      <x:c r="F276" s="236">
        <x:f>F189+F145-L145</x:f>
        <x:v>0</x:v>
      </x:c>
      <x:c r="G276" s="236">
        <x:f t="shared" ref="G276:AP276" si="14">G145</x:f>
        <x:v>0</x:v>
      </x:c>
      <x:c r="H276" s="236">
        <x:f t="shared" si="14"/>
        <x:v>0</x:v>
      </x:c>
      <x:c r="I276" s="236">
        <x:f t="shared" si="14"/>
        <x:v>0</x:v>
      </x:c>
      <x:c r="J276" s="236">
        <x:f t="shared" si="14"/>
        <x:v>0</x:v>
      </x:c>
      <x:c r="K276" s="236">
        <x:f t="shared" si="14"/>
        <x:v>0</x:v>
      </x:c>
      <x:c r="L276" s="236">
        <x:f t="shared" si="14"/>
        <x:v>0</x:v>
      </x:c>
      <x:c r="M276" s="236">
        <x:f t="shared" si="14"/>
        <x:v>0</x:v>
      </x:c>
      <x:c r="N276" s="236">
        <x:f t="shared" si="14"/>
        <x:v>0</x:v>
      </x:c>
      <x:c r="O276" s="236">
        <x:f t="shared" si="14"/>
        <x:v>0</x:v>
      </x:c>
      <x:c r="P276" s="236">
        <x:f t="shared" si="14"/>
        <x:v>0</x:v>
      </x:c>
      <x:c r="Q276" s="236">
        <x:f t="shared" si="14"/>
        <x:v>0</x:v>
      </x:c>
      <x:c r="R276" s="236">
        <x:f t="shared" si="14"/>
        <x:v>0</x:v>
      </x:c>
      <x:c r="S276" s="236">
        <x:f t="shared" si="14"/>
        <x:v>0</x:v>
      </x:c>
      <x:c r="T276" s="236">
        <x:f t="shared" si="14"/>
        <x:v>0</x:v>
      </x:c>
      <x:c r="U276" s="236">
        <x:f t="shared" si="14"/>
        <x:v>0</x:v>
      </x:c>
      <x:c r="V276" s="236">
        <x:f t="shared" si="14"/>
        <x:v>0</x:v>
      </x:c>
      <x:c r="W276" s="236">
        <x:f t="shared" si="14"/>
        <x:v>0</x:v>
      </x:c>
      <x:c r="X276" s="236">
        <x:f t="shared" si="14"/>
        <x:v>0</x:v>
      </x:c>
      <x:c r="Y276" s="236">
        <x:f t="shared" si="14"/>
        <x:v>0</x:v>
      </x:c>
      <x:c r="Z276" s="236">
        <x:f t="shared" si="14"/>
        <x:v>0</x:v>
      </x:c>
      <x:c r="AA276" s="236">
        <x:f t="shared" si="14"/>
        <x:v>0</x:v>
      </x:c>
      <x:c r="AB276" s="236">
        <x:f t="shared" si="14"/>
        <x:v>0</x:v>
      </x:c>
      <x:c r="AC276" s="236">
        <x:f t="shared" si="14"/>
        <x:v>0</x:v>
      </x:c>
      <x:c r="AD276" s="236">
        <x:f t="shared" si="14"/>
        <x:v>0</x:v>
      </x:c>
      <x:c r="AE276" s="236">
        <x:f t="shared" si="14"/>
        <x:v>0</x:v>
      </x:c>
      <x:c r="AF276" s="236">
        <x:f t="shared" si="14"/>
        <x:v>0</x:v>
      </x:c>
      <x:c r="AG276" s="236">
        <x:f t="shared" si="14"/>
        <x:v>0</x:v>
      </x:c>
      <x:c r="AH276" s="236">
        <x:f t="shared" si="14"/>
        <x:v>0</x:v>
      </x:c>
      <x:c r="AI276" s="236">
        <x:f t="shared" si="14"/>
        <x:v>0</x:v>
      </x:c>
      <x:c r="AJ276" s="236">
        <x:f t="shared" si="14"/>
        <x:v>0</x:v>
      </x:c>
      <x:c r="AK276" s="236">
        <x:f t="shared" si="14"/>
        <x:v>0</x:v>
      </x:c>
      <x:c r="AL276" s="236">
        <x:f t="shared" si="14"/>
        <x:v>0</x:v>
      </x:c>
      <x:c r="AM276" s="236">
        <x:f t="shared" si="14"/>
        <x:v>0</x:v>
      </x:c>
      <x:c r="AN276" s="236">
        <x:f t="shared" si="14"/>
        <x:v>0</x:v>
      </x:c>
      <x:c r="AO276" s="236">
        <x:f t="shared" si="14"/>
        <x:v>0</x:v>
      </x:c>
      <x:c r="AP276" s="236">
        <x:f t="shared" si="14"/>
        <x:v>0</x:v>
      </x:c>
    </x:row>
    <x:row r="277" spans="1:42" ht="12.75" customHeight="1" x14ac:dyDescent="0.2">
      <x:c r="C277" s="778"/>
      <x:c r="D277" s="775"/>
      <x:c r="E277" s="235" t="s">
        <x:v>73</x:v>
      </x:c>
      <x:c r="F277" s="236">
        <x:f>F189</x:f>
        <x:v>0</x:v>
      </x:c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42" ht="12.75" customHeight="1" x14ac:dyDescent="0.2">
      <x:c r="A278" s="89"/>
      <x:c r="C278" s="97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  <x:c r="S278" s="90"/>
    </x:row>
    <x:row r="279" spans="1:42" ht="12.75" customHeight="1" x14ac:dyDescent="0.2">
      <x:c r="C279" s="777" t="s">
        <x:v>161</x:v>
      </x:c>
      <x:c r="D279" s="775" t="s">
        <x:v>132</x:v>
      </x:c>
      <x:c r="E279" s="231" t="s">
        <x:v>70</x:v>
      </x:c>
      <x:c r="F279" s="232">
        <x:v>0</x:v>
      </x:c>
      <x:c r="G279" s="232">
        <x:v>0</x:v>
      </x:c>
      <x:c r="H279" s="232">
        <x:v>0</x:v>
      </x:c>
      <x:c r="I279" s="232">
        <x:v>0</x:v>
      </x:c>
      <x:c r="J279" s="232">
        <x:v>0</x:v>
      </x:c>
      <x:c r="K279" s="232">
        <x:v>0</x:v>
      </x:c>
      <x:c r="L279" s="232">
        <x:v>0</x:v>
      </x:c>
      <x:c r="M279" s="232">
        <x:v>0</x:v>
      </x:c>
      <x:c r="N279" s="232">
        <x:v>0</x:v>
      </x:c>
      <x:c r="O279" s="232">
        <x:v>0</x:v>
      </x:c>
      <x:c r="P279" s="232">
        <x:v>0</x:v>
      </x:c>
      <x:c r="Q279" s="232">
        <x:v>0</x:v>
      </x:c>
      <x:c r="R279" s="232">
        <x:v>0</x:v>
      </x:c>
      <x:c r="S279" s="232">
        <x:v>0</x:v>
      </x:c>
      <x:c r="T279" s="232">
        <x:v>0</x:v>
      </x:c>
      <x:c r="U279" s="232">
        <x:v>0</x:v>
      </x:c>
      <x:c r="V279" s="232">
        <x:v>0</x:v>
      </x:c>
      <x:c r="W279" s="232">
        <x:v>0</x:v>
      </x:c>
      <x:c r="X279" s="232">
        <x:v>0</x:v>
      </x:c>
      <x:c r="Y279" s="232"/>
      <x:c r="Z279" s="232">
        <x:v>0</x:v>
      </x:c>
      <x:c r="AA279" s="232">
        <x:v>0</x:v>
      </x:c>
      <x:c r="AB279" s="232">
        <x:v>0</x:v>
      </x:c>
      <x:c r="AC279" s="232">
        <x:v>0</x:v>
      </x:c>
      <x:c r="AD279" s="232">
        <x:v>0</x:v>
      </x:c>
      <x:c r="AE279" s="232">
        <x:v>0</x:v>
      </x:c>
      <x:c r="AF279" s="232">
        <x:v>0</x:v>
      </x:c>
      <x:c r="AG279" s="232">
        <x:v>0</x:v>
      </x:c>
      <x:c r="AH279" s="232">
        <x:v>0</x:v>
      </x:c>
      <x:c r="AI279" s="232">
        <x:v>0</x:v>
      </x:c>
      <x:c r="AJ279" s="232">
        <x:v>0</x:v>
      </x:c>
      <x:c r="AK279" s="232">
        <x:v>0</x:v>
      </x:c>
      <x:c r="AL279" s="232">
        <x:v>0</x:v>
      </x:c>
      <x:c r="AM279" s="232">
        <x:v>0</x:v>
      </x:c>
      <x:c r="AN279" s="232">
        <x:v>0</x:v>
      </x:c>
      <x:c r="AO279" s="232">
        <x:v>0</x:v>
      </x:c>
      <x:c r="AP279" s="232">
        <x:v>0</x:v>
      </x:c>
    </x:row>
    <x:row r="280" spans="1:42" ht="12.75" customHeight="1" x14ac:dyDescent="0.2">
      <x:c r="C280" s="777"/>
      <x:c r="D280" s="775"/>
      <x:c r="E280" s="231" t="s">
        <x:v>73</x:v>
      </x:c>
      <x:c r="F280" s="232">
        <x:v>0</x:v>
      </x:c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42" ht="12.75" customHeight="1" x14ac:dyDescent="0.2">
      <x:c r="C281" s="777"/>
      <x:c r="E281" s="148" t="s">
        <x:v>70</x:v>
      </x:c>
      <x:c r="F281" s="149">
        <x:v>0</x:v>
      </x:c>
      <x:c r="G281" s="149">
        <x:v>0</x:v>
      </x:c>
      <x:c r="H281" s="149">
        <x:v>0</x:v>
      </x:c>
      <x:c r="I281" s="149">
        <x:v>0</x:v>
      </x:c>
      <x:c r="J281" s="149">
        <x:v>0</x:v>
      </x:c>
      <x:c r="K281" s="149">
        <x:v>0</x:v>
      </x:c>
      <x:c r="L281" s="149">
        <x:v>0</x:v>
      </x:c>
      <x:c r="M281" s="149">
        <x:v>0</x:v>
      </x:c>
      <x:c r="N281" s="149">
        <x:v>0</x:v>
      </x:c>
      <x:c r="O281" s="149">
        <x:v>0</x:v>
      </x:c>
      <x:c r="P281" s="149">
        <x:v>0</x:v>
      </x:c>
      <x:c r="Q281" s="149">
        <x:v>0</x:v>
      </x:c>
      <x:c r="R281" s="149">
        <x:v>0</x:v>
      </x:c>
      <x:c r="S281" s="149">
        <x:v>0</x:v>
      </x:c>
      <x:c r="T281" s="149">
        <x:v>0</x:v>
      </x:c>
      <x:c r="U281" s="149">
        <x:v>0</x:v>
      </x:c>
      <x:c r="V281" s="149">
        <x:v>0</x:v>
      </x:c>
      <x:c r="W281" s="149">
        <x:v>0</x:v>
      </x:c>
      <x:c r="X281" s="149">
        <x:v>0</x:v>
      </x:c>
      <x:c r="Y281" s="149">
        <x:v>0</x:v>
      </x:c>
      <x:c r="Z281" s="149">
        <x:v>0</x:v>
      </x:c>
      <x:c r="AA281" s="149">
        <x:v>0</x:v>
      </x:c>
    </x:row>
    <x:row r="282" spans="1:42" ht="12.75" customHeight="1" x14ac:dyDescent="0.2">
      <x:c r="C282" s="777"/>
      <x:c r="D282" s="220" t="s">
        <x:v>132</x:v>
      </x:c>
      <x:c r="E282" s="148" t="s">
        <x:v>73</x:v>
      </x:c>
      <x:c r="F282" s="149">
        <x:v>0</x:v>
      </x:c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</x:row>
    <x:row r="283" spans="1:42" ht="12.75" customHeight="1" x14ac:dyDescent="0.2">
      <x:c r="C283" s="388"/>
      <x:c r="D283" s="220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42" ht="12.75" customHeight="1" x14ac:dyDescent="0.2">
      <x:c r="D284" s="458" t="s">
        <x:v>186</x:v>
      </x:c>
      <x:c r="E284" s="459" t="s">
        <x:v>70</x:v>
      </x:c>
      <x:c r="F284" s="460">
        <x:f t="shared" ref="F284:AA284" si="15">F120</x:f>
        <x:v>0</x:v>
      </x:c>
      <x:c r="G284" s="460">
        <x:f t="shared" si="15"/>
        <x:v>0</x:v>
      </x:c>
      <x:c r="H284" s="460">
        <x:f t="shared" si="15"/>
        <x:v>0</x:v>
      </x:c>
      <x:c r="I284" s="460">
        <x:f t="shared" si="15"/>
        <x:v>0</x:v>
      </x:c>
      <x:c r="J284" s="460">
        <x:f t="shared" si="15"/>
        <x:v>0</x:v>
      </x:c>
      <x:c r="K284" s="460">
        <x:f t="shared" si="15"/>
        <x:v>0</x:v>
      </x:c>
      <x:c r="L284" s="460">
        <x:f t="shared" si="15"/>
        <x:v>0</x:v>
      </x:c>
      <x:c r="M284" s="460">
        <x:f t="shared" si="15"/>
        <x:v>0</x:v>
      </x:c>
      <x:c r="N284" s="460">
        <x:f t="shared" si="15"/>
        <x:v>0</x:v>
      </x:c>
      <x:c r="O284" s="460">
        <x:f t="shared" si="15"/>
        <x:v>0</x:v>
      </x:c>
      <x:c r="P284" s="460">
        <x:f t="shared" si="15"/>
        <x:v>0</x:v>
      </x:c>
      <x:c r="Q284" s="460">
        <x:f t="shared" si="15"/>
        <x:v>0</x:v>
      </x:c>
      <x:c r="R284" s="460">
        <x:f t="shared" si="15"/>
        <x:v>0</x:v>
      </x:c>
      <x:c r="S284" s="460">
        <x:f t="shared" si="15"/>
        <x:v>0</x:v>
      </x:c>
      <x:c r="T284" s="460">
        <x:f t="shared" si="15"/>
        <x:v>0</x:v>
      </x:c>
      <x:c r="U284" s="460">
        <x:f t="shared" si="15"/>
        <x:v>0</x:v>
      </x:c>
      <x:c r="V284" s="460">
        <x:f t="shared" si="15"/>
        <x:v>0</x:v>
      </x:c>
      <x:c r="W284" s="460">
        <x:f t="shared" si="15"/>
        <x:v>0</x:v>
      </x:c>
      <x:c r="X284" s="460">
        <x:f t="shared" si="15"/>
        <x:v>0</x:v>
      </x:c>
      <x:c r="Y284" s="460">
        <x:f t="shared" si="15"/>
        <x:v>0</x:v>
      </x:c>
      <x:c r="Z284" s="460">
        <x:f t="shared" si="15"/>
        <x:v>0</x:v>
      </x:c>
      <x:c r="AA284" s="460">
        <x:f t="shared" si="15"/>
        <x:v>0</x:v>
      </x:c>
    </x:row>
    <x:row r="285" spans="1:42" ht="12.75" customHeight="1" x14ac:dyDescent="0.2">
      <x:c r="C285" s="388"/>
      <x:c r="D285" s="220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</x:row>
    <x:row r="286" spans="1:42" s="238" customFormat="1" ht="12.75" customHeight="1" x14ac:dyDescent="0.2">
      <x:c r="D286" s="239"/>
      <x:c r="E286" s="240"/>
      <x:c r="F286" s="240"/>
      <x:c r="G286" s="240"/>
      <x:c r="H286" s="240"/>
      <x:c r="I286" s="240"/>
      <x:c r="J286" s="240"/>
      <x:c r="K286" s="240"/>
      <x:c r="L286" s="240"/>
      <x:c r="M286" s="240"/>
      <x:c r="N286" s="240"/>
      <x:c r="O286" s="240"/>
      <x:c r="P286" s="240"/>
      <x:c r="Q286" s="240"/>
    </x:row>
    <x:row r="287" spans="1:42" ht="12.75" customHeight="1" x14ac:dyDescent="0.2">
      <x:c r="A287" s="89"/>
      <x:c r="B287" s="97" t="s">
        <x:v>76</x:v>
      </x:c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42" ht="12.6" customHeight="1" x14ac:dyDescent="0.2">
      <x:c r="F288" s="89" t="s">
        <x:v>70</x:v>
      </x:c>
      <x:c r="G288" s="89" t="s">
        <x:v>64</x:v>
      </x:c>
      <x:c r="H288" s="89" t="s">
        <x:v>65</x:v>
      </x:c>
      <x:c r="I288" s="218" t="s">
        <x:v>164</x:v>
      </x:c>
      <x:c r="J288" s="89" t="s">
        <x:v>69</x:v>
      </x:c>
      <x:c r="K288" s="89" t="s">
        <x:v>68</x:v>
      </x:c>
      <x:c r="L288" s="89" t="s">
        <x:v>71</x:v>
      </x:c>
      <x:c r="M288" s="89" t="s">
        <x:v>66</x:v>
      </x:c>
      <x:c r="N288" s="89" t="s">
        <x:v>63</x:v>
      </x:c>
      <x:c r="O288" s="89" t="s">
        <x:v>61</x:v>
      </x:c>
      <x:c r="P288" s="89" t="s">
        <x:v>62</x:v>
      </x:c>
      <x:c r="Q288" s="89" t="s">
        <x:v>67</x:v>
      </x:c>
      <x:c r="R288" s="89" t="s">
        <x:v>77</x:v>
      </x:c>
      <x:c r="S288" s="89" t="s">
        <x:v>80</x:v>
      </x:c>
      <x:c r="T288" s="89" t="s">
        <x:v>135</x:v>
      </x:c>
      <x:c r="U288" s="89" t="s">
        <x:v>173</x:v>
      </x:c>
      <x:c r="V288" s="89" t="s">
        <x:v>222</x:v>
      </x:c>
      <x:c r="W288" s="89" t="s">
        <x:v>173</x:v>
      </x:c>
      <x:c r="X288" t="s">
        <x:v>173</x:v>
      </x:c>
      <x:c r="Y288" s="89" t="s">
        <x:v>135</x:v>
      </x:c>
      <x:c r="Z288" t="s">
        <x:v>167</x:v>
      </x:c>
    </x:row>
    <x:row r="289" spans="1:26" ht="12.75" customHeight="1" x14ac:dyDescent="0.2">
      <x:c r="E289" s="89" t="s">
        <x:v>72</x:v>
      </x:c>
      <x:c r="F289" s="371">
        <x:v>0</x:v>
      </x:c>
      <x:c r="G289" s="90">
        <x:v>0</x:v>
      </x:c>
      <x:c r="H289" s="90">
        <x:v>0</x:v>
      </x:c>
      <x:c r="I289" s="90">
        <x:v>0</x:v>
      </x:c>
      <x:c r="J289" s="90">
        <x:v>0</x:v>
      </x:c>
      <x:c r="K289" s="90">
        <x:v>0</x:v>
      </x:c>
      <x:c r="L289" s="90">
        <x:v>0</x:v>
      </x:c>
      <x:c r="M289" s="90">
        <x:v>0</x:v>
      </x:c>
      <x:c r="N289" s="90">
        <x:v>0</x:v>
      </x:c>
      <x:c r="O289" s="90">
        <x:v>0</x:v>
      </x:c>
      <x:c r="P289" s="90">
        <x:v>0</x:v>
      </x:c>
      <x:c r="Q289" s="90">
        <x:v>0</x:v>
      </x:c>
      <x:c r="R289" s="90">
        <x:v>0</x:v>
      </x:c>
      <x:c r="S289" s="90">
        <x:v>0</x:v>
      </x:c>
      <x:c r="T289">
        <x:v>0</x:v>
      </x:c>
      <x:c r="U289">
        <x:v>0</x:v>
      </x:c>
      <x:c r="V289">
        <x:v>0</x:v>
      </x:c>
      <x:c r="W289">
        <x:v>0</x:v>
      </x:c>
      <x:c r="X289">
        <x:v>0</x:v>
      </x:c>
      <x:c r="Y289">
        <x:v>0</x:v>
      </x:c>
      <x:c r="Z289">
        <x:v>0</x:v>
      </x:c>
    </x:row>
    <x:row r="290" spans="1:26" ht="12.75" customHeight="1" x14ac:dyDescent="0.2">
      <x:c r="D290" t="s">
        <x:v>156</x:v>
      </x:c>
      <x:c r="E290" s="89" t="s">
        <x:v>70</x:v>
      </x:c>
      <x:c r="F290" s="371">
        <x:v>0</x:v>
      </x:c>
      <x:c r="G290" s="90">
        <x:v>0</x:v>
      </x:c>
      <x:c r="H290" s="90">
        <x:v>0</x:v>
      </x:c>
      <x:c r="I290" s="90">
        <x:v>0</x:v>
      </x:c>
      <x:c r="J290" s="90">
        <x:v>0</x:v>
      </x:c>
      <x:c r="K290" s="90">
        <x:v>0</x:v>
      </x:c>
      <x:c r="L290" s="90">
        <x:v>0</x:v>
      </x:c>
      <x:c r="M290" s="90">
        <x:v>0</x:v>
      </x:c>
      <x:c r="N290" s="90">
        <x:v>0</x:v>
      </x:c>
      <x:c r="O290" s="90">
        <x:v>0</x:v>
      </x:c>
      <x:c r="P290" s="90">
        <x:v>0</x:v>
      </x:c>
      <x:c r="Q290" s="90">
        <x:v>0</x:v>
      </x:c>
      <x:c r="R290" s="90">
        <x:v>0</x:v>
      </x:c>
      <x:c r="S290" s="90">
        <x:v>0</x:v>
      </x:c>
      <x:c r="T290">
        <x:v>0</x:v>
      </x:c>
      <x:c r="U290">
        <x:v>0</x:v>
      </x:c>
      <x:c r="V290">
        <x:v>0</x:v>
      </x:c>
      <x:c r="W290">
        <x:v>0</x:v>
      </x:c>
      <x:c r="X290">
        <x:v>0</x:v>
      </x:c>
      <x:c r="Y290">
        <x:v>0</x:v>
      </x:c>
      <x:c r="Z290">
        <x:v>0</x:v>
      </x:c>
    </x:row>
    <x:row r="291" spans="1:26" s="286" customFormat="1" ht="12.75" customHeight="1" x14ac:dyDescent="0.2">
      <x:c r="C291" s="286" t="s">
        <x:v>155</x:v>
      </x:c>
      <x:c r="D291" s="286" t="s">
        <x:v>70</x:v>
      </x:c>
      <x:c r="E291" s="229"/>
      <x:c r="F291" s="229">
        <x:v>0</x:v>
      </x:c>
      <x:c r="G291" s="230">
        <x:v>0</x:v>
      </x:c>
      <x:c r="H291" s="230">
        <x:v>0</x:v>
      </x:c>
      <x:c r="I291" s="230">
        <x:v>0</x:v>
      </x:c>
      <x:c r="J291" s="230">
        <x:v>0</x:v>
      </x:c>
      <x:c r="K291" s="230">
        <x:v>0</x:v>
      </x:c>
      <x:c r="L291" s="230">
        <x:v>0</x:v>
      </x:c>
      <x:c r="M291" s="230">
        <x:v>0</x:v>
      </x:c>
      <x:c r="N291" s="230">
        <x:v>0</x:v>
      </x:c>
      <x:c r="O291" s="230">
        <x:v>0</x:v>
      </x:c>
      <x:c r="P291" s="230">
        <x:v>0</x:v>
      </x:c>
      <x:c r="Q291" s="230">
        <x:v>0</x:v>
      </x:c>
      <x:c r="R291" s="230">
        <x:v>0</x:v>
      </x:c>
      <x:c r="S291" s="230">
        <x:v>0</x:v>
      </x:c>
      <x:c r="T291" s="230">
        <x:v>0</x:v>
      </x:c>
      <x:c r="U291" s="230">
        <x:v>0</x:v>
      </x:c>
      <x:c r="V291" s="230">
        <x:v>0</x:v>
      </x:c>
      <x:c r="W291" s="230">
        <x:v>0</x:v>
      </x:c>
      <x:c r="X291" s="230">
        <x:v>0</x:v>
      </x:c>
      <x:c r="Y291" s="230">
        <x:v>0</x:v>
      </x:c>
      <x:c r="Z291" s="230">
        <x:v>0</x:v>
      </x:c>
    </x:row>
    <x:row r="292" spans="1:26" ht="12.75" customHeight="1" x14ac:dyDescent="0.2">
      <x:c r="E292" s="89" t="s">
        <x:v>72</x:v>
      </x:c>
      <x:c r="F292" s="90">
        <x:v>0</x:v>
      </x:c>
      <x:c r="G292" s="90">
        <x:v>0</x:v>
      </x:c>
      <x:c r="H292" s="90">
        <x:v>0</x:v>
      </x:c>
      <x:c r="I292" s="90">
        <x:v>0</x:v>
      </x:c>
      <x:c r="J292" s="90">
        <x:v>0</x:v>
      </x:c>
      <x:c r="K292" s="90">
        <x:v>0</x:v>
      </x:c>
      <x:c r="L292" s="90">
        <x:v>0</x:v>
      </x:c>
      <x:c r="M292" s="90">
        <x:v>0</x:v>
      </x:c>
      <x:c r="N292" s="90">
        <x:v>0</x:v>
      </x:c>
      <x:c r="O292" s="90">
        <x:v>0</x:v>
      </x:c>
      <x:c r="P292" s="90">
        <x:v>0</x:v>
      </x:c>
      <x:c r="Q292" s="90">
        <x:v>0</x:v>
      </x:c>
      <x:c r="R292" s="90">
        <x:v>0</x:v>
      </x:c>
      <x:c r="S292" s="90">
        <x:v>0</x:v>
      </x:c>
      <x:c r="T292" s="90">
        <x:v>0</x:v>
      </x:c>
      <x:c r="U292" s="90">
        <x:v>0</x:v>
      </x:c>
      <x:c r="V292" s="90">
        <x:v>0</x:v>
      </x:c>
      <x:c r="W292" s="90">
        <x:v>0</x:v>
      </x:c>
      <x:c r="X292">
        <x:v>0</x:v>
      </x:c>
      <x:c r="Y292">
        <x:v>0</x:v>
      </x:c>
      <x:c r="Z292">
        <x:v>0</x:v>
      </x:c>
    </x:row>
    <x:row r="293" spans="1:26" ht="12.75" customHeight="1" x14ac:dyDescent="0.2">
      <x:c r="D293" t="s">
        <x:v>82</x:v>
      </x:c>
      <x:c r="E293" s="89" t="s">
        <x:v>70</x:v>
      </x:c>
      <x:c r="F293" s="371">
        <x:v>0</x:v>
      </x:c>
      <x:c r="G293" s="90">
        <x:v>0</x:v>
      </x:c>
      <x:c r="H293" s="90">
        <x:v>0</x:v>
      </x:c>
      <x:c r="I293" s="90">
        <x:v>0</x:v>
      </x:c>
      <x:c r="J293" s="90">
        <x:v>0</x:v>
      </x:c>
      <x:c r="K293" s="90">
        <x:v>0</x:v>
      </x:c>
      <x:c r="L293" s="90">
        <x:v>0</x:v>
      </x:c>
      <x:c r="M293" s="90">
        <x:v>0</x:v>
      </x:c>
      <x:c r="N293" s="90">
        <x:v>0</x:v>
      </x:c>
      <x:c r="O293" s="90">
        <x:v>0</x:v>
      </x:c>
      <x:c r="P293" s="90">
        <x:v>0</x:v>
      </x:c>
      <x:c r="Q293" s="90">
        <x:v>0</x:v>
      </x:c>
      <x:c r="R293" s="90">
        <x:v>0</x:v>
      </x:c>
      <x:c r="S293" s="90">
        <x:v>0</x:v>
      </x:c>
      <x:c r="T293" s="90">
        <x:v>0</x:v>
      </x:c>
      <x:c r="U293" s="90">
        <x:v>0</x:v>
      </x:c>
      <x:c r="V293" s="90">
        <x:v>0</x:v>
      </x:c>
      <x:c r="W293" s="90">
        <x:v>0</x:v>
      </x:c>
      <x:c r="X293">
        <x:v>0</x:v>
      </x:c>
      <x:c r="Y293">
        <x:v>0</x:v>
      </x:c>
      <x:c r="Z293">
        <x:v>0</x:v>
      </x:c>
    </x:row>
    <x:row r="294" spans="1:26" ht="12.75" customHeight="1" x14ac:dyDescent="0.2">
      <x:c r="E294" s="89" t="s">
        <x:v>72</x:v>
      </x:c>
      <x:c r="F294" s="371" t="n">
        <x:v>-16458.46</x:v>
      </x:c>
      <x:c r="G294" s="90" t="n">
        <x:v>-1490.88</x:v>
      </x:c>
      <x:c r="H294" s="90" t="n">
        <x:v>-633.39</x:v>
      </x:c>
      <x:c r="I294" s="90" t="n">
        <x:v>-276.6</x:v>
      </x:c>
      <x:c r="J294" s="90" t="n">
        <x:v>-3142.56</x:v>
      </x:c>
      <x:c r="K294" s="90" t="n">
        <x:v>-129.48</x:v>
      </x:c>
      <x:c r="L294" s="90" t="n">
        <x:v>0</x:v>
      </x:c>
      <x:c r="M294" s="90" t="n">
        <x:v>-1135.68</x:v>
      </x:c>
      <x:c r="N294" s="90" t="n">
        <x:v>-1423.48</x:v>
      </x:c>
      <x:c r="O294" s="90" t="n">
        <x:v>-4781.43</x:v>
      </x:c>
      <x:c r="P294" s="90" t="n">
        <x:v>-3233.73</x:v>
      </x:c>
      <x:c r="Q294" s="90" t="n">
        <x:v>-211.23</x:v>
      </x:c>
      <x:c r="R294" s="90" t="n">
        <x:v>0</x:v>
      </x:c>
      <x:c r="S294" s="90" t="n">
        <x:v>0</x:v>
      </x:c>
      <x:c r="T294" s="90" t="n">
        <x:v>0</x:v>
      </x:c>
      <x:c r="U294" s="90">
        <x:v>0</x:v>
      </x:c>
      <x:c r="V294" s="90">
        <x:v>0</x:v>
      </x:c>
      <x:c r="W294" s="90">
        <x:v>0</x:v>
      </x:c>
      <x:c r="X294">
        <x:v>0</x:v>
      </x:c>
      <x:c r="Y294">
        <x:v>0</x:v>
      </x:c>
      <x:c r="Z294">
        <x:v>0</x:v>
      </x:c>
    </x:row>
    <x:row r="295" spans="1:26" ht="12.75" customHeight="1" x14ac:dyDescent="0.2">
      <x:c r="D295" t="s">
        <x:v>86</x:v>
      </x:c>
      <x:c r="E295" s="89" t="s">
        <x:v>70</x:v>
      </x:c>
      <x:c r="F295" s="371" t="n">
        <x:v>-16458.46</x:v>
      </x:c>
      <x:c r="G295" s="90" t="n">
        <x:v>-1490.88</x:v>
      </x:c>
      <x:c r="H295" s="90" t="n">
        <x:v>-633.39</x:v>
      </x:c>
      <x:c r="I295" s="90" t="n">
        <x:v>-276.6</x:v>
      </x:c>
      <x:c r="J295" s="90" t="n">
        <x:v>-3142.56</x:v>
      </x:c>
      <x:c r="K295" s="90" t="n">
        <x:v>-129.48</x:v>
      </x:c>
      <x:c r="L295" s="90" t="n">
        <x:v>0</x:v>
      </x:c>
      <x:c r="M295" s="90" t="n">
        <x:v>-1135.68</x:v>
      </x:c>
      <x:c r="N295" s="90" t="n">
        <x:v>-1423.48</x:v>
      </x:c>
      <x:c r="O295" s="90" t="n">
        <x:v>-4781.43</x:v>
      </x:c>
      <x:c r="P295" s="90" t="n">
        <x:v>-3233.73</x:v>
      </x:c>
      <x:c r="Q295" s="90" t="n">
        <x:v>-211.23</x:v>
      </x:c>
      <x:c r="R295" s="90" t="n">
        <x:v>0</x:v>
      </x:c>
      <x:c r="S295" s="90" t="n">
        <x:v>0</x:v>
      </x:c>
      <x:c r="T295" s="90" t="n">
        <x:v>0</x:v>
      </x:c>
      <x:c r="U295" s="90">
        <x:v>0</x:v>
      </x:c>
      <x:c r="V295" s="90">
        <x:v>0</x:v>
      </x:c>
      <x:c r="W295" s="90">
        <x:v>0</x:v>
      </x:c>
      <x:c r="X295">
        <x:v>0</x:v>
      </x:c>
      <x:c r="Y295">
        <x:v>0</x:v>
      </x:c>
      <x:c r="Z295">
        <x:v>0</x:v>
      </x:c>
    </x:row>
    <x:row r="296" spans="1:26" ht="12.75" customHeight="1" x14ac:dyDescent="0.2">
      <x:c r="E296" s="89" t="s">
        <x:v>72</x:v>
      </x:c>
      <x:c r="F296" s="371">
        <x:v>0</x:v>
      </x:c>
      <x:c r="G296" s="90">
        <x:v>0</x:v>
      </x:c>
      <x:c r="H296" s="90">
        <x:v>0</x:v>
      </x:c>
      <x:c r="I296" s="90">
        <x:v>0</x:v>
      </x:c>
      <x:c r="J296" s="90">
        <x:v>0</x:v>
      </x:c>
      <x:c r="K296" s="90">
        <x:v>0</x:v>
      </x:c>
      <x:c r="L296" s="90">
        <x:v>0</x:v>
      </x:c>
      <x:c r="M296" s="90">
        <x:v>0</x:v>
      </x:c>
      <x:c r="N296" s="90">
        <x:v>0</x:v>
      </x:c>
      <x:c r="O296" s="90">
        <x:v>0</x:v>
      </x:c>
      <x:c r="P296" s="90">
        <x:v>0</x:v>
      </x:c>
      <x:c r="Q296" s="90">
        <x:v>0</x:v>
      </x:c>
      <x:c r="R296" s="90">
        <x:v>0</x:v>
      </x:c>
      <x:c r="S296" s="90">
        <x:v>0</x:v>
      </x:c>
      <x:c r="T296" s="90">
        <x:v>0</x:v>
      </x:c>
      <x:c r="U296" s="90">
        <x:v>0</x:v>
      </x:c>
      <x:c r="V296" s="90">
        <x:v>0</x:v>
      </x:c>
      <x:c r="W296" s="90">
        <x:v>0</x:v>
      </x:c>
      <x:c r="X296" s="90">
        <x:v>0</x:v>
      </x:c>
      <x:c r="Y296" s="90">
        <x:v>0</x:v>
      </x:c>
      <x:c r="Z296" s="90">
        <x:v>0</x:v>
      </x:c>
    </x:row>
    <x:row r="297" spans="1:26" ht="12.75" customHeight="1" x14ac:dyDescent="0.2">
      <x:c r="D297" t="s">
        <x:v>87</x:v>
      </x:c>
      <x:c r="E297" s="89" t="s">
        <x:v>70</x:v>
      </x:c>
      <x:c r="F297" s="371">
        <x:v>0</x:v>
      </x:c>
      <x:c r="G297" s="90">
        <x:v>0</x:v>
      </x:c>
      <x:c r="H297" s="90">
        <x:v>0</x:v>
      </x:c>
      <x:c r="I297" s="90">
        <x:v>0</x:v>
      </x:c>
      <x:c r="J297" s="90">
        <x:v>0</x:v>
      </x:c>
      <x:c r="K297" s="90">
        <x:v>0</x:v>
      </x:c>
      <x:c r="L297" s="90">
        <x:v>0</x:v>
      </x:c>
      <x:c r="M297" s="90">
        <x:v>0</x:v>
      </x:c>
      <x:c r="N297" s="90">
        <x:v>0</x:v>
      </x:c>
      <x:c r="O297" s="90">
        <x:v>0</x:v>
      </x:c>
      <x:c r="P297" s="90">
        <x:v>0</x:v>
      </x:c>
      <x:c r="Q297" s="90">
        <x:v>0</x:v>
      </x:c>
      <x:c r="R297" s="90">
        <x:v>0</x:v>
      </x:c>
      <x:c r="S297" s="90">
        <x:v>0</x:v>
      </x:c>
      <x:c r="T297" s="90">
        <x:v>0</x:v>
      </x:c>
      <x:c r="U297" s="90">
        <x:v>0</x:v>
      </x:c>
      <x:c r="V297" s="90">
        <x:v>0</x:v>
      </x:c>
      <x:c r="W297" s="90">
        <x:v>0</x:v>
      </x:c>
      <x:c r="X297" s="90">
        <x:v>0</x:v>
      </x:c>
      <x:c r="Y297" s="90">
        <x:v>0</x:v>
      </x:c>
      <x:c r="Z297" s="90">
        <x:v>0</x:v>
      </x:c>
    </x:row>
    <x:row r="298" spans="1:26" s="94" customFormat="1" ht="12.75" customHeight="1" x14ac:dyDescent="0.2">
      <x:c r="C298" s="101" t="s">
        <x:v>119</x:v>
      </x:c>
      <x:c r="D298" s="101" t="s">
        <x:v>70</x:v>
      </x:c>
      <x:c r="F298" s="93" t="n">
        <x:v>-16458.46</x:v>
      </x:c>
      <x:c r="G298" s="93" t="n">
        <x:v>-1490.88</x:v>
      </x:c>
      <x:c r="H298" s="93" t="n">
        <x:v>-633.39</x:v>
      </x:c>
      <x:c r="I298" s="93" t="n">
        <x:v>-276.6</x:v>
      </x:c>
      <x:c r="J298" s="93" t="n">
        <x:v>-3142.56</x:v>
      </x:c>
      <x:c r="K298" s="93" t="n">
        <x:v>-129.48</x:v>
      </x:c>
      <x:c r="L298" s="93" t="n">
        <x:v>0</x:v>
      </x:c>
      <x:c r="M298" s="93" t="n">
        <x:v>-1135.68</x:v>
      </x:c>
      <x:c r="N298" s="93" t="n">
        <x:v>-1423.48</x:v>
      </x:c>
      <x:c r="O298" s="93" t="n">
        <x:v>-4781.43</x:v>
      </x:c>
      <x:c r="P298" s="93" t="n">
        <x:v>-3233.73</x:v>
      </x:c>
      <x:c r="Q298" s="93" t="n">
        <x:v>-211.23</x:v>
      </x:c>
      <x:c r="R298" s="93" t="n">
        <x:v>0</x:v>
      </x:c>
      <x:c r="S298" s="93" t="n">
        <x:v>0</x:v>
      </x:c>
      <x:c r="T298" s="94" t="n">
        <x:v>0</x:v>
      </x:c>
      <x:c r="U298" s="94">
        <x:v>0</x:v>
      </x:c>
      <x:c r="V298" s="94">
        <x:v>0</x:v>
      </x:c>
      <x:c r="W298" s="94">
        <x:v>0</x:v>
      </x:c>
      <x:c r="X298" s="94">
        <x:v>0</x:v>
      </x:c>
      <x:c r="Y298" s="94">
        <x:v>0</x:v>
      </x:c>
      <x:c r="Z298" s="94">
        <x:v>0</x:v>
      </x:c>
    </x:row>
    <x:row r="299" spans="1:26" ht="12.75" customHeight="1" x14ac:dyDescent="0.2">
      <x:c r="B299" t="s">
        <x:v>112</x:v>
      </x:c>
      <x:c r="C299" t="s">
        <x:v>70</x:v>
      </x:c>
      <x:c r="E299" s="89"/>
      <x:c r="F299" s="371" t="n">
        <x:v>-16458.46</x:v>
      </x:c>
      <x:c r="G299" s="90" t="n">
        <x:v>-1490.88</x:v>
      </x:c>
      <x:c r="H299" s="90" t="n">
        <x:v>-633.39</x:v>
      </x:c>
      <x:c r="I299" s="90" t="n">
        <x:v>-276.6</x:v>
      </x:c>
      <x:c r="J299" s="90" t="n">
        <x:v>-3142.56</x:v>
      </x:c>
      <x:c r="K299" s="90" t="n">
        <x:v>-129.48</x:v>
      </x:c>
      <x:c r="L299" s="90" t="n">
        <x:v>0</x:v>
      </x:c>
      <x:c r="M299" s="90" t="n">
        <x:v>-1135.68</x:v>
      </x:c>
      <x:c r="N299" s="90" t="n">
        <x:v>-1423.48</x:v>
      </x:c>
      <x:c r="O299" s="90" t="n">
        <x:v>-4781.43</x:v>
      </x:c>
      <x:c r="P299" s="90" t="n">
        <x:v>-3233.73</x:v>
      </x:c>
      <x:c r="Q299" s="90" t="n">
        <x:v>-211.23</x:v>
      </x:c>
      <x:c r="R299" s="90" t="n">
        <x:v>0</x:v>
      </x:c>
      <x:c r="S299" s="90" t="n">
        <x:v>0</x:v>
      </x:c>
      <x:c r="T299" t="n">
        <x:v>0</x:v>
      </x:c>
      <x:c r="U299">
        <x:v>0</x:v>
      </x:c>
      <x:c r="V299">
        <x:v>0</x:v>
      </x:c>
      <x:c r="W299">
        <x:v>0</x:v>
      </x:c>
      <x:c r="X299">
        <x:v>0</x:v>
      </x:c>
      <x:c r="Y299">
        <x:v>0</x:v>
      </x:c>
      <x:c r="Z299">
        <x:v>0</x:v>
      </x:c>
    </x:row>
    <x:row r="300" spans="1:26" s="458" customFormat="1" ht="12.75" customHeight="1" x14ac:dyDescent="0.2">
      <x:c r="A300" s="458" t="s">
        <x:v>186</x:v>
      </x:c>
      <x:c r="B300" s="458" t="s">
        <x:v>70</x:v>
      </x:c>
      <x:c r="F300" s="458" t="n">
        <x:v>-16458.46</x:v>
      </x:c>
      <x:c r="G300" s="458" t="n">
        <x:v>-1490.88</x:v>
      </x:c>
      <x:c r="H300" s="458" t="n">
        <x:v>-633.39</x:v>
      </x:c>
      <x:c r="I300" s="458" t="n">
        <x:v>-276.6</x:v>
      </x:c>
      <x:c r="J300" s="458" t="n">
        <x:v>-3142.56</x:v>
      </x:c>
      <x:c r="K300" s="458" t="n">
        <x:v>-129.48</x:v>
      </x:c>
      <x:c r="L300" s="458" t="n">
        <x:v>0</x:v>
      </x:c>
      <x:c r="M300" s="458" t="n">
        <x:v>-1135.68</x:v>
      </x:c>
      <x:c r="N300" s="458" t="n">
        <x:v>-1423.48</x:v>
      </x:c>
      <x:c r="O300" s="458" t="n">
        <x:v>-4781.43</x:v>
      </x:c>
      <x:c r="P300" s="458" t="n">
        <x:v>-3233.73</x:v>
      </x:c>
      <x:c r="Q300" s="458" t="n">
        <x:v>-211.23</x:v>
      </x:c>
      <x:c r="R300" s="458" t="n">
        <x:v>0</x:v>
      </x:c>
      <x:c r="S300" s="458" t="n">
        <x:v>0</x:v>
      </x:c>
      <x:c r="T300" s="458" t="n">
        <x:v>0</x:v>
      </x:c>
      <x:c r="U300" s="458">
        <x:v>0</x:v>
      </x:c>
      <x:c r="V300" s="458">
        <x:v>0</x:v>
      </x:c>
      <x:c r="W300" s="458">
        <x:v>0</x:v>
      </x:c>
      <x:c r="X300" s="458">
        <x:v>0</x:v>
      </x:c>
      <x:c r="Y300" s="458">
        <x:v>0</x:v>
      </x:c>
      <x:c r="Z300" s="458">
        <x:v>0</x:v>
      </x:c>
    </x:row>
    <x:row r="301" spans="1:26" x14ac:dyDescent="0.2">
      <x:c r="E301" t="s">
        <x:v>72</x:v>
      </x:c>
      <x:c r="F301" s="90" t="n">
        <x:v>708630.34</x:v>
      </x:c>
      <x:c r="G301" s="90" t="n">
        <x:v>154391.82</x:v>
      </x:c>
      <x:c r="H301" s="90" t="n">
        <x:v>67732.48</x:v>
      </x:c>
      <x:c r="I301" s="90" t="n">
        <x:v>38607.32</x:v>
      </x:c>
      <x:c r="J301" s="90" t="n">
        <x:v>34161.95</x:v>
      </x:c>
      <x:c r="K301" s="90" t="n">
        <x:v>712.93</x:v>
      </x:c>
      <x:c r="L301" s="90" t="n">
        <x:v>0</x:v>
      </x:c>
      <x:c r="M301" s="90" t="n">
        <x:v>6253.82</x:v>
      </x:c>
      <x:c r="N301" s="90" t="n">
        <x:v>7559.81</x:v>
      </x:c>
      <x:c r="O301" s="90" t="n">
        <x:v>35312.7</x:v>
      </x:c>
      <x:c r="P301" s="90" t="n">
        <x:v>362741.55</x:v>
      </x:c>
      <x:c r="Q301" s="90" t="n">
        <x:v>1163.2</x:v>
      </x:c>
      <x:c r="R301" s="90" t="n">
        <x:v>-7.24</x:v>
      </x:c>
      <x:c r="S301" s="90" t="n">
        <x:v>0</x:v>
      </x:c>
      <x:c r="T301" s="90" t="n">
        <x:v>0</x:v>
      </x:c>
      <x:c r="U301">
        <x:v>0</x:v>
      </x:c>
      <x:c r="V301">
        <x:v>0</x:v>
      </x:c>
      <x:c r="W301">
        <x:v>0</x:v>
      </x:c>
      <x:c r="X301">
        <x:v>0</x:v>
      </x:c>
      <x:c r="Y301">
        <x:v>0</x:v>
      </x:c>
      <x:c r="Z301" s="90">
        <x:v>0</x:v>
      </x:c>
    </x:row>
    <x:row r="302" spans="1:26" x14ac:dyDescent="0.2">
      <x:c r="E302" t="s">
        <x:v>81</x:v>
      </x:c>
      <x:c r="F302" s="90" t="n">
        <x:v>-28092.31</x:v>
      </x:c>
      <x:c r="G302" s="90" t="n">
        <x:v>-6793.44</x:v>
      </x:c>
      <x:c r="H302" s="90" t="n">
        <x:v>-1591.52</x:v>
      </x:c>
      <x:c r="I302" s="90" t="n">
        <x:v>-1315.75</x:v>
      </x:c>
      <x:c r="J302" s="90" t="n">
        <x:v>-589.87</x:v>
      </x:c>
      <x:c r="K302" s="90" t="n">
        <x:v>-30.48</x:v>
      </x:c>
      <x:c r="L302" s="90" t="n">
        <x:v>0</x:v>
      </x:c>
      <x:c r="M302" s="90" t="n">
        <x:v>-262.59</x:v>
      </x:c>
      <x:c r="N302" s="90" t="n">
        <x:v>-266.56</x:v>
      </x:c>
      <x:c r="O302" s="90" t="n">
        <x:v>-1393.61</x:v>
      </x:c>
      <x:c r="P302" s="90" t="n">
        <x:v>-15798.65</x:v>
      </x:c>
      <x:c r="Q302" s="90" t="n">
        <x:v>-49.83</x:v>
      </x:c>
      <x:c r="R302" s="90" t="n">
        <x:v>-0.71</x:v>
      </x:c>
      <x:c r="S302" s="90" t="n">
        <x:v>0.7</x:v>
      </x:c>
      <x:c r="T302" s="90" t="n">
        <x:v>0</x:v>
      </x:c>
      <x:c r="U302">
        <x:v>0</x:v>
      </x:c>
      <x:c r="V302">
        <x:v>0</x:v>
      </x:c>
      <x:c r="W302">
        <x:v>0</x:v>
      </x:c>
      <x:c r="X302">
        <x:v>0</x:v>
      </x:c>
      <x:c r="Y302">
        <x:v>0</x:v>
      </x:c>
      <x:c r="Z302" s="90">
        <x:v>0</x:v>
      </x:c>
    </x:row>
    <x:row r="303" spans="1:26" x14ac:dyDescent="0.2">
      <x:c r="D303" t="s">
        <x:v>156</x:v>
      </x:c>
      <x:c r="E303" t="s">
        <x:v>70</x:v>
      </x:c>
      <x:c r="F303" s="90" t="n">
        <x:v>680538.03</x:v>
      </x:c>
      <x:c r="G303" s="90" t="n">
        <x:v>147598.38</x:v>
      </x:c>
      <x:c r="H303" s="90" t="n">
        <x:v>66140.96</x:v>
      </x:c>
      <x:c r="I303" s="90" t="n">
        <x:v>37291.57</x:v>
      </x:c>
      <x:c r="J303" s="90" t="n">
        <x:v>33572.08</x:v>
      </x:c>
      <x:c r="K303" s="90" t="n">
        <x:v>682.45</x:v>
      </x:c>
      <x:c r="L303" s="90" t="n">
        <x:v>0</x:v>
      </x:c>
      <x:c r="M303" s="90" t="n">
        <x:v>5991.23</x:v>
      </x:c>
      <x:c r="N303" s="90" t="n">
        <x:v>7293.25</x:v>
      </x:c>
      <x:c r="O303" s="90" t="n">
        <x:v>33919.09</x:v>
      </x:c>
      <x:c r="P303" s="90" t="n">
        <x:v>346942.9</x:v>
      </x:c>
      <x:c r="Q303" s="90" t="n">
        <x:v>1113.37</x:v>
      </x:c>
      <x:c r="R303" s="90" t="n">
        <x:v>-7.95</x:v>
      </x:c>
      <x:c r="S303" s="90" t="n">
        <x:v>0.7</x:v>
      </x:c>
      <x:c r="T303" s="90" t="n">
        <x:v>0</x:v>
      </x:c>
      <x:c r="U303">
        <x:v>0</x:v>
      </x:c>
      <x:c r="V303">
        <x:v>0</x:v>
      </x:c>
      <x:c r="W303">
        <x:v>0</x:v>
      </x:c>
      <x:c r="X303">
        <x:v>0</x:v>
      </x:c>
      <x:c r="Y303">
        <x:v>0</x:v>
      </x:c>
      <x:c r="Z303" s="90">
        <x:v>0</x:v>
      </x:c>
    </x:row>
    <x:row r="304" spans="1:26" s="286" customFormat="1" x14ac:dyDescent="0.2">
      <x:c r="C304" s="286" t="s">
        <x:v>155</x:v>
      </x:c>
      <x:c r="D304" s="286" t="s">
        <x:v>70</x:v>
      </x:c>
      <x:c r="F304" s="230" t="n">
        <x:v>680538.03</x:v>
      </x:c>
      <x:c r="G304" s="230" t="n">
        <x:v>147598.38</x:v>
      </x:c>
      <x:c r="H304" s="230" t="n">
        <x:v>66140.96</x:v>
      </x:c>
      <x:c r="I304" s="230" t="n">
        <x:v>37291.57</x:v>
      </x:c>
      <x:c r="J304" s="230" t="n">
        <x:v>33572.08</x:v>
      </x:c>
      <x:c r="K304" s="230" t="n">
        <x:v>682.45</x:v>
      </x:c>
      <x:c r="L304" s="230" t="n">
        <x:v>0</x:v>
      </x:c>
      <x:c r="M304" s="230" t="n">
        <x:v>5991.23</x:v>
      </x:c>
      <x:c r="N304" s="230" t="n">
        <x:v>7293.25</x:v>
      </x:c>
      <x:c r="O304" s="230" t="n">
        <x:v>33919.09</x:v>
      </x:c>
      <x:c r="P304" s="230" t="n">
        <x:v>346942.9</x:v>
      </x:c>
      <x:c r="Q304" s="230" t="n">
        <x:v>1113.37</x:v>
      </x:c>
      <x:c r="R304" s="230" t="n">
        <x:v>-7.95</x:v>
      </x:c>
      <x:c r="S304" s="230" t="n">
        <x:v>0.7</x:v>
      </x:c>
      <x:c r="T304" s="230" t="n">
        <x:v>0</x:v>
      </x:c>
      <x:c r="U304" s="286">
        <x:v>0</x:v>
      </x:c>
      <x:c r="V304" s="286">
        <x:v>0</x:v>
      </x:c>
      <x:c r="W304" s="286">
        <x:v>0</x:v>
      </x:c>
      <x:c r="X304" s="286">
        <x:v>0</x:v>
      </x:c>
      <x:c r="Y304" s="286">
        <x:v>0</x:v>
      </x:c>
      <x:c r="Z304" s="230">
        <x:v>0</x:v>
      </x:c>
    </x:row>
    <x:row r="305" spans="2:26" x14ac:dyDescent="0.2">
      <x:c r="E305" t="s">
        <x:v>72</x:v>
      </x:c>
      <x:c r="F305" s="90">
        <x:v>0</x:v>
      </x:c>
      <x:c r="G305" s="90">
        <x:v>0</x:v>
      </x:c>
      <x:c r="H305" s="90">
        <x:v>0</x:v>
      </x:c>
      <x:c r="I305" s="90">
        <x:v>0</x:v>
      </x:c>
      <x:c r="J305" s="90">
        <x:v>0</x:v>
      </x:c>
      <x:c r="K305" s="90">
        <x:v>0</x:v>
      </x:c>
      <x:c r="L305" s="90">
        <x:v>0</x:v>
      </x:c>
      <x:c r="M305" s="90">
        <x:v>0</x:v>
      </x:c>
      <x:c r="N305" s="90">
        <x:v>0</x:v>
      </x:c>
      <x:c r="O305" s="90">
        <x:v>0</x:v>
      </x:c>
      <x:c r="P305" s="90">
        <x:v>0</x:v>
      </x:c>
      <x:c r="Q305" s="90">
        <x:v>370.08</x:v>
      </x:c>
      <x:c r="R305" s="90">
        <x:v>-1.95</x:v>
      </x:c>
      <x:c r="S305" s="90">
        <x:v>0</x:v>
      </x:c>
      <x:c r="T305" s="90">
        <x:v>0</x:v>
      </x:c>
      <x:c r="U305">
        <x:v>0</x:v>
      </x:c>
      <x:c r="V305">
        <x:v>0</x:v>
      </x:c>
      <x:c r="W305">
        <x:v>0</x:v>
      </x:c>
      <x:c r="X305">
        <x:v>0</x:v>
      </x:c>
      <x:c r="Y305">
        <x:v>0</x:v>
      </x:c>
      <x:c r="Z305" s="90">
        <x:v>0</x:v>
      </x:c>
    </x:row>
    <x:row r="306" spans="2:26" x14ac:dyDescent="0.2">
      <x:c r="E306" t="s">
        <x:v>81</x:v>
      </x:c>
      <x:c r="F306" s="90">
        <x:v>0</x:v>
      </x:c>
      <x:c r="G306" s="90">
        <x:v>0</x:v>
      </x:c>
      <x:c r="H306" s="90">
        <x:v>0</x:v>
      </x:c>
      <x:c r="I306" s="90">
        <x:v>0</x:v>
      </x:c>
      <x:c r="J306" s="90">
        <x:v>0</x:v>
      </x:c>
      <x:c r="K306" s="90">
        <x:v>0</x:v>
      </x:c>
      <x:c r="L306" s="90">
        <x:v>0</x:v>
      </x:c>
      <x:c r="M306" s="90">
        <x:v>0</x:v>
      </x:c>
      <x:c r="N306" s="90">
        <x:v>0</x:v>
      </x:c>
      <x:c r="O306" s="90">
        <x:v>0</x:v>
      </x:c>
      <x:c r="P306" s="90">
        <x:v>0</x:v>
      </x:c>
      <x:c r="Q306" s="90">
        <x:v>7.0000000000000007E-2</x:v>
      </x:c>
      <x:c r="R306" s="90">
        <x:v>0</x:v>
      </x:c>
      <x:c r="S306" s="90">
        <x:v>0</x:v>
      </x:c>
      <x:c r="T306" s="90">
        <x:v>0</x:v>
      </x:c>
      <x:c r="U306">
        <x:v>0</x:v>
      </x:c>
      <x:c r="V306">
        <x:v>0</x:v>
      </x:c>
      <x:c r="W306">
        <x:v>0</x:v>
      </x:c>
      <x:c r="X306">
        <x:v>0</x:v>
      </x:c>
      <x:c r="Y306">
        <x:v>0</x:v>
      </x:c>
      <x:c r="Z306" s="90">
        <x:v>0</x:v>
      </x:c>
    </x:row>
    <x:row r="307" spans="2:26" x14ac:dyDescent="0.2">
      <x:c r="D307" t="s">
        <x:v>82</x:v>
      </x:c>
      <x:c r="E307" t="s">
        <x:v>70</x:v>
      </x:c>
      <x:c r="F307" s="90">
        <x:v>0</x:v>
      </x:c>
      <x:c r="G307" s="90">
        <x:v>0</x:v>
      </x:c>
      <x:c r="H307" s="90">
        <x:v>0</x:v>
      </x:c>
      <x:c r="I307" s="90">
        <x:v>0</x:v>
      </x:c>
      <x:c r="J307" s="90">
        <x:v>0</x:v>
      </x:c>
      <x:c r="K307" s="90">
        <x:v>0</x:v>
      </x:c>
      <x:c r="L307" s="90">
        <x:v>0</x:v>
      </x:c>
      <x:c r="M307" s="90">
        <x:v>0</x:v>
      </x:c>
      <x:c r="N307" s="90">
        <x:v>0</x:v>
      </x:c>
      <x:c r="O307" s="90">
        <x:v>0</x:v>
      </x:c>
      <x:c r="P307" s="90">
        <x:v>0</x:v>
      </x:c>
      <x:c r="Q307" s="90">
        <x:v>370.15</x:v>
      </x:c>
      <x:c r="R307" s="90">
        <x:v>-1.95</x:v>
      </x:c>
      <x:c r="S307" s="90">
        <x:v>0</x:v>
      </x:c>
      <x:c r="T307" s="90">
        <x:v>0</x:v>
      </x:c>
      <x:c r="U307">
        <x:v>0</x:v>
      </x:c>
      <x:c r="V307">
        <x:v>0</x:v>
      </x:c>
      <x:c r="W307">
        <x:v>0</x:v>
      </x:c>
      <x:c r="X307">
        <x:v>0</x:v>
      </x:c>
      <x:c r="Y307">
        <x:v>0</x:v>
      </x:c>
      <x:c r="Z307" s="90">
        <x:v>0</x:v>
      </x:c>
    </x:row>
    <x:row r="308" spans="2:26" x14ac:dyDescent="0.2">
      <x:c r="E308" t="s">
        <x:v>72</x:v>
      </x:c>
      <x:c r="F308" s="90">
        <x:v>0</x:v>
      </x:c>
      <x:c r="G308" s="90">
        <x:v>0</x:v>
      </x:c>
      <x:c r="H308" s="90">
        <x:v>0</x:v>
      </x:c>
      <x:c r="I308" s="90">
        <x:v>0</x:v>
      </x:c>
      <x:c r="J308" s="90">
        <x:v>0</x:v>
      </x:c>
      <x:c r="K308" s="90">
        <x:v>0</x:v>
      </x:c>
      <x:c r="L308" s="90">
        <x:v>0</x:v>
      </x:c>
      <x:c r="M308" s="90">
        <x:v>0</x:v>
      </x:c>
      <x:c r="N308" s="90">
        <x:v>0</x:v>
      </x:c>
      <x:c r="O308" s="90">
        <x:v>0</x:v>
      </x:c>
      <x:c r="P308" s="90">
        <x:v>0</x:v>
      </x:c>
      <x:c r="Q308" s="90">
        <x:v>370.08</x:v>
      </x:c>
      <x:c r="R308" s="90">
        <x:v>-1.95</x:v>
      </x:c>
      <x:c r="S308" s="90">
        <x:v>0</x:v>
      </x:c>
      <x:c r="T308" s="90">
        <x:v>0</x:v>
      </x:c>
      <x:c r="U308">
        <x:v>0</x:v>
      </x:c>
      <x:c r="V308">
        <x:v>0</x:v>
      </x:c>
      <x:c r="W308">
        <x:v>0</x:v>
      </x:c>
      <x:c r="X308">
        <x:v>0</x:v>
      </x:c>
      <x:c r="Y308">
        <x:v>0</x:v>
      </x:c>
      <x:c r="Z308" s="90">
        <x:v>0</x:v>
      </x:c>
    </x:row>
    <x:row r="309" spans="2:26" x14ac:dyDescent="0.2">
      <x:c r="E309" t="s">
        <x:v>81</x:v>
      </x:c>
      <x:c r="F309" s="90">
        <x:v>0</x:v>
      </x:c>
      <x:c r="G309" s="90">
        <x:v>0</x:v>
      </x:c>
      <x:c r="H309" s="90">
        <x:v>0</x:v>
      </x:c>
      <x:c r="I309" s="90">
        <x:v>0</x:v>
      </x:c>
      <x:c r="J309" s="90">
        <x:v>0</x:v>
      </x:c>
      <x:c r="K309" s="90">
        <x:v>0</x:v>
      </x:c>
      <x:c r="L309" s="90">
        <x:v>0</x:v>
      </x:c>
      <x:c r="M309" s="90">
        <x:v>0</x:v>
      </x:c>
      <x:c r="N309" s="90">
        <x:v>0</x:v>
      </x:c>
      <x:c r="O309" s="90">
        <x:v>0</x:v>
      </x:c>
      <x:c r="P309" s="90">
        <x:v>0</x:v>
      </x:c>
      <x:c r="Q309" s="90">
        <x:v>7.0000000000000007E-2</x:v>
      </x:c>
      <x:c r="R309" s="90">
        <x:v>0</x:v>
      </x:c>
      <x:c r="S309" s="90">
        <x:v>0</x:v>
      </x:c>
      <x:c r="T309" s="90">
        <x:v>0</x:v>
      </x:c>
      <x:c r="U309">
        <x:v>0</x:v>
      </x:c>
      <x:c r="V309">
        <x:v>0</x:v>
      </x:c>
      <x:c r="W309">
        <x:v>0</x:v>
      </x:c>
      <x:c r="X309">
        <x:v>0</x:v>
      </x:c>
      <x:c r="Y309">
        <x:v>0</x:v>
      </x:c>
      <x:c r="Z309" s="90">
        <x:v>0</x:v>
      </x:c>
    </x:row>
    <x:row r="310" spans="2:26" x14ac:dyDescent="0.2">
      <x:c r="D310" t="s">
        <x:v>86</x:v>
      </x:c>
      <x:c r="E310" t="s">
        <x:v>70</x:v>
      </x:c>
      <x:c r="F310" s="90">
        <x:v>0</x:v>
      </x:c>
      <x:c r="G310" s="90">
        <x:v>0</x:v>
      </x:c>
      <x:c r="H310" s="90">
        <x:v>0</x:v>
      </x:c>
      <x:c r="I310" s="90">
        <x:v>0</x:v>
      </x:c>
      <x:c r="J310" s="90">
        <x:v>0</x:v>
      </x:c>
      <x:c r="K310" s="90">
        <x:v>0</x:v>
      </x:c>
      <x:c r="L310" s="90">
        <x:v>0</x:v>
      </x:c>
      <x:c r="M310" s="90">
        <x:v>0</x:v>
      </x:c>
      <x:c r="N310" s="90">
        <x:v>0</x:v>
      </x:c>
      <x:c r="O310" s="90">
        <x:v>0</x:v>
      </x:c>
      <x:c r="P310" s="90">
        <x:v>0</x:v>
      </x:c>
      <x:c r="Q310" s="90">
        <x:v>370.15</x:v>
      </x:c>
      <x:c r="R310" s="90">
        <x:v>-1.95</x:v>
      </x:c>
      <x:c r="S310" s="90">
        <x:v>0</x:v>
      </x:c>
      <x:c r="T310" s="90">
        <x:v>0</x:v>
      </x:c>
      <x:c r="U310">
        <x:v>0</x:v>
      </x:c>
      <x:c r="V310">
        <x:v>0</x:v>
      </x:c>
      <x:c r="W310">
        <x:v>0</x:v>
      </x:c>
      <x:c r="X310">
        <x:v>0</x:v>
      </x:c>
      <x:c r="Y310">
        <x:v>0</x:v>
      </x:c>
      <x:c r="Z310" s="90">
        <x:v>0</x:v>
      </x:c>
    </x:row>
    <x:row r="311" spans="2:26" ht="12.75" customHeight="1" x14ac:dyDescent="0.2">
      <x:c r="E311" s="89" t="s">
        <x:v>72</x:v>
      </x:c>
      <x:c r="F311" s="371">
        <x:v>0</x:v>
      </x:c>
      <x:c r="G311" s="90">
        <x:v>0</x:v>
      </x:c>
      <x:c r="H311" s="90">
        <x:v>0</x:v>
      </x:c>
      <x:c r="I311" s="90">
        <x:v>0</x:v>
      </x:c>
      <x:c r="J311" s="90">
        <x:v>0</x:v>
      </x:c>
      <x:c r="K311" s="90">
        <x:v>0</x:v>
      </x:c>
      <x:c r="L311" s="90">
        <x:v>0</x:v>
      </x:c>
      <x:c r="M311" s="90">
        <x:v>0</x:v>
      </x:c>
      <x:c r="N311" s="90">
        <x:v>0</x:v>
      </x:c>
      <x:c r="O311" s="90">
        <x:v>0</x:v>
      </x:c>
      <x:c r="P311" s="90">
        <x:v>0</x:v>
      </x:c>
      <x:c r="Q311" s="90">
        <x:v>0</x:v>
      </x:c>
      <x:c r="R311" s="90">
        <x:v>0</x:v>
      </x:c>
      <x:c r="S311" s="90">
        <x:v>0</x:v>
      </x:c>
      <x:c r="T311" s="90">
        <x:v>0</x:v>
      </x:c>
      <x:c r="U311" s="90">
        <x:v>0</x:v>
      </x:c>
      <x:c r="V311" s="90">
        <x:v>0</x:v>
      </x:c>
      <x:c r="W311" s="90">
        <x:v>0</x:v>
      </x:c>
      <x:c r="X311" s="90">
        <x:v>0</x:v>
      </x:c>
      <x:c r="Y311" s="90">
        <x:v>0</x:v>
      </x:c>
      <x:c r="Z311" s="90">
        <x:v>0</x:v>
      </x:c>
    </x:row>
    <x:row r="312" spans="2:26" x14ac:dyDescent="0.2">
      <x:c r="E312" t="s">
        <x:v>81</x:v>
      </x:c>
      <x:c r="F312" s="90">
        <x:v>0</x:v>
      </x:c>
      <x:c r="G312" s="90">
        <x:v>0</x:v>
      </x:c>
      <x:c r="H312" s="90">
        <x:v>0</x:v>
      </x:c>
      <x:c r="I312" s="90">
        <x:v>0</x:v>
      </x:c>
      <x:c r="J312" s="90">
        <x:v>0</x:v>
      </x:c>
      <x:c r="K312" s="90">
        <x:v>0</x:v>
      </x:c>
      <x:c r="L312" s="90">
        <x:v>0</x:v>
      </x:c>
      <x:c r="M312" s="90">
        <x:v>0</x:v>
      </x:c>
      <x:c r="N312" s="90">
        <x:v>0</x:v>
      </x:c>
      <x:c r="O312" s="90">
        <x:v>0</x:v>
      </x:c>
      <x:c r="P312" s="90">
        <x:v>0</x:v>
      </x:c>
      <x:c r="Q312" s="90">
        <x:v>0</x:v>
      </x:c>
      <x:c r="R312" s="90">
        <x:v>0</x:v>
      </x:c>
      <x:c r="S312" s="90">
        <x:v>0</x:v>
      </x:c>
      <x:c r="T312" s="90">
        <x:v>0</x:v>
      </x:c>
      <x:c r="U312">
        <x:v>0</x:v>
      </x:c>
      <x:c r="V312">
        <x:v>0</x:v>
      </x:c>
      <x:c r="W312">
        <x:v>0</x:v>
      </x:c>
      <x:c r="X312">
        <x:v>0</x:v>
      </x:c>
      <x:c r="Y312">
        <x:v>0</x:v>
      </x:c>
      <x:c r="Z312" s="90">
        <x:v>0</x:v>
      </x:c>
    </x:row>
    <x:row r="313" spans="2:26" ht="12.75" customHeight="1" x14ac:dyDescent="0.2">
      <x:c r="D313" t="s">
        <x:v>87</x:v>
      </x:c>
      <x:c r="E313" s="89" t="s">
        <x:v>70</x:v>
      </x:c>
      <x:c r="F313" s="371">
        <x:v>0</x:v>
      </x:c>
      <x:c r="G313" s="90">
        <x:v>0</x:v>
      </x:c>
      <x:c r="H313" s="90">
        <x:v>0</x:v>
      </x:c>
      <x:c r="I313" s="90">
        <x:v>0</x:v>
      </x:c>
      <x:c r="J313" s="90">
        <x:v>0</x:v>
      </x:c>
      <x:c r="K313" s="90">
        <x:v>0</x:v>
      </x:c>
      <x:c r="L313" s="90">
        <x:v>0</x:v>
      </x:c>
      <x:c r="M313" s="90">
        <x:v>0</x:v>
      </x:c>
      <x:c r="N313" s="90">
        <x:v>0</x:v>
      </x:c>
      <x:c r="O313" s="90">
        <x:v>0</x:v>
      </x:c>
      <x:c r="P313" s="90">
        <x:v>0</x:v>
      </x:c>
      <x:c r="Q313" s="90">
        <x:v>0</x:v>
      </x:c>
      <x:c r="R313" s="90">
        <x:v>0</x:v>
      </x:c>
      <x:c r="S313" s="90">
        <x:v>0</x:v>
      </x:c>
      <x:c r="T313" s="90">
        <x:v>0</x:v>
      </x:c>
      <x:c r="U313" s="90">
        <x:v>0</x:v>
      </x:c>
      <x:c r="V313" s="90">
        <x:v>0</x:v>
      </x:c>
      <x:c r="W313" s="90">
        <x:v>0</x:v>
      </x:c>
      <x:c r="X313" s="90">
        <x:v>0</x:v>
      </x:c>
      <x:c r="Y313" s="90">
        <x:v>0</x:v>
      </x:c>
      <x:c r="Z313" s="90">
        <x:v>0</x:v>
      </x:c>
    </x:row>
    <x:row r="314" spans="2:26" s="94" customFormat="1" ht="12.75" customHeight="1" x14ac:dyDescent="0.2">
      <x:c r="C314" s="101" t="s">
        <x:v>119</x:v>
      </x:c>
      <x:c r="D314" s="101" t="s">
        <x:v>70</x:v>
      </x:c>
      <x:c r="F314" s="93">
        <x:v>0</x:v>
      </x:c>
      <x:c r="G314" s="93">
        <x:v>0</x:v>
      </x:c>
      <x:c r="H314" s="93">
        <x:v>0</x:v>
      </x:c>
      <x:c r="I314" s="93">
        <x:v>0</x:v>
      </x:c>
      <x:c r="J314" s="93">
        <x:v>0</x:v>
      </x:c>
      <x:c r="K314" s="93">
        <x:v>0</x:v>
      </x:c>
      <x:c r="L314" s="93">
        <x:v>0</x:v>
      </x:c>
      <x:c r="M314" s="93">
        <x:v>0</x:v>
      </x:c>
      <x:c r="N314" s="93">
        <x:v>0</x:v>
      </x:c>
      <x:c r="O314" s="93">
        <x:v>0</x:v>
      </x:c>
      <x:c r="P314" s="93">
        <x:v>0</x:v>
      </x:c>
      <x:c r="Q314" s="93">
        <x:v>0</x:v>
      </x:c>
      <x:c r="R314" s="93">
        <x:v>0</x:v>
      </x:c>
      <x:c r="S314" s="93">
        <x:v>0</x:v>
      </x:c>
      <x:c r="T314" s="93">
        <x:v>0</x:v>
      </x:c>
      <x:c r="U314" s="93">
        <x:v>0</x:v>
      </x:c>
      <x:c r="V314" s="93">
        <x:v>0</x:v>
      </x:c>
      <x:c r="W314" s="93">
        <x:v>0</x:v>
      </x:c>
      <x:c r="X314" s="93">
        <x:v>0</x:v>
      </x:c>
      <x:c r="Y314" s="93">
        <x:v>0</x:v>
      </x:c>
      <x:c r="Z314" s="93">
        <x:v>0</x:v>
      </x:c>
    </x:row>
    <x:row r="315" spans="2:26" s="378" customFormat="1" ht="12.75" customHeight="1" x14ac:dyDescent="0.2">
      <x:c r="B315" s="378" t="s">
        <x:v>122</x:v>
      </x:c>
      <x:c r="C315" s="378" t="s">
        <x:v>70</x:v>
      </x:c>
      <x:c r="E315" s="376"/>
      <x:c r="F315" s="710" t="n">
        <x:v>680538.03</x:v>
      </x:c>
      <x:c r="G315" s="377" t="n">
        <x:v>147598.38</x:v>
      </x:c>
      <x:c r="H315" s="377" t="n">
        <x:v>66140.96</x:v>
      </x:c>
      <x:c r="I315" s="377" t="n">
        <x:v>37291.57</x:v>
      </x:c>
      <x:c r="J315" s="377" t="n">
        <x:v>33572.08</x:v>
      </x:c>
      <x:c r="K315" s="377" t="n">
        <x:v>682.45</x:v>
      </x:c>
      <x:c r="L315" s="377" t="n">
        <x:v>0</x:v>
      </x:c>
      <x:c r="M315" s="377" t="n">
        <x:v>5991.23</x:v>
      </x:c>
      <x:c r="N315" s="377" t="n">
        <x:v>7293.25</x:v>
      </x:c>
      <x:c r="O315" s="377" t="n">
        <x:v>33919.09</x:v>
      </x:c>
      <x:c r="P315" s="377" t="n">
        <x:v>346942.9</x:v>
      </x:c>
      <x:c r="Q315" s="377" t="n">
        <x:v>1113.37</x:v>
      </x:c>
      <x:c r="R315" s="377" t="n">
        <x:v>-7.95</x:v>
      </x:c>
      <x:c r="S315" s="377" t="n">
        <x:v>0.7</x:v>
      </x:c>
      <x:c r="T315" s="378" t="n">
        <x:v>0</x:v>
      </x:c>
      <x:c r="U315" s="378">
        <x:v>0</x:v>
      </x:c>
      <x:c r="V315" s="378">
        <x:v>0</x:v>
      </x:c>
      <x:c r="W315" s="378">
        <x:v>0</x:v>
      </x:c>
      <x:c r="X315" s="378">
        <x:v>0</x:v>
      </x:c>
      <x:c r="Y315" s="378">
        <x:v>0</x:v>
      </x:c>
      <x:c r="Z315" s="378">
        <x:v>0</x:v>
      </x:c>
    </x:row>
    <x:row r="316" spans="2:26" ht="12.75" customHeight="1" x14ac:dyDescent="0.2">
      <x:c r="E316" s="89" t="s">
        <x:v>72</x:v>
      </x:c>
      <x:c r="F316" s="371" t="n">
        <x:v>15096517648.35</x:v>
      </x:c>
      <x:c r="G316" s="90" t="n">
        <x:v>986083820.58</x:v>
      </x:c>
      <x:c r="H316" s="90" t="n">
        <x:v>556264737.84</x:v>
      </x:c>
      <x:c r="I316" s="90" t="n">
        <x:v>292216144.65</x:v>
      </x:c>
      <x:c r="J316" s="90" t="n">
        <x:v>3383033480.69</x:v>
      </x:c>
      <x:c r="K316" s="90" t="n">
        <x:v>124575730.62</x:v>
      </x:c>
      <x:c r="L316" s="90" t="n">
        <x:v>13002955.74</x:v>
      </x:c>
      <x:c r="M316" s="90" t="n">
        <x:v>1092560714.08</x:v>
      </x:c>
      <x:c r="N316" s="90" t="n">
        <x:v>1073084147.96</x:v>
      </x:c>
      <x:c r="O316" s="90" t="n">
        <x:v>5079136809.41</x:v>
      </x:c>
      <x:c r="P316" s="90" t="n">
        <x:v>2292957176.78</x:v>
      </x:c>
      <x:c r="Q316" s="90" t="n">
        <x:v>203354446.14</x:v>
      </x:c>
      <x:c r="R316" s="90" t="n">
        <x:v>247483.86</x:v>
      </x:c>
      <x:c r="S316" s="90" t="n">
        <x:v>0</x:v>
      </x:c>
      <x:c r="T316" t="n">
        <x:v>0</x:v>
      </x:c>
      <x:c r="U316">
        <x:v>0</x:v>
      </x:c>
      <x:c r="V316">
        <x:v>0</x:v>
      </x:c>
      <x:c r="W316">
        <x:v>0</x:v>
      </x:c>
      <x:c r="X316">
        <x:v>0</x:v>
      </x:c>
      <x:c r="Y316">
        <x:v>0</x:v>
      </x:c>
      <x:c r="Z316">
        <x:v>0</x:v>
      </x:c>
    </x:row>
    <x:row r="317" spans="2:26" ht="12.75" customHeight="1" x14ac:dyDescent="0.2">
      <x:c r="E317" s="89" t="s">
        <x:v>81</x:v>
      </x:c>
      <x:c r="F317" s="371" t="n">
        <x:v>10545941.32</x:v>
      </x:c>
      <x:c r="G317" s="90" t="n">
        <x:v>1038362.66</x:v>
      </x:c>
      <x:c r="H317" s="90" t="n">
        <x:v>533249.21</x:v>
      </x:c>
      <x:c r="I317" s="90" t="n">
        <x:v>288289.95</x:v>
      </x:c>
      <x:c r="J317" s="90" t="n">
        <x:v>1924110.4</x:v>
      </x:c>
      <x:c r="K317" s="90" t="n">
        <x:v>76933.02</x:v>
      </x:c>
      <x:c r="L317" s="90" t="n">
        <x:v>4877.39</x:v>
      </x:c>
      <x:c r="M317" s="90" t="n">
        <x:v>673575.76</x:v>
      </x:c>
      <x:c r="N317" s="90" t="n">
        <x:v>623833.91</x:v>
      </x:c>
      <x:c r="O317" s="90" t="n">
        <x:v>2833518.84</x:v>
      </x:c>
      <x:c r="P317" s="90" t="n">
        <x:v>2423341.07</x:v>
      </x:c>
      <x:c r="Q317" s="90" t="n">
        <x:v>125834.39</x:v>
      </x:c>
      <x:c r="R317" s="90" t="n">
        <x:v>14.48</x:v>
      </x:c>
      <x:c r="S317" s="90" t="n">
        <x:v>-0.27</x:v>
      </x:c>
      <x:c r="T317" t="n">
        <x:v>0.51</x:v>
      </x:c>
      <x:c r="U317">
        <x:v>0</x:v>
      </x:c>
      <x:c r="V317">
        <x:v>0</x:v>
      </x:c>
      <x:c r="W317">
        <x:v>0</x:v>
      </x:c>
      <x:c r="X317">
        <x:v>0</x:v>
      </x:c>
      <x:c r="Y317">
        <x:v>0</x:v>
      </x:c>
      <x:c r="Z317">
        <x:v>0</x:v>
      </x:c>
    </x:row>
    <x:row r="318" spans="2:26" ht="12.75" customHeight="1" x14ac:dyDescent="0.2">
      <x:c r="D318" t="s">
        <x:v>156</x:v>
      </x:c>
      <x:c r="E318" s="89" t="s">
        <x:v>70</x:v>
      </x:c>
      <x:c r="F318" s="90" t="n">
        <x:v>15107063589.67</x:v>
      </x:c>
      <x:c r="G318" s="90" t="n">
        <x:v>987122183.24</x:v>
      </x:c>
      <x:c r="H318" s="90" t="n">
        <x:v>556797987.05</x:v>
      </x:c>
      <x:c r="I318" s="90" t="n">
        <x:v>292504434.6</x:v>
      </x:c>
      <x:c r="J318" s="90" t="n">
        <x:v>3384957591.09</x:v>
      </x:c>
      <x:c r="K318" s="90" t="n">
        <x:v>124652663.64</x:v>
      </x:c>
      <x:c r="L318" s="90" t="n">
        <x:v>13007833.13</x:v>
      </x:c>
      <x:c r="M318" s="90" t="n">
        <x:v>1093234289.84</x:v>
      </x:c>
      <x:c r="N318" s="90" t="n">
        <x:v>1073707981.87</x:v>
      </x:c>
      <x:c r="O318" s="90" t="n">
        <x:v>5081970328.25</x:v>
      </x:c>
      <x:c r="P318" s="90" t="n">
        <x:v>2295380517.85</x:v>
      </x:c>
      <x:c r="Q318" s="90" t="n">
        <x:v>203480280.53</x:v>
      </x:c>
      <x:c r="R318" s="90" t="n">
        <x:v>247498.34</x:v>
      </x:c>
      <x:c r="S318" s="90" t="n">
        <x:v>-0.27</x:v>
      </x:c>
      <x:c r="T318" t="n">
        <x:v>0.51</x:v>
      </x:c>
      <x:c r="U318">
        <x:v>0</x:v>
      </x:c>
      <x:c r="V318">
        <x:v>0</x:v>
      </x:c>
      <x:c r="W318">
        <x:v>0</x:v>
      </x:c>
      <x:c r="X318">
        <x:v>0</x:v>
      </x:c>
      <x:c r="Y318">
        <x:v>0</x:v>
      </x:c>
      <x:c r="Z318">
        <x:v>0</x:v>
      </x:c>
    </x:row>
    <x:row r="319" spans="2:26" s="286" customFormat="1" ht="12.75" customHeight="1" x14ac:dyDescent="0.2">
      <x:c r="C319" s="286" t="s">
        <x:v>155</x:v>
      </x:c>
      <x:c r="D319" s="286" t="s">
        <x:v>70</x:v>
      </x:c>
      <x:c r="E319" s="229"/>
      <x:c r="F319" s="229" t="n">
        <x:v>15107063589.67</x:v>
      </x:c>
      <x:c r="G319" s="230" t="n">
        <x:v>987122183.24</x:v>
      </x:c>
      <x:c r="H319" s="230" t="n">
        <x:v>556797987.05</x:v>
      </x:c>
      <x:c r="I319" s="230" t="n">
        <x:v>292504434.6</x:v>
      </x:c>
      <x:c r="J319" s="230" t="n">
        <x:v>3384957591.09</x:v>
      </x:c>
      <x:c r="K319" s="230" t="n">
        <x:v>124652663.64</x:v>
      </x:c>
      <x:c r="L319" s="230" t="n">
        <x:v>13007833.13</x:v>
      </x:c>
      <x:c r="M319" s="230" t="n">
        <x:v>1093234289.84</x:v>
      </x:c>
      <x:c r="N319" s="230" t="n">
        <x:v>1073707981.87</x:v>
      </x:c>
      <x:c r="O319" s="230" t="n">
        <x:v>5081970328.25</x:v>
      </x:c>
      <x:c r="P319" s="230" t="n">
        <x:v>2295380517.85</x:v>
      </x:c>
      <x:c r="Q319" s="230" t="n">
        <x:v>203480280.53</x:v>
      </x:c>
      <x:c r="R319" s="230" t="n">
        <x:v>247498.34</x:v>
      </x:c>
      <x:c r="S319" s="230" t="n">
        <x:v>-0.27</x:v>
      </x:c>
      <x:c r="T319" s="230" t="n">
        <x:v>0.51</x:v>
      </x:c>
      <x:c r="U319" s="230">
        <x:v>0</x:v>
      </x:c>
      <x:c r="V319" s="230">
        <x:v>0</x:v>
      </x:c>
      <x:c r="W319" s="230">
        <x:v>0</x:v>
      </x:c>
      <x:c r="X319" s="230">
        <x:v>0</x:v>
      </x:c>
      <x:c r="Y319" s="230">
        <x:v>0</x:v>
      </x:c>
      <x:c r="Z319" s="230">
        <x:v>0</x:v>
      </x:c>
    </x:row>
    <x:row r="320" spans="2:26" ht="12.75" customHeight="1" x14ac:dyDescent="0.2">
      <x:c r="E320" s="89" t="s">
        <x:v>72</x:v>
      </x:c>
      <x:c r="F320" s="90" t="n">
        <x:v>40878487.19</x:v>
      </x:c>
      <x:c r="G320" s="90" t="n">
        <x:v>3446945.39</x:v>
      </x:c>
      <x:c r="H320" s="90" t="n">
        <x:v>1924005.87</x:v>
      </x:c>
      <x:c r="I320" s="90" t="n">
        <x:v>1015077.18</x:v>
      </x:c>
      <x:c r="J320" s="90" t="n">
        <x:v>7716071.44</x:v>
      </x:c>
      <x:c r="K320" s="90" t="n">
        <x:v>227005.61</x:v>
      </x:c>
      <x:c r="L320" s="90" t="n">
        <x:v>555000</x:v>
      </x:c>
      <x:c r="M320" s="90" t="n">
        <x:v>1990701.79</x:v>
      </x:c>
      <x:c r="N320" s="90" t="n">
        <x:v>2736789.58</x:v>
      </x:c>
      <x:c r="O320" s="90" t="n">
        <x:v>12873670.36</x:v>
      </x:c>
      <x:c r="P320" s="90" t="n">
        <x:v>8021200.37</x:v>
      </x:c>
      <x:c r="Q320" s="90" t="n">
        <x:v>372120.69</x:v>
      </x:c>
      <x:c r="R320" s="90" t="n">
        <x:v>-101.09</x:v>
      </x:c>
      <x:c r="S320" s="90" t="n">
        <x:v>0</x:v>
      </x:c>
      <x:c r="T320" t="n">
        <x:v>0</x:v>
      </x:c>
      <x:c r="U320">
        <x:v>0</x:v>
      </x:c>
      <x:c r="V320">
        <x:v>0</x:v>
      </x:c>
      <x:c r="W320">
        <x:v>0</x:v>
      </x:c>
      <x:c r="X320">
        <x:v>0</x:v>
      </x:c>
      <x:c r="Y320">
        <x:v>0</x:v>
      </x:c>
      <x:c r="Z320">
        <x:v>0</x:v>
      </x:c>
    </x:row>
    <x:row r="321" spans="1:26" ht="12.75" customHeight="1" x14ac:dyDescent="0.2">
      <x:c r="E321" s="89" t="s">
        <x:v>81</x:v>
      </x:c>
      <x:c r="F321" s="90" t="n">
        <x:v>318692.2</x:v>
      </x:c>
      <x:c r="G321" s="90" t="n">
        <x:v>30211.23</x:v>
      </x:c>
      <x:c r="H321" s="90" t="n">
        <x:v>15701.33</x:v>
      </x:c>
      <x:c r="I321" s="90" t="n">
        <x:v>8539.9</x:v>
      </x:c>
      <x:c r="J321" s="90" t="n">
        <x:v>63724.63</x:v>
      </x:c>
      <x:c r="K321" s="90" t="n">
        <x:v>1745.16</x:v>
      </x:c>
      <x:c r="L321" s="90" t="n">
        <x:v>0</x:v>
      </x:c>
      <x:c r="M321" s="90" t="n">
        <x:v>15287.35</x:v>
      </x:c>
      <x:c r="N321" s="90" t="n">
        <x:v>19445.4</x:v>
      </x:c>
      <x:c r="O321" s="90" t="n">
        <x:v>90300.09</x:v>
      </x:c>
      <x:c r="P321" s="90" t="n">
        <x:v>70877.49</x:v>
      </x:c>
      <x:c r="Q321" s="90" t="n">
        <x:v>2859.23</x:v>
      </x:c>
      <x:c r="R321" s="90" t="n">
        <x:v>0.39</x:v>
      </x:c>
      <x:c r="S321" s="90" t="n">
        <x:v>0</x:v>
      </x:c>
      <x:c r="T321" t="n">
        <x:v>0</x:v>
      </x:c>
      <x:c r="U321">
        <x:v>0</x:v>
      </x:c>
      <x:c r="V321">
        <x:v>0</x:v>
      </x:c>
      <x:c r="W321">
        <x:v>0</x:v>
      </x:c>
      <x:c r="X321">
        <x:v>0</x:v>
      </x:c>
      <x:c r="Y321">
        <x:v>0</x:v>
      </x:c>
      <x:c r="Z321">
        <x:v>0</x:v>
      </x:c>
    </x:row>
    <x:row r="322" spans="1:26" ht="12.75" customHeight="1" x14ac:dyDescent="0.2">
      <x:c r="D322" s="89" t="s">
        <x:v>82</x:v>
      </x:c>
      <x:c r="E322" s="89" t="s">
        <x:v>70</x:v>
      </x:c>
      <x:c r="F322" s="90" t="n">
        <x:v>41197179.39</x:v>
      </x:c>
      <x:c r="G322" s="90" t="n">
        <x:v>3477156.62</x:v>
      </x:c>
      <x:c r="H322" s="90" t="n">
        <x:v>1939707.2</x:v>
      </x:c>
      <x:c r="I322" s="90" t="n">
        <x:v>1023617.08</x:v>
      </x:c>
      <x:c r="J322" s="90" t="n">
        <x:v>7779796.07</x:v>
      </x:c>
      <x:c r="K322" s="90" t="n">
        <x:v>228750.77</x:v>
      </x:c>
      <x:c r="L322" s="90" t="n">
        <x:v>555000</x:v>
      </x:c>
      <x:c r="M322" s="90" t="n">
        <x:v>2005989.14</x:v>
      </x:c>
      <x:c r="N322" s="90" t="n">
        <x:v>2756234.98</x:v>
      </x:c>
      <x:c r="O322" s="90" t="n">
        <x:v>12963970.45</x:v>
      </x:c>
      <x:c r="P322" s="90" t="n">
        <x:v>8092077.86</x:v>
      </x:c>
      <x:c r="Q322" s="90" t="n">
        <x:v>374979.92</x:v>
      </x:c>
      <x:c r="R322" s="90" t="n">
        <x:v>-100.7</x:v>
      </x:c>
      <x:c r="S322" s="90" t="n">
        <x:v>0</x:v>
      </x:c>
      <x:c r="T322" t="n">
        <x:v>0</x:v>
      </x:c>
      <x:c r="U322">
        <x:v>0</x:v>
      </x:c>
      <x:c r="V322">
        <x:v>0</x:v>
      </x:c>
      <x:c r="W322">
        <x:v>0</x:v>
      </x:c>
      <x:c r="X322">
        <x:v>0</x:v>
      </x:c>
      <x:c r="Y322">
        <x:v>0</x:v>
      </x:c>
      <x:c r="Z322">
        <x:v>0</x:v>
      </x:c>
    </x:row>
    <x:row r="323" spans="1:26" ht="12.75" customHeight="1" x14ac:dyDescent="0.2">
      <x:c r="D323" s="89"/>
      <x:c r="E323" s="89" t="s">
        <x:v>72</x:v>
      </x:c>
      <x:c r="F323" s="90" t="n">
        <x:v>69209800.26</x:v>
      </x:c>
      <x:c r="G323" s="90" t="n">
        <x:v>12538530.86</x:v>
      </x:c>
      <x:c r="H323" s="90" t="n">
        <x:v>6965189.59</x:v>
      </x:c>
      <x:c r="I323" s="90" t="n">
        <x:v>3652599.34</x:v>
      </x:c>
      <x:c r="J323" s="90" t="n">
        <x:v>4324043.14</x:v>
      </x:c>
      <x:c r="K323" s="90" t="n">
        <x:v>206038.85</x:v>
      </x:c>
      <x:c r="L323" s="90" t="n">
        <x:v>214446.82</x:v>
      </x:c>
      <x:c r="M323" s="90" t="n">
        <x:v>1800327.92</x:v>
      </x:c>
      <x:c r="N323" s="90" t="n">
        <x:v>1917677.87</x:v>
      </x:c>
      <x:c r="O323" s="90" t="n">
        <x:v>8540445.01</x:v>
      </x:c>
      <x:c r="P323" s="90" t="n">
        <x:v>28714805.34</x:v>
      </x:c>
      <x:c r="Q323" s="90" t="n">
        <x:v>336169.51</x:v>
      </x:c>
      <x:c r="R323" s="90" t="n">
        <x:v>-473.99</x:v>
      </x:c>
      <x:c r="S323" s="90" t="n">
        <x:v>0</x:v>
      </x:c>
      <x:c r="T323" t="n">
        <x:v>0</x:v>
      </x:c>
      <x:c r="U323">
        <x:v>0</x:v>
      </x:c>
      <x:c r="V323">
        <x:v>0</x:v>
      </x:c>
      <x:c r="W323">
        <x:v>0</x:v>
      </x:c>
      <x:c r="X323">
        <x:v>0</x:v>
      </x:c>
      <x:c r="Y323">
        <x:v>0</x:v>
      </x:c>
      <x:c r="Z323">
        <x:v>0</x:v>
      </x:c>
    </x:row>
    <x:row r="324" spans="1:26" ht="12.75" customHeight="1" x14ac:dyDescent="0.2">
      <x:c r="E324" s="89" t="s">
        <x:v>81</x:v>
      </x:c>
      <x:c r="F324" s="90" t="n">
        <x:v>2078878.19</x:v>
      </x:c>
      <x:c r="G324" s="90" t="n">
        <x:v>322796.84</x:v>
      </x:c>
      <x:c r="H324" s="90" t="n">
        <x:v>165004.04</x:v>
      </x:c>
      <x:c r="I324" s="90" t="n">
        <x:v>84856.97</x:v>
      </x:c>
      <x:c r="J324" s="90" t="n">
        <x:v>232240.7</x:v>
      </x:c>
      <x:c r="K324" s="90" t="n">
        <x:v>9929.08</x:v>
      </x:c>
      <x:c r="L324" s="90" t="n">
        <x:v>0</x:v>
      </x:c>
      <x:c r="M324" s="90" t="n">
        <x:v>86388.39</x:v>
      </x:c>
      <x:c r="N324" s="90" t="n">
        <x:v>85933.46</x:v>
      </x:c>
      <x:c r="O324" s="90" t="n">
        <x:v>322999.22</x:v>
      </x:c>
      <x:c r="P324" s="90" t="n">
        <x:v>752531.93</x:v>
      </x:c>
      <x:c r="Q324" s="90" t="n">
        <x:v>16197.29</x:v>
      </x:c>
      <x:c r="R324" s="90" t="n">
        <x:v>0.93</x:v>
      </x:c>
      <x:c r="S324" s="90" t="n">
        <x:v>-0.66</x:v>
      </x:c>
      <x:c r="T324" t="n">
        <x:v>0</x:v>
      </x:c>
      <x:c r="U324">
        <x:v>0</x:v>
      </x:c>
      <x:c r="V324">
        <x:v>0</x:v>
      </x:c>
      <x:c r="W324">
        <x:v>0</x:v>
      </x:c>
      <x:c r="X324">
        <x:v>0</x:v>
      </x:c>
      <x:c r="Y324">
        <x:v>0</x:v>
      </x:c>
      <x:c r="Z324">
        <x:v>0</x:v>
      </x:c>
    </x:row>
    <x:row r="325" spans="1:26" ht="12.75" customHeight="1" x14ac:dyDescent="0.2">
      <x:c r="D325" s="89" t="s">
        <x:v>86</x:v>
      </x:c>
      <x:c r="E325" s="89" t="s">
        <x:v>70</x:v>
      </x:c>
      <x:c r="F325" s="90" t="n">
        <x:v>71288678.45</x:v>
      </x:c>
      <x:c r="G325" s="90" t="n">
        <x:v>12861327.7</x:v>
      </x:c>
      <x:c r="H325" s="90" t="n">
        <x:v>7130193.63</x:v>
      </x:c>
      <x:c r="I325" s="90" t="n">
        <x:v>3737456.31</x:v>
      </x:c>
      <x:c r="J325" s="90" t="n">
        <x:v>4556283.84</x:v>
      </x:c>
      <x:c r="K325" s="90" t="n">
        <x:v>215967.93</x:v>
      </x:c>
      <x:c r="L325" s="90" t="n">
        <x:v>214446.82</x:v>
      </x:c>
      <x:c r="M325" s="90" t="n">
        <x:v>1886716.31</x:v>
      </x:c>
      <x:c r="N325" s="90" t="n">
        <x:v>2003611.33</x:v>
      </x:c>
      <x:c r="O325" s="90" t="n">
        <x:v>8863444.23</x:v>
      </x:c>
      <x:c r="P325" s="90" t="n">
        <x:v>29467337.27</x:v>
      </x:c>
      <x:c r="Q325" s="90" t="n">
        <x:v>352366.8</x:v>
      </x:c>
      <x:c r="R325" s="90" t="n">
        <x:v>-473.06</x:v>
      </x:c>
      <x:c r="S325" s="90" t="n">
        <x:v>-0.66</x:v>
      </x:c>
      <x:c r="T325" t="n">
        <x:v>0</x:v>
      </x:c>
      <x:c r="U325">
        <x:v>0</x:v>
      </x:c>
      <x:c r="V325">
        <x:v>0</x:v>
      </x:c>
      <x:c r="W325">
        <x:v>0</x:v>
      </x:c>
      <x:c r="X325">
        <x:v>0</x:v>
      </x:c>
      <x:c r="Y325">
        <x:v>0</x:v>
      </x:c>
      <x:c r="Z325">
        <x:v>0</x:v>
      </x:c>
    </x:row>
    <x:row r="326" spans="1:26" ht="12.75" customHeight="1" x14ac:dyDescent="0.2">
      <x:c r="E326" s="89" t="s">
        <x:v>72</x:v>
      </x:c>
      <x:c r="F326" s="90" t="n">
        <x:v>697315197.22</x:v>
      </x:c>
      <x:c r="G326" s="90" t="n">
        <x:v>147363354.47</x:v>
      </x:c>
      <x:c r="H326" s="90" t="n">
        <x:v>82950302.14</x:v>
      </x:c>
      <x:c r="I326" s="90" t="n">
        <x:v>43752954.45</x:v>
      </x:c>
      <x:c r="J326" s="90" t="n">
        <x:v>23778087.1</x:v>
      </x:c>
      <x:c r="K326" s="90" t="n">
        <x:v>672978.69</x:v>
      </x:c>
      <x:c r="L326" s="90" t="n">
        <x:v>528735</x:v>
      </x:c>
      <x:c r="M326" s="90" t="n">
        <x:v>5885001.11</x:v>
      </x:c>
      <x:c r="N326" s="90" t="n">
        <x:v>8402534.7</x:v>
      </x:c>
      <x:c r="O326" s="90" t="n">
        <x:v>39649711.49</x:v>
      </x:c>
      <x:c r="P326" s="90" t="n">
        <x:v>343233860.39</x:v>
      </x:c>
      <x:c r="Q326" s="90" t="n">
        <x:v>1098102.23</x:v>
      </x:c>
      <x:c r="R326" s="90" t="n">
        <x:v>-424.55</x:v>
      </x:c>
      <x:c r="S326" s="90" t="n">
        <x:v>0</x:v>
      </x:c>
      <x:c r="T326" t="n">
        <x:v>0</x:v>
      </x:c>
      <x:c r="U326">
        <x:v>0</x:v>
      </x:c>
      <x:c r="V326">
        <x:v>0</x:v>
      </x:c>
      <x:c r="W326">
        <x:v>0</x:v>
      </x:c>
      <x:c r="X326">
        <x:v>0</x:v>
      </x:c>
      <x:c r="Y326">
        <x:v>0</x:v>
      </x:c>
      <x:c r="Z326">
        <x:v>0</x:v>
      </x:c>
    </x:row>
    <x:row r="327" spans="1:26" ht="12.75" customHeight="1" x14ac:dyDescent="0.2">
      <x:c r="E327" s="89" t="s">
        <x:v>81</x:v>
      </x:c>
      <x:c r="F327" s="90" t="n">
        <x:v>15792661.47</x:v>
      </x:c>
      <x:c r="G327" s="90" t="n">
        <x:v>3529982.76</x:v>
      </x:c>
      <x:c r="H327" s="90" t="n">
        <x:v>1952902.6</x:v>
      </x:c>
      <x:c r="I327" s="90" t="n">
        <x:v>1038005.52</x:v>
      </x:c>
      <x:c r="J327" s="90" t="n">
        <x:v>340224.1</x:v>
      </x:c>
      <x:c r="K327" s="90" t="n">
        <x:v>9325.17</x:v>
      </x:c>
      <x:c r="L327" s="90" t="n">
        <x:v>13206</x:v>
      </x:c>
      <x:c r="M327" s="90" t="n">
        <x:v>80647.01</x:v>
      </x:c>
      <x:c r="N327" s="90" t="n">
        <x:v>103044.79</x:v>
      </x:c>
      <x:c r="O327" s="90" t="n">
        <x:v>469740.14</x:v>
      </x:c>
      <x:c r="P327" s="90" t="n">
        <x:v>8252253.91</x:v>
      </x:c>
      <x:c r="Q327" s="90" t="n">
        <x:v>15220.52</x:v>
      </x:c>
      <x:c r="R327" s="90" t="n">
        <x:v>-5.15</x:v>
      </x:c>
      <x:c r="S327" s="90" t="n">
        <x:v>-11885.9</x:v>
      </x:c>
      <x:c r="T327" t="n">
        <x:v>0</x:v>
      </x:c>
      <x:c r="U327">
        <x:v>0</x:v>
      </x:c>
      <x:c r="V327">
        <x:v>0</x:v>
      </x:c>
      <x:c r="W327">
        <x:v>0</x:v>
      </x:c>
      <x:c r="X327">
        <x:v>0</x:v>
      </x:c>
      <x:c r="Y327">
        <x:v>0</x:v>
      </x:c>
      <x:c r="Z327">
        <x:v>0</x:v>
      </x:c>
    </x:row>
    <x:row r="328" spans="1:26" ht="12.75" customHeight="1" x14ac:dyDescent="0.2">
      <x:c r="D328" s="89" t="s">
        <x:v>87</x:v>
      </x:c>
      <x:c r="E328" s="89" t="s">
        <x:v>70</x:v>
      </x:c>
      <x:c r="F328" s="90" t="n">
        <x:v>713107858.69</x:v>
      </x:c>
      <x:c r="G328" s="90" t="n">
        <x:v>150893337.23</x:v>
      </x:c>
      <x:c r="H328" s="90" t="n">
        <x:v>84903204.74</x:v>
      </x:c>
      <x:c r="I328" s="90" t="n">
        <x:v>44790959.97</x:v>
      </x:c>
      <x:c r="J328" s="90" t="n">
        <x:v>24118311.2</x:v>
      </x:c>
      <x:c r="K328" s="90" t="n">
        <x:v>682303.86</x:v>
      </x:c>
      <x:c r="L328" s="90" t="n">
        <x:v>541941</x:v>
      </x:c>
      <x:c r="M328" s="90" t="n">
        <x:v>5965648.12</x:v>
      </x:c>
      <x:c r="N328" s="90" t="n">
        <x:v>8505579.49</x:v>
      </x:c>
      <x:c r="O328" s="90" t="n">
        <x:v>40119451.63</x:v>
      </x:c>
      <x:c r="P328" s="90" t="n">
        <x:v>351486114.3</x:v>
      </x:c>
      <x:c r="Q328" s="90" t="n">
        <x:v>1113322.75</x:v>
      </x:c>
      <x:c r="R328" s="90" t="n">
        <x:v>-429.7</x:v>
      </x:c>
      <x:c r="S328" s="90" t="n">
        <x:v>-11885.9</x:v>
      </x:c>
      <x:c r="T328" t="n">
        <x:v>0</x:v>
      </x:c>
      <x:c r="U328">
        <x:v>0</x:v>
      </x:c>
      <x:c r="V328">
        <x:v>0</x:v>
      </x:c>
      <x:c r="W328">
        <x:v>0</x:v>
      </x:c>
      <x:c r="X328">
        <x:v>0</x:v>
      </x:c>
      <x:c r="Y328">
        <x:v>0</x:v>
      </x:c>
      <x:c r="Z328">
        <x:v>0</x:v>
      </x:c>
    </x:row>
    <x:row r="329" spans="1:26" s="94" customFormat="1" ht="12.75" customHeight="1" x14ac:dyDescent="0.2">
      <x:c r="C329" s="101" t="s">
        <x:v>119</x:v>
      </x:c>
      <x:c r="D329" s="101" t="s">
        <x:v>70</x:v>
      </x:c>
      <x:c r="F329" s="93" t="n">
        <x:v>825593716.53</x:v>
      </x:c>
      <x:c r="G329" s="93" t="n">
        <x:v>167231821.55</x:v>
      </x:c>
      <x:c r="H329" s="93" t="n">
        <x:v>93973105.57</x:v>
      </x:c>
      <x:c r="I329" s="93" t="n">
        <x:v>49552033.36</x:v>
      </x:c>
      <x:c r="J329" s="93" t="n">
        <x:v>36454391.11</x:v>
      </x:c>
      <x:c r="K329" s="93" t="n">
        <x:v>1127022.56</x:v>
      </x:c>
      <x:c r="L329" s="93" t="n">
        <x:v>1311387.82</x:v>
      </x:c>
      <x:c r="M329" s="93" t="n">
        <x:v>9858353.57</x:v>
      </x:c>
      <x:c r="N329" s="93" t="n">
        <x:v>13265425.8</x:v>
      </x:c>
      <x:c r="O329" s="93" t="n">
        <x:v>61946866.31</x:v>
      </x:c>
      <x:c r="P329" s="93" t="n">
        <x:v>389045529.43</x:v>
      </x:c>
      <x:c r="Q329" s="93" t="n">
        <x:v>1840669.47</x:v>
      </x:c>
      <x:c r="R329" s="93" t="n">
        <x:v>-1003.46</x:v>
      </x:c>
      <x:c r="S329" s="93" t="n">
        <x:v>-11886.56</x:v>
      </x:c>
      <x:c r="T329" s="94" t="n">
        <x:v>0</x:v>
      </x:c>
      <x:c r="U329" s="94">
        <x:v>0</x:v>
      </x:c>
      <x:c r="V329" s="94">
        <x:v>0</x:v>
      </x:c>
      <x:c r="W329" s="94">
        <x:v>0</x:v>
      </x:c>
      <x:c r="X329" s="94">
        <x:v>0</x:v>
      </x:c>
      <x:c r="Y329" s="94">
        <x:v>0</x:v>
      </x:c>
      <x:c r="Z329" s="94">
        <x:v>0</x:v>
      </x:c>
    </x:row>
    <x:row r="330" spans="1:26" s="226" customFormat="1" ht="12.75" customHeight="1" x14ac:dyDescent="0.2">
      <x:c r="B330" s="98" t="s">
        <x:v>112</x:v>
      </x:c>
      <x:c r="C330" s="98" t="s">
        <x:v>70</x:v>
      </x:c>
      <x:c r="F330" s="100" t="n">
        <x:v>15932657306.2</x:v>
      </x:c>
      <x:c r="G330" s="100" t="n">
        <x:v>1154354004.79</x:v>
      </x:c>
      <x:c r="H330" s="100" t="n">
        <x:v>650771092.62</x:v>
      </x:c>
      <x:c r="I330" s="100" t="n">
        <x:v>342056467.96</x:v>
      </x:c>
      <x:c r="J330" s="100" t="n">
        <x:v>3421411982.2</x:v>
      </x:c>
      <x:c r="K330" s="100" t="n">
        <x:v>125779686.2</x:v>
      </x:c>
      <x:c r="L330" s="100" t="n">
        <x:v>14319220.95</x:v>
      </x:c>
      <x:c r="M330" s="100" t="n">
        <x:v>1103092643.41</x:v>
      </x:c>
      <x:c r="N330" s="100" t="n">
        <x:v>1086973407.67</x:v>
      </x:c>
      <x:c r="O330" s="100" t="n">
        <x:v>5143917194.56</x:v>
      </x:c>
      <x:c r="P330" s="100" t="n">
        <x:v>2684426047.28</x:v>
      </x:c>
      <x:c r="Q330" s="100" t="n">
        <x:v>205320950</x:v>
      </x:c>
      <x:c r="R330" s="100" t="n">
        <x:v>246494.88</x:v>
      </x:c>
      <x:c r="S330" s="100" t="n">
        <x:v>-11886.83</x:v>
      </x:c>
      <x:c r="T330" s="226" t="n">
        <x:v>0.51</x:v>
      </x:c>
      <x:c r="U330" s="226">
        <x:v>0</x:v>
      </x:c>
      <x:c r="V330" s="226">
        <x:v>0</x:v>
      </x:c>
      <x:c r="W330" s="226">
        <x:v>0</x:v>
      </x:c>
      <x:c r="X330" s="226">
        <x:v>0</x:v>
      </x:c>
      <x:c r="Y330" s="226">
        <x:v>0</x:v>
      </x:c>
      <x:c r="Z330" s="226">
        <x:v>0</x:v>
      </x:c>
    </x:row>
    <x:row r="331" spans="1:26" ht="12.75" customHeight="1" x14ac:dyDescent="0.2">
      <x:c r="A331" s="89" t="s">
        <x:v>78</x:v>
      </x:c>
      <x:c r="B331" s="89" t="s">
        <x:v>70</x:v>
      </x:c>
      <x:c r="F331" s="90" t="n">
        <x:v>15933337844.23</x:v>
      </x:c>
      <x:c r="G331" s="90" t="n">
        <x:v>1154501603.17</x:v>
      </x:c>
      <x:c r="H331" s="90" t="n">
        <x:v>650837233.58</x:v>
      </x:c>
      <x:c r="I331" s="90" t="n">
        <x:v>342093759.53</x:v>
      </x:c>
      <x:c r="J331" s="90" t="n">
        <x:v>3421445554.28</x:v>
      </x:c>
      <x:c r="K331" s="90" t="n">
        <x:v>125780368.65</x:v>
      </x:c>
      <x:c r="L331" s="90" t="n">
        <x:v>14319220.95</x:v>
      </x:c>
      <x:c r="M331" s="90" t="n">
        <x:v>1103098634.64</x:v>
      </x:c>
      <x:c r="N331" s="90" t="n">
        <x:v>1086980700.92</x:v>
      </x:c>
      <x:c r="O331" s="90" t="n">
        <x:v>5143951113.65</x:v>
      </x:c>
      <x:c r="P331" s="90" t="n">
        <x:v>2684772990.18</x:v>
      </x:c>
      <x:c r="Q331" s="90" t="n">
        <x:v>205322063.37</x:v>
      </x:c>
      <x:c r="R331" s="90" t="n">
        <x:v>246486.93</x:v>
      </x:c>
      <x:c r="S331" s="90" t="n">
        <x:v>-11886.13</x:v>
      </x:c>
      <x:c r="T331" t="n">
        <x:v>0.51</x:v>
      </x:c>
      <x:c r="U331">
        <x:v>0</x:v>
      </x:c>
      <x:c r="V331">
        <x:v>0</x:v>
      </x:c>
      <x:c r="W331">
        <x:v>0</x:v>
      </x:c>
      <x:c r="X331">
        <x:v>0</x:v>
      </x:c>
      <x:c r="Y331">
        <x:v>0</x:v>
      </x:c>
      <x:c r="Z331">
        <x:v>0</x:v>
      </x:c>
    </x:row>
    <x:row r="332" spans="1:26" x14ac:dyDescent="0.2">
      <x:c r="E332" t="s">
        <x:v>73</x:v>
      </x:c>
      <x:c r="F332" s="90" t="n">
        <x:v>627141.97</x:v>
      </x:c>
      <x:c r="G332" s="90" t="n">
        <x:v>136851.94</x:v>
      </x:c>
      <x:c r="H332" s="90" t="n">
        <x:v>59636.73</x:v>
      </x:c>
      <x:c r="I332" s="90" t="n">
        <x:v>34221.29</x:v>
      </x:c>
      <x:c r="J332" s="90" t="n">
        <x:v>30320.48</x:v>
      </x:c>
      <x:c r="K332" s="90" t="n">
        <x:v>630.69</x:v>
      </x:c>
      <x:c r="L332" s="90" t="n">
        <x:v>0</x:v>
      </x:c>
      <x:c r="M332" s="90" t="n">
        <x:v>5532.39</x:v>
      </x:c>
      <x:c r="N332" s="90" t="n">
        <x:v>6675.34</x:v>
      </x:c>
      <x:c r="O332" s="90" t="n">
        <x:v>31361.45</x:v>
      </x:c>
      <x:c r="P332" s="90" t="n">
        <x:v>320882.66</x:v>
      </x:c>
      <x:c r="Q332" s="90" t="n">
        <x:v>1029</x:v>
      </x:c>
      <x:c r="R332" s="90" t="n">
        <x:v>0</x:v>
      </x:c>
      <x:c r="S332" s="90" t="n">
        <x:v>0</x:v>
      </x:c>
      <x:c r="T332" s="90" t="n">
        <x:v>0</x:v>
      </x:c>
      <x:c r="U332">
        <x:v>0</x:v>
      </x:c>
      <x:c r="V332">
        <x:v>0</x:v>
      </x:c>
      <x:c r="W332">
        <x:v>0</x:v>
      </x:c>
      <x:c r="X332">
        <x:v>0</x:v>
      </x:c>
      <x:c r="Y332">
        <x:v>0</x:v>
      </x:c>
      <x:c r="Z332" s="90">
        <x:v>0</x:v>
      </x:c>
    </x:row>
    <x:row r="333" spans="1:26" x14ac:dyDescent="0.2">
      <x:c r="D333" t="s">
        <x:v>156</x:v>
      </x:c>
      <x:c r="E333" t="s">
        <x:v>70</x:v>
      </x:c>
      <x:c r="F333" s="90" t="n">
        <x:v>627141.97</x:v>
      </x:c>
      <x:c r="G333" s="90" t="n">
        <x:v>136851.94</x:v>
      </x:c>
      <x:c r="H333" s="90" t="n">
        <x:v>59636.73</x:v>
      </x:c>
      <x:c r="I333" s="90" t="n">
        <x:v>34221.29</x:v>
      </x:c>
      <x:c r="J333" s="90" t="n">
        <x:v>30320.48</x:v>
      </x:c>
      <x:c r="K333" s="90" t="n">
        <x:v>630.69</x:v>
      </x:c>
      <x:c r="L333" s="90" t="n">
        <x:v>0</x:v>
      </x:c>
      <x:c r="M333" s="90" t="n">
        <x:v>5532.39</x:v>
      </x:c>
      <x:c r="N333" s="90" t="n">
        <x:v>6675.34</x:v>
      </x:c>
      <x:c r="O333" s="90" t="n">
        <x:v>31361.45</x:v>
      </x:c>
      <x:c r="P333" s="90" t="n">
        <x:v>320882.66</x:v>
      </x:c>
      <x:c r="Q333" s="90" t="n">
        <x:v>1029</x:v>
      </x:c>
      <x:c r="R333" s="90" t="n">
        <x:v>0</x:v>
      </x:c>
      <x:c r="S333" s="90" t="n">
        <x:v>0</x:v>
      </x:c>
      <x:c r="T333" s="90" t="n">
        <x:v>0</x:v>
      </x:c>
      <x:c r="U333">
        <x:v>0</x:v>
      </x:c>
      <x:c r="V333">
        <x:v>0</x:v>
      </x:c>
      <x:c r="W333">
        <x:v>0</x:v>
      </x:c>
      <x:c r="X333">
        <x:v>0</x:v>
      </x:c>
      <x:c r="Y333">
        <x:v>0</x:v>
      </x:c>
      <x:c r="Z333" s="90">
        <x:v>0</x:v>
      </x:c>
    </x:row>
    <x:row r="334" spans="1:26" s="286" customFormat="1" ht="12.75" customHeight="1" x14ac:dyDescent="0.2">
      <x:c r="C334" s="286" t="s">
        <x:v>155</x:v>
      </x:c>
      <x:c r="D334" s="286" t="s">
        <x:v>70</x:v>
      </x:c>
      <x:c r="E334" s="229"/>
      <x:c r="F334" s="229" t="n">
        <x:v>627141.97</x:v>
      </x:c>
      <x:c r="G334" s="230" t="n">
        <x:v>136851.94</x:v>
      </x:c>
      <x:c r="H334" s="230" t="n">
        <x:v>59636.73</x:v>
      </x:c>
      <x:c r="I334" s="230" t="n">
        <x:v>34221.29</x:v>
      </x:c>
      <x:c r="J334" s="230" t="n">
        <x:v>30320.48</x:v>
      </x:c>
      <x:c r="K334" s="230" t="n">
        <x:v>630.69</x:v>
      </x:c>
      <x:c r="L334" s="230" t="n">
        <x:v>0</x:v>
      </x:c>
      <x:c r="M334" s="230" t="n">
        <x:v>5532.39</x:v>
      </x:c>
      <x:c r="N334" s="230" t="n">
        <x:v>6675.34</x:v>
      </x:c>
      <x:c r="O334" s="230" t="n">
        <x:v>31361.45</x:v>
      </x:c>
      <x:c r="P334" s="230" t="n">
        <x:v>320882.66</x:v>
      </x:c>
      <x:c r="Q334" s="230" t="n">
        <x:v>1029</x:v>
      </x:c>
      <x:c r="R334" s="230" t="n">
        <x:v>0</x:v>
      </x:c>
      <x:c r="S334" s="230" t="n">
        <x:v>0</x:v>
      </x:c>
      <x:c r="T334" s="230" t="n">
        <x:v>0</x:v>
      </x:c>
      <x:c r="U334" s="230">
        <x:v>0</x:v>
      </x:c>
      <x:c r="V334" s="230">
        <x:v>0</x:v>
      </x:c>
      <x:c r="W334" s="230">
        <x:v>0</x:v>
      </x:c>
      <x:c r="X334" s="230">
        <x:v>0</x:v>
      </x:c>
      <x:c r="Y334" s="230">
        <x:v>0</x:v>
      </x:c>
      <x:c r="Z334" s="230">
        <x:v>0</x:v>
      </x:c>
    </x:row>
    <x:row r="335" spans="1:26" x14ac:dyDescent="0.2">
      <x:c r="E335" t="s">
        <x:v>73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 s="90">
        <x:v>0</x:v>
      </x:c>
      <x:c r="S335" s="90">
        <x:v>0</x:v>
      </x:c>
      <x:c r="T335" s="90">
        <x:v>0</x:v>
      </x:c>
      <x:c r="U335">
        <x:v>0</x:v>
      </x:c>
      <x:c r="V335">
        <x:v>0</x:v>
      </x:c>
      <x:c r="W335">
        <x:v>0</x:v>
      </x:c>
      <x:c r="X335">
        <x:v>0</x:v>
      </x:c>
      <x:c r="Y335">
        <x:v>0</x:v>
      </x:c>
      <x:c r="Z335" s="90">
        <x:v>0</x:v>
      </x:c>
    </x:row>
    <x:row r="336" spans="1:26" x14ac:dyDescent="0.2">
      <x:c r="D336" t="s">
        <x:v>82</x:v>
      </x:c>
      <x:c r="E336" t="s">
        <x:v>70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 s="90">
        <x:v>0</x:v>
      </x:c>
      <x:c r="S336" s="90">
        <x:v>0</x:v>
      </x:c>
      <x:c r="T336" s="90">
        <x:v>0</x:v>
      </x:c>
      <x:c r="U336">
        <x:v>0</x:v>
      </x:c>
      <x:c r="V336">
        <x:v>0</x:v>
      </x:c>
      <x:c r="W336">
        <x:v>0</x:v>
      </x:c>
      <x:c r="X336">
        <x:v>0</x:v>
      </x:c>
      <x:c r="Y336">
        <x:v>0</x:v>
      </x:c>
      <x:c r="Z336" s="90">
        <x:v>0</x:v>
      </x:c>
    </x:row>
    <x:row r="337" spans="2:26" x14ac:dyDescent="0.2">
      <x:c r="E337" t="s">
        <x:v>73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 s="90">
        <x:v>0</x:v>
      </x:c>
      <x:c r="S337" s="90">
        <x:v>0</x:v>
      </x:c>
      <x:c r="T337" s="90">
        <x:v>0</x:v>
      </x:c>
      <x:c r="U337">
        <x:v>0</x:v>
      </x:c>
      <x:c r="V337">
        <x:v>0</x:v>
      </x:c>
      <x:c r="W337">
        <x:v>0</x:v>
      </x:c>
      <x:c r="X337">
        <x:v>0</x:v>
      </x:c>
      <x:c r="Y337">
        <x:v>0</x:v>
      </x:c>
      <x:c r="Z337" s="90">
        <x:v>0</x:v>
      </x:c>
    </x:row>
    <x:row r="338" spans="2:26" x14ac:dyDescent="0.2">
      <x:c r="D338" t="s">
        <x:v>86</x:v>
      </x:c>
      <x:c r="E338" t="s">
        <x:v>70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 s="90">
        <x:v>0</x:v>
      </x:c>
      <x:c r="S338" s="90">
        <x:v>0</x:v>
      </x:c>
      <x:c r="T338" s="90">
        <x:v>0</x:v>
      </x:c>
      <x:c r="U338">
        <x:v>0</x:v>
      </x:c>
      <x:c r="V338">
        <x:v>0</x:v>
      </x:c>
      <x:c r="W338">
        <x:v>0</x:v>
      </x:c>
      <x:c r="X338">
        <x:v>0</x:v>
      </x:c>
      <x:c r="Y338">
        <x:v>0</x:v>
      </x:c>
      <x:c r="Z338" s="90">
        <x:v>0</x:v>
      </x:c>
    </x:row>
    <x:row r="339" spans="2:26" x14ac:dyDescent="0.2">
      <x:c r="E339" t="s">
        <x:v>73</x:v>
      </x:c>
      <x:c r="F339" s="90">
        <x:v>0</x:v>
      </x:c>
      <x:c r="G339" s="90">
        <x:v>0</x:v>
      </x:c>
      <x:c r="H339" s="90">
        <x:v>0</x:v>
      </x:c>
      <x:c r="I339" s="90">
        <x:v>0</x:v>
      </x:c>
      <x:c r="J339" s="90">
        <x:v>0</x:v>
      </x:c>
      <x:c r="K339" s="90">
        <x:v>0</x:v>
      </x:c>
      <x:c r="L339" s="90">
        <x:v>0</x:v>
      </x:c>
      <x:c r="M339" s="90">
        <x:v>0</x:v>
      </x:c>
      <x:c r="N339" s="90">
        <x:v>0</x:v>
      </x:c>
      <x:c r="O339" s="90">
        <x:v>0</x:v>
      </x:c>
      <x:c r="P339" s="90">
        <x:v>0</x:v>
      </x:c>
      <x:c r="Q339" s="90">
        <x:v>0</x:v>
      </x:c>
      <x:c r="R339" s="90">
        <x:v>0</x:v>
      </x:c>
      <x:c r="S339" s="90">
        <x:v>0</x:v>
      </x:c>
      <x:c r="T339" s="90">
        <x:v>0</x:v>
      </x:c>
      <x:c r="U339">
        <x:v>0</x:v>
      </x:c>
      <x:c r="V339">
        <x:v>0</x:v>
      </x:c>
      <x:c r="W339">
        <x:v>0</x:v>
      </x:c>
      <x:c r="X339">
        <x:v>0</x:v>
      </x:c>
      <x:c r="Y339">
        <x:v>0</x:v>
      </x:c>
      <x:c r="Z339" s="90">
        <x:v>0</x:v>
      </x:c>
    </x:row>
    <x:row r="340" spans="2:26" x14ac:dyDescent="0.2">
      <x:c r="D340" t="s">
        <x:v>87</x:v>
      </x:c>
      <x:c r="E340" t="s">
        <x:v>70</x:v>
      </x:c>
      <x:c r="F340" s="90">
        <x:v>0</x:v>
      </x:c>
      <x:c r="G340" s="90">
        <x:v>0</x:v>
      </x:c>
      <x:c r="H340" s="90">
        <x:v>0</x:v>
      </x:c>
      <x:c r="I340" s="90">
        <x:v>0</x:v>
      </x:c>
      <x:c r="J340" s="90">
        <x:v>0</x:v>
      </x:c>
      <x:c r="K340" s="90">
        <x:v>0</x:v>
      </x:c>
      <x:c r="L340" s="90">
        <x:v>0</x:v>
      </x:c>
      <x:c r="M340" s="90">
        <x:v>0</x:v>
      </x:c>
      <x:c r="N340" s="90">
        <x:v>0</x:v>
      </x:c>
      <x:c r="O340" s="90">
        <x:v>0</x:v>
      </x:c>
      <x:c r="P340" s="90">
        <x:v>0</x:v>
      </x:c>
      <x:c r="Q340" s="90">
        <x:v>0</x:v>
      </x:c>
      <x:c r="R340" s="90">
        <x:v>0</x:v>
      </x:c>
      <x:c r="S340" s="90">
        <x:v>0</x:v>
      </x:c>
      <x:c r="T340" s="90">
        <x:v>0</x:v>
      </x:c>
      <x:c r="U340">
        <x:v>0</x:v>
      </x:c>
      <x:c r="V340">
        <x:v>0</x:v>
      </x:c>
      <x:c r="W340">
        <x:v>0</x:v>
      </x:c>
      <x:c r="X340">
        <x:v>0</x:v>
      </x:c>
      <x:c r="Y340">
        <x:v>0</x:v>
      </x:c>
      <x:c r="Z340" s="90">
        <x:v>0</x:v>
      </x:c>
    </x:row>
    <x:row r="341" spans="2:26" s="94" customFormat="1" ht="12.75" customHeight="1" x14ac:dyDescent="0.2">
      <x:c r="C341" s="101" t="s">
        <x:v>119</x:v>
      </x:c>
      <x:c r="D341" s="101" t="s">
        <x:v>70</x:v>
      </x:c>
      <x:c r="F341" s="93">
        <x:v>0</x:v>
      </x:c>
      <x:c r="G341" s="93">
        <x:v>0</x:v>
      </x:c>
      <x:c r="H341" s="93">
        <x:v>0</x:v>
      </x:c>
      <x:c r="I341" s="93">
        <x:v>0</x:v>
      </x:c>
      <x:c r="J341" s="93">
        <x:v>0</x:v>
      </x:c>
      <x:c r="K341" s="93">
        <x:v>0</x:v>
      </x:c>
      <x:c r="L341" s="93">
        <x:v>0</x:v>
      </x:c>
      <x:c r="M341" s="93">
        <x:v>0</x:v>
      </x:c>
      <x:c r="N341" s="93">
        <x:v>0</x:v>
      </x:c>
      <x:c r="O341" s="93">
        <x:v>0</x:v>
      </x:c>
      <x:c r="P341" s="93">
        <x:v>0</x:v>
      </x:c>
      <x:c r="Q341" s="93">
        <x:v>0</x:v>
      </x:c>
      <x:c r="R341" s="93">
        <x:v>0</x:v>
      </x:c>
      <x:c r="S341" s="93">
        <x:v>0</x:v>
      </x:c>
      <x:c r="T341" s="93">
        <x:v>0</x:v>
      </x:c>
      <x:c r="U341" s="93">
        <x:v>0</x:v>
      </x:c>
      <x:c r="V341" s="93">
        <x:v>0</x:v>
      </x:c>
      <x:c r="W341" s="93">
        <x:v>0</x:v>
      </x:c>
      <x:c r="X341" s="93">
        <x:v>0</x:v>
      </x:c>
      <x:c r="Y341" s="93">
        <x:v>0</x:v>
      </x:c>
      <x:c r="Z341" s="93">
        <x:v>0</x:v>
      </x:c>
    </x:row>
    <x:row r="342" spans="2:26" s="378" customFormat="1" ht="12.6" customHeight="1" x14ac:dyDescent="0.2">
      <x:c r="B342" s="378" t="s">
        <x:v>122</x:v>
      </x:c>
      <x:c r="C342" s="378" t="s">
        <x:v>70</x:v>
      </x:c>
      <x:c r="E342" s="376"/>
      <x:c r="F342" s="710" t="n">
        <x:v>627141.97</x:v>
      </x:c>
      <x:c r="G342" s="377" t="n">
        <x:v>136851.94</x:v>
      </x:c>
      <x:c r="H342" s="377" t="n">
        <x:v>59636.73</x:v>
      </x:c>
      <x:c r="I342" s="377" t="n">
        <x:v>34221.29</x:v>
      </x:c>
      <x:c r="J342" s="377" t="n">
        <x:v>30320.48</x:v>
      </x:c>
      <x:c r="K342" s="377" t="n">
        <x:v>630.69</x:v>
      </x:c>
      <x:c r="L342" s="377" t="n">
        <x:v>0</x:v>
      </x:c>
      <x:c r="M342" s="377" t="n">
        <x:v>5532.39</x:v>
      </x:c>
      <x:c r="N342" s="377" t="n">
        <x:v>6675.34</x:v>
      </x:c>
      <x:c r="O342" s="377" t="n">
        <x:v>31361.45</x:v>
      </x:c>
      <x:c r="P342" s="377" t="n">
        <x:v>320882.66</x:v>
      </x:c>
      <x:c r="Q342" s="377" t="n">
        <x:v>1029</x:v>
      </x:c>
      <x:c r="R342" s="377" t="n">
        <x:v>0</x:v>
      </x:c>
      <x:c r="S342" s="377" t="n">
        <x:v>0</x:v>
      </x:c>
      <x:c r="T342" s="378" t="n">
        <x:v>0</x:v>
      </x:c>
      <x:c r="U342" s="378">
        <x:v>0</x:v>
      </x:c>
      <x:c r="V342" s="378">
        <x:v>0</x:v>
      </x:c>
      <x:c r="W342" s="378">
        <x:v>0</x:v>
      </x:c>
      <x:c r="X342" s="378">
        <x:v>0</x:v>
      </x:c>
      <x:c r="Y342" s="378">
        <x:v>0</x:v>
      </x:c>
      <x:c r="Z342" s="378">
        <x:v>0</x:v>
      </x:c>
    </x:row>
    <x:row r="343" spans="2:26" ht="12.6" customHeight="1" x14ac:dyDescent="0.2">
      <x:c r="E343" s="89" t="s">
        <x:v>73</x:v>
      </x:c>
      <x:c r="F343" s="371" t="n">
        <x:v>-1096861177.67</x:v>
      </x:c>
      <x:c r="G343" s="90" t="n">
        <x:v>177691694.13</x:v>
      </x:c>
      <x:c r="H343" s="90" t="n">
        <x:v>100212148.13</x:v>
      </x:c>
      <x:c r="I343" s="90" t="n">
        <x:v>52624447.82</x:v>
      </x:c>
      <x:c r="J343" s="90" t="n">
        <x:v>-572254890.49</x:v>
      </x:c>
      <x:c r="K343" s="90" t="n">
        <x:v>-20850568.85</x:v>
      </x:c>
      <x:c r="L343" s="90" t="n">
        <x:v>0</x:v>
      </x:c>
      <x:c r="M343" s="90" t="n">
        <x:v>-182915508.68</x:v>
      </x:c>
      <x:c r="N343" s="90" t="n">
        <x:v>-179688481.86</x:v>
      </x:c>
      <x:c r="O343" s="90" t="n">
        <x:v>-850631532.47</x:v>
      </x:c>
      <x:c r="P343" s="90" t="n">
        <x:v>412971085.38</x:v>
      </x:c>
      <x:c r="Q343" s="90" t="n">
        <x:v>-34019570.78</x:v>
      </x:c>
      <x:c r="R343" s="90" t="n">
        <x:v>0</x:v>
      </x:c>
      <x:c r="S343" s="90" t="n">
        <x:v>0</x:v>
      </x:c>
      <x:c r="T343" t="n">
        <x:v>0</x:v>
      </x:c>
      <x:c r="U343">
        <x:v>0</x:v>
      </x:c>
      <x:c r="V343">
        <x:v>0</x:v>
      </x:c>
      <x:c r="W343">
        <x:v>0</x:v>
      </x:c>
      <x:c r="X343">
        <x:v>0</x:v>
      </x:c>
      <x:c r="Y343">
        <x:v>0</x:v>
      </x:c>
      <x:c r="Z343">
        <x:v>0</x:v>
      </x:c>
    </x:row>
    <x:row r="344" spans="2:26" ht="12.75" customHeight="1" x14ac:dyDescent="0.2">
      <x:c r="D344" t="s">
        <x:v>156</x:v>
      </x:c>
      <x:c r="E344" s="89" t="s">
        <x:v>70</x:v>
      </x:c>
      <x:c r="F344" s="371" t="n">
        <x:v>-1096861177.67</x:v>
      </x:c>
      <x:c r="G344" s="90" t="n">
        <x:v>177691694.13</x:v>
      </x:c>
      <x:c r="H344" s="90" t="n">
        <x:v>100212148.13</x:v>
      </x:c>
      <x:c r="I344" s="90" t="n">
        <x:v>52624447.82</x:v>
      </x:c>
      <x:c r="J344" s="90" t="n">
        <x:v>-572254890.49</x:v>
      </x:c>
      <x:c r="K344" s="90" t="n">
        <x:v>-20850568.85</x:v>
      </x:c>
      <x:c r="L344" s="90" t="n">
        <x:v>0</x:v>
      </x:c>
      <x:c r="M344" s="90" t="n">
        <x:v>-182915508.68</x:v>
      </x:c>
      <x:c r="N344" s="90" t="n">
        <x:v>-179688481.86</x:v>
      </x:c>
      <x:c r="O344" s="90" t="n">
        <x:v>-850631532.47</x:v>
      </x:c>
      <x:c r="P344" s="90" t="n">
        <x:v>412971085.38</x:v>
      </x:c>
      <x:c r="Q344" s="90" t="n">
        <x:v>-34019570.78</x:v>
      </x:c>
      <x:c r="R344" s="90" t="n">
        <x:v>0</x:v>
      </x:c>
      <x:c r="S344" s="90" t="n">
        <x:v>0</x:v>
      </x:c>
      <x:c r="T344" t="n">
        <x:v>0</x:v>
      </x:c>
      <x:c r="U344">
        <x:v>0</x:v>
      </x:c>
      <x:c r="V344">
        <x:v>0</x:v>
      </x:c>
      <x:c r="W344">
        <x:v>0</x:v>
      </x:c>
      <x:c r="X344">
        <x:v>0</x:v>
      </x:c>
      <x:c r="Y344">
        <x:v>0</x:v>
      </x:c>
      <x:c r="Z344">
        <x:v>0</x:v>
      </x:c>
    </x:row>
    <x:row r="345" spans="2:26" s="286" customFormat="1" ht="12.75" customHeight="1" x14ac:dyDescent="0.2">
      <x:c r="C345" s="286" t="s">
        <x:v>155</x:v>
      </x:c>
      <x:c r="D345" s="286" t="s">
        <x:v>70</x:v>
      </x:c>
      <x:c r="E345" s="229"/>
      <x:c r="F345" s="229" t="n">
        <x:v>-1096861177.67</x:v>
      </x:c>
      <x:c r="G345" s="230" t="n">
        <x:v>177691694.13</x:v>
      </x:c>
      <x:c r="H345" s="230" t="n">
        <x:v>100212148.13</x:v>
      </x:c>
      <x:c r="I345" s="230" t="n">
        <x:v>52624447.82</x:v>
      </x:c>
      <x:c r="J345" s="230" t="n">
        <x:v>-572254890.49</x:v>
      </x:c>
      <x:c r="K345" s="230" t="n">
        <x:v>-20850568.85</x:v>
      </x:c>
      <x:c r="L345" s="230" t="n">
        <x:v>0</x:v>
      </x:c>
      <x:c r="M345" s="230" t="n">
        <x:v>-182915508.68</x:v>
      </x:c>
      <x:c r="N345" s="230" t="n">
        <x:v>-179688481.86</x:v>
      </x:c>
      <x:c r="O345" s="230" t="n">
        <x:v>-850631532.47</x:v>
      </x:c>
      <x:c r="P345" s="230" t="n">
        <x:v>412971085.38</x:v>
      </x:c>
      <x:c r="Q345" s="230" t="n">
        <x:v>-34019570.78</x:v>
      </x:c>
      <x:c r="R345" s="230" t="n">
        <x:v>0</x:v>
      </x:c>
      <x:c r="S345" s="230" t="n">
        <x:v>0</x:v>
      </x:c>
      <x:c r="T345" s="230" t="n">
        <x:v>0</x:v>
      </x:c>
      <x:c r="U345" s="230">
        <x:v>0</x:v>
      </x:c>
      <x:c r="V345" s="230">
        <x:v>0</x:v>
      </x:c>
      <x:c r="W345" s="230">
        <x:v>0</x:v>
      </x:c>
      <x:c r="X345" s="230">
        <x:v>0</x:v>
      </x:c>
      <x:c r="Y345" s="230">
        <x:v>0</x:v>
      </x:c>
      <x:c r="Z345" s="230">
        <x:v>0</x:v>
      </x:c>
    </x:row>
    <x:row r="346" spans="2:26" ht="12.75" customHeight="1" x14ac:dyDescent="0.2">
      <x:c r="D346" s="89"/>
      <x:c r="E346" s="89" t="s">
        <x:v>73</x:v>
      </x:c>
      <x:c r="F346" s="90" t="n">
        <x:v>5881980.61</x:v>
      </x:c>
      <x:c r="G346" s="90" t="n">
        <x:v>1458341.69</x:v>
      </x:c>
      <x:c r="H346" s="90" t="n">
        <x:v>821336.04</x:v>
      </x:c>
      <x:c r="I346" s="90" t="n">
        <x:v>430495.38</x:v>
      </x:c>
      <x:c r="J346" s="90" t="n">
        <x:v>-89992.43</x:v>
      </x:c>
      <x:c r="K346" s="90" t="n">
        <x:v>-1656.46</x:v>
      </x:c>
      <x:c r="L346" s="90" t="n">
        <x:v>0</x:v>
      </x:c>
      <x:c r="M346" s="90" t="n">
        <x:v>-14532.38</x:v>
      </x:c>
      <x:c r="N346" s="90" t="n">
        <x:v>-17796.23</x:v>
      </x:c>
      <x:c r="O346" s="90" t="n">
        <x:v>-85250.46</x:v>
      </x:c>
      <x:c r="P346" s="90" t="n">
        <x:v>3383738.4</x:v>
      </x:c>
      <x:c r="Q346" s="90" t="n">
        <x:v>-2702.94</x:v>
      </x:c>
      <x:c r="R346" s="90" t="n">
        <x:v>0</x:v>
      </x:c>
      <x:c r="S346" s="90" t="n">
        <x:v>0</x:v>
      </x:c>
      <x:c r="T346" t="n">
        <x:v>0</x:v>
      </x:c>
      <x:c r="U346">
        <x:v>0</x:v>
      </x:c>
      <x:c r="V346">
        <x:v>0</x:v>
      </x:c>
      <x:c r="W346">
        <x:v>0</x:v>
      </x:c>
      <x:c r="X346">
        <x:v>0</x:v>
      </x:c>
      <x:c r="Y346">
        <x:v>0</x:v>
      </x:c>
      <x:c r="Z346">
        <x:v>0</x:v>
      </x:c>
    </x:row>
    <x:row r="347" spans="2:26" ht="12.75" customHeight="1" x14ac:dyDescent="0.2">
      <x:c r="D347" t="s">
        <x:v>82</x:v>
      </x:c>
      <x:c r="E347" s="89" t="s">
        <x:v>70</x:v>
      </x:c>
      <x:c r="F347" s="90" t="n">
        <x:v>5881980.61</x:v>
      </x:c>
      <x:c r="G347" s="90" t="n">
        <x:v>1458341.69</x:v>
      </x:c>
      <x:c r="H347" s="90" t="n">
        <x:v>821336.04</x:v>
      </x:c>
      <x:c r="I347" s="90" t="n">
        <x:v>430495.38</x:v>
      </x:c>
      <x:c r="J347" s="90" t="n">
        <x:v>-89992.43</x:v>
      </x:c>
      <x:c r="K347" s="90" t="n">
        <x:v>-1656.46</x:v>
      </x:c>
      <x:c r="L347" s="90" t="n">
        <x:v>0</x:v>
      </x:c>
      <x:c r="M347" s="90" t="n">
        <x:v>-14532.38</x:v>
      </x:c>
      <x:c r="N347" s="90" t="n">
        <x:v>-17796.23</x:v>
      </x:c>
      <x:c r="O347" s="90" t="n">
        <x:v>-85250.46</x:v>
      </x:c>
      <x:c r="P347" s="90" t="n">
        <x:v>3383738.4</x:v>
      </x:c>
      <x:c r="Q347" s="90" t="n">
        <x:v>-2702.94</x:v>
      </x:c>
      <x:c r="R347" s="90" t="n">
        <x:v>0</x:v>
      </x:c>
      <x:c r="S347" s="90" t="n">
        <x:v>0</x:v>
      </x:c>
      <x:c r="T347" t="n">
        <x:v>0</x:v>
      </x:c>
      <x:c r="U347">
        <x:v>0</x:v>
      </x:c>
      <x:c r="V347">
        <x:v>0</x:v>
      </x:c>
      <x:c r="W347">
        <x:v>0</x:v>
      </x:c>
      <x:c r="X347">
        <x:v>0</x:v>
      </x:c>
      <x:c r="Y347">
        <x:v>0</x:v>
      </x:c>
      <x:c r="Z347">
        <x:v>0</x:v>
      </x:c>
    </x:row>
    <x:row r="348" spans="2:26" ht="12.75" customHeight="1" x14ac:dyDescent="0.2">
      <x:c r="D348" s="89"/>
      <x:c r="E348" s="89" t="s">
        <x:v>73</x:v>
      </x:c>
      <x:c r="F348" s="90" t="n">
        <x:v>41448273.23</x:v>
      </x:c>
      <x:c r="G348" s="90" t="n">
        <x:v>9799067.84</x:v>
      </x:c>
      <x:c r="H348" s="90" t="n">
        <x:v>5514666.58</x:v>
      </x:c>
      <x:c r="I348" s="90" t="n">
        <x:v>2910510.96</x:v>
      </x:c>
      <x:c r="J348" s="90" t="n">
        <x:v>43956.11</x:v>
      </x:c>
      <x:c r="K348" s="90" t="n">
        <x:v>-3831.58</x:v>
      </x:c>
      <x:c r="L348" s="90" t="n">
        <x:v>0</x:v>
      </x:c>
      <x:c r="M348" s="90" t="n">
        <x:v>-33238.42</x:v>
      </x:c>
      <x:c r="N348" s="90" t="n">
        <x:v>51690.03</x:v>
      </x:c>
      <x:c r="O348" s="90" t="n">
        <x:v>379225.18</x:v>
      </x:c>
      <x:c r="P348" s="90" t="n">
        <x:v>22792493.52</x:v>
      </x:c>
      <x:c r="Q348" s="90" t="n">
        <x:v>-6266.99</x:v>
      </x:c>
      <x:c r="R348" s="90" t="n">
        <x:v>0</x:v>
      </x:c>
      <x:c r="S348" s="90" t="n">
        <x:v>0</x:v>
      </x:c>
      <x:c r="T348" t="n">
        <x:v>0</x:v>
      </x:c>
      <x:c r="U348">
        <x:v>0</x:v>
      </x:c>
      <x:c r="V348">
        <x:v>0</x:v>
      </x:c>
      <x:c r="W348">
        <x:v>0</x:v>
      </x:c>
      <x:c r="X348">
        <x:v>0</x:v>
      </x:c>
      <x:c r="Y348">
        <x:v>0</x:v>
      </x:c>
      <x:c r="Z348">
        <x:v>0</x:v>
      </x:c>
    </x:row>
    <x:row r="349" spans="2:26" ht="12.75" customHeight="1" x14ac:dyDescent="0.2">
      <x:c r="D349" t="s">
        <x:v>86</x:v>
      </x:c>
      <x:c r="E349" s="89" t="s">
        <x:v>70</x:v>
      </x:c>
      <x:c r="F349" s="90" t="n">
        <x:v>41448273.23</x:v>
      </x:c>
      <x:c r="G349" s="90" t="n">
        <x:v>9799067.84</x:v>
      </x:c>
      <x:c r="H349" s="90" t="n">
        <x:v>5514666.58</x:v>
      </x:c>
      <x:c r="I349" s="90" t="n">
        <x:v>2910510.96</x:v>
      </x:c>
      <x:c r="J349" s="90" t="n">
        <x:v>43956.11</x:v>
      </x:c>
      <x:c r="K349" s="90" t="n">
        <x:v>-3831.58</x:v>
      </x:c>
      <x:c r="L349" s="90" t="n">
        <x:v>0</x:v>
      </x:c>
      <x:c r="M349" s="90" t="n">
        <x:v>-33238.42</x:v>
      </x:c>
      <x:c r="N349" s="90" t="n">
        <x:v>51690.03</x:v>
      </x:c>
      <x:c r="O349" s="90" t="n">
        <x:v>379225.18</x:v>
      </x:c>
      <x:c r="P349" s="90" t="n">
        <x:v>22792493.52</x:v>
      </x:c>
      <x:c r="Q349" s="90" t="n">
        <x:v>-6266.99</x:v>
      </x:c>
      <x:c r="R349" s="90" t="n">
        <x:v>0</x:v>
      </x:c>
      <x:c r="S349" s="90" t="n">
        <x:v>0</x:v>
      </x:c>
      <x:c r="T349" t="n">
        <x:v>0</x:v>
      </x:c>
      <x:c r="U349">
        <x:v>0</x:v>
      </x:c>
      <x:c r="V349">
        <x:v>0</x:v>
      </x:c>
      <x:c r="W349">
        <x:v>0</x:v>
      </x:c>
      <x:c r="X349">
        <x:v>0</x:v>
      </x:c>
      <x:c r="Y349">
        <x:v>0</x:v>
      </x:c>
      <x:c r="Z349">
        <x:v>0</x:v>
      </x:c>
    </x:row>
    <x:row r="350" spans="2:26" ht="12.75" customHeight="1" x14ac:dyDescent="0.2">
      <x:c r="D350" s="89"/>
      <x:c r="E350" s="89" t="s">
        <x:v>73</x:v>
      </x:c>
      <x:c r="F350" s="90" t="n">
        <x:v>357418504.17</x:v>
      </x:c>
      <x:c r="G350" s="90" t="n">
        <x:v>82262358.89</x:v>
      </x:c>
      <x:c r="H350" s="90" t="n">
        <x:v>46499187.44</x:v>
      </x:c>
      <x:c r="I350" s="90" t="n">
        <x:v>24589080.51</x:v>
      </x:c>
      <x:c r="J350" s="90" t="n">
        <x:v>3357839.2</x:v>
      </x:c>
      <x:c r="K350" s="90" t="n">
        <x:v>107100.09</x:v>
      </x:c>
      <x:c r="L350" s="90" t="n">
        <x:v>0</x:v>
      </x:c>
      <x:c r="M350" s="90" t="n">
        <x:v>927675.41</x:v>
      </x:c>
      <x:c r="N350" s="90" t="n">
        <x:v>1328839.59</x:v>
      </x:c>
      <x:c r="O350" s="90" t="n">
        <x:v>6237531.63</x:v>
      </x:c>
      <x:c r="P350" s="90" t="n">
        <x:v>191934234.59</x:v>
      </x:c>
      <x:c r="Q350" s="90" t="n">
        <x:v>174656.82</x:v>
      </x:c>
      <x:c r="R350" s="90" t="n">
        <x:v>0</x:v>
      </x:c>
      <x:c r="S350" s="90" t="n">
        <x:v>0</x:v>
      </x:c>
      <x:c r="T350" t="n">
        <x:v>0</x:v>
      </x:c>
      <x:c r="U350">
        <x:v>0</x:v>
      </x:c>
      <x:c r="V350">
        <x:v>0</x:v>
      </x:c>
      <x:c r="W350">
        <x:v>0</x:v>
      </x:c>
      <x:c r="X350">
        <x:v>0</x:v>
      </x:c>
      <x:c r="Y350">
        <x:v>0</x:v>
      </x:c>
      <x:c r="Z350">
        <x:v>0</x:v>
      </x:c>
    </x:row>
    <x:row r="351" spans="2:26" ht="12.75" customHeight="1" x14ac:dyDescent="0.2">
      <x:c r="C351" s="89"/>
      <x:c r="D351" s="89" t="s">
        <x:v>87</x:v>
      </x:c>
      <x:c r="E351" t="s">
        <x:v>70</x:v>
      </x:c>
      <x:c r="F351" s="90" t="n">
        <x:v>357418504.17</x:v>
      </x:c>
      <x:c r="G351" s="90" t="n">
        <x:v>82262358.89</x:v>
      </x:c>
      <x:c r="H351" s="90" t="n">
        <x:v>46499187.44</x:v>
      </x:c>
      <x:c r="I351" s="90" t="n">
        <x:v>24589080.51</x:v>
      </x:c>
      <x:c r="J351" s="90" t="n">
        <x:v>3357839.2</x:v>
      </x:c>
      <x:c r="K351" s="90" t="n">
        <x:v>107100.09</x:v>
      </x:c>
      <x:c r="L351" s="90" t="n">
        <x:v>0</x:v>
      </x:c>
      <x:c r="M351" s="90" t="n">
        <x:v>927675.41</x:v>
      </x:c>
      <x:c r="N351" s="90" t="n">
        <x:v>1328839.59</x:v>
      </x:c>
      <x:c r="O351" s="90" t="n">
        <x:v>6237531.63</x:v>
      </x:c>
      <x:c r="P351" s="90" t="n">
        <x:v>191934234.59</x:v>
      </x:c>
      <x:c r="Q351" s="90" t="n">
        <x:v>174656.82</x:v>
      </x:c>
      <x:c r="R351" s="90" t="n">
        <x:v>0</x:v>
      </x:c>
      <x:c r="S351" s="90" t="n">
        <x:v>0</x:v>
      </x:c>
      <x:c r="T351" t="n">
        <x:v>0</x:v>
      </x:c>
      <x:c r="U351">
        <x:v>0</x:v>
      </x:c>
      <x:c r="V351">
        <x:v>0</x:v>
      </x:c>
      <x:c r="W351">
        <x:v>0</x:v>
      </x:c>
      <x:c r="X351">
        <x:v>0</x:v>
      </x:c>
      <x:c r="Y351">
        <x:v>0</x:v>
      </x:c>
      <x:c r="Z351">
        <x:v>0</x:v>
      </x:c>
    </x:row>
    <x:row r="352" spans="2:26" s="94" customFormat="1" ht="12.75" customHeight="1" x14ac:dyDescent="0.2">
      <x:c r="C352" s="101" t="s">
        <x:v>119</x:v>
      </x:c>
      <x:c r="D352" s="101" t="s">
        <x:v>70</x:v>
      </x:c>
      <x:c r="F352" s="93" t="n">
        <x:v>404748758.01</x:v>
      </x:c>
      <x:c r="G352" s="93" t="n">
        <x:v>93519768.42</x:v>
      </x:c>
      <x:c r="H352" s="93" t="n">
        <x:v>52835190.06</x:v>
      </x:c>
      <x:c r="I352" s="93" t="n">
        <x:v>27930086.85</x:v>
      </x:c>
      <x:c r="J352" s="93" t="n">
        <x:v>3311802.88</x:v>
      </x:c>
      <x:c r="K352" s="93" t="n">
        <x:v>101612.05</x:v>
      </x:c>
      <x:c r="L352" s="93" t="n">
        <x:v>0</x:v>
      </x:c>
      <x:c r="M352" s="93" t="n">
        <x:v>879904.61</x:v>
      </x:c>
      <x:c r="N352" s="93" t="n">
        <x:v>1362733.39</x:v>
      </x:c>
      <x:c r="O352" s="93" t="n">
        <x:v>6531506.35</x:v>
      </x:c>
      <x:c r="P352" s="93" t="n">
        <x:v>218110466.51</x:v>
      </x:c>
      <x:c r="Q352" s="93" t="n">
        <x:v>165686.89</x:v>
      </x:c>
      <x:c r="R352" s="93" t="n">
        <x:v>0</x:v>
      </x:c>
      <x:c r="S352" s="93" t="n">
        <x:v>0</x:v>
      </x:c>
      <x:c r="T352" s="94" t="n">
        <x:v>0</x:v>
      </x:c>
      <x:c r="U352" s="94">
        <x:v>0</x:v>
      </x:c>
      <x:c r="V352" s="94">
        <x:v>0</x:v>
      </x:c>
      <x:c r="W352" s="94">
        <x:v>0</x:v>
      </x:c>
      <x:c r="X352" s="94">
        <x:v>0</x:v>
      </x:c>
      <x:c r="Y352" s="94">
        <x:v>0</x:v>
      </x:c>
      <x:c r="Z352" s="94">
        <x:v>0</x:v>
      </x:c>
    </x:row>
    <x:row r="353" spans="1:26" s="226" customFormat="1" ht="12.75" customHeight="1" x14ac:dyDescent="0.2">
      <x:c r="A353" s="98"/>
      <x:c r="B353" s="98" t="s">
        <x:v>112</x:v>
      </x:c>
      <x:c r="C353" s="226" t="s">
        <x:v>70</x:v>
      </x:c>
      <x:c r="F353" s="100" t="n">
        <x:v>-692112419.66</x:v>
      </x:c>
      <x:c r="G353" s="100" t="n">
        <x:v>271211462.55</x:v>
      </x:c>
      <x:c r="H353" s="100" t="n">
        <x:v>153047338.19</x:v>
      </x:c>
      <x:c r="I353" s="100" t="n">
        <x:v>80554534.67</x:v>
      </x:c>
      <x:c r="J353" s="100" t="n">
        <x:v>-568943087.61</x:v>
      </x:c>
      <x:c r="K353" s="100" t="n">
        <x:v>-20748956.8</x:v>
      </x:c>
      <x:c r="L353" s="100" t="n">
        <x:v>0</x:v>
      </x:c>
      <x:c r="M353" s="100" t="n">
        <x:v>-182035604.07</x:v>
      </x:c>
      <x:c r="N353" s="100" t="n">
        <x:v>-178325748.47</x:v>
      </x:c>
      <x:c r="O353" s="100" t="n">
        <x:v>-844100026.12</x:v>
      </x:c>
      <x:c r="P353" s="100" t="n">
        <x:v>631081551.89</x:v>
      </x:c>
      <x:c r="Q353" s="100" t="n">
        <x:v>-33853883.89</x:v>
      </x:c>
      <x:c r="R353" s="100" t="n">
        <x:v>0</x:v>
      </x:c>
      <x:c r="S353" s="100" t="n">
        <x:v>0</x:v>
      </x:c>
      <x:c r="T353" s="226" t="n">
        <x:v>0</x:v>
      </x:c>
      <x:c r="U353" s="226">
        <x:v>0</x:v>
      </x:c>
      <x:c r="V353" s="226">
        <x:v>0</x:v>
      </x:c>
      <x:c r="W353" s="226">
        <x:v>0</x:v>
      </x:c>
      <x:c r="X353" s="226">
        <x:v>0</x:v>
      </x:c>
      <x:c r="Y353" s="226">
        <x:v>0</x:v>
      </x:c>
      <x:c r="Z353" s="226">
        <x:v>0</x:v>
      </x:c>
    </x:row>
    <x:row r="354" spans="1:26" ht="12.75" customHeight="1" x14ac:dyDescent="0.2">
      <x:c r="A354" s="89" t="s">
        <x:v>79</x:v>
      </x:c>
      <x:c r="B354" t="s">
        <x:v>70</x:v>
      </x:c>
      <x:c r="F354" s="90" t="n">
        <x:v>-691485277.69</x:v>
      </x:c>
      <x:c r="G354" s="90" t="n">
        <x:v>271348314.49</x:v>
      </x:c>
      <x:c r="H354" s="90" t="n">
        <x:v>153106974.92</x:v>
      </x:c>
      <x:c r="I354" s="90" t="n">
        <x:v>80588755.96</x:v>
      </x:c>
      <x:c r="J354" s="90" t="n">
        <x:v>-568912767.13</x:v>
      </x:c>
      <x:c r="K354" s="90" t="n">
        <x:v>-20748326.11</x:v>
      </x:c>
      <x:c r="L354" s="90" t="n">
        <x:v>0</x:v>
      </x:c>
      <x:c r="M354" s="90" t="n">
        <x:v>-182030071.68</x:v>
      </x:c>
      <x:c r="N354" s="90" t="n">
        <x:v>-178319073.13</x:v>
      </x:c>
      <x:c r="O354" s="90" t="n">
        <x:v>-844068664.67</x:v>
      </x:c>
      <x:c r="P354" s="90" t="n">
        <x:v>631402434.55</x:v>
      </x:c>
      <x:c r="Q354" s="90" t="n">
        <x:v>-33852854.89</x:v>
      </x:c>
      <x:c r="R354" s="90" t="n">
        <x:v>0</x:v>
      </x:c>
      <x:c r="S354" s="90" t="n">
        <x:v>0</x:v>
      </x:c>
      <x:c r="T354" t="n">
        <x:v>0</x:v>
      </x:c>
      <x:c r="U354">
        <x:v>0</x:v>
      </x:c>
      <x:c r="V354">
        <x:v>0</x:v>
      </x:c>
      <x:c r="W354">
        <x:v>0</x:v>
      </x:c>
      <x:c r="X354">
        <x:v>0</x:v>
      </x:c>
      <x:c r="Y354">
        <x:v>0</x:v>
      </x:c>
      <x:c r="Z354">
        <x:v>0</x:v>
      </x:c>
    </x:row>
    <x:row r="355" spans="1:26" ht="12.75" customHeight="1" x14ac:dyDescent="0.2">
      <x:c r="A355" t="s">
        <x:v>70</x:v>
      </x:c>
      <x:c r="E355" s="89"/>
      <x:c r="F355" s="90" t="n">
        <x:v>15241836108.08</x:v>
      </x:c>
      <x:c r="G355" s="90" t="n">
        <x:v>1425848426.78</x:v>
      </x:c>
      <x:c r="H355" s="90" t="n">
        <x:v>803943575.11</x:v>
      </x:c>
      <x:c r="I355" s="90" t="n">
        <x:v>422682238.89</x:v>
      </x:c>
      <x:c r="J355" s="90" t="n">
        <x:v>2852529644.59</x:v>
      </x:c>
      <x:c r="K355" s="90" t="n">
        <x:v>105031913.06</x:v>
      </x:c>
      <x:c r="L355" s="90" t="n">
        <x:v>14319220.95</x:v>
      </x:c>
      <x:c r="M355" s="90" t="n">
        <x:v>921067427.28</x:v>
      </x:c>
      <x:c r="N355" s="90" t="n">
        <x:v>908660204.31</x:v>
      </x:c>
      <x:c r="O355" s="90" t="n">
        <x:v>4299877667.55</x:v>
      </x:c>
      <x:c r="P355" s="90" t="n">
        <x:v>3316172191</x:v>
      </x:c>
      <x:c r="Q355" s="90" t="n">
        <x:v>171468997.25</x:v>
      </x:c>
      <x:c r="R355" s="90" t="n">
        <x:v>246486.93</x:v>
      </x:c>
      <x:c r="S355" s="90" t="n">
        <x:v>-11886.13</x:v>
      </x:c>
      <x:c r="T355" s="150" t="n">
        <x:v>0.51</x:v>
      </x:c>
      <x:c r="U355" s="150">
        <x:v>0</x:v>
      </x:c>
      <x:c r="V355" s="150">
        <x:v>0</x:v>
      </x:c>
      <x:c r="W355" s="150">
        <x:v>0</x:v>
      </x:c>
      <x:c r="X355">
        <x:v>0</x:v>
      </x:c>
      <x:c r="Y355">
        <x:v>0</x:v>
      </x:c>
      <x:c r="Z355">
        <x:v>0</x:v>
      </x:c>
    </x:row>
    <x:row r="356" spans="1:26" ht="12.75" hidden="1" customHeight="1" x14ac:dyDescent="0.2">
      <x:c r="A356" s="89"/>
      <x:c r="B356" s="89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  <x:c r="R356" s="90"/>
      <x:c r="S356" s="90"/>
    </x:row>
    <x:row r="357" spans="1:26" ht="12.75" hidden="1" customHeight="1" x14ac:dyDescent="0.2">
      <x:c r="E357" s="89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  <x:c r="R357" s="90"/>
      <x:c r="S357" s="90"/>
    </x:row>
    <x:row r="358" spans="1:26" ht="12.75" hidden="1" customHeight="1" x14ac:dyDescent="0.2">
      <x:c r="D358" s="89"/>
      <x:c r="E358" s="89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  <x:c r="R358" s="90"/>
      <x:c r="S358" s="90"/>
    </x:row>
    <x:row r="359" spans="1:26" ht="12.75" hidden="1" customHeight="1" x14ac:dyDescent="0.2">
      <x:c r="D359" s="89"/>
      <x:c r="E359" s="89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  <x:c r="R359" s="90"/>
      <x:c r="S359" s="90"/>
    </x:row>
    <x:row r="360" spans="1:26" ht="12.75" hidden="1" customHeight="1" x14ac:dyDescent="0.2">
      <x:c r="E360" s="89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  <x:c r="R360" s="90"/>
      <x:c r="S360" s="90"/>
    </x:row>
    <x:row r="361" spans="1:26" ht="12.75" hidden="1" customHeight="1" x14ac:dyDescent="0.2">
      <x:c r="D361" s="89"/>
      <x:c r="E361" s="89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  <x:c r="R361" s="90"/>
      <x:c r="S361" s="90"/>
    </x:row>
    <x:row r="362" spans="1:26" ht="12.75" hidden="1" customHeight="1" x14ac:dyDescent="0.2">
      <x:c r="E362" s="89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  <x:c r="R362" s="90"/>
      <x:c r="S362" s="90"/>
    </x:row>
    <x:row r="363" spans="1:26" ht="12.75" hidden="1" customHeight="1" x14ac:dyDescent="0.2">
      <x:c r="D363" s="89"/>
      <x:c r="E363" s="89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  <x:c r="R363" s="90"/>
      <x:c r="S363" s="90"/>
    </x:row>
    <x:row r="364" spans="1:26" ht="12.75" hidden="1" customHeight="1" x14ac:dyDescent="0.2">
      <x:c r="E364" s="89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  <x:c r="R364" s="90"/>
      <x:c r="S364" s="90"/>
    </x:row>
    <x:row r="365" spans="1:26" ht="12.75" hidden="1" customHeight="1" x14ac:dyDescent="0.2">
      <x:c r="D365" s="89"/>
      <x:c r="E365" s="89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  <x:c r="R365" s="90"/>
      <x:c r="S365" s="90"/>
    </x:row>
    <x:row r="366" spans="1:26" ht="12.75" hidden="1" customHeight="1" x14ac:dyDescent="0.2">
      <x:c r="C366" s="89"/>
      <x:c r="D366" s="89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  <x:c r="R366" s="90"/>
      <x:c r="S366" s="90"/>
    </x:row>
    <x:row r="367" spans="1:26" ht="12.75" hidden="1" customHeight="1" x14ac:dyDescent="0.2">
      <x:c r="E367" s="89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  <x:c r="R367" s="90"/>
      <x:c r="S367" s="90"/>
    </x:row>
    <x:row r="368" spans="1:26" ht="12.75" hidden="1" customHeight="1" x14ac:dyDescent="0.2">
      <x:c r="D368" s="89"/>
      <x:c r="E368" s="89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  <x:c r="R368" s="90"/>
      <x:c r="S368" s="90"/>
    </x:row>
    <x:row r="369" spans="1:23" ht="12.75" hidden="1" customHeight="1" x14ac:dyDescent="0.2">
      <x:c r="E369" s="89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  <x:c r="R369" s="90"/>
      <x:c r="S369" s="90"/>
    </x:row>
    <x:row r="370" spans="1:23" ht="12.75" hidden="1" customHeight="1" x14ac:dyDescent="0.2">
      <x:c r="D370" s="89"/>
      <x:c r="E370" s="89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  <x:c r="R370" s="90"/>
      <x:c r="S370" s="90"/>
    </x:row>
    <x:row r="371" spans="1:23" ht="12.75" hidden="1" customHeight="1" x14ac:dyDescent="0.2">
      <x:c r="C371" s="89"/>
      <x:c r="D371" s="89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  <x:c r="R371" s="90"/>
      <x:c r="S371" s="90"/>
    </x:row>
    <x:row r="372" spans="1:23" ht="12.75" hidden="1" customHeight="1" x14ac:dyDescent="0.2">
      <x:c r="B372" s="89"/>
      <x:c r="C372" s="89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  <x:c r="R372" s="90"/>
      <x:c r="S372" s="90"/>
    </x:row>
    <x:row r="373" spans="1:23" ht="12.75" hidden="1" customHeight="1" x14ac:dyDescent="0.2">
      <x:c r="A373" s="89"/>
      <x:c r="B373" s="89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  <x:c r="R373" s="90"/>
      <x:c r="S373" s="90"/>
    </x:row>
    <x:row r="374" spans="1:23" ht="12.75" hidden="1" customHeight="1" x14ac:dyDescent="0.2">
      <x:c r="A374" s="89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  <x:c r="R374" s="90"/>
      <x:c r="S374" s="90"/>
    </x:row>
    <x:row r="375" spans="1:23" ht="12.75" hidden="1" customHeight="1" x14ac:dyDescent="0.2">
      <x:c r="A375" s="89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  <x:c r="R375" s="90"/>
      <x:c r="S375" s="90"/>
    </x:row>
    <x:row r="376" spans="1:23" ht="12.75" hidden="1" customHeight="1" x14ac:dyDescent="0.2">
      <x:c r="A376" s="89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  <x:c r="R376" s="90"/>
      <x:c r="S376" s="90"/>
    </x:row>
    <x:row r="377" spans="1:23" ht="12.75" hidden="1" customHeight="1" x14ac:dyDescent="0.2">
      <x:c r="A377" s="89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  <x:c r="R377" s="90"/>
      <x:c r="S377" s="90"/>
    </x:row>
    <x:row r="378" spans="1:23" ht="12.75" hidden="1" customHeight="1" x14ac:dyDescent="0.2">
      <x:c r="A378" s="89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  <x:c r="R378" s="90"/>
      <x:c r="S378" s="90"/>
    </x:row>
    <x:row r="379" spans="1:23" ht="12.75" hidden="1" customHeight="1" x14ac:dyDescent="0.2">
      <x:c r="A379" s="89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  <x:c r="R379" s="90"/>
      <x:c r="S379" s="90"/>
      <x:c r="T379" s="150"/>
      <x:c r="U379" s="150"/>
      <x:c r="V379" s="150"/>
      <x:c r="W379" s="150"/>
    </x:row>
    <x:row r="380" spans="1:23" ht="12.75" hidden="1" customHeight="1" x14ac:dyDescent="0.2">
      <x:c r="A380" s="89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  <x:c r="R380" s="90"/>
      <x:c r="S380" s="90"/>
      <x:c r="T380" s="150"/>
      <x:c r="U380" s="150"/>
      <x:c r="V380" s="150"/>
      <x:c r="W380" s="150"/>
    </x:row>
    <x:row r="381" spans="1:23" ht="12.75" hidden="1" customHeight="1" x14ac:dyDescent="0.2">
      <x:c r="A381" s="89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  <x:c r="R381" s="90"/>
      <x:c r="S381" s="90"/>
      <x:c r="T381" s="150"/>
      <x:c r="U381" s="150"/>
      <x:c r="V381" s="150"/>
      <x:c r="W381" s="150"/>
    </x:row>
    <x:row r="382" spans="1:23" ht="12.75" hidden="1" customHeight="1" x14ac:dyDescent="0.2">
      <x:c r="A382" s="89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  <x:c r="R382" s="90"/>
      <x:c r="S382" s="90"/>
      <x:c r="T382" s="150"/>
      <x:c r="U382" s="150"/>
      <x:c r="V382" s="150"/>
      <x:c r="W382" s="150"/>
    </x:row>
    <x:row r="383" spans="1:23" ht="12.75" hidden="1" customHeight="1" x14ac:dyDescent="0.2">
      <x:c r="A383" s="89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  <x:c r="R383" s="90"/>
      <x:c r="S383" s="90"/>
      <x:c r="T383" s="150"/>
      <x:c r="U383" s="150"/>
      <x:c r="V383" s="150"/>
      <x:c r="W383" s="150"/>
    </x:row>
    <x:row r="384" spans="1:23" ht="12.75" hidden="1" customHeight="1" x14ac:dyDescent="0.2">
      <x:c r="A384" s="89"/>
      <x:c r="F384" s="90"/>
      <x:c r="G384" s="90"/>
      <x:c r="H384" s="90"/>
      <x:c r="I384" s="90"/>
      <x:c r="J384" s="90"/>
      <x:c r="K384" s="90"/>
      <x:c r="L384" s="90"/>
      <x:c r="M384" s="90"/>
      <x:c r="N384" s="90"/>
      <x:c r="O384" s="90"/>
      <x:c r="P384" s="90"/>
      <x:c r="Q384" s="90"/>
      <x:c r="R384" s="90"/>
      <x:c r="S384" s="90"/>
      <x:c r="T384" s="150"/>
      <x:c r="U384" s="150"/>
      <x:c r="V384" s="150"/>
      <x:c r="W384" s="150"/>
    </x:row>
    <x:row r="385" spans="1:23" ht="12.75" hidden="1" customHeight="1" x14ac:dyDescent="0.2">
      <x:c r="A385" s="89"/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  <x:c r="S385" s="90"/>
      <x:c r="T385" s="150"/>
      <x:c r="U385" s="150"/>
      <x:c r="V385" s="150"/>
      <x:c r="W385" s="150"/>
    </x:row>
    <x:row r="386" spans="1:23" ht="12.75" hidden="1" customHeight="1" x14ac:dyDescent="0.2">
      <x:c r="A386" s="89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  <x:c r="S386" s="90"/>
      <x:c r="T386" s="150"/>
      <x:c r="U386" s="150"/>
      <x:c r="V386" s="150"/>
      <x:c r="W386" s="150"/>
    </x:row>
    <x:row r="387" spans="1:23" ht="12.75" hidden="1" customHeight="1" x14ac:dyDescent="0.2">
      <x:c r="A387" s="89"/>
      <x:c r="F387" s="90"/>
      <x:c r="G387" s="90"/>
      <x:c r="H387" s="90"/>
      <x:c r="I387" s="90"/>
      <x:c r="J387" s="90"/>
      <x:c r="K387" s="90"/>
      <x:c r="L387" s="90"/>
      <x:c r="M387" s="90"/>
      <x:c r="N387" s="90"/>
      <x:c r="O387" s="90"/>
      <x:c r="P387" s="90"/>
      <x:c r="Q387" s="90"/>
      <x:c r="R387" s="90"/>
      <x:c r="S387" s="90"/>
      <x:c r="T387" s="150"/>
      <x:c r="U387" s="150"/>
      <x:c r="V387" s="150"/>
      <x:c r="W387" s="150"/>
    </x:row>
    <x:row r="388" spans="1:23" ht="12.75" hidden="1" customHeight="1" x14ac:dyDescent="0.2">
      <x:c r="A388" s="89"/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  <x:c r="S388" s="90"/>
      <x:c r="T388" s="150"/>
      <x:c r="U388" s="150"/>
      <x:c r="V388" s="150"/>
      <x:c r="W388" s="150"/>
    </x:row>
    <x:row r="389" spans="1:23" ht="12.75" hidden="1" customHeight="1" x14ac:dyDescent="0.2">
      <x:c r="A389" s="89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  <x:c r="S389" s="90"/>
      <x:c r="T389" s="150"/>
      <x:c r="U389" s="150"/>
      <x:c r="V389" s="150"/>
      <x:c r="W389" s="150"/>
    </x:row>
    <x:row r="390" spans="1:23" ht="12.75" hidden="1" customHeight="1" x14ac:dyDescent="0.2">
      <x:c r="A390" s="89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  <x:c r="R390" s="90"/>
      <x:c r="S390" s="90"/>
      <x:c r="T390" s="150"/>
      <x:c r="U390" s="150"/>
      <x:c r="V390" s="150"/>
      <x:c r="W390" s="150"/>
    </x:row>
    <x:row r="391" spans="1:23" ht="12.75" hidden="1" customHeight="1" x14ac:dyDescent="0.2">
      <x:c r="A391" s="89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  <x:c r="S391" s="90"/>
      <x:c r="T391" s="150"/>
      <x:c r="U391" s="150"/>
      <x:c r="V391" s="150"/>
      <x:c r="W391" s="150"/>
    </x:row>
    <x:row r="392" spans="1:23" ht="12.75" hidden="1" customHeight="1" x14ac:dyDescent="0.2">
      <x:c r="A392" s="89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  <x:c r="S392" s="90"/>
      <x:c r="T392" s="150"/>
      <x:c r="U392" s="150"/>
      <x:c r="V392" s="150"/>
      <x:c r="W392" s="150"/>
    </x:row>
    <x:row r="393" spans="1:23" ht="12.75" hidden="1" customHeight="1" x14ac:dyDescent="0.2">
      <x:c r="A393" s="89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  <x:c r="R393" s="90"/>
      <x:c r="S393" s="90"/>
      <x:c r="T393" s="150"/>
      <x:c r="U393" s="150"/>
      <x:c r="V393" s="150"/>
      <x:c r="W393" s="150"/>
    </x:row>
    <x:row r="394" spans="1:23" ht="12.75" hidden="1" customHeight="1" x14ac:dyDescent="0.2">
      <x:c r="A394" s="89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  <x:c r="S394" s="90"/>
      <x:c r="T394" s="150"/>
      <x:c r="U394" s="150"/>
      <x:c r="V394" s="150"/>
      <x:c r="W394" s="150"/>
    </x:row>
    <x:row r="395" spans="1:23" ht="12.75" hidden="1" customHeight="1" x14ac:dyDescent="0.2">
      <x:c r="A395" s="89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  <x:c r="S395" s="90"/>
      <x:c r="T395" s="150"/>
      <x:c r="U395" s="150"/>
      <x:c r="V395" s="150"/>
      <x:c r="W395" s="150"/>
    </x:row>
    <x:row r="396" spans="1:23" ht="12.75" hidden="1" customHeight="1" x14ac:dyDescent="0.2">
      <x:c r="A396" s="89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  <x:c r="R396" s="90"/>
      <x:c r="S396" s="90"/>
      <x:c r="T396" s="150"/>
      <x:c r="U396" s="150"/>
      <x:c r="V396" s="150"/>
      <x:c r="W396" s="150"/>
    </x:row>
    <x:row r="397" spans="1:23" ht="12.75" hidden="1" customHeight="1" x14ac:dyDescent="0.2">
      <x:c r="A397" s="89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  <x:c r="S397" s="90"/>
      <x:c r="T397" s="150"/>
      <x:c r="U397" s="150"/>
      <x:c r="V397" s="150"/>
      <x:c r="W397" s="150"/>
    </x:row>
    <x:row r="398" spans="1:23" ht="12.75" hidden="1" customHeight="1" x14ac:dyDescent="0.2">
      <x:c r="A398" s="89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  <x:c r="S398" s="90"/>
      <x:c r="T398" s="150"/>
      <x:c r="U398" s="150"/>
      <x:c r="V398" s="150"/>
      <x:c r="W398" s="150"/>
    </x:row>
    <x:row r="399" spans="1:23" ht="12.75" hidden="1" customHeight="1" x14ac:dyDescent="0.2">
      <x:c r="A399" s="89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  <x:c r="R399" s="90"/>
      <x:c r="S399" s="90"/>
      <x:c r="T399" s="150"/>
      <x:c r="U399" s="150"/>
      <x:c r="V399" s="150"/>
      <x:c r="W399" s="150"/>
    </x:row>
    <x:row r="400" spans="1:23" ht="12.75" hidden="1" customHeight="1" x14ac:dyDescent="0.2">
      <x:c r="A400" s="89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  <x:c r="S400" s="90"/>
      <x:c r="T400" s="150"/>
      <x:c r="U400" s="150"/>
      <x:c r="V400" s="150"/>
      <x:c r="W400" s="150"/>
    </x:row>
    <x:row r="401" spans="1:41" ht="12.75" hidden="1" customHeight="1" x14ac:dyDescent="0.2">
      <x:c r="A401" s="89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  <x:c r="R401" s="90"/>
      <x:c r="S401" s="90"/>
      <x:c r="T401" s="150"/>
      <x:c r="U401" s="150"/>
      <x:c r="V401" s="150"/>
      <x:c r="W401" s="150"/>
    </x:row>
    <x:row r="402" spans="1:41" ht="12.75" hidden="1" customHeight="1" x14ac:dyDescent="0.2">
      <x:c r="A402" s="89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  <x:c r="R402" s="90"/>
      <x:c r="S402" s="90"/>
      <x:c r="T402" s="150"/>
      <x:c r="U402" s="150"/>
      <x:c r="V402" s="150"/>
      <x:c r="W402" s="150"/>
    </x:row>
    <x:row r="403" spans="1:41" ht="12.75" hidden="1" customHeight="1" x14ac:dyDescent="0.2">
      <x:c r="A403" s="89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  <x:c r="R403" s="90"/>
      <x:c r="S403" s="90"/>
      <x:c r="T403" s="150"/>
      <x:c r="U403" s="150"/>
      <x:c r="V403" s="150"/>
      <x:c r="W403" s="150"/>
    </x:row>
    <x:row r="404" spans="1:41" ht="12.75" hidden="1" customHeight="1" x14ac:dyDescent="0.2">
      <x:c r="A404" s="89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  <x:c r="R404" s="90"/>
      <x:c r="S404" s="90"/>
      <x:c r="T404" s="150"/>
      <x:c r="U404" s="150"/>
      <x:c r="V404" s="150"/>
      <x:c r="W404" s="150"/>
    </x:row>
    <x:row r="405" spans="1:41" ht="12.75" hidden="1" customHeight="1" x14ac:dyDescent="0.2">
      <x:c r="A405" s="89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  <x:c r="R405" s="90"/>
      <x:c r="S405" s="90"/>
      <x:c r="T405" s="150"/>
      <x:c r="U405" s="150"/>
      <x:c r="V405" s="150"/>
      <x:c r="W405" s="150"/>
    </x:row>
    <x:row r="406" spans="1:41" ht="12.75" hidden="1" customHeight="1" x14ac:dyDescent="0.2">
      <x:c r="A406" s="89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  <x:c r="R406" s="90"/>
      <x:c r="S406" s="90"/>
      <x:c r="T406" s="150"/>
      <x:c r="U406" s="150"/>
      <x:c r="V406" s="150"/>
      <x:c r="W406" s="150"/>
    </x:row>
    <x:row r="407" spans="1:41" ht="12.75" hidden="1" customHeight="1" x14ac:dyDescent="0.2">
      <x:c r="A407" s="89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  <x:c r="R407" s="90"/>
      <x:c r="S407" s="90"/>
      <x:c r="T407" s="150"/>
      <x:c r="U407" s="150"/>
      <x:c r="V407" s="150"/>
      <x:c r="W407" s="150"/>
    </x:row>
    <x:row r="408" spans="1:41" ht="12.75" hidden="1" customHeight="1" x14ac:dyDescent="0.2">
      <x:c r="A408" s="89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  <x:c r="R408" s="90"/>
      <x:c r="S408" s="90"/>
      <x:c r="T408" s="150"/>
      <x:c r="U408" s="150"/>
      <x:c r="V408" s="150"/>
      <x:c r="W408" s="150"/>
    </x:row>
    <x:row r="409" spans="1:41" ht="12.75" hidden="1" customHeight="1" x14ac:dyDescent="0.2">
      <x:c r="A409" s="89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  <x:c r="R409" s="90"/>
      <x:c r="S409" s="90"/>
      <x:c r="T409" s="150"/>
      <x:c r="U409" s="150"/>
      <x:c r="V409" s="150"/>
      <x:c r="W409" s="150"/>
    </x:row>
    <x:row r="410" spans="1:41" ht="12.75" hidden="1" customHeight="1" x14ac:dyDescent="0.2">
      <x:c r="A410" s="89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  <x:c r="R410" s="90"/>
      <x:c r="S410" s="90"/>
      <x:c r="T410" s="150"/>
      <x:c r="U410" s="150"/>
      <x:c r="V410" s="150"/>
      <x:c r="W410" s="150"/>
    </x:row>
    <x:row r="411" spans="1:41" ht="12.75" hidden="1" customHeight="1" x14ac:dyDescent="0.2">
      <x:c r="A411" s="89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  <x:c r="R411" s="90"/>
      <x:c r="S411" s="90"/>
      <x:c r="T411" s="150"/>
      <x:c r="U411" s="150"/>
      <x:c r="V411" s="150"/>
      <x:c r="W411" s="150"/>
    </x:row>
    <x:row r="412" spans="1:41" ht="12.75" hidden="1" customHeight="1" x14ac:dyDescent="0.2">
      <x:c r="A412" s="89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  <x:c r="R412" s="90"/>
      <x:c r="S412" s="90"/>
      <x:c r="T412" s="150"/>
      <x:c r="U412" s="150"/>
      <x:c r="V412" s="150"/>
      <x:c r="W412" s="150"/>
    </x:row>
    <x:row r="413" spans="1:41" ht="12.75" customHeight="1" x14ac:dyDescent="0.2">
      <x:c r="A413" s="89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  <x:c r="R413" s="90"/>
      <x:c r="S413" s="90"/>
      <x:c r="T413" s="150"/>
      <x:c r="U413" s="150"/>
      <x:c r="V413" s="150"/>
      <x:c r="W413" s="150"/>
    </x:row>
    <x:row r="414" spans="1:41" ht="12.75" customHeight="1" x14ac:dyDescent="0.2">
      <x:c r="A414" s="89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  <x:c r="R414" s="90"/>
      <x:c r="S414" s="90"/>
      <x:c r="T414" s="150"/>
      <x:c r="U414" s="150"/>
      <x:c r="V414" s="150"/>
      <x:c r="W414" s="150"/>
    </x:row>
    <x:row r="415" spans="1:41" ht="12.75" customHeight="1" x14ac:dyDescent="0.2">
      <x:c r="C415" s="778" t="s">
        <x:v>2</x:v>
      </x:c>
      <x:c r="D415" s="775" t="s">
        <x:v>132</x:v>
      </x:c>
      <x:c r="E415" s="98" t="s">
        <x:v>70</x:v>
      </x:c>
      <x:c r="F415" s="100">
        <x:f>F330+F353+F299-L299-L330</x:f>
        <x:v>0</x:v>
      </x:c>
      <x:c r="G415" s="100">
        <x:f t="shared" ref="G415:AO415" si="16">G330+G299</x:f>
        <x:v>0</x:v>
      </x:c>
      <x:c r="H415" s="100">
        <x:f t="shared" si="16"/>
        <x:v>0</x:v>
      </x:c>
      <x:c r="I415" s="100">
        <x:f t="shared" si="16"/>
        <x:v>0</x:v>
      </x:c>
      <x:c r="J415" s="100">
        <x:f t="shared" si="16"/>
        <x:v>0</x:v>
      </x:c>
      <x:c r="K415" s="100">
        <x:f t="shared" si="16"/>
        <x:v>0</x:v>
      </x:c>
      <x:c r="L415" s="100">
        <x:f t="shared" si="16"/>
        <x:v>0</x:v>
      </x:c>
      <x:c r="M415" s="100">
        <x:f t="shared" si="16"/>
        <x:v>0</x:v>
      </x:c>
      <x:c r="N415" s="100">
        <x:f t="shared" si="16"/>
        <x:v>0</x:v>
      </x:c>
      <x:c r="O415" s="100">
        <x:f t="shared" si="16"/>
        <x:v>0</x:v>
      </x:c>
      <x:c r="P415" s="100">
        <x:f t="shared" si="16"/>
        <x:v>0</x:v>
      </x:c>
      <x:c r="Q415" s="100">
        <x:f t="shared" si="16"/>
        <x:v>0</x:v>
      </x:c>
      <x:c r="R415" s="100">
        <x:f t="shared" si="16"/>
        <x:v>0</x:v>
      </x:c>
      <x:c r="S415" s="100">
        <x:f t="shared" si="16"/>
        <x:v>0</x:v>
      </x:c>
      <x:c r="T415" s="100">
        <x:f t="shared" si="16"/>
        <x:v>0</x:v>
      </x:c>
      <x:c r="U415" s="100">
        <x:f t="shared" si="16"/>
        <x:v>0</x:v>
      </x:c>
      <x:c r="V415" s="100">
        <x:f t="shared" si="16"/>
        <x:v>0</x:v>
      </x:c>
      <x:c r="W415" s="100">
        <x:f t="shared" si="16"/>
        <x:v>0</x:v>
      </x:c>
      <x:c r="X415" s="100">
        <x:f t="shared" si="16"/>
        <x:v>0</x:v>
      </x:c>
      <x:c r="Y415" s="100">
        <x:f t="shared" si="16"/>
        <x:v>0</x:v>
      </x:c>
      <x:c r="Z415" s="100">
        <x:f t="shared" si="16"/>
        <x:v>0</x:v>
      </x:c>
      <x:c r="AA415" s="100">
        <x:f t="shared" si="16"/>
        <x:v>0</x:v>
      </x:c>
      <x:c r="AB415" s="100">
        <x:f t="shared" si="16"/>
        <x:v>0</x:v>
      </x:c>
      <x:c r="AC415" s="100">
        <x:f t="shared" si="16"/>
        <x:v>0</x:v>
      </x:c>
      <x:c r="AD415" s="100">
        <x:f t="shared" si="16"/>
        <x:v>0</x:v>
      </x:c>
      <x:c r="AE415" s="100">
        <x:f t="shared" si="16"/>
        <x:v>0</x:v>
      </x:c>
      <x:c r="AF415" s="100">
        <x:f t="shared" si="16"/>
        <x:v>0</x:v>
      </x:c>
      <x:c r="AG415" s="100">
        <x:f t="shared" si="16"/>
        <x:v>0</x:v>
      </x:c>
      <x:c r="AH415" s="100">
        <x:f t="shared" si="16"/>
        <x:v>0</x:v>
      </x:c>
      <x:c r="AI415" s="100">
        <x:f t="shared" si="16"/>
        <x:v>0</x:v>
      </x:c>
      <x:c r="AJ415" s="100">
        <x:f t="shared" si="16"/>
        <x:v>0</x:v>
      </x:c>
      <x:c r="AK415" s="100">
        <x:f t="shared" si="16"/>
        <x:v>0</x:v>
      </x:c>
      <x:c r="AL415" s="100">
        <x:f t="shared" si="16"/>
        <x:v>0</x:v>
      </x:c>
      <x:c r="AM415" s="100">
        <x:f t="shared" si="16"/>
        <x:v>0</x:v>
      </x:c>
      <x:c r="AN415" s="100">
        <x:f t="shared" si="16"/>
        <x:v>0</x:v>
      </x:c>
      <x:c r="AO415" s="100">
        <x:f t="shared" si="16"/>
        <x:v>0</x:v>
      </x:c>
    </x:row>
    <x:row r="416" spans="1:41" ht="12.75" customHeight="1" x14ac:dyDescent="0.2">
      <x:c r="C416" s="778"/>
      <x:c r="D416" s="775"/>
      <x:c r="E416" s="98" t="s">
        <x:v>73</x:v>
      </x:c>
      <x:c r="F416" s="100">
        <x:f>F353</x:f>
        <x:v>0</x:v>
      </x:c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  <x:c r="R416" s="90"/>
      <x:c r="S416" s="90"/>
    </x:row>
    <x:row r="417" spans="1:41" ht="12.75" customHeight="1" x14ac:dyDescent="0.2">
      <x:c r="A417" s="90"/>
      <x:c r="C417" s="778"/>
      <x:c r="D417" s="775" t="s">
        <x:v>133</x:v>
      </x:c>
      <x:c r="E417" s="233" t="s">
        <x:v>70</x:v>
      </x:c>
      <x:c r="F417" s="234">
        <x:f>F342+F315-L315</x:f>
        <x:v>0</x:v>
      </x:c>
      <x:c r="G417" s="234">
        <x:f>G315</x:f>
        <x:v>0</x:v>
      </x:c>
      <x:c r="H417" s="234">
        <x:f t="shared" ref="H417:AO417" si="17">H315</x:f>
        <x:v>0</x:v>
      </x:c>
      <x:c r="I417" s="234">
        <x:f t="shared" si="17"/>
        <x:v>0</x:v>
      </x:c>
      <x:c r="J417" s="234">
        <x:f t="shared" si="17"/>
        <x:v>0</x:v>
      </x:c>
      <x:c r="K417" s="234">
        <x:f t="shared" si="17"/>
        <x:v>0</x:v>
      </x:c>
      <x:c r="L417" s="234">
        <x:f t="shared" si="17"/>
        <x:v>0</x:v>
      </x:c>
      <x:c r="M417" s="234">
        <x:f t="shared" si="17"/>
        <x:v>0</x:v>
      </x:c>
      <x:c r="N417" s="234">
        <x:f t="shared" si="17"/>
        <x:v>0</x:v>
      </x:c>
      <x:c r="O417" s="234">
        <x:f t="shared" si="17"/>
        <x:v>0</x:v>
      </x:c>
      <x:c r="P417" s="234">
        <x:f t="shared" si="17"/>
        <x:v>0</x:v>
      </x:c>
      <x:c r="Q417" s="234">
        <x:f t="shared" si="17"/>
        <x:v>0</x:v>
      </x:c>
      <x:c r="R417" s="234">
        <x:f t="shared" si="17"/>
        <x:v>0</x:v>
      </x:c>
      <x:c r="S417" s="234">
        <x:f t="shared" si="17"/>
        <x:v>0</x:v>
      </x:c>
      <x:c r="T417" s="234">
        <x:f t="shared" si="17"/>
        <x:v>0</x:v>
      </x:c>
      <x:c r="U417" s="234">
        <x:f t="shared" si="17"/>
        <x:v>0</x:v>
      </x:c>
      <x:c r="V417" s="234">
        <x:f t="shared" si="17"/>
        <x:v>0</x:v>
      </x:c>
      <x:c r="W417" s="234">
        <x:f t="shared" si="17"/>
        <x:v>0</x:v>
      </x:c>
      <x:c r="X417" s="234">
        <x:f t="shared" si="17"/>
        <x:v>0</x:v>
      </x:c>
      <x:c r="Y417" s="234">
        <x:f t="shared" si="17"/>
        <x:v>0</x:v>
      </x:c>
      <x:c r="Z417" s="234">
        <x:f t="shared" si="17"/>
        <x:v>0</x:v>
      </x:c>
      <x:c r="AA417" s="234">
        <x:f t="shared" si="17"/>
        <x:v>0</x:v>
      </x:c>
      <x:c r="AB417" s="234">
        <x:f t="shared" si="17"/>
        <x:v>0</x:v>
      </x:c>
      <x:c r="AC417" s="234">
        <x:f t="shared" si="17"/>
        <x:v>0</x:v>
      </x:c>
      <x:c r="AD417" s="234">
        <x:f t="shared" si="17"/>
        <x:v>0</x:v>
      </x:c>
      <x:c r="AE417" s="234">
        <x:f t="shared" si="17"/>
        <x:v>0</x:v>
      </x:c>
      <x:c r="AF417" s="234">
        <x:f t="shared" si="17"/>
        <x:v>0</x:v>
      </x:c>
      <x:c r="AG417" s="234">
        <x:f t="shared" si="17"/>
        <x:v>0</x:v>
      </x:c>
      <x:c r="AH417" s="234">
        <x:f t="shared" si="17"/>
        <x:v>0</x:v>
      </x:c>
      <x:c r="AI417" s="234">
        <x:f t="shared" si="17"/>
        <x:v>0</x:v>
      </x:c>
      <x:c r="AJ417" s="234">
        <x:f t="shared" si="17"/>
        <x:v>0</x:v>
      </x:c>
      <x:c r="AK417" s="234">
        <x:f t="shared" si="17"/>
        <x:v>0</x:v>
      </x:c>
      <x:c r="AL417" s="234">
        <x:f t="shared" si="17"/>
        <x:v>0</x:v>
      </x:c>
      <x:c r="AM417" s="234">
        <x:f t="shared" si="17"/>
        <x:v>0</x:v>
      </x:c>
      <x:c r="AN417" s="234">
        <x:f t="shared" si="17"/>
        <x:v>0</x:v>
      </x:c>
      <x:c r="AO417" s="234">
        <x:f t="shared" si="17"/>
        <x:v>0</x:v>
      </x:c>
    </x:row>
    <x:row r="418" spans="1:41" ht="12.75" customHeight="1" x14ac:dyDescent="0.2">
      <x:c r="C418" s="778"/>
      <x:c r="D418" s="775"/>
      <x:c r="E418" s="233" t="s">
        <x:v>73</x:v>
      </x:c>
      <x:c r="F418" s="234">
        <x:f>F342</x:f>
        <x:v>0</x:v>
      </x:c>
      <x:c r="G418" s="371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  <x:c r="R418" s="90"/>
    </x:row>
    <x:row r="419" spans="1:41" ht="12.75" customHeight="1" x14ac:dyDescent="0.2">
      <x:c r="A419" s="89"/>
      <x:c r="C419" s="97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  <x:c r="R419" s="90"/>
      <x:c r="S419" s="90"/>
    </x:row>
    <x:row r="420" spans="1:41" ht="12.75" customHeight="1" x14ac:dyDescent="0.2">
      <x:c r="C420" s="778" t="s">
        <x:v>160</x:v>
      </x:c>
      <x:c r="D420" s="775" t="s">
        <x:v>132</x:v>
      </x:c>
      <x:c r="E420" s="223" t="s">
        <x:v>70</x:v>
      </x:c>
      <x:c r="F420" s="225">
        <x:v>0</x:v>
      </x:c>
      <x:c r="G420" s="225">
        <x:v>0</x:v>
      </x:c>
      <x:c r="H420" s="225">
        <x:v>0</x:v>
      </x:c>
      <x:c r="I420" s="225">
        <x:v>0</x:v>
      </x:c>
      <x:c r="J420" s="225">
        <x:v>0</x:v>
      </x:c>
      <x:c r="K420" s="225">
        <x:v>0</x:v>
      </x:c>
      <x:c r="L420" s="225">
        <x:v>0</x:v>
      </x:c>
      <x:c r="M420" s="225">
        <x:v>0</x:v>
      </x:c>
      <x:c r="N420" s="225">
        <x:v>0</x:v>
      </x:c>
      <x:c r="O420" s="225">
        <x:v>0</x:v>
      </x:c>
      <x:c r="P420" s="225">
        <x:v>0</x:v>
      </x:c>
      <x:c r="Q420" s="225">
        <x:v>0</x:v>
      </x:c>
      <x:c r="R420" s="225">
        <x:v>0</x:v>
      </x:c>
      <x:c r="S420" s="225">
        <x:v>0</x:v>
      </x:c>
      <x:c r="T420" s="225">
        <x:v>0</x:v>
      </x:c>
      <x:c r="U420" s="225"/>
      <x:c r="V420" s="225"/>
      <x:c r="W420" s="225"/>
      <x:c r="X420" s="225">
        <x:v>0</x:v>
      </x:c>
      <x:c r="Y420" s="225">
        <x:v>0</x:v>
      </x:c>
      <x:c r="Z420" s="225">
        <x:v>0</x:v>
      </x:c>
      <x:c r="AA420" s="225">
        <x:v>0</x:v>
      </x:c>
      <x:c r="AB420" s="225">
        <x:v>0</x:v>
      </x:c>
      <x:c r="AC420" s="225">
        <x:v>0</x:v>
      </x:c>
      <x:c r="AD420" s="225">
        <x:v>0</x:v>
      </x:c>
      <x:c r="AE420" s="225">
        <x:v>0</x:v>
      </x:c>
      <x:c r="AF420" s="225">
        <x:v>0</x:v>
      </x:c>
      <x:c r="AG420" s="225">
        <x:v>0</x:v>
      </x:c>
      <x:c r="AH420" s="225">
        <x:v>0</x:v>
      </x:c>
      <x:c r="AI420" s="225">
        <x:v>0</x:v>
      </x:c>
      <x:c r="AJ420" s="225">
        <x:v>0</x:v>
      </x:c>
      <x:c r="AK420" s="225">
        <x:v>0</x:v>
      </x:c>
      <x:c r="AL420" s="225">
        <x:v>0</x:v>
      </x:c>
      <x:c r="AM420" s="225">
        <x:v>0</x:v>
      </x:c>
      <x:c r="AN420" s="225">
        <x:v>0</x:v>
      </x:c>
      <x:c r="AO420" s="225">
        <x:v>0</x:v>
      </x:c>
    </x:row>
    <x:row r="421" spans="1:41" ht="12.75" customHeight="1" x14ac:dyDescent="0.2">
      <x:c r="C421" s="778"/>
      <x:c r="D421" s="775"/>
      <x:c r="E421" s="223" t="s">
        <x:v>73</x:v>
      </x:c>
      <x:c r="F421" s="225">
        <x:v>0</x:v>
      </x:c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  <x:c r="R421" s="90"/>
      <x:c r="S421" s="90"/>
    </x:row>
    <x:row r="422" spans="1:41" ht="12.75" customHeight="1" x14ac:dyDescent="0.2">
      <x:c r="C422" s="778"/>
      <x:c r="D422" s="775" t="s">
        <x:v>133</x:v>
      </x:c>
      <x:c r="E422" s="227" t="s">
        <x:v>70</x:v>
      </x:c>
      <x:c r="F422" s="228">
        <x:v>0</x:v>
      </x:c>
      <x:c r="G422" s="228">
        <x:v>0</x:v>
      </x:c>
      <x:c r="H422" s="228">
        <x:v>0</x:v>
      </x:c>
      <x:c r="I422" s="228">
        <x:v>0</x:v>
      </x:c>
      <x:c r="J422" s="228">
        <x:v>0</x:v>
      </x:c>
      <x:c r="K422" s="228">
        <x:v>0</x:v>
      </x:c>
      <x:c r="L422" s="228">
        <x:v>0</x:v>
      </x:c>
      <x:c r="M422" s="228">
        <x:v>0</x:v>
      </x:c>
      <x:c r="N422" s="228">
        <x:v>0</x:v>
      </x:c>
      <x:c r="O422" s="228">
        <x:v>0</x:v>
      </x:c>
      <x:c r="P422" s="228">
        <x:v>0</x:v>
      </x:c>
      <x:c r="Q422" s="228">
        <x:v>0</x:v>
      </x:c>
      <x:c r="R422" s="228">
        <x:v>0</x:v>
      </x:c>
      <x:c r="S422" s="228">
        <x:v>0</x:v>
      </x:c>
      <x:c r="T422" s="228">
        <x:v>0</x:v>
      </x:c>
      <x:c r="U422" s="228"/>
      <x:c r="V422" s="228"/>
      <x:c r="W422" s="228"/>
      <x:c r="X422" s="228">
        <x:v>0</x:v>
      </x:c>
      <x:c r="Y422" s="228">
        <x:v>0</x:v>
      </x:c>
      <x:c r="Z422" s="228">
        <x:v>0</x:v>
      </x:c>
      <x:c r="AA422" s="228">
        <x:v>0</x:v>
      </x:c>
      <x:c r="AB422" s="228">
        <x:v>0</x:v>
      </x:c>
      <x:c r="AC422" s="228">
        <x:v>0</x:v>
      </x:c>
      <x:c r="AD422" s="228">
        <x:v>0</x:v>
      </x:c>
      <x:c r="AE422" s="228">
        <x:v>0</x:v>
      </x:c>
      <x:c r="AF422" s="228">
        <x:v>0</x:v>
      </x:c>
      <x:c r="AG422" s="228">
        <x:v>0</x:v>
      </x:c>
      <x:c r="AH422" s="228">
        <x:v>0</x:v>
      </x:c>
      <x:c r="AI422" s="228">
        <x:v>0</x:v>
      </x:c>
      <x:c r="AJ422" s="228">
        <x:v>0</x:v>
      </x:c>
      <x:c r="AK422" s="228">
        <x:v>0</x:v>
      </x:c>
      <x:c r="AL422" s="228">
        <x:v>0</x:v>
      </x:c>
      <x:c r="AM422" s="228">
        <x:v>0</x:v>
      </x:c>
      <x:c r="AN422" s="228">
        <x:v>0</x:v>
      </x:c>
      <x:c r="AO422" s="228">
        <x:v>0</x:v>
      </x:c>
    </x:row>
    <x:row r="423" spans="1:41" ht="12.75" customHeight="1" x14ac:dyDescent="0.2">
      <x:c r="C423" s="778"/>
      <x:c r="D423" s="775"/>
      <x:c r="E423" s="227" t="s">
        <x:v>73</x:v>
      </x:c>
      <x:c r="F423" s="228">
        <x:v>0</x:v>
      </x:c>
      <x:c r="G423" s="90"/>
      <x:c r="H423" s="90"/>
      <x:c r="I423" s="90"/>
      <x:c r="J423" s="90"/>
      <x:c r="K423" s="90"/>
      <x:c r="L423" s="90"/>
      <x:c r="M423" s="90"/>
      <x:c r="N423" s="90"/>
      <x:c r="O423" s="90"/>
      <x:c r="P423" s="90"/>
      <x:c r="Q423" s="90"/>
      <x:c r="R423" s="90"/>
    </x:row>
    <x:row r="424" spans="1:41" ht="12.75" customHeight="1" x14ac:dyDescent="0.2">
      <x:c r="A424" s="89"/>
      <x:c r="C424" s="97"/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  <x:c r="S424" s="90"/>
    </x:row>
    <x:row r="425" spans="1:41" ht="12.75" customHeight="1" x14ac:dyDescent="0.2">
      <x:c r="C425" s="778" t="s">
        <x:v>155</x:v>
      </x:c>
      <x:c r="D425" s="775" t="s">
        <x:v>132</x:v>
      </x:c>
      <x:c r="E425" s="221" t="s">
        <x:v>70</x:v>
      </x:c>
      <x:c r="F425" s="222">
        <x:f>F345+F319+F291-L291-L319</x:f>
        <x:v>0</x:v>
      </x:c>
      <x:c r="G425" s="222">
        <x:f t="shared" ref="G425:AO425" si="18">G319+G291</x:f>
        <x:v>0</x:v>
      </x:c>
      <x:c r="H425" s="222">
        <x:f t="shared" si="18"/>
        <x:v>0</x:v>
      </x:c>
      <x:c r="I425" s="222">
        <x:f t="shared" si="18"/>
        <x:v>0</x:v>
      </x:c>
      <x:c r="J425" s="222">
        <x:f t="shared" si="18"/>
        <x:v>0</x:v>
      </x:c>
      <x:c r="K425" s="222">
        <x:f t="shared" si="18"/>
        <x:v>0</x:v>
      </x:c>
      <x:c r="L425" s="222">
        <x:f t="shared" si="18"/>
        <x:v>0</x:v>
      </x:c>
      <x:c r="M425" s="222">
        <x:f t="shared" si="18"/>
        <x:v>0</x:v>
      </x:c>
      <x:c r="N425" s="222">
        <x:f t="shared" si="18"/>
        <x:v>0</x:v>
      </x:c>
      <x:c r="O425" s="222">
        <x:f t="shared" si="18"/>
        <x:v>0</x:v>
      </x:c>
      <x:c r="P425" s="222">
        <x:f t="shared" si="18"/>
        <x:v>0</x:v>
      </x:c>
      <x:c r="Q425" s="222">
        <x:f t="shared" si="18"/>
        <x:v>0</x:v>
      </x:c>
      <x:c r="R425" s="222">
        <x:f t="shared" si="18"/>
        <x:v>0</x:v>
      </x:c>
      <x:c r="S425" s="222">
        <x:f t="shared" si="18"/>
        <x:v>0</x:v>
      </x:c>
      <x:c r="T425" s="222">
        <x:f t="shared" si="18"/>
        <x:v>0</x:v>
      </x:c>
      <x:c r="U425" s="222">
        <x:f t="shared" si="18"/>
        <x:v>0</x:v>
      </x:c>
      <x:c r="V425" s="222">
        <x:f t="shared" si="18"/>
        <x:v>0</x:v>
      </x:c>
      <x:c r="W425" s="222">
        <x:f t="shared" si="18"/>
        <x:v>0</x:v>
      </x:c>
      <x:c r="X425" s="222">
        <x:f t="shared" si="18"/>
        <x:v>0</x:v>
      </x:c>
      <x:c r="Y425" s="222">
        <x:f t="shared" si="18"/>
        <x:v>0</x:v>
      </x:c>
      <x:c r="Z425" s="222">
        <x:f t="shared" si="18"/>
        <x:v>0</x:v>
      </x:c>
      <x:c r="AA425" s="222">
        <x:f t="shared" si="18"/>
        <x:v>0</x:v>
      </x:c>
      <x:c r="AB425" s="222">
        <x:f t="shared" si="18"/>
        <x:v>0</x:v>
      </x:c>
      <x:c r="AC425" s="222">
        <x:f t="shared" si="18"/>
        <x:v>0</x:v>
      </x:c>
      <x:c r="AD425" s="222">
        <x:f t="shared" si="18"/>
        <x:v>0</x:v>
      </x:c>
      <x:c r="AE425" s="222">
        <x:f t="shared" si="18"/>
        <x:v>0</x:v>
      </x:c>
      <x:c r="AF425" s="222">
        <x:f t="shared" si="18"/>
        <x:v>0</x:v>
      </x:c>
      <x:c r="AG425" s="222">
        <x:f t="shared" si="18"/>
        <x:v>0</x:v>
      </x:c>
      <x:c r="AH425" s="222">
        <x:f t="shared" si="18"/>
        <x:v>0</x:v>
      </x:c>
      <x:c r="AI425" s="222">
        <x:f t="shared" si="18"/>
        <x:v>0</x:v>
      </x:c>
      <x:c r="AJ425" s="222">
        <x:f t="shared" si="18"/>
        <x:v>0</x:v>
      </x:c>
      <x:c r="AK425" s="222">
        <x:f t="shared" si="18"/>
        <x:v>0</x:v>
      </x:c>
      <x:c r="AL425" s="222">
        <x:f t="shared" si="18"/>
        <x:v>0</x:v>
      </x:c>
      <x:c r="AM425" s="222">
        <x:f t="shared" si="18"/>
        <x:v>0</x:v>
      </x:c>
      <x:c r="AN425" s="222">
        <x:f t="shared" si="18"/>
        <x:v>0</x:v>
      </x:c>
      <x:c r="AO425" s="222">
        <x:f t="shared" si="18"/>
        <x:v>0</x:v>
      </x:c>
    </x:row>
    <x:row r="426" spans="1:41" ht="12.75" customHeight="1" x14ac:dyDescent="0.2">
      <x:c r="C426" s="778"/>
      <x:c r="D426" s="775"/>
      <x:c r="E426" s="221" t="s">
        <x:v>73</x:v>
      </x:c>
      <x:c r="F426" s="222">
        <x:f>F345</x:f>
        <x:v>0</x:v>
      </x:c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41" ht="12.75" customHeight="1" x14ac:dyDescent="0.2">
      <x:c r="C427" s="778"/>
      <x:c r="D427" s="775" t="s">
        <x:v>133</x:v>
      </x:c>
      <x:c r="E427" s="229" t="s">
        <x:v>70</x:v>
      </x:c>
      <x:c r="F427" s="230">
        <x:f>F334+F304-L304</x:f>
        <x:v>0</x:v>
      </x:c>
      <x:c r="G427" s="230">
        <x:f>G304</x:f>
        <x:v>0</x:v>
      </x:c>
      <x:c r="H427" s="230">
        <x:f t="shared" ref="H427:AO427" si="19">H304</x:f>
        <x:v>0</x:v>
      </x:c>
      <x:c r="I427" s="230">
        <x:f t="shared" si="19"/>
        <x:v>0</x:v>
      </x:c>
      <x:c r="J427" s="230">
        <x:f t="shared" si="19"/>
        <x:v>0</x:v>
      </x:c>
      <x:c r="K427" s="230">
        <x:f t="shared" si="19"/>
        <x:v>0</x:v>
      </x:c>
      <x:c r="L427" s="230">
        <x:f t="shared" si="19"/>
        <x:v>0</x:v>
      </x:c>
      <x:c r="M427" s="230">
        <x:f t="shared" si="19"/>
        <x:v>0</x:v>
      </x:c>
      <x:c r="N427" s="230">
        <x:f t="shared" si="19"/>
        <x:v>0</x:v>
      </x:c>
      <x:c r="O427" s="230">
        <x:f t="shared" si="19"/>
        <x:v>0</x:v>
      </x:c>
      <x:c r="P427" s="230">
        <x:f t="shared" si="19"/>
        <x:v>0</x:v>
      </x:c>
      <x:c r="Q427" s="230">
        <x:f t="shared" si="19"/>
        <x:v>0</x:v>
      </x:c>
      <x:c r="R427" s="230">
        <x:f t="shared" si="19"/>
        <x:v>0</x:v>
      </x:c>
      <x:c r="S427" s="230">
        <x:f t="shared" si="19"/>
        <x:v>0</x:v>
      </x:c>
      <x:c r="T427" s="230">
        <x:f t="shared" si="19"/>
        <x:v>0</x:v>
      </x:c>
      <x:c r="U427" s="230">
        <x:f t="shared" si="19"/>
        <x:v>0</x:v>
      </x:c>
      <x:c r="V427" s="230">
        <x:f t="shared" si="19"/>
        <x:v>0</x:v>
      </x:c>
      <x:c r="W427" s="230">
        <x:f t="shared" si="19"/>
        <x:v>0</x:v>
      </x:c>
      <x:c r="X427" s="230">
        <x:f t="shared" si="19"/>
        <x:v>0</x:v>
      </x:c>
      <x:c r="Y427" s="230">
        <x:f t="shared" si="19"/>
        <x:v>0</x:v>
      </x:c>
      <x:c r="Z427" s="230">
        <x:f t="shared" si="19"/>
        <x:v>0</x:v>
      </x:c>
      <x:c r="AA427" s="230">
        <x:f t="shared" si="19"/>
        <x:v>0</x:v>
      </x:c>
      <x:c r="AB427" s="230">
        <x:f t="shared" si="19"/>
        <x:v>0</x:v>
      </x:c>
      <x:c r="AC427" s="230">
        <x:f t="shared" si="19"/>
        <x:v>0</x:v>
      </x:c>
      <x:c r="AD427" s="230">
        <x:f t="shared" si="19"/>
        <x:v>0</x:v>
      </x:c>
      <x:c r="AE427" s="230">
        <x:f t="shared" si="19"/>
        <x:v>0</x:v>
      </x:c>
      <x:c r="AF427" s="230">
        <x:f t="shared" si="19"/>
        <x:v>0</x:v>
      </x:c>
      <x:c r="AG427" s="230">
        <x:f t="shared" si="19"/>
        <x:v>0</x:v>
      </x:c>
      <x:c r="AH427" s="230">
        <x:f t="shared" si="19"/>
        <x:v>0</x:v>
      </x:c>
      <x:c r="AI427" s="230">
        <x:f t="shared" si="19"/>
        <x:v>0</x:v>
      </x:c>
      <x:c r="AJ427" s="230">
        <x:f t="shared" si="19"/>
        <x:v>0</x:v>
      </x:c>
      <x:c r="AK427" s="230">
        <x:f t="shared" si="19"/>
        <x:v>0</x:v>
      </x:c>
      <x:c r="AL427" s="230">
        <x:f t="shared" si="19"/>
        <x:v>0</x:v>
      </x:c>
      <x:c r="AM427" s="230">
        <x:f t="shared" si="19"/>
        <x:v>0</x:v>
      </x:c>
      <x:c r="AN427" s="230">
        <x:f t="shared" si="19"/>
        <x:v>0</x:v>
      </x:c>
      <x:c r="AO427" s="230">
        <x:f t="shared" si="19"/>
        <x:v>0</x:v>
      </x:c>
    </x:row>
    <x:row r="428" spans="1:41" ht="12.75" customHeight="1" x14ac:dyDescent="0.2">
      <x:c r="C428" s="778"/>
      <x:c r="D428" s="775"/>
      <x:c r="E428" s="229" t="s">
        <x:v>73</x:v>
      </x:c>
      <x:c r="F428" s="230">
        <x:f>F334</x:f>
        <x:v>0</x:v>
      </x:c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41" ht="12.75" customHeight="1" x14ac:dyDescent="0.2">
      <x:c r="A429" s="89"/>
      <x:c r="C429" s="97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41" ht="12.75" customHeight="1" x14ac:dyDescent="0.2">
      <x:c r="C430" s="776" t="s">
        <x:v>326</x:v>
      </x:c>
      <x:c r="D430" s="775" t="s">
        <x:v>132</x:v>
      </x:c>
      <x:c r="E430" s="373" t="s">
        <x:v>70</x:v>
      </x:c>
      <x:c r="F430" s="374">
        <x:v>0</x:v>
      </x:c>
      <x:c r="G430" s="374">
        <x:v>0</x:v>
      </x:c>
      <x:c r="H430" s="374">
        <x:v>0</x:v>
      </x:c>
      <x:c r="I430" s="374">
        <x:v>0</x:v>
      </x:c>
      <x:c r="J430" s="374">
        <x:v>0</x:v>
      </x:c>
      <x:c r="K430" s="374">
        <x:v>0</x:v>
      </x:c>
      <x:c r="L430" s="374">
        <x:v>0</x:v>
      </x:c>
      <x:c r="M430" s="374">
        <x:v>0</x:v>
      </x:c>
      <x:c r="N430" s="374">
        <x:v>0</x:v>
      </x:c>
      <x:c r="O430" s="374">
        <x:v>0</x:v>
      </x:c>
      <x:c r="P430" s="374">
        <x:v>0</x:v>
      </x:c>
      <x:c r="Q430" s="374">
        <x:v>0</x:v>
      </x:c>
      <x:c r="R430" s="374">
        <x:v>0</x:v>
      </x:c>
      <x:c r="S430" s="374">
        <x:v>0</x:v>
      </x:c>
      <x:c r="T430" s="374">
        <x:v>0</x:v>
      </x:c>
      <x:c r="U430" s="374">
        <x:v>0</x:v>
      </x:c>
      <x:c r="V430" s="374">
        <x:v>0</x:v>
      </x:c>
      <x:c r="W430" s="374">
        <x:v>0</x:v>
      </x:c>
      <x:c r="X430" s="374">
        <x:v>0</x:v>
      </x:c>
      <x:c r="Y430" s="374">
        <x:v>0</x:v>
      </x:c>
      <x:c r="Z430" s="374">
        <x:v>0</x:v>
      </x:c>
      <x:c r="AA430" s="374">
        <x:v>0</x:v>
      </x:c>
      <x:c r="AB430" s="374">
        <x:v>0</x:v>
      </x:c>
      <x:c r="AC430" s="374">
        <x:v>0</x:v>
      </x:c>
      <x:c r="AD430" s="374">
        <x:v>0</x:v>
      </x:c>
      <x:c r="AE430" s="374">
        <x:v>0</x:v>
      </x:c>
      <x:c r="AF430" s="374">
        <x:v>0</x:v>
      </x:c>
      <x:c r="AG430" s="374">
        <x:v>0</x:v>
      </x:c>
      <x:c r="AH430" s="374">
        <x:v>0</x:v>
      </x:c>
      <x:c r="AI430" s="374">
        <x:v>0</x:v>
      </x:c>
      <x:c r="AJ430" s="374">
        <x:v>0</x:v>
      </x:c>
      <x:c r="AK430" s="374">
        <x:v>0</x:v>
      </x:c>
      <x:c r="AL430" s="374">
        <x:v>0</x:v>
      </x:c>
      <x:c r="AM430" s="374">
        <x:v>0</x:v>
      </x:c>
      <x:c r="AN430" s="374">
        <x:v>0</x:v>
      </x:c>
      <x:c r="AO430" s="374">
        <x:v>0</x:v>
      </x:c>
    </x:row>
    <x:row r="431" spans="1:41" ht="12.75" customHeight="1" x14ac:dyDescent="0.2">
      <x:c r="C431" s="776"/>
      <x:c r="D431" s="775"/>
      <x:c r="E431" s="373" t="s">
        <x:v>73</x:v>
      </x:c>
      <x:c r="F431" s="374">
        <x:v>0</x:v>
      </x:c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41" ht="12.75" customHeight="1" x14ac:dyDescent="0.2">
      <x:c r="C432" s="776"/>
      <x:c r="D432" s="775" t="s">
        <x:v>133</x:v>
      </x:c>
      <x:c r="E432" s="242" t="s">
        <x:v>70</x:v>
      </x:c>
      <x:c r="F432" s="243">
        <x:v>0</x:v>
      </x:c>
      <x:c r="G432" s="243">
        <x:v>0</x:v>
      </x:c>
      <x:c r="H432" s="243">
        <x:v>0</x:v>
      </x:c>
      <x:c r="I432" s="243">
        <x:v>0</x:v>
      </x:c>
      <x:c r="J432" s="243">
        <x:v>0</x:v>
      </x:c>
      <x:c r="K432" s="243">
        <x:v>0</x:v>
      </x:c>
      <x:c r="L432" s="243">
        <x:v>0</x:v>
      </x:c>
      <x:c r="M432" s="243">
        <x:v>0</x:v>
      </x:c>
      <x:c r="N432" s="243">
        <x:v>0</x:v>
      </x:c>
      <x:c r="O432" s="243">
        <x:v>0</x:v>
      </x:c>
      <x:c r="P432" s="243">
        <x:v>0</x:v>
      </x:c>
      <x:c r="Q432" s="243">
        <x:v>0</x:v>
      </x:c>
      <x:c r="R432" s="243">
        <x:v>0</x:v>
      </x:c>
      <x:c r="S432" s="243">
        <x:v>0</x:v>
      </x:c>
      <x:c r="T432" s="243">
        <x:v>0</x:v>
      </x:c>
      <x:c r="U432" s="243">
        <x:v>0</x:v>
      </x:c>
      <x:c r="V432" s="243">
        <x:v>0</x:v>
      </x:c>
      <x:c r="W432" s="243">
        <x:v>0</x:v>
      </x:c>
      <x:c r="X432" s="243">
        <x:v>0</x:v>
      </x:c>
      <x:c r="Y432" s="243">
        <x:v>0</x:v>
      </x:c>
      <x:c r="Z432" s="243">
        <x:v>0</x:v>
      </x:c>
      <x:c r="AA432" s="243">
        <x:v>0</x:v>
      </x:c>
      <x:c r="AB432" s="243">
        <x:v>0</x:v>
      </x:c>
      <x:c r="AC432" s="243">
        <x:v>0</x:v>
      </x:c>
      <x:c r="AD432" s="243">
        <x:v>0</x:v>
      </x:c>
      <x:c r="AE432" s="243">
        <x:v>0</x:v>
      </x:c>
      <x:c r="AF432" s="243">
        <x:v>0</x:v>
      </x:c>
      <x:c r="AG432" s="243">
        <x:v>0</x:v>
      </x:c>
      <x:c r="AH432" s="243">
        <x:v>0</x:v>
      </x:c>
      <x:c r="AI432" s="243">
        <x:v>0</x:v>
      </x:c>
      <x:c r="AJ432" s="243">
        <x:v>0</x:v>
      </x:c>
      <x:c r="AK432" s="243">
        <x:v>0</x:v>
      </x:c>
      <x:c r="AL432" s="243">
        <x:v>0</x:v>
      </x:c>
      <x:c r="AM432" s="243">
        <x:v>0</x:v>
      </x:c>
      <x:c r="AN432" s="243">
        <x:v>0</x:v>
      </x:c>
      <x:c r="AO432" s="243">
        <x:v>0</x:v>
      </x:c>
    </x:row>
    <x:row r="433" spans="1:41" ht="12.75" customHeight="1" x14ac:dyDescent="0.2">
      <x:c r="C433" s="776"/>
      <x:c r="D433" s="775"/>
      <x:c r="E433" s="242" t="s">
        <x:v>73</x:v>
      </x:c>
      <x:c r="F433" s="243">
        <x:v>0</x:v>
      </x:c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41" ht="12.75" customHeight="1" x14ac:dyDescent="0.2">
      <x:c r="A434" s="89"/>
      <x:c r="C434" s="97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41" ht="12.75" customHeight="1" x14ac:dyDescent="0.2">
      <x:c r="C435" s="778" t="s">
        <x:v>119</x:v>
      </x:c>
      <x:c r="D435" s="775" t="s">
        <x:v>132</x:v>
      </x:c>
      <x:c r="E435" s="101" t="s">
        <x:v>70</x:v>
      </x:c>
      <x:c r="F435" s="93">
        <x:f>F352+F329+F298-L298-L329</x:f>
        <x:v>0</x:v>
      </x:c>
      <x:c r="G435" s="93">
        <x:f t="shared" ref="G435:AO435" si="20">G329+G298</x:f>
        <x:v>0</x:v>
      </x:c>
      <x:c r="H435" s="93">
        <x:f t="shared" si="20"/>
        <x:v>0</x:v>
      </x:c>
      <x:c r="I435" s="93">
        <x:f t="shared" si="20"/>
        <x:v>0</x:v>
      </x:c>
      <x:c r="J435" s="93">
        <x:f t="shared" si="20"/>
        <x:v>0</x:v>
      </x:c>
      <x:c r="K435" s="93">
        <x:f t="shared" si="20"/>
        <x:v>0</x:v>
      </x:c>
      <x:c r="L435" s="93">
        <x:f t="shared" si="20"/>
        <x:v>0</x:v>
      </x:c>
      <x:c r="M435" s="93">
        <x:f t="shared" si="20"/>
        <x:v>0</x:v>
      </x:c>
      <x:c r="N435" s="93">
        <x:f t="shared" si="20"/>
        <x:v>0</x:v>
      </x:c>
      <x:c r="O435" s="93">
        <x:f t="shared" si="20"/>
        <x:v>0</x:v>
      </x:c>
      <x:c r="P435" s="93">
        <x:f t="shared" si="20"/>
        <x:v>0</x:v>
      </x:c>
      <x:c r="Q435" s="93">
        <x:f t="shared" si="20"/>
        <x:v>0</x:v>
      </x:c>
      <x:c r="R435" s="93">
        <x:f t="shared" si="20"/>
        <x:v>0</x:v>
      </x:c>
      <x:c r="S435" s="93">
        <x:f t="shared" si="20"/>
        <x:v>0</x:v>
      </x:c>
      <x:c r="T435" s="93">
        <x:f t="shared" si="20"/>
        <x:v>0</x:v>
      </x:c>
      <x:c r="U435" s="93">
        <x:f t="shared" si="20"/>
        <x:v>0</x:v>
      </x:c>
      <x:c r="V435" s="93">
        <x:f t="shared" si="20"/>
        <x:v>0</x:v>
      </x:c>
      <x:c r="W435" s="93">
        <x:f t="shared" si="20"/>
        <x:v>0</x:v>
      </x:c>
      <x:c r="X435" s="93">
        <x:f t="shared" si="20"/>
        <x:v>0</x:v>
      </x:c>
      <x:c r="Y435" s="93">
        <x:f t="shared" si="20"/>
        <x:v>0</x:v>
      </x:c>
      <x:c r="Z435" s="93">
        <x:f t="shared" si="20"/>
        <x:v>0</x:v>
      </x:c>
      <x:c r="AA435" s="93">
        <x:f t="shared" si="20"/>
        <x:v>0</x:v>
      </x:c>
      <x:c r="AB435" s="93">
        <x:f t="shared" si="20"/>
        <x:v>0</x:v>
      </x:c>
      <x:c r="AC435" s="93">
        <x:f t="shared" si="20"/>
        <x:v>0</x:v>
      </x:c>
      <x:c r="AD435" s="93">
        <x:f t="shared" si="20"/>
        <x:v>0</x:v>
      </x:c>
      <x:c r="AE435" s="93">
        <x:f t="shared" si="20"/>
        <x:v>0</x:v>
      </x:c>
      <x:c r="AF435" s="93">
        <x:f t="shared" si="20"/>
        <x:v>0</x:v>
      </x:c>
      <x:c r="AG435" s="93">
        <x:f t="shared" si="20"/>
        <x:v>0</x:v>
      </x:c>
      <x:c r="AH435" s="93">
        <x:f t="shared" si="20"/>
        <x:v>0</x:v>
      </x:c>
      <x:c r="AI435" s="93">
        <x:f t="shared" si="20"/>
        <x:v>0</x:v>
      </x:c>
      <x:c r="AJ435" s="93">
        <x:f t="shared" si="20"/>
        <x:v>0</x:v>
      </x:c>
      <x:c r="AK435" s="93">
        <x:f t="shared" si="20"/>
        <x:v>0</x:v>
      </x:c>
      <x:c r="AL435" s="93">
        <x:f t="shared" si="20"/>
        <x:v>0</x:v>
      </x:c>
      <x:c r="AM435" s="93">
        <x:f t="shared" si="20"/>
        <x:v>0</x:v>
      </x:c>
      <x:c r="AN435" s="93">
        <x:f t="shared" si="20"/>
        <x:v>0</x:v>
      </x:c>
      <x:c r="AO435" s="93">
        <x:f t="shared" si="20"/>
        <x:v>0</x:v>
      </x:c>
    </x:row>
    <x:row r="436" spans="1:41" ht="12.75" customHeight="1" x14ac:dyDescent="0.2">
      <x:c r="C436" s="778"/>
      <x:c r="D436" s="775"/>
      <x:c r="E436" s="101" t="s">
        <x:v>73</x:v>
      </x:c>
      <x:c r="F436" s="93">
        <x:f>F352</x:f>
        <x:v>0</x:v>
      </x:c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41" ht="12.75" customHeight="1" x14ac:dyDescent="0.2">
      <x:c r="C437" s="778"/>
      <x:c r="D437" s="775" t="s">
        <x:v>133</x:v>
      </x:c>
      <x:c r="E437" s="235" t="s">
        <x:v>70</x:v>
      </x:c>
      <x:c r="F437" s="236">
        <x:f>F341+F314-L314</x:f>
        <x:v>0</x:v>
      </x:c>
      <x:c r="G437" s="236">
        <x:f>G314</x:f>
        <x:v>0</x:v>
      </x:c>
      <x:c r="H437" s="236">
        <x:f t="shared" ref="H437:AO437" si="21">H314</x:f>
        <x:v>0</x:v>
      </x:c>
      <x:c r="I437" s="236">
        <x:f t="shared" si="21"/>
        <x:v>0</x:v>
      </x:c>
      <x:c r="J437" s="236">
        <x:f t="shared" si="21"/>
        <x:v>0</x:v>
      </x:c>
      <x:c r="K437" s="236">
        <x:f t="shared" si="21"/>
        <x:v>0</x:v>
      </x:c>
      <x:c r="L437" s="236">
        <x:f t="shared" si="21"/>
        <x:v>0</x:v>
      </x:c>
      <x:c r="M437" s="236">
        <x:f t="shared" si="21"/>
        <x:v>0</x:v>
      </x:c>
      <x:c r="N437" s="236">
        <x:f t="shared" si="21"/>
        <x:v>0</x:v>
      </x:c>
      <x:c r="O437" s="236">
        <x:f t="shared" si="21"/>
        <x:v>0</x:v>
      </x:c>
      <x:c r="P437" s="236">
        <x:f t="shared" si="21"/>
        <x:v>0</x:v>
      </x:c>
      <x:c r="Q437" s="236">
        <x:f t="shared" si="21"/>
        <x:v>0</x:v>
      </x:c>
      <x:c r="R437" s="236">
        <x:f t="shared" si="21"/>
        <x:v>0</x:v>
      </x:c>
      <x:c r="S437" s="236">
        <x:f t="shared" si="21"/>
        <x:v>0</x:v>
      </x:c>
      <x:c r="T437" s="236">
        <x:f t="shared" si="21"/>
        <x:v>0</x:v>
      </x:c>
      <x:c r="U437" s="236">
        <x:f t="shared" si="21"/>
        <x:v>0</x:v>
      </x:c>
      <x:c r="V437" s="236">
        <x:f t="shared" si="21"/>
        <x:v>0</x:v>
      </x:c>
      <x:c r="W437" s="236">
        <x:f t="shared" si="21"/>
        <x:v>0</x:v>
      </x:c>
      <x:c r="X437" s="236">
        <x:f t="shared" si="21"/>
        <x:v>0</x:v>
      </x:c>
      <x:c r="Y437" s="236">
        <x:f t="shared" si="21"/>
        <x:v>0</x:v>
      </x:c>
      <x:c r="Z437" s="236">
        <x:f t="shared" si="21"/>
        <x:v>0</x:v>
      </x:c>
      <x:c r="AA437" s="236">
        <x:f t="shared" si="21"/>
        <x:v>0</x:v>
      </x:c>
      <x:c r="AB437" s="236">
        <x:f t="shared" si="21"/>
        <x:v>0</x:v>
      </x:c>
      <x:c r="AC437" s="236">
        <x:f t="shared" si="21"/>
        <x:v>0</x:v>
      </x:c>
      <x:c r="AD437" s="236">
        <x:f t="shared" si="21"/>
        <x:v>0</x:v>
      </x:c>
      <x:c r="AE437" s="236">
        <x:f t="shared" si="21"/>
        <x:v>0</x:v>
      </x:c>
      <x:c r="AF437" s="236">
        <x:f t="shared" si="21"/>
        <x:v>0</x:v>
      </x:c>
      <x:c r="AG437" s="236">
        <x:f t="shared" si="21"/>
        <x:v>0</x:v>
      </x:c>
      <x:c r="AH437" s="236">
        <x:f t="shared" si="21"/>
        <x:v>0</x:v>
      </x:c>
      <x:c r="AI437" s="236">
        <x:f t="shared" si="21"/>
        <x:v>0</x:v>
      </x:c>
      <x:c r="AJ437" s="236">
        <x:f t="shared" si="21"/>
        <x:v>0</x:v>
      </x:c>
      <x:c r="AK437" s="236">
        <x:f t="shared" si="21"/>
        <x:v>0</x:v>
      </x:c>
      <x:c r="AL437" s="236">
        <x:f t="shared" si="21"/>
        <x:v>0</x:v>
      </x:c>
      <x:c r="AM437" s="236">
        <x:f t="shared" si="21"/>
        <x:v>0</x:v>
      </x:c>
      <x:c r="AN437" s="236">
        <x:f t="shared" si="21"/>
        <x:v>0</x:v>
      </x:c>
      <x:c r="AO437" s="236">
        <x:f t="shared" si="21"/>
        <x:v>0</x:v>
      </x:c>
    </x:row>
    <x:row r="438" spans="1:41" ht="12.75" customHeight="1" x14ac:dyDescent="0.2">
      <x:c r="C438" s="778"/>
      <x:c r="D438" s="775"/>
      <x:c r="E438" s="235" t="s">
        <x:v>73</x:v>
      </x:c>
      <x:c r="F438" s="236">
        <x:f>F341</x:f>
        <x:v>0</x:v>
      </x:c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</x:row>
    <x:row r="439" spans="1:41" ht="12.75" customHeight="1" x14ac:dyDescent="0.2">
      <x:c r="A439" s="89"/>
      <x:c r="C439" s="97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41" ht="12.75" customHeight="1" x14ac:dyDescent="0.2">
      <x:c r="C440" s="777" t="s">
        <x:v>161</x:v>
      </x:c>
      <x:c r="D440" s="775" t="s">
        <x:v>132</x:v>
      </x:c>
      <x:c r="E440" s="231" t="s">
        <x:v>70</x:v>
      </x:c>
      <x:c r="F440" s="232">
        <x:v>0</x:v>
      </x:c>
      <x:c r="G440" s="232">
        <x:v>0</x:v>
      </x:c>
      <x:c r="H440" s="232">
        <x:v>0</x:v>
      </x:c>
      <x:c r="I440" s="232">
        <x:v>0</x:v>
      </x:c>
      <x:c r="J440" s="232">
        <x:v>0</x:v>
      </x:c>
      <x:c r="K440" s="232">
        <x:v>0</x:v>
      </x:c>
      <x:c r="L440" s="232">
        <x:v>0</x:v>
      </x:c>
      <x:c r="M440" s="232">
        <x:v>0</x:v>
      </x:c>
      <x:c r="N440" s="232">
        <x:v>0</x:v>
      </x:c>
      <x:c r="O440" s="232">
        <x:v>0</x:v>
      </x:c>
      <x:c r="P440" s="232">
        <x:v>0</x:v>
      </x:c>
      <x:c r="Q440" s="232">
        <x:v>0</x:v>
      </x:c>
      <x:c r="R440" s="232">
        <x:v>0</x:v>
      </x:c>
      <x:c r="S440" s="232">
        <x:v>0</x:v>
      </x:c>
      <x:c r="T440" s="232">
        <x:v>0</x:v>
      </x:c>
      <x:c r="U440" s="232"/>
      <x:c r="V440" s="232"/>
      <x:c r="W440" s="232"/>
      <x:c r="X440" s="232">
        <x:v>0</x:v>
      </x:c>
      <x:c r="Y440" s="232">
        <x:v>0</x:v>
      </x:c>
      <x:c r="Z440" s="232">
        <x:v>0</x:v>
      </x:c>
      <x:c r="AA440" s="232">
        <x:v>0</x:v>
      </x:c>
      <x:c r="AB440" s="232">
        <x:v>0</x:v>
      </x:c>
      <x:c r="AC440" s="232">
        <x:v>0</x:v>
      </x:c>
      <x:c r="AD440" s="232">
        <x:v>0</x:v>
      </x:c>
      <x:c r="AE440" s="232">
        <x:v>0</x:v>
      </x:c>
      <x:c r="AF440" s="232">
        <x:v>0</x:v>
      </x:c>
      <x:c r="AG440" s="232">
        <x:v>0</x:v>
      </x:c>
      <x:c r="AH440" s="232">
        <x:v>0</x:v>
      </x:c>
      <x:c r="AI440" s="232">
        <x:v>0</x:v>
      </x:c>
      <x:c r="AJ440" s="232">
        <x:v>0</x:v>
      </x:c>
      <x:c r="AK440" s="232">
        <x:v>0</x:v>
      </x:c>
      <x:c r="AL440" s="232">
        <x:v>0</x:v>
      </x:c>
      <x:c r="AM440" s="232">
        <x:v>0</x:v>
      </x:c>
      <x:c r="AN440" s="232">
        <x:v>0</x:v>
      </x:c>
      <x:c r="AO440" s="232">
        <x:v>0</x:v>
      </x:c>
    </x:row>
    <x:row r="441" spans="1:41" ht="12.75" customHeight="1" x14ac:dyDescent="0.2">
      <x:c r="C441" s="777"/>
      <x:c r="D441" s="775"/>
      <x:c r="E441" s="231" t="s">
        <x:v>73</x:v>
      </x:c>
      <x:c r="F441" s="232">
        <x:v>0</x:v>
      </x:c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41" ht="12.75" customHeight="1" x14ac:dyDescent="0.2">
      <x:c r="C442" s="777"/>
      <x:c r="D442" s="775" t="s">
        <x:v>133</x:v>
      </x:c>
      <x:c r="E442" s="148" t="s">
        <x:v>70</x:v>
      </x:c>
      <x:c r="F442" s="149">
        <x:v>0</x:v>
      </x:c>
      <x:c r="G442" s="149">
        <x:v>0</x:v>
      </x:c>
      <x:c r="H442" s="149">
        <x:v>0</x:v>
      </x:c>
      <x:c r="I442" s="149">
        <x:v>0</x:v>
      </x:c>
      <x:c r="J442" s="149">
        <x:v>0</x:v>
      </x:c>
      <x:c r="K442" s="149">
        <x:v>0</x:v>
      </x:c>
      <x:c r="L442" s="149">
        <x:v>0</x:v>
      </x:c>
      <x:c r="M442" s="149">
        <x:v>0</x:v>
      </x:c>
      <x:c r="N442" s="149">
        <x:v>0</x:v>
      </x:c>
      <x:c r="O442" s="149">
        <x:v>0</x:v>
      </x:c>
      <x:c r="P442" s="149">
        <x:v>0</x:v>
      </x:c>
      <x:c r="Q442" s="149">
        <x:v>0</x:v>
      </x:c>
      <x:c r="R442" s="149">
        <x:v>0</x:v>
      </x:c>
      <x:c r="S442" s="149">
        <x:v>0</x:v>
      </x:c>
      <x:c r="T442" s="149">
        <x:v>0</x:v>
      </x:c>
      <x:c r="U442" s="149"/>
      <x:c r="V442" s="149"/>
      <x:c r="W442" s="149"/>
      <x:c r="X442" s="149">
        <x:v>0</x:v>
      </x:c>
      <x:c r="Y442" s="149">
        <x:v>0</x:v>
      </x:c>
      <x:c r="Z442" s="149">
        <x:v>0</x:v>
      </x:c>
      <x:c r="AA442" s="149">
        <x:v>0</x:v>
      </x:c>
      <x:c r="AB442" s="149">
        <x:v>0</x:v>
      </x:c>
      <x:c r="AC442" s="149">
        <x:v>0</x:v>
      </x:c>
      <x:c r="AD442" s="149">
        <x:v>0</x:v>
      </x:c>
      <x:c r="AE442" s="149">
        <x:v>0</x:v>
      </x:c>
      <x:c r="AF442" s="149">
        <x:v>0</x:v>
      </x:c>
      <x:c r="AG442" s="149">
        <x:v>0</x:v>
      </x:c>
      <x:c r="AH442" s="149">
        <x:v>0</x:v>
      </x:c>
      <x:c r="AI442" s="149">
        <x:v>0</x:v>
      </x:c>
      <x:c r="AJ442" s="149">
        <x:v>0</x:v>
      </x:c>
      <x:c r="AK442" s="149">
        <x:v>0</x:v>
      </x:c>
      <x:c r="AL442" s="149">
        <x:v>0</x:v>
      </x:c>
      <x:c r="AM442" s="149">
        <x:v>0</x:v>
      </x:c>
      <x:c r="AN442" s="149">
        <x:v>0</x:v>
      </x:c>
      <x:c r="AO442" s="149">
        <x:v>0</x:v>
      </x:c>
    </x:row>
    <x:row r="443" spans="1:41" ht="12.75" customHeight="1" x14ac:dyDescent="0.2">
      <x:c r="C443" s="777"/>
      <x:c r="D443" s="775"/>
      <x:c r="E443" s="148" t="s">
        <x:v>73</x:v>
      </x:c>
      <x:c r="F443" s="149">
        <x:v>0</x:v>
      </x:c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41" ht="12.75" customHeight="1" x14ac:dyDescent="0.2">
      <x:c r="C444" s="388"/>
      <x:c r="D444" s="220"/>
      <x:c r="E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41" ht="12.75" customHeight="1" x14ac:dyDescent="0.2">
      <x:c r="D445" s="458" t="s">
        <x:v>186</x:v>
      </x:c>
      <x:c r="E445" s="459" t="s">
        <x:v>70</x:v>
      </x:c>
      <x:c r="F445" s="460">
        <x:f t="shared" ref="F445:Z445" si="22">F299</x:f>
        <x:v>0</x:v>
      </x:c>
      <x:c r="G445" s="460">
        <x:f t="shared" si="22"/>
        <x:v>0</x:v>
      </x:c>
      <x:c r="H445" s="460">
        <x:f t="shared" si="22"/>
        <x:v>0</x:v>
      </x:c>
      <x:c r="I445" s="460">
        <x:f t="shared" si="22"/>
        <x:v>0</x:v>
      </x:c>
      <x:c r="J445" s="460">
        <x:f t="shared" si="22"/>
        <x:v>0</x:v>
      </x:c>
      <x:c r="K445" s="460">
        <x:f t="shared" si="22"/>
        <x:v>0</x:v>
      </x:c>
      <x:c r="L445" s="460">
        <x:f t="shared" si="22"/>
        <x:v>0</x:v>
      </x:c>
      <x:c r="M445" s="460">
        <x:f t="shared" si="22"/>
        <x:v>0</x:v>
      </x:c>
      <x:c r="N445" s="460">
        <x:f t="shared" si="22"/>
        <x:v>0</x:v>
      </x:c>
      <x:c r="O445" s="460">
        <x:f t="shared" si="22"/>
        <x:v>0</x:v>
      </x:c>
      <x:c r="P445" s="460">
        <x:f t="shared" si="22"/>
        <x:v>0</x:v>
      </x:c>
      <x:c r="Q445" s="460">
        <x:f t="shared" si="22"/>
        <x:v>0</x:v>
      </x:c>
      <x:c r="R445" s="460">
        <x:f t="shared" si="22"/>
        <x:v>0</x:v>
      </x:c>
      <x:c r="S445" s="460">
        <x:f t="shared" si="22"/>
        <x:v>0</x:v>
      </x:c>
      <x:c r="T445" s="460">
        <x:f t="shared" si="22"/>
        <x:v>0</x:v>
      </x:c>
      <x:c r="U445" s="460">
        <x:f t="shared" si="22"/>
        <x:v>0</x:v>
      </x:c>
      <x:c r="V445" s="460">
        <x:f t="shared" si="22"/>
        <x:v>0</x:v>
      </x:c>
      <x:c r="W445" s="460">
        <x:f t="shared" si="22"/>
        <x:v>0</x:v>
      </x:c>
      <x:c r="X445" s="460">
        <x:f t="shared" si="22"/>
        <x:v>0</x:v>
      </x:c>
      <x:c r="Y445" s="460">
        <x:f t="shared" si="22"/>
        <x:v>0</x:v>
      </x:c>
      <x:c r="Z445" s="460">
        <x:f t="shared" si="22"/>
        <x:v>0</x:v>
      </x:c>
    </x:row>
    <x:row r="446" spans="1:41" ht="12.75" customHeight="1" x14ac:dyDescent="0.2">
      <x:c r="C446" s="388"/>
      <x:c r="D446" s="220"/>
      <x:c r="E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41" s="238" customFormat="1" ht="12.75" customHeight="1" x14ac:dyDescent="0.2">
      <x:c r="D447" s="239"/>
      <x:c r="E447" s="240"/>
      <x:c r="F447" s="240"/>
      <x:c r="G447" s="240"/>
      <x:c r="H447" s="240"/>
      <x:c r="I447" s="240"/>
      <x:c r="J447" s="240"/>
      <x:c r="K447" s="240"/>
      <x:c r="L447" s="240"/>
      <x:c r="M447" s="240"/>
      <x:c r="N447" s="240"/>
      <x:c r="O447" s="240"/>
      <x:c r="P447" s="240"/>
      <x:c r="Q447" s="240"/>
    </x:row>
    <x:row r="448" spans="1:41" ht="12.75" customHeight="1" x14ac:dyDescent="0.2">
      <x:c r="A448" s="89"/>
      <x:c r="B448" s="97" t="s">
        <x:v>88</x:v>
      </x:c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</x:row>
    <x:row r="449" spans="1:26" ht="12.75" customHeight="1" x14ac:dyDescent="0.2">
      <x:c r="A449" s="142"/>
      <x:c r="F449" s="89" t="s">
        <x:v>70</x:v>
      </x:c>
      <x:c r="G449" s="89" t="s">
        <x:v>64</x:v>
      </x:c>
      <x:c r="H449" s="89" t="s">
        <x:v>65</x:v>
      </x:c>
      <x:c r="I449" s="218" t="s">
        <x:v>164</x:v>
      </x:c>
      <x:c r="J449" s="89" t="s">
        <x:v>69</x:v>
      </x:c>
      <x:c r="K449" s="89" t="s">
        <x:v>68</x:v>
      </x:c>
      <x:c r="L449" s="89" t="s">
        <x:v>71</x:v>
      </x:c>
      <x:c r="M449" s="89" t="s">
        <x:v>66</x:v>
      </x:c>
      <x:c r="N449" s="89" t="s">
        <x:v>63</x:v>
      </x:c>
      <x:c r="O449" s="89" t="s">
        <x:v>61</x:v>
      </x:c>
      <x:c r="P449" s="89" t="s">
        <x:v>62</x:v>
      </x:c>
      <x:c r="Q449" s="89" t="s">
        <x:v>67</x:v>
      </x:c>
      <x:c r="R449" s="89" t="s">
        <x:v>77</x:v>
      </x:c>
      <x:c r="S449" s="89" t="s">
        <x:v>80</x:v>
      </x:c>
      <x:c r="T449" t="s">
        <x:v>135</x:v>
      </x:c>
      <x:c r="U449" t="s">
        <x:v>173</x:v>
      </x:c>
      <x:c r="V449" t="s">
        <x:v>222</x:v>
      </x:c>
      <x:c r="W449" t="s">
        <x:v>173</x:v>
      </x:c>
      <x:c r="X449" t="s">
        <x:v>173</x:v>
      </x:c>
      <x:c r="Y449" s="89" t="s">
        <x:v>135</x:v>
      </x:c>
      <x:c r="Z449" t="s">
        <x:v>167</x:v>
      </x:c>
    </x:row>
    <x:row r="450" spans="1:26" ht="12.75" customHeight="1" x14ac:dyDescent="0.2">
      <x:c r="E450" s="89" t="s">
        <x:v>72</x:v>
      </x:c>
      <x:c r="F450" s="371" t="n">
        <x:v>-280784.65</x:v>
      </x:c>
      <x:c r="G450" s="90" t="n">
        <x:v>-22556.67</x:v>
      </x:c>
      <x:c r="H450" s="90" t="n">
        <x:v>-9582.84</x:v>
      </x:c>
      <x:c r="I450" s="90" t="n">
        <x:v>-4184.76</x:v>
      </x:c>
      <x:c r="J450" s="90" t="n">
        <x:v>-52204.81</x:v>
      </x:c>
      <x:c r="K450" s="90" t="n">
        <x:v>-2126.02</x:v>
      </x:c>
      <x:c r="L450" s="90" t="n">
        <x:v>0</x:v>
      </x:c>
      <x:c r="M450" s="90" t="n">
        <x:v>-18648.64</x:v>
      </x:c>
      <x:c r="N450" s="90" t="n">
        <x:v>-23713.72</x:v>
      </x:c>
      <x:c r="O450" s="90" t="n">
        <x:v>-87072.87</x:v>
      </x:c>
      <x:c r="P450" s="90" t="n">
        <x:v>-57225.48</x:v>
      </x:c>
      <x:c r="Q450" s="90" t="n">
        <x:v>-3468.84</x:v>
      </x:c>
      <x:c r="R450" s="90" t="n">
        <x:v>0</x:v>
      </x:c>
      <x:c r="S450" s="90" t="n">
        <x:v>0</x:v>
      </x:c>
      <x:c r="T450" t="n">
        <x:v>0</x:v>
      </x:c>
      <x:c r="U450">
        <x:v>0</x:v>
      </x:c>
      <x:c r="V450">
        <x:v>0</x:v>
      </x:c>
      <x:c r="W450">
        <x:v>0</x:v>
      </x:c>
      <x:c r="X450">
        <x:v>0</x:v>
      </x:c>
      <x:c r="Y450" s="90">
        <x:v>0</x:v>
      </x:c>
      <x:c r="Z450" t="n">
        <x:v>0</x:v>
      </x:c>
    </x:row>
    <x:row r="451" spans="1:26" ht="12.75" customHeight="1" x14ac:dyDescent="0.2">
      <x:c r="D451" t="s">
        <x:v>156</x:v>
      </x:c>
      <x:c r="E451" s="89" t="s">
        <x:v>70</x:v>
      </x:c>
      <x:c r="F451" s="371" t="n">
        <x:v>-280784.65</x:v>
      </x:c>
      <x:c r="G451" s="90" t="n">
        <x:v>-22556.67</x:v>
      </x:c>
      <x:c r="H451" s="90" t="n">
        <x:v>-9582.84</x:v>
      </x:c>
      <x:c r="I451" s="90" t="n">
        <x:v>-4184.76</x:v>
      </x:c>
      <x:c r="J451" s="90" t="n">
        <x:v>-52204.81</x:v>
      </x:c>
      <x:c r="K451" s="90" t="n">
        <x:v>-2126.02</x:v>
      </x:c>
      <x:c r="L451" s="90" t="n">
        <x:v>0</x:v>
      </x:c>
      <x:c r="M451" s="90" t="n">
        <x:v>-18648.64</x:v>
      </x:c>
      <x:c r="N451" s="90" t="n">
        <x:v>-23713.72</x:v>
      </x:c>
      <x:c r="O451" s="90" t="n">
        <x:v>-87072.87</x:v>
      </x:c>
      <x:c r="P451" s="90" t="n">
        <x:v>-57225.48</x:v>
      </x:c>
      <x:c r="Q451" s="90" t="n">
        <x:v>-3468.84</x:v>
      </x:c>
      <x:c r="R451" s="90" t="n">
        <x:v>0</x:v>
      </x:c>
      <x:c r="S451" s="90" t="n">
        <x:v>0</x:v>
      </x:c>
      <x:c r="T451" t="n">
        <x:v>0</x:v>
      </x:c>
      <x:c r="U451">
        <x:v>0</x:v>
      </x:c>
      <x:c r="V451">
        <x:v>0</x:v>
      </x:c>
      <x:c r="W451">
        <x:v>0</x:v>
      </x:c>
      <x:c r="X451">
        <x:v>0</x:v>
      </x:c>
      <x:c r="Y451" s="90">
        <x:v>0</x:v>
      </x:c>
      <x:c r="Z451" t="n">
        <x:v>0</x:v>
      </x:c>
    </x:row>
    <x:row r="452" spans="1:26" s="656" customFormat="1" ht="12.75" customHeight="1" x14ac:dyDescent="0.2">
      <x:c r="C452" s="656" t="s">
        <x:v>155</x:v>
      </x:c>
      <x:c r="D452" s="657" t="s">
        <x:v>70</x:v>
      </x:c>
      <x:c r="E452" s="657"/>
      <x:c r="F452" s="658" t="n">
        <x:v>-280784.65</x:v>
      </x:c>
      <x:c r="G452" s="658" t="n">
        <x:v>-22556.67</x:v>
      </x:c>
      <x:c r="H452" s="658" t="n">
        <x:v>-9582.84</x:v>
      </x:c>
      <x:c r="I452" s="658" t="n">
        <x:v>-4184.76</x:v>
      </x:c>
      <x:c r="J452" s="658" t="n">
        <x:v>-52204.81</x:v>
      </x:c>
      <x:c r="K452" s="658" t="n">
        <x:v>-2126.02</x:v>
      </x:c>
      <x:c r="L452" s="658" t="n">
        <x:v>0</x:v>
      </x:c>
      <x:c r="M452" s="658" t="n">
        <x:v>-18648.64</x:v>
      </x:c>
      <x:c r="N452" s="658" t="n">
        <x:v>-23713.72</x:v>
      </x:c>
      <x:c r="O452" s="658" t="n">
        <x:v>-87072.87</x:v>
      </x:c>
      <x:c r="P452" s="658" t="n">
        <x:v>-57225.48</x:v>
      </x:c>
      <x:c r="Q452" s="658" t="n">
        <x:v>-3468.84</x:v>
      </x:c>
      <x:c r="R452" s="658" t="n">
        <x:v>0</x:v>
      </x:c>
      <x:c r="S452" s="658" t="n">
        <x:v>0</x:v>
      </x:c>
      <x:c r="T452" s="656" t="n">
        <x:v>0</x:v>
      </x:c>
      <x:c r="U452" s="656">
        <x:v>0</x:v>
      </x:c>
      <x:c r="V452" s="656">
        <x:v>0</x:v>
      </x:c>
      <x:c r="W452" s="656">
        <x:v>0</x:v>
      </x:c>
      <x:c r="X452" s="656">
        <x:v>0</x:v>
      </x:c>
      <x:c r="Y452" s="658">
        <x:v>0</x:v>
      </x:c>
      <x:c r="Z452" s="656" t="n">
        <x:v>0</x:v>
      </x:c>
    </x:row>
    <x:row r="453" spans="1:26" ht="12.75" customHeight="1" x14ac:dyDescent="0.2">
      <x:c r="E453" s="89" t="s">
        <x:v>72</x:v>
      </x:c>
      <x:c r="F453" s="90">
        <x:v>0</x:v>
      </x:c>
      <x:c r="G453" s="90">
        <x:v>0</x:v>
      </x:c>
      <x:c r="H453" s="90">
        <x:v>0</x:v>
      </x:c>
      <x:c r="I453" s="90">
        <x:v>0</x:v>
      </x:c>
      <x:c r="J453" s="90">
        <x:v>0</x:v>
      </x:c>
      <x:c r="K453" s="90">
        <x:v>0</x:v>
      </x:c>
      <x:c r="L453" s="90">
        <x:v>0</x:v>
      </x:c>
      <x:c r="M453" s="90">
        <x:v>0</x:v>
      </x:c>
      <x:c r="N453" s="90">
        <x:v>0</x:v>
      </x:c>
      <x:c r="O453" s="90">
        <x:v>0</x:v>
      </x:c>
      <x:c r="P453" s="90">
        <x:v>0</x:v>
      </x:c>
      <x:c r="Q453" s="90">
        <x:v>0</x:v>
      </x:c>
      <x:c r="R453" s="90">
        <x:v>0</x:v>
      </x:c>
      <x:c r="S453" s="90">
        <x:v>0</x:v>
      </x:c>
      <x:c r="T453" s="90">
        <x:v>0</x:v>
      </x:c>
      <x:c r="U453" s="90">
        <x:v>0</x:v>
      </x:c>
      <x:c r="V453" s="90">
        <x:v>0</x:v>
      </x:c>
      <x:c r="W453" s="90">
        <x:v>0</x:v>
      </x:c>
      <x:c r="X453">
        <x:v>0</x:v>
      </x:c>
      <x:c r="Y453">
        <x:v>0</x:v>
      </x:c>
      <x:c r="Z453">
        <x:v>0</x:v>
      </x:c>
    </x:row>
    <x:row r="454" spans="1:26" ht="12.75" customHeight="1" x14ac:dyDescent="0.2">
      <x:c r="D454" t="s">
        <x:v>82</x:v>
      </x:c>
      <x:c r="E454" s="89" t="s">
        <x:v>70</x:v>
      </x:c>
      <x:c r="F454" s="371">
        <x:v>0</x:v>
      </x:c>
      <x:c r="G454" s="90">
        <x:v>0</x:v>
      </x:c>
      <x:c r="H454" s="90">
        <x:v>0</x:v>
      </x:c>
      <x:c r="I454" s="90">
        <x:v>0</x:v>
      </x:c>
      <x:c r="J454" s="90">
        <x:v>0</x:v>
      </x:c>
      <x:c r="K454" s="90">
        <x:v>0</x:v>
      </x:c>
      <x:c r="L454" s="90">
        <x:v>0</x:v>
      </x:c>
      <x:c r="M454" s="90">
        <x:v>0</x:v>
      </x:c>
      <x:c r="N454" s="90">
        <x:v>0</x:v>
      </x:c>
      <x:c r="O454" s="90">
        <x:v>0</x:v>
      </x:c>
      <x:c r="P454" s="90">
        <x:v>0</x:v>
      </x:c>
      <x:c r="Q454" s="90">
        <x:v>0</x:v>
      </x:c>
      <x:c r="R454" s="90">
        <x:v>0</x:v>
      </x:c>
      <x:c r="S454" s="90">
        <x:v>0</x:v>
      </x:c>
      <x:c r="T454" s="90">
        <x:v>0</x:v>
      </x:c>
      <x:c r="U454" s="90">
        <x:v>0</x:v>
      </x:c>
      <x:c r="V454" s="90">
        <x:v>0</x:v>
      </x:c>
      <x:c r="W454" s="90">
        <x:v>0</x:v>
      </x:c>
      <x:c r="X454">
        <x:v>0</x:v>
      </x:c>
      <x:c r="Y454">
        <x:v>0</x:v>
      </x:c>
      <x:c r="Z454">
        <x:v>0</x:v>
      </x:c>
    </x:row>
    <x:row r="455" spans="1:26" ht="12.75" customHeight="1" x14ac:dyDescent="0.2">
      <x:c r="E455" s="89" t="s">
        <x:v>72</x:v>
      </x:c>
      <x:c r="F455" s="371" t="n">
        <x:v>-159171.87</x:v>
      </x:c>
      <x:c r="G455" s="90" t="n">
        <x:v>-12887.74</x:v>
      </x:c>
      <x:c r="H455" s="90" t="n">
        <x:v>-5475.2</x:v>
      </x:c>
      <x:c r="I455" s="90" t="n">
        <x:v>-2390.97</x:v>
      </x:c>
      <x:c r="J455" s="90" t="n">
        <x:v>-29437.37</x:v>
      </x:c>
      <x:c r="K455" s="90" t="n">
        <x:v>-1198.82</x:v>
      </x:c>
      <x:c r="L455" s="90" t="n">
        <x:v>0</x:v>
      </x:c>
      <x:c r="M455" s="90" t="n">
        <x:v>-10515.66</x:v>
      </x:c>
      <x:c r="N455" s="90" t="n">
        <x:v>-13371.77</x:v>
      </x:c>
      <x:c r="O455" s="90" t="n">
        <x:v>-49098.82</x:v>
      </x:c>
      <x:c r="P455" s="90" t="n">
        <x:v>-32839.51</x:v>
      </x:c>
      <x:c r="Q455" s="90" t="n">
        <x:v>-1956.01</x:v>
      </x:c>
      <x:c r="R455" s="90" t="n">
        <x:v>0</x:v>
      </x:c>
      <x:c r="S455" s="90" t="n">
        <x:v>0</x:v>
      </x:c>
      <x:c r="T455" s="90" t="n">
        <x:v>0</x:v>
      </x:c>
      <x:c r="U455" s="90">
        <x:v>0</x:v>
      </x:c>
      <x:c r="V455" s="90">
        <x:v>0</x:v>
      </x:c>
      <x:c r="W455" s="90">
        <x:v>0</x:v>
      </x:c>
      <x:c r="X455">
        <x:v>0</x:v>
      </x:c>
      <x:c r="Y455">
        <x:v>0</x:v>
      </x:c>
      <x:c r="Z455" t="n">
        <x:v>0</x:v>
      </x:c>
    </x:row>
    <x:row r="456" spans="1:26" ht="12.75" customHeight="1" x14ac:dyDescent="0.2">
      <x:c r="D456" t="s">
        <x:v>86</x:v>
      </x:c>
      <x:c r="E456" s="89" t="s">
        <x:v>70</x:v>
      </x:c>
      <x:c r="F456" s="371" t="n">
        <x:v>-159171.87</x:v>
      </x:c>
      <x:c r="G456" s="90" t="n">
        <x:v>-12887.74</x:v>
      </x:c>
      <x:c r="H456" s="90" t="n">
        <x:v>-5475.2</x:v>
      </x:c>
      <x:c r="I456" s="90" t="n">
        <x:v>-2390.97</x:v>
      </x:c>
      <x:c r="J456" s="90" t="n">
        <x:v>-29437.37</x:v>
      </x:c>
      <x:c r="K456" s="90" t="n">
        <x:v>-1198.82</x:v>
      </x:c>
      <x:c r="L456" s="90" t="n">
        <x:v>0</x:v>
      </x:c>
      <x:c r="M456" s="90" t="n">
        <x:v>-10515.66</x:v>
      </x:c>
      <x:c r="N456" s="90" t="n">
        <x:v>-13371.77</x:v>
      </x:c>
      <x:c r="O456" s="90" t="n">
        <x:v>-49098.82</x:v>
      </x:c>
      <x:c r="P456" s="90" t="n">
        <x:v>-32839.51</x:v>
      </x:c>
      <x:c r="Q456" s="90" t="n">
        <x:v>-1956.01</x:v>
      </x:c>
      <x:c r="R456" s="90" t="n">
        <x:v>0</x:v>
      </x:c>
      <x:c r="S456" s="90" t="n">
        <x:v>0</x:v>
      </x:c>
      <x:c r="T456" s="90" t="n">
        <x:v>0</x:v>
      </x:c>
      <x:c r="U456" s="90">
        <x:v>0</x:v>
      </x:c>
      <x:c r="V456" s="90">
        <x:v>0</x:v>
      </x:c>
      <x:c r="W456" s="90">
        <x:v>0</x:v>
      </x:c>
      <x:c r="X456">
        <x:v>0</x:v>
      </x:c>
      <x:c r="Y456">
        <x:v>0</x:v>
      </x:c>
      <x:c r="Z456" t="n">
        <x:v>0</x:v>
      </x:c>
    </x:row>
    <x:row r="457" spans="1:26" ht="12.75" customHeight="1" x14ac:dyDescent="0.2">
      <x:c r="E457" s="89" t="s">
        <x:v>72</x:v>
      </x:c>
      <x:c r="F457" s="371">
        <x:v>0</x:v>
      </x:c>
      <x:c r="G457" s="90">
        <x:v>0</x:v>
      </x:c>
      <x:c r="H457" s="90">
        <x:v>0</x:v>
      </x:c>
      <x:c r="I457" s="90">
        <x:v>0</x:v>
      </x:c>
      <x:c r="J457" s="90">
        <x:v>0</x:v>
      </x:c>
      <x:c r="K457" s="90">
        <x:v>0</x:v>
      </x:c>
      <x:c r="L457" s="90">
        <x:v>0</x:v>
      </x:c>
      <x:c r="M457" s="90">
        <x:v>0</x:v>
      </x:c>
      <x:c r="N457" s="90">
        <x:v>0</x:v>
      </x:c>
      <x:c r="O457" s="90">
        <x:v>0</x:v>
      </x:c>
      <x:c r="P457" s="90">
        <x:v>0</x:v>
      </x:c>
      <x:c r="Q457" s="90">
        <x:v>0</x:v>
      </x:c>
      <x:c r="R457" s="90">
        <x:v>0</x:v>
      </x:c>
      <x:c r="S457" s="90">
        <x:v>0</x:v>
      </x:c>
      <x:c r="T457" s="90">
        <x:v>0</x:v>
      </x:c>
      <x:c r="U457" s="90">
        <x:v>0</x:v>
      </x:c>
      <x:c r="V457" s="90">
        <x:v>0</x:v>
      </x:c>
      <x:c r="W457" s="90">
        <x:v>0</x:v>
      </x:c>
      <x:c r="X457" s="90">
        <x:v>0</x:v>
      </x:c>
      <x:c r="Y457" s="90">
        <x:v>0</x:v>
      </x:c>
      <x:c r="Z457" s="90">
        <x:v>0</x:v>
      </x:c>
    </x:row>
    <x:row r="458" spans="1:26" ht="12.75" customHeight="1" x14ac:dyDescent="0.2">
      <x:c r="D458" t="s">
        <x:v>87</x:v>
      </x:c>
      <x:c r="E458" s="89" t="s">
        <x:v>70</x:v>
      </x:c>
      <x:c r="F458" s="371">
        <x:v>0</x:v>
      </x:c>
      <x:c r="G458" s="90">
        <x:v>0</x:v>
      </x:c>
      <x:c r="H458" s="90">
        <x:v>0</x:v>
      </x:c>
      <x:c r="I458" s="90">
        <x:v>0</x:v>
      </x:c>
      <x:c r="J458" s="90">
        <x:v>0</x:v>
      </x:c>
      <x:c r="K458" s="90">
        <x:v>0</x:v>
      </x:c>
      <x:c r="L458" s="90">
        <x:v>0</x:v>
      </x:c>
      <x:c r="M458" s="90">
        <x:v>0</x:v>
      </x:c>
      <x:c r="N458" s="90">
        <x:v>0</x:v>
      </x:c>
      <x:c r="O458" s="90">
        <x:v>0</x:v>
      </x:c>
      <x:c r="P458" s="90">
        <x:v>0</x:v>
      </x:c>
      <x:c r="Q458" s="90">
        <x:v>0</x:v>
      </x:c>
      <x:c r="R458" s="90">
        <x:v>0</x:v>
      </x:c>
      <x:c r="S458" s="90">
        <x:v>0</x:v>
      </x:c>
      <x:c r="T458" s="90">
        <x:v>0</x:v>
      </x:c>
      <x:c r="U458" s="90">
        <x:v>0</x:v>
      </x:c>
      <x:c r="V458" s="90">
        <x:v>0</x:v>
      </x:c>
      <x:c r="W458" s="90">
        <x:v>0</x:v>
      </x:c>
      <x:c r="X458" s="90">
        <x:v>0</x:v>
      </x:c>
      <x:c r="Y458" s="90">
        <x:v>0</x:v>
      </x:c>
      <x:c r="Z458" s="90">
        <x:v>0</x:v>
      </x:c>
    </x:row>
    <x:row r="459" spans="1:26" s="94" customFormat="1" ht="12.75" customHeight="1" x14ac:dyDescent="0.2">
      <x:c r="C459" s="101" t="s">
        <x:v>119</x:v>
      </x:c>
      <x:c r="D459" s="101" t="s">
        <x:v>70</x:v>
      </x:c>
      <x:c r="F459" s="93" t="n">
        <x:v>-159171.87</x:v>
      </x:c>
      <x:c r="G459" s="93" t="n">
        <x:v>-12887.74</x:v>
      </x:c>
      <x:c r="H459" s="93" t="n">
        <x:v>-5475.2</x:v>
      </x:c>
      <x:c r="I459" s="93" t="n">
        <x:v>-2390.97</x:v>
      </x:c>
      <x:c r="J459" s="93" t="n">
        <x:v>-29437.37</x:v>
      </x:c>
      <x:c r="K459" s="93" t="n">
        <x:v>-1198.82</x:v>
      </x:c>
      <x:c r="L459" s="93" t="n">
        <x:v>0</x:v>
      </x:c>
      <x:c r="M459" s="93" t="n">
        <x:v>-10515.66</x:v>
      </x:c>
      <x:c r="N459" s="93" t="n">
        <x:v>-13371.77</x:v>
      </x:c>
      <x:c r="O459" s="93" t="n">
        <x:v>-49098.82</x:v>
      </x:c>
      <x:c r="P459" s="93" t="n">
        <x:v>-32839.51</x:v>
      </x:c>
      <x:c r="Q459" s="93" t="n">
        <x:v>-1956.01</x:v>
      </x:c>
      <x:c r="R459" s="93" t="n">
        <x:v>0</x:v>
      </x:c>
      <x:c r="S459" s="93" t="n">
        <x:v>0</x:v>
      </x:c>
      <x:c r="T459" s="94" t="n">
        <x:v>0</x:v>
      </x:c>
      <x:c r="U459" s="94">
        <x:v>0</x:v>
      </x:c>
      <x:c r="V459" s="94">
        <x:v>0</x:v>
      </x:c>
      <x:c r="W459" s="94">
        <x:v>0</x:v>
      </x:c>
      <x:c r="X459" s="94">
        <x:v>0</x:v>
      </x:c>
      <x:c r="Y459" s="93">
        <x:v>0</x:v>
      </x:c>
      <x:c r="Z459" s="94" t="n">
        <x:v>0</x:v>
      </x:c>
    </x:row>
    <x:row r="460" spans="1:26" ht="12.75" customHeight="1" x14ac:dyDescent="0.2">
      <x:c r="B460" t="s">
        <x:v>112</x:v>
      </x:c>
      <x:c r="C460" t="s">
        <x:v>70</x:v>
      </x:c>
      <x:c r="E460" s="89"/>
      <x:c r="F460" s="371" t="n">
        <x:v>-439956.52</x:v>
      </x:c>
      <x:c r="G460" s="90" t="n">
        <x:v>-35444.41</x:v>
      </x:c>
      <x:c r="H460" s="90" t="n">
        <x:v>-15058.04</x:v>
      </x:c>
      <x:c r="I460" s="90" t="n">
        <x:v>-6575.73</x:v>
      </x:c>
      <x:c r="J460" s="90" t="n">
        <x:v>-81642.18</x:v>
      </x:c>
      <x:c r="K460" s="90" t="n">
        <x:v>-3324.84</x:v>
      </x:c>
      <x:c r="L460" s="90" t="n">
        <x:v>0</x:v>
      </x:c>
      <x:c r="M460" s="90" t="n">
        <x:v>-29164.3</x:v>
      </x:c>
      <x:c r="N460" s="90" t="n">
        <x:v>-37085.49</x:v>
      </x:c>
      <x:c r="O460" s="90" t="n">
        <x:v>-136171.69</x:v>
      </x:c>
      <x:c r="P460" s="90" t="n">
        <x:v>-90064.99</x:v>
      </x:c>
      <x:c r="Q460" s="90" t="n">
        <x:v>-5424.85</x:v>
      </x:c>
      <x:c r="R460" s="90" t="n">
        <x:v>0</x:v>
      </x:c>
      <x:c r="S460" s="90" t="n">
        <x:v>0</x:v>
      </x:c>
      <x:c r="T460" t="n">
        <x:v>0</x:v>
      </x:c>
      <x:c r="U460">
        <x:v>0</x:v>
      </x:c>
      <x:c r="V460">
        <x:v>0</x:v>
      </x:c>
      <x:c r="W460">
        <x:v>0</x:v>
      </x:c>
      <x:c r="X460">
        <x:v>0</x:v>
      </x:c>
      <x:c r="Y460" s="90">
        <x:v>0</x:v>
      </x:c>
      <x:c r="Z460" t="n">
        <x:v>0</x:v>
      </x:c>
    </x:row>
    <x:row r="461" spans="1:26" s="458" customFormat="1" x14ac:dyDescent="0.2">
      <x:c r="A461" s="458" t="s">
        <x:v>186</x:v>
      </x:c>
      <x:c r="B461" s="459" t="s">
        <x:v>70</x:v>
      </x:c>
      <x:c r="C461" s="459"/>
      <x:c r="F461" s="460" t="n">
        <x:v>-439956.52</x:v>
      </x:c>
      <x:c r="G461" s="460" t="n">
        <x:v>-35444.41</x:v>
      </x:c>
      <x:c r="H461" s="460" t="n">
        <x:v>-15058.04</x:v>
      </x:c>
      <x:c r="I461" s="460" t="n">
        <x:v>-6575.73</x:v>
      </x:c>
      <x:c r="J461" s="460" t="n">
        <x:v>-81642.18</x:v>
      </x:c>
      <x:c r="K461" s="460" t="n">
        <x:v>-3324.84</x:v>
      </x:c>
      <x:c r="L461" s="460" t="n">
        <x:v>0</x:v>
      </x:c>
      <x:c r="M461" s="460" t="n">
        <x:v>-29164.3</x:v>
      </x:c>
      <x:c r="N461" s="460" t="n">
        <x:v>-37085.49</x:v>
      </x:c>
      <x:c r="O461" s="460" t="n">
        <x:v>-136171.69</x:v>
      </x:c>
      <x:c r="P461" s="460" t="n">
        <x:v>-90064.99</x:v>
      </x:c>
      <x:c r="Q461" s="460" t="n">
        <x:v>-5424.85</x:v>
      </x:c>
      <x:c r="R461" s="460" t="n">
        <x:v>0</x:v>
      </x:c>
      <x:c r="S461" s="460" t="n">
        <x:v>0</x:v>
      </x:c>
      <x:c r="T461" s="460" t="n">
        <x:v>0</x:v>
      </x:c>
      <x:c r="U461" s="460">
        <x:v>0</x:v>
      </x:c>
      <x:c r="V461" s="460">
        <x:v>0</x:v>
      </x:c>
      <x:c r="W461" s="460">
        <x:v>0</x:v>
      </x:c>
      <x:c r="X461" s="460">
        <x:v>0</x:v>
      </x:c>
      <x:c r="Y461" s="460">
        <x:v>0</x:v>
      </x:c>
      <x:c r="Z461" s="460" t="n">
        <x:v>0</x:v>
      </x:c>
    </x:row>
    <x:row r="462" spans="1:26" ht="12.75" customHeight="1" x14ac:dyDescent="0.2">
      <x:c r="E462" s="89" t="s">
        <x:v>72</x:v>
      </x:c>
      <x:c r="F462" s="90" t="n">
        <x:v>3729263.65</x:v>
      </x:c>
      <x:c r="G462" s="90" t="n">
        <x:v>250278.18</x:v>
      </x:c>
      <x:c r="H462" s="90" t="n">
        <x:v>140595.42</x:v>
      </x:c>
      <x:c r="I462" s="90" t="n">
        <x:v>76572.04</x:v>
      </x:c>
      <x:c r="J462" s="90" t="n">
        <x:v>773694.76</x:v>
      </x:c>
      <x:c r="K462" s="90" t="n">
        <x:v>25330.8</x:v>
      </x:c>
      <x:c r="L462" s="90" t="n">
        <x:v>0</x:v>
      </x:c>
      <x:c r="M462" s="90" t="n">
        <x:v>222200.58</x:v>
      </x:c>
      <x:c r="N462" s="90" t="n">
        <x:v>246950.82</x:v>
      </x:c>
      <x:c r="O462" s="90" t="n">
        <x:v>1283227.56</x:v>
      </x:c>
      <x:c r="P462" s="90" t="n">
        <x:v>667208.65</x:v>
      </x:c>
      <x:c r="Q462" s="90" t="n">
        <x:v>43201.16</x:v>
      </x:c>
      <x:c r="R462" s="90" t="n">
        <x:v>3.68</x:v>
      </x:c>
      <x:c r="S462" s="90" t="n">
        <x:v>0</x:v>
      </x:c>
      <x:c r="T462" t="n">
        <x:v>0</x:v>
      </x:c>
      <x:c r="U462">
        <x:v>0</x:v>
      </x:c>
      <x:c r="V462">
        <x:v>0</x:v>
      </x:c>
      <x:c r="W462">
        <x:v>0</x:v>
      </x:c>
      <x:c r="X462">
        <x:v>0</x:v>
      </x:c>
      <x:c r="Y462" s="90">
        <x:v>0</x:v>
      </x:c>
      <x:c r="Z462" t="n">
        <x:v>0</x:v>
      </x:c>
    </x:row>
    <x:row r="463" spans="1:26" ht="12.75" customHeight="1" x14ac:dyDescent="0.2">
      <x:c r="E463" s="89" t="s">
        <x:v>81</x:v>
      </x:c>
      <x:c r="F463" s="90" t="n">
        <x:v>107021.42</x:v>
      </x:c>
      <x:c r="G463" s="90" t="n">
        <x:v>6984.57</x:v>
      </x:c>
      <x:c r="H463" s="90" t="n">
        <x:v>3522.1</x:v>
      </x:c>
      <x:c r="I463" s="90" t="n">
        <x:v>1746.51</x:v>
      </x:c>
      <x:c r="J463" s="90" t="n">
        <x:v>23447.8</x:v>
      </x:c>
      <x:c r="K463" s="90" t="n">
        <x:v>972.85</x:v>
      </x:c>
      <x:c r="L463" s="90" t="n">
        <x:v>0</x:v>
      </x:c>
      <x:c r="M463" s="90" t="n">
        <x:v>8540.62</x:v>
      </x:c>
      <x:c r="N463" s="90" t="n">
        <x:v>10602.78</x:v>
      </x:c>
      <x:c r="O463" s="90" t="n">
        <x:v>33967.61</x:v>
      </x:c>
      <x:c r="P463" s="90" t="n">
        <x:v>15735.59</x:v>
      </x:c>
      <x:c r="Q463" s="90" t="n">
        <x:v>1588.7</x:v>
      </x:c>
      <x:c r="R463" s="90" t="n">
        <x:v>1.03</x:v>
      </x:c>
      <x:c r="S463" s="90" t="n">
        <x:v>0</x:v>
      </x:c>
      <x:c r="T463" t="n">
        <x:v>0</x:v>
      </x:c>
      <x:c r="U463">
        <x:v>0</x:v>
      </x:c>
      <x:c r="V463">
        <x:v>0</x:v>
      </x:c>
      <x:c r="W463">
        <x:v>0</x:v>
      </x:c>
      <x:c r="X463">
        <x:v>0</x:v>
      </x:c>
      <x:c r="Y463" s="90">
        <x:v>0</x:v>
      </x:c>
      <x:c r="Z463" t="n">
        <x:v>-88.74</x:v>
      </x:c>
    </x:row>
    <x:row r="464" spans="1:26" ht="12.75" customHeight="1" x14ac:dyDescent="0.2">
      <x:c r="D464" t="s">
        <x:v>156</x:v>
      </x:c>
      <x:c r="E464" s="89" t="s">
        <x:v>70</x:v>
      </x:c>
      <x:c r="F464" s="90" t="n">
        <x:v>3836285.07</x:v>
      </x:c>
      <x:c r="G464" s="90" t="n">
        <x:v>257262.75</x:v>
      </x:c>
      <x:c r="H464" s="90" t="n">
        <x:v>144117.52</x:v>
      </x:c>
      <x:c r="I464" s="90" t="n">
        <x:v>78318.55</x:v>
      </x:c>
      <x:c r="J464" s="90" t="n">
        <x:v>797142.56</x:v>
      </x:c>
      <x:c r="K464" s="90" t="n">
        <x:v>26303.65</x:v>
      </x:c>
      <x:c r="L464" s="90" t="n">
        <x:v>0</x:v>
      </x:c>
      <x:c r="M464" s="90" t="n">
        <x:v>230741.2</x:v>
      </x:c>
      <x:c r="N464" s="90" t="n">
        <x:v>257553.6</x:v>
      </x:c>
      <x:c r="O464" s="90" t="n">
        <x:v>1317195.17</x:v>
      </x:c>
      <x:c r="P464" s="90" t="n">
        <x:v>682944.24</x:v>
      </x:c>
      <x:c r="Q464" s="90" t="n">
        <x:v>44789.86</x:v>
      </x:c>
      <x:c r="R464" s="90" t="n">
        <x:v>4.71</x:v>
      </x:c>
      <x:c r="S464" s="90" t="n">
        <x:v>0</x:v>
      </x:c>
      <x:c r="T464" t="n">
        <x:v>0</x:v>
      </x:c>
      <x:c r="U464">
        <x:v>0</x:v>
      </x:c>
      <x:c r="V464">
        <x:v>0</x:v>
      </x:c>
      <x:c r="W464">
        <x:v>0</x:v>
      </x:c>
      <x:c r="X464">
        <x:v>0</x:v>
      </x:c>
      <x:c r="Y464" s="90">
        <x:v>0</x:v>
      </x:c>
      <x:c r="Z464" t="n">
        <x:v>-88.74</x:v>
      </x:c>
    </x:row>
    <x:row r="465" spans="3:26" s="656" customFormat="1" ht="12.75" customHeight="1" x14ac:dyDescent="0.2">
      <x:c r="C465" s="656" t="s">
        <x:v>155</x:v>
      </x:c>
      <x:c r="D465" s="657" t="s">
        <x:v>70</x:v>
      </x:c>
      <x:c r="E465" s="657"/>
      <x:c r="F465" s="658" t="n">
        <x:v>3836285.07</x:v>
      </x:c>
      <x:c r="G465" s="658" t="n">
        <x:v>257262.75</x:v>
      </x:c>
      <x:c r="H465" s="658" t="n">
        <x:v>144117.52</x:v>
      </x:c>
      <x:c r="I465" s="658" t="n">
        <x:v>78318.55</x:v>
      </x:c>
      <x:c r="J465" s="658" t="n">
        <x:v>797142.56</x:v>
      </x:c>
      <x:c r="K465" s="658" t="n">
        <x:v>26303.65</x:v>
      </x:c>
      <x:c r="L465" s="658" t="n">
        <x:v>0</x:v>
      </x:c>
      <x:c r="M465" s="658" t="n">
        <x:v>230741.2</x:v>
      </x:c>
      <x:c r="N465" s="658" t="n">
        <x:v>257553.6</x:v>
      </x:c>
      <x:c r="O465" s="658" t="n">
        <x:v>1317195.17</x:v>
      </x:c>
      <x:c r="P465" s="658" t="n">
        <x:v>682944.24</x:v>
      </x:c>
      <x:c r="Q465" s="658" t="n">
        <x:v>44789.86</x:v>
      </x:c>
      <x:c r="R465" s="658" t="n">
        <x:v>4.71</x:v>
      </x:c>
      <x:c r="S465" s="658" t="n">
        <x:v>0</x:v>
      </x:c>
      <x:c r="T465" s="656" t="n">
        <x:v>0</x:v>
      </x:c>
      <x:c r="U465" s="656">
        <x:v>0</x:v>
      </x:c>
      <x:c r="V465" s="656">
        <x:v>0</x:v>
      </x:c>
      <x:c r="W465" s="656">
        <x:v>0</x:v>
      </x:c>
      <x:c r="X465" s="656">
        <x:v>0</x:v>
      </x:c>
      <x:c r="Y465" s="658">
        <x:v>0</x:v>
      </x:c>
      <x:c r="Z465" s="656" t="n">
        <x:v>-88.74</x:v>
      </x:c>
    </x:row>
    <x:row r="466" spans="3:26" ht="12.75" customHeight="1" x14ac:dyDescent="0.2">
      <x:c r="D466" s="89"/>
      <x:c r="E466" s="89" t="s">
        <x:v>72</x:v>
      </x:c>
      <x:c r="F466" s="371" t="n">
        <x:v>41900</x:v>
      </x:c>
      <x:c r="G466" s="90" t="n">
        <x:v>2593.47</x:v>
      </x:c>
      <x:c r="H466" s="90" t="n">
        <x:v>1464.28</x:v>
      </x:c>
      <x:c r="I466" s="90" t="n">
        <x:v>768.54</x:v>
      </x:c>
      <x:c r="J466" s="90" t="n">
        <x:v>8475</x:v>
      </x:c>
      <x:c r="K466" s="90" t="n">
        <x:v>336.82</x:v>
      </x:c>
      <x:c r="L466" s="90" t="n">
        <x:v>0</x:v>
      </x:c>
      <x:c r="M466" s="90" t="n">
        <x:v>2954.55</x:v>
      </x:c>
      <x:c r="N466" s="90" t="n">
        <x:v>2903.79</x:v>
      </x:c>
      <x:c r="O466" s="90" t="n">
        <x:v>14989.18</x:v>
      </x:c>
      <x:c r="P466" s="90" t="n">
        <x:v>6864.83</x:v>
      </x:c>
      <x:c r="Q466" s="90" t="n">
        <x:v>549.54</x:v>
      </x:c>
      <x:c r="R466" s="90" t="n">
        <x:v>0</x:v>
      </x:c>
      <x:c r="S466" s="90" t="n">
        <x:v>0</x:v>
      </x:c>
      <x:c r="T466" s="90" t="n">
        <x:v>0</x:v>
      </x:c>
      <x:c r="U466" s="90">
        <x:v>0</x:v>
      </x:c>
      <x:c r="V466" s="90">
        <x:v>0</x:v>
      </x:c>
      <x:c r="W466" s="90">
        <x:v>0</x:v>
      </x:c>
      <x:c r="X466">
        <x:v>0</x:v>
      </x:c>
      <x:c r="Y466">
        <x:v>0</x:v>
      </x:c>
      <x:c r="Z466" t="n">
        <x:v>0</x:v>
      </x:c>
    </x:row>
    <x:row r="467" spans="3:26" ht="12.75" customHeight="1" x14ac:dyDescent="0.2">
      <x:c r="D467" s="89"/>
      <x:c r="E467" s="89" t="s">
        <x:v>81</x:v>
      </x:c>
      <x:c r="F467" s="371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 s="90">
        <x:v>0</x:v>
      </x:c>
      <x:c r="S467" s="90">
        <x:v>0</x:v>
      </x:c>
      <x:c r="T467" s="90">
        <x:v>0</x:v>
      </x:c>
      <x:c r="U467" s="90">
        <x:v>0</x:v>
      </x:c>
      <x:c r="V467" s="90">
        <x:v>0</x:v>
      </x:c>
      <x:c r="W467" s="90">
        <x:v>0</x:v>
      </x:c>
      <x:c r="X467">
        <x:v>0</x:v>
      </x:c>
      <x:c r="Y467">
        <x:v>0</x:v>
      </x:c>
      <x:c r="Z467">
        <x:v>0</x:v>
      </x:c>
    </x:row>
    <x:row r="468" spans="3:26" ht="12.75" customHeight="1" x14ac:dyDescent="0.2">
      <x:c r="D468" s="89" t="s">
        <x:v>115</x:v>
      </x:c>
      <x:c r="E468" s="89" t="s">
        <x:v>70</x:v>
      </x:c>
      <x:c r="F468" s="371" t="n">
        <x:v>41900</x:v>
      </x:c>
      <x:c r="G468" s="90" t="n">
        <x:v>2593.47</x:v>
      </x:c>
      <x:c r="H468" s="90" t="n">
        <x:v>1464.28</x:v>
      </x:c>
      <x:c r="I468" s="90" t="n">
        <x:v>768.54</x:v>
      </x:c>
      <x:c r="J468" s="90" t="n">
        <x:v>8475</x:v>
      </x:c>
      <x:c r="K468" s="90" t="n">
        <x:v>336.82</x:v>
      </x:c>
      <x:c r="L468" s="90" t="n">
        <x:v>0</x:v>
      </x:c>
      <x:c r="M468" s="90" t="n">
        <x:v>2954.55</x:v>
      </x:c>
      <x:c r="N468" s="90" t="n">
        <x:v>2903.79</x:v>
      </x:c>
      <x:c r="O468" s="90" t="n">
        <x:v>14989.18</x:v>
      </x:c>
      <x:c r="P468" s="90" t="n">
        <x:v>6864.83</x:v>
      </x:c>
      <x:c r="Q468" s="90" t="n">
        <x:v>549.54</x:v>
      </x:c>
      <x:c r="R468" s="90" t="n">
        <x:v>0</x:v>
      </x:c>
      <x:c r="S468" s="90" t="n">
        <x:v>0</x:v>
      </x:c>
      <x:c r="T468" s="90" t="n">
        <x:v>0</x:v>
      </x:c>
      <x:c r="U468" s="90">
        <x:v>0</x:v>
      </x:c>
      <x:c r="V468" s="90">
        <x:v>0</x:v>
      </x:c>
      <x:c r="W468" s="90">
        <x:v>0</x:v>
      </x:c>
      <x:c r="X468">
        <x:v>0</x:v>
      </x:c>
      <x:c r="Y468">
        <x:v>0</x:v>
      </x:c>
      <x:c r="Z468" t="n">
        <x:v>0</x:v>
      </x:c>
    </x:row>
    <x:row r="469" spans="3:26" ht="12.75" customHeight="1" x14ac:dyDescent="0.2">
      <x:c r="D469" s="89"/>
      <x:c r="E469" s="89" t="s">
        <x:v>72</x:v>
      </x:c>
      <x:c r="F469" s="371">
        <x:v>0</x:v>
      </x:c>
      <x:c r="G469" s="90">
        <x:v>0</x:v>
      </x:c>
      <x:c r="H469" s="90">
        <x:v>0</x:v>
      </x:c>
      <x:c r="I469" s="90">
        <x:v>0</x:v>
      </x:c>
      <x:c r="J469" s="90">
        <x:v>0</x:v>
      </x:c>
      <x:c r="K469" s="90">
        <x:v>0</x:v>
      </x:c>
      <x:c r="L469" s="90">
        <x:v>0</x:v>
      </x:c>
      <x:c r="M469" s="90">
        <x:v>0</x:v>
      </x:c>
      <x:c r="N469" s="90">
        <x:v>0</x:v>
      </x:c>
      <x:c r="O469" s="90">
        <x:v>0</x:v>
      </x:c>
      <x:c r="P469" s="90">
        <x:v>0</x:v>
      </x:c>
      <x:c r="Q469" s="90">
        <x:v>0</x:v>
      </x:c>
      <x:c r="R469" s="90">
        <x:v>0</x:v>
      </x:c>
      <x:c r="S469" s="90">
        <x:v>0</x:v>
      </x:c>
      <x:c r="T469" s="90">
        <x:v>0</x:v>
      </x:c>
      <x:c r="U469" s="90">
        <x:v>0</x:v>
      </x:c>
      <x:c r="V469" s="90">
        <x:v>0</x:v>
      </x:c>
      <x:c r="W469" s="90">
        <x:v>0</x:v>
      </x:c>
      <x:c r="X469">
        <x:v>0</x:v>
      </x:c>
      <x:c r="Y469">
        <x:v>0</x:v>
      </x:c>
      <x:c r="Z469">
        <x:v>0</x:v>
      </x:c>
    </x:row>
    <x:row r="470" spans="3:26" ht="12.75" customHeight="1" x14ac:dyDescent="0.2">
      <x:c r="D470" s="89"/>
      <x:c r="E470" s="89" t="s">
        <x:v>81</x:v>
      </x:c>
      <x:c r="F470" s="90">
        <x:v>0</x:v>
      </x:c>
      <x:c r="G470" s="90">
        <x:v>0</x:v>
      </x:c>
      <x:c r="H470" s="90">
        <x:v>0</x:v>
      </x:c>
      <x:c r="I470" s="90">
        <x:v>0</x:v>
      </x:c>
      <x:c r="J470" s="90">
        <x:v>0</x:v>
      </x:c>
      <x:c r="K470" s="90">
        <x:v>0</x:v>
      </x:c>
      <x:c r="L470" s="90">
        <x:v>0</x:v>
      </x:c>
      <x:c r="M470" s="90">
        <x:v>0</x:v>
      </x:c>
      <x:c r="N470" s="90">
        <x:v>0</x:v>
      </x:c>
      <x:c r="O470" s="90">
        <x:v>0</x:v>
      </x:c>
      <x:c r="P470" s="90">
        <x:v>0</x:v>
      </x:c>
      <x:c r="Q470" s="90">
        <x:v>0</x:v>
      </x:c>
      <x:c r="R470" s="90">
        <x:v>0</x:v>
      </x:c>
      <x:c r="S470" s="90">
        <x:v>0</x:v>
      </x:c>
      <x:c r="T470" s="90">
        <x:v>0</x:v>
      </x:c>
      <x:c r="U470" s="90">
        <x:v>0</x:v>
      </x:c>
      <x:c r="V470" s="90">
        <x:v>0</x:v>
      </x:c>
      <x:c r="W470" s="90">
        <x:v>0</x:v>
      </x:c>
      <x:c r="X470">
        <x:v>0</x:v>
      </x:c>
      <x:c r="Y470">
        <x:v>0</x:v>
      </x:c>
      <x:c r="Z470">
        <x:v>0</x:v>
      </x:c>
    </x:row>
    <x:row r="471" spans="3:26" ht="12.75" customHeight="1" x14ac:dyDescent="0.2">
      <x:c r="D471" t="s">
        <x:v>116</x:v>
      </x:c>
      <x:c r="E471" s="89" t="s">
        <x:v>70</x:v>
      </x:c>
      <x:c r="F471" s="90">
        <x:v>0</x:v>
      </x:c>
      <x:c r="G471" s="90">
        <x:v>0</x:v>
      </x:c>
      <x:c r="H471" s="90">
        <x:v>0</x:v>
      </x:c>
      <x:c r="I471" s="90">
        <x:v>0</x:v>
      </x:c>
      <x:c r="J471" s="90">
        <x:v>0</x:v>
      </x:c>
      <x:c r="K471" s="90">
        <x:v>0</x:v>
      </x:c>
      <x:c r="L471" s="90">
        <x:v>0</x:v>
      </x:c>
      <x:c r="M471" s="90">
        <x:v>0</x:v>
      </x:c>
      <x:c r="N471" s="90">
        <x:v>0</x:v>
      </x:c>
      <x:c r="O471" s="90">
        <x:v>0</x:v>
      </x:c>
      <x:c r="P471" s="90">
        <x:v>0</x:v>
      </x:c>
      <x:c r="Q471" s="90">
        <x:v>0</x:v>
      </x:c>
      <x:c r="R471" s="90">
        <x:v>0</x:v>
      </x:c>
      <x:c r="S471" s="90">
        <x:v>0</x:v>
      </x:c>
      <x:c r="T471" s="90">
        <x:v>0</x:v>
      </x:c>
      <x:c r="U471" s="90">
        <x:v>0</x:v>
      </x:c>
      <x:c r="V471" s="90">
        <x:v>0</x:v>
      </x:c>
      <x:c r="W471" s="90">
        <x:v>0</x:v>
      </x:c>
      <x:c r="X471">
        <x:v>0</x:v>
      </x:c>
      <x:c r="Y471">
        <x:v>0</x:v>
      </x:c>
      <x:c r="Z471">
        <x:v>0</x:v>
      </x:c>
    </x:row>
    <x:row r="472" spans="3:26" ht="12.75" customHeight="1" x14ac:dyDescent="0.2">
      <x:c r="D472" s="89"/>
      <x:c r="E472" s="89" t="s">
        <x:v>72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 s="90">
        <x:v>0</x:v>
      </x:c>
      <x:c r="S472" s="90">
        <x:v>0</x:v>
      </x:c>
      <x:c r="T472" s="90">
        <x:v>0</x:v>
      </x:c>
      <x:c r="U472" s="90">
        <x:v>0</x:v>
      </x:c>
      <x:c r="V472" s="90">
        <x:v>0</x:v>
      </x:c>
      <x:c r="W472" s="90">
        <x:v>0</x:v>
      </x:c>
      <x:c r="X472">
        <x:v>0</x:v>
      </x:c>
      <x:c r="Y472">
        <x:v>0</x:v>
      </x:c>
      <x:c r="Z472">
        <x:v>0</x:v>
      </x:c>
    </x:row>
    <x:row r="473" spans="3:26" ht="12.75" customHeight="1" x14ac:dyDescent="0.2">
      <x:c r="E473" s="89" t="s">
        <x:v>81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 s="90">
        <x:v>0</x:v>
      </x:c>
      <x:c r="S473" s="90">
        <x:v>0</x:v>
      </x:c>
      <x:c r="T473" s="90">
        <x:v>0</x:v>
      </x:c>
      <x:c r="U473" s="90">
        <x:v>0</x:v>
      </x:c>
      <x:c r="V473" s="90">
        <x:v>0</x:v>
      </x:c>
      <x:c r="W473" s="90">
        <x:v>0</x:v>
      </x:c>
      <x:c r="X473">
        <x:v>0</x:v>
      </x:c>
      <x:c r="Y473">
        <x:v>0</x:v>
      </x:c>
      <x:c r="Z473">
        <x:v>0</x:v>
      </x:c>
    </x:row>
    <x:row r="474" spans="3:26" ht="12.75" customHeight="1" x14ac:dyDescent="0.2">
      <x:c r="D474" t="s">
        <x:v>118</x:v>
      </x:c>
      <x:c r="E474" s="89" t="s">
        <x:v>70</x:v>
      </x:c>
      <x:c r="F474" s="90">
        <x:v>0</x:v>
      </x:c>
      <x:c r="G474" s="90">
        <x:v>0</x:v>
      </x:c>
      <x:c r="H474" s="90">
        <x:v>0</x:v>
      </x:c>
      <x:c r="I474" s="90">
        <x:v>0</x:v>
      </x:c>
      <x:c r="J474" s="90">
        <x:v>0</x:v>
      </x:c>
      <x:c r="K474" s="90">
        <x:v>0</x:v>
      </x:c>
      <x:c r="L474" s="90">
        <x:v>0</x:v>
      </x:c>
      <x:c r="M474" s="90">
        <x:v>0</x:v>
      </x:c>
      <x:c r="N474" s="90">
        <x:v>0</x:v>
      </x:c>
      <x:c r="O474" s="90">
        <x:v>0</x:v>
      </x:c>
      <x:c r="P474" s="90">
        <x:v>0</x:v>
      </x:c>
      <x:c r="Q474" s="90">
        <x:v>0</x:v>
      </x:c>
      <x:c r="R474" s="90">
        <x:v>0</x:v>
      </x:c>
      <x:c r="S474" s="90">
        <x:v>0</x:v>
      </x:c>
      <x:c r="T474" s="90">
        <x:v>0</x:v>
      </x:c>
      <x:c r="U474" s="90">
        <x:v>0</x:v>
      </x:c>
      <x:c r="V474" s="90">
        <x:v>0</x:v>
      </x:c>
      <x:c r="W474" s="90">
        <x:v>0</x:v>
      </x:c>
      <x:c r="X474">
        <x:v>0</x:v>
      </x:c>
      <x:c r="Y474">
        <x:v>0</x:v>
      </x:c>
      <x:c r="Z474">
        <x:v>0</x:v>
      </x:c>
    </x:row>
    <x:row r="475" spans="3:26" s="224" customFormat="1" ht="12.75" customHeight="1" x14ac:dyDescent="0.2">
      <x:c r="C475" s="223" t="s">
        <x:v>120</x:v>
      </x:c>
      <x:c r="D475" s="223" t="s">
        <x:v>70</x:v>
      </x:c>
      <x:c r="F475" s="225" t="n">
        <x:v>41900</x:v>
      </x:c>
      <x:c r="G475" s="225" t="n">
        <x:v>2593.47</x:v>
      </x:c>
      <x:c r="H475" s="225" t="n">
        <x:v>1464.28</x:v>
      </x:c>
      <x:c r="I475" s="225" t="n">
        <x:v>768.54</x:v>
      </x:c>
      <x:c r="J475" s="225" t="n">
        <x:v>8475</x:v>
      </x:c>
      <x:c r="K475" s="225" t="n">
        <x:v>336.82</x:v>
      </x:c>
      <x:c r="L475" s="225" t="n">
        <x:v>0</x:v>
      </x:c>
      <x:c r="M475" s="225" t="n">
        <x:v>2954.55</x:v>
      </x:c>
      <x:c r="N475" s="225" t="n">
        <x:v>2903.79</x:v>
      </x:c>
      <x:c r="O475" s="225" t="n">
        <x:v>14989.18</x:v>
      </x:c>
      <x:c r="P475" s="225" t="n">
        <x:v>6864.83</x:v>
      </x:c>
      <x:c r="Q475" s="225" t="n">
        <x:v>549.54</x:v>
      </x:c>
      <x:c r="R475" s="225" t="n">
        <x:v>0</x:v>
      </x:c>
      <x:c r="S475" s="225" t="n">
        <x:v>0</x:v>
      </x:c>
      <x:c r="T475" s="224" t="n">
        <x:v>0</x:v>
      </x:c>
      <x:c r="U475" s="224">
        <x:v>0</x:v>
      </x:c>
      <x:c r="V475" s="224">
        <x:v>0</x:v>
      </x:c>
      <x:c r="W475" s="224">
        <x:v>0</x:v>
      </x:c>
      <x:c r="X475" s="224">
        <x:v>0</x:v>
      </x:c>
      <x:c r="Y475" s="225">
        <x:v>0</x:v>
      </x:c>
      <x:c r="Z475" s="224" t="n">
        <x:v>0</x:v>
      </x:c>
    </x:row>
    <x:row r="476" spans="3:26" ht="12.75" customHeight="1" x14ac:dyDescent="0.2">
      <x:c r="E476" s="89" t="s">
        <x:v>72</x:v>
      </x:c>
      <x:c r="F476" s="371">
        <x:v>0</x:v>
      </x:c>
      <x:c r="G476" s="90">
        <x:v>0</x:v>
      </x:c>
      <x:c r="H476" s="90">
        <x:v>0</x:v>
      </x:c>
      <x:c r="I476" s="90">
        <x:v>0</x:v>
      </x:c>
      <x:c r="J476" s="90">
        <x:v>0</x:v>
      </x:c>
      <x:c r="K476" s="90">
        <x:v>0</x:v>
      </x:c>
      <x:c r="L476" s="90">
        <x:v>0</x:v>
      </x:c>
      <x:c r="M476" s="90">
        <x:v>0</x:v>
      </x:c>
      <x:c r="N476" s="90">
        <x:v>0</x:v>
      </x:c>
      <x:c r="O476" s="90">
        <x:v>0</x:v>
      </x:c>
      <x:c r="P476" s="90">
        <x:v>0</x:v>
      </x:c>
      <x:c r="Q476" s="90">
        <x:v>0</x:v>
      </x:c>
      <x:c r="R476" s="90">
        <x:v>0</x:v>
      </x:c>
      <x:c r="S476" s="90">
        <x:v>0</x:v>
      </x:c>
      <x:c r="T476" s="90">
        <x:v>0</x:v>
      </x:c>
      <x:c r="U476" s="90">
        <x:v>0</x:v>
      </x:c>
      <x:c r="V476" s="90">
        <x:v>0</x:v>
      </x:c>
      <x:c r="W476" s="90">
        <x:v>0</x:v>
      </x:c>
      <x:c r="X476">
        <x:v>0</x:v>
      </x:c>
      <x:c r="Y476">
        <x:v>0</x:v>
      </x:c>
      <x:c r="Z476">
        <x:v>0</x:v>
      </x:c>
    </x:row>
    <x:row r="477" spans="3:26" ht="12.75" customHeight="1" x14ac:dyDescent="0.2">
      <x:c r="E477" s="89" t="s">
        <x:v>81</x:v>
      </x:c>
      <x:c r="F477" s="371">
        <x:v>0</x:v>
      </x:c>
      <x:c r="G477" s="90">
        <x:v>0</x:v>
      </x:c>
      <x:c r="H477" s="90">
        <x:v>0</x:v>
      </x:c>
      <x:c r="I477" s="90">
        <x:v>0</x:v>
      </x:c>
      <x:c r="J477" s="90">
        <x:v>0</x:v>
      </x:c>
      <x:c r="K477" s="90">
        <x:v>0</x:v>
      </x:c>
      <x:c r="L477" s="90">
        <x:v>0</x:v>
      </x:c>
      <x:c r="M477" s="90">
        <x:v>0</x:v>
      </x:c>
      <x:c r="N477" s="90">
        <x:v>0</x:v>
      </x:c>
      <x:c r="O477" s="90">
        <x:v>0</x:v>
      </x:c>
      <x:c r="P477" s="90">
        <x:v>0</x:v>
      </x:c>
      <x:c r="Q477" s="90">
        <x:v>0</x:v>
      </x:c>
      <x:c r="R477" s="90">
        <x:v>0</x:v>
      </x:c>
      <x:c r="S477" s="90">
        <x:v>0</x:v>
      </x:c>
      <x:c r="T477" s="90">
        <x:v>0</x:v>
      </x:c>
      <x:c r="U477" s="90">
        <x:v>0</x:v>
      </x:c>
      <x:c r="V477" s="90">
        <x:v>0</x:v>
      </x:c>
      <x:c r="W477" s="90">
        <x:v>0</x:v>
      </x:c>
      <x:c r="X477">
        <x:v>0</x:v>
      </x:c>
      <x:c r="Y477">
        <x:v>0</x:v>
      </x:c>
      <x:c r="Z477">
        <x:v>0</x:v>
      </x:c>
    </x:row>
    <x:row r="478" spans="3:26" ht="12.75" customHeight="1" x14ac:dyDescent="0.2">
      <x:c r="D478" t="s">
        <x:v>82</x:v>
      </x:c>
      <x:c r="E478" s="89" t="s">
        <x:v>70</x:v>
      </x:c>
      <x:c r="F478" s="371">
        <x:v>0</x:v>
      </x:c>
      <x:c r="G478" s="90">
        <x:v>0</x:v>
      </x:c>
      <x:c r="H478" s="90">
        <x:v>0</x:v>
      </x:c>
      <x:c r="I478" s="90">
        <x:v>0</x:v>
      </x:c>
      <x:c r="J478" s="90">
        <x:v>0</x:v>
      </x:c>
      <x:c r="K478" s="90">
        <x:v>0</x:v>
      </x:c>
      <x:c r="L478" s="90">
        <x:v>0</x:v>
      </x:c>
      <x:c r="M478" s="90">
        <x:v>0</x:v>
      </x:c>
      <x:c r="N478" s="90">
        <x:v>0</x:v>
      </x:c>
      <x:c r="O478" s="90">
        <x:v>0</x:v>
      </x:c>
      <x:c r="P478" s="90">
        <x:v>0</x:v>
      </x:c>
      <x:c r="Q478" s="90">
        <x:v>0</x:v>
      </x:c>
      <x:c r="R478" s="90">
        <x:v>0</x:v>
      </x:c>
      <x:c r="S478" s="90">
        <x:v>0</x:v>
      </x:c>
      <x:c r="T478" s="90">
        <x:v>0</x:v>
      </x:c>
      <x:c r="U478" s="90">
        <x:v>0</x:v>
      </x:c>
      <x:c r="V478" s="90">
        <x:v>0</x:v>
      </x:c>
      <x:c r="W478" s="90">
        <x:v>0</x:v>
      </x:c>
      <x:c r="X478">
        <x:v>0</x:v>
      </x:c>
      <x:c r="Y478">
        <x:v>0</x:v>
      </x:c>
      <x:c r="Z478">
        <x:v>0</x:v>
      </x:c>
    </x:row>
    <x:row r="479" spans="3:26" ht="12.75" customHeight="1" x14ac:dyDescent="0.2">
      <x:c r="E479" s="89" t="s">
        <x:v>72</x:v>
      </x:c>
      <x:c r="F479" s="371" t="n">
        <x:v>724954.55</x:v>
      </x:c>
      <x:c r="G479" s="90" t="n">
        <x:v>51580.59</x:v>
      </x:c>
      <x:c r="H479" s="90" t="n">
        <x:v>29162.67</x:v>
      </x:c>
      <x:c r="I479" s="90" t="n">
        <x:v>15465.11</x:v>
      </x:c>
      <x:c r="J479" s="90" t="n">
        <x:v>165856.16</x:v>
      </x:c>
      <x:c r="K479" s="90" t="n">
        <x:v>4891.9</x:v>
      </x:c>
      <x:c r="L479" s="90" t="n">
        <x:v>0</x:v>
      </x:c>
      <x:c r="M479" s="90" t="n">
        <x:v>46423.44</x:v>
      </x:c>
      <x:c r="N479" s="90" t="n">
        <x:v>49444.99</x:v>
      </x:c>
      <x:c r="O479" s="90" t="n">
        <x:v>213489.65</x:v>
      </x:c>
      <x:c r="P479" s="90" t="n">
        <x:v>140652.25</x:v>
      </x:c>
      <x:c r="Q479" s="90" t="n">
        <x:v>7981.52</x:v>
      </x:c>
      <x:c r="R479" s="90" t="n">
        <x:v>6.27</x:v>
      </x:c>
      <x:c r="S479" s="90" t="n">
        <x:v>0</x:v>
      </x:c>
      <x:c r="T479" s="90" t="n">
        <x:v>0</x:v>
      </x:c>
      <x:c r="U479" s="90">
        <x:v>0</x:v>
      </x:c>
      <x:c r="V479" s="90">
        <x:v>0</x:v>
      </x:c>
      <x:c r="W479" s="90">
        <x:v>0</x:v>
      </x:c>
      <x:c r="X479">
        <x:v>0</x:v>
      </x:c>
      <x:c r="Y479">
        <x:v>0</x:v>
      </x:c>
      <x:c r="Z479" t="n">
        <x:v>0</x:v>
      </x:c>
    </x:row>
    <x:row r="480" spans="3:26" ht="12.75" customHeight="1" x14ac:dyDescent="0.2">
      <x:c r="E480" s="89" t="s">
        <x:v>81</x:v>
      </x:c>
      <x:c r="F480" s="371" t="n">
        <x:v>-2564.46</x:v>
      </x:c>
      <x:c r="G480" s="90" t="n">
        <x:v>1.25</x:v>
      </x:c>
      <x:c r="H480" s="90" t="n">
        <x:v>0.72</x:v>
      </x:c>
      <x:c r="I480" s="90" t="n">
        <x:v>0.37</x:v>
      </x:c>
      <x:c r="J480" s="90" t="n">
        <x:v>2.22</x:v>
      </x:c>
      <x:c r="K480" s="90" t="n">
        <x:v>0.15</x:v>
      </x:c>
      <x:c r="L480" s="90" t="n">
        <x:v>0</x:v>
      </x:c>
      <x:c r="M480" s="90" t="n">
        <x:v>1.27</x:v>
      </x:c>
      <x:c r="N480" s="90" t="n">
        <x:v>1.25</x:v>
      </x:c>
      <x:c r="O480" s="90" t="n">
        <x:v>-2575.25</x:v>
      </x:c>
      <x:c r="P480" s="90" t="n">
        <x:v>3.32</x:v>
      </x:c>
      <x:c r="Q480" s="90" t="n">
        <x:v>0.24</x:v>
      </x:c>
      <x:c r="R480" s="90" t="n">
        <x:v>0</x:v>
      </x:c>
      <x:c r="S480" s="90" t="n">
        <x:v>0</x:v>
      </x:c>
      <x:c r="T480" s="90" t="n">
        <x:v>0</x:v>
      </x:c>
      <x:c r="U480" s="90">
        <x:v>0</x:v>
      </x:c>
      <x:c r="V480" s="90">
        <x:v>0</x:v>
      </x:c>
      <x:c r="W480" s="90">
        <x:v>0</x:v>
      </x:c>
      <x:c r="X480">
        <x:v>0</x:v>
      </x:c>
      <x:c r="Y480">
        <x:v>0</x:v>
      </x:c>
      <x:c r="Z480" t="n">
        <x:v>0</x:v>
      </x:c>
    </x:row>
    <x:row r="481" spans="2:26" ht="12.75" customHeight="1" x14ac:dyDescent="0.2">
      <x:c r="D481" t="s">
        <x:v>86</x:v>
      </x:c>
      <x:c r="E481" s="89" t="s">
        <x:v>70</x:v>
      </x:c>
      <x:c r="F481" s="371" t="n">
        <x:v>722390.09</x:v>
      </x:c>
      <x:c r="G481" s="90" t="n">
        <x:v>51581.84</x:v>
      </x:c>
      <x:c r="H481" s="90" t="n">
        <x:v>29163.39</x:v>
      </x:c>
      <x:c r="I481" s="90" t="n">
        <x:v>15465.48</x:v>
      </x:c>
      <x:c r="J481" s="90" t="n">
        <x:v>165858.38</x:v>
      </x:c>
      <x:c r="K481" s="90" t="n">
        <x:v>4892.05</x:v>
      </x:c>
      <x:c r="L481" s="90" t="n">
        <x:v>0</x:v>
      </x:c>
      <x:c r="M481" s="90" t="n">
        <x:v>46424.71</x:v>
      </x:c>
      <x:c r="N481" s="90" t="n">
        <x:v>49446.24</x:v>
      </x:c>
      <x:c r="O481" s="90" t="n">
        <x:v>210914.4</x:v>
      </x:c>
      <x:c r="P481" s="90" t="n">
        <x:v>140655.57</x:v>
      </x:c>
      <x:c r="Q481" s="90" t="n">
        <x:v>7981.76</x:v>
      </x:c>
      <x:c r="R481" s="90" t="n">
        <x:v>6.27</x:v>
      </x:c>
      <x:c r="S481" s="90" t="n">
        <x:v>0</x:v>
      </x:c>
      <x:c r="T481" s="90" t="n">
        <x:v>0</x:v>
      </x:c>
      <x:c r="U481" s="90">
        <x:v>0</x:v>
      </x:c>
      <x:c r="V481" s="90">
        <x:v>0</x:v>
      </x:c>
      <x:c r="W481" s="90">
        <x:v>0</x:v>
      </x:c>
      <x:c r="X481">
        <x:v>0</x:v>
      </x:c>
      <x:c r="Y481">
        <x:v>0</x:v>
      </x:c>
      <x:c r="Z481" t="n">
        <x:v>0</x:v>
      </x:c>
    </x:row>
    <x:row r="482" spans="2:26" ht="12.75" customHeight="1" x14ac:dyDescent="0.2">
      <x:c r="E482" s="89" t="s">
        <x:v>72</x:v>
      </x:c>
      <x:c r="F482" s="371">
        <x:v>0</x:v>
      </x:c>
      <x:c r="G482" s="90">
        <x:v>0</x:v>
      </x:c>
      <x:c r="H482" s="90">
        <x:v>0</x:v>
      </x:c>
      <x:c r="I482" s="90">
        <x:v>0</x:v>
      </x:c>
      <x:c r="J482" s="90">
        <x:v>0</x:v>
      </x:c>
      <x:c r="K482" s="90">
        <x:v>0</x:v>
      </x:c>
      <x:c r="L482" s="90">
        <x:v>0</x:v>
      </x:c>
      <x:c r="M482" s="90">
        <x:v>0</x:v>
      </x:c>
      <x:c r="N482" s="90">
        <x:v>0</x:v>
      </x:c>
      <x:c r="O482" s="90">
        <x:v>0</x:v>
      </x:c>
      <x:c r="P482" s="90">
        <x:v>0</x:v>
      </x:c>
      <x:c r="Q482" s="90">
        <x:v>0</x:v>
      </x:c>
      <x:c r="R482" s="90">
        <x:v>0</x:v>
      </x:c>
      <x:c r="S482" s="90">
        <x:v>0</x:v>
      </x:c>
      <x:c r="T482" s="90">
        <x:v>0</x:v>
      </x:c>
      <x:c r="U482" s="90">
        <x:v>0</x:v>
      </x:c>
      <x:c r="V482" s="90">
        <x:v>0</x:v>
      </x:c>
      <x:c r="W482" s="90">
        <x:v>0</x:v>
      </x:c>
      <x:c r="X482" s="90">
        <x:v>0</x:v>
      </x:c>
      <x:c r="Y482" s="90">
        <x:v>0</x:v>
      </x:c>
      <x:c r="Z482" s="90">
        <x:v>0</x:v>
      </x:c>
    </x:row>
    <x:row r="483" spans="2:26" x14ac:dyDescent="0.2">
      <x:c r="E483" t="s">
        <x:v>81</x:v>
      </x:c>
      <x:c r="F483" s="90">
        <x:v>0</x:v>
      </x:c>
      <x:c r="G483" s="90">
        <x:v>0</x:v>
      </x:c>
      <x:c r="H483" s="90">
        <x:v>0</x:v>
      </x:c>
      <x:c r="I483" s="90">
        <x:v>0</x:v>
      </x:c>
      <x:c r="J483" s="90">
        <x:v>0</x:v>
      </x:c>
      <x:c r="K483" s="90">
        <x:v>0</x:v>
      </x:c>
      <x:c r="L483" s="90">
        <x:v>0</x:v>
      </x:c>
      <x:c r="M483" s="90">
        <x:v>0</x:v>
      </x:c>
      <x:c r="N483" s="90">
        <x:v>0</x:v>
      </x:c>
      <x:c r="O483" s="90">
        <x:v>0</x:v>
      </x:c>
      <x:c r="P483" s="90">
        <x:v>0</x:v>
      </x:c>
      <x:c r="Q483" s="90">
        <x:v>0</x:v>
      </x:c>
      <x:c r="R483" s="90">
        <x:v>0</x:v>
      </x:c>
      <x:c r="S483" s="90">
        <x:v>0</x:v>
      </x:c>
      <x:c r="T483" s="90">
        <x:v>0</x:v>
      </x:c>
      <x:c r="U483">
        <x:v>0</x:v>
      </x:c>
      <x:c r="V483">
        <x:v>0</x:v>
      </x:c>
      <x:c r="W483">
        <x:v>0</x:v>
      </x:c>
      <x:c r="X483">
        <x:v>0</x:v>
      </x:c>
      <x:c r="Y483">
        <x:v>0</x:v>
      </x:c>
      <x:c r="Z483" s="90">
        <x:v>0</x:v>
      </x:c>
    </x:row>
    <x:row r="484" spans="2:26" ht="12.75" customHeight="1" x14ac:dyDescent="0.2">
      <x:c r="D484" t="s">
        <x:v>87</x:v>
      </x:c>
      <x:c r="E484" s="89" t="s">
        <x:v>70</x:v>
      </x:c>
      <x:c r="F484" s="371">
        <x:v>0</x:v>
      </x:c>
      <x:c r="G484" s="90">
        <x:v>0</x:v>
      </x:c>
      <x:c r="H484" s="90">
        <x:v>0</x:v>
      </x:c>
      <x:c r="I484" s="90">
        <x:v>0</x:v>
      </x:c>
      <x:c r="J484" s="90">
        <x:v>0</x:v>
      </x:c>
      <x:c r="K484" s="90">
        <x:v>0</x:v>
      </x:c>
      <x:c r="L484" s="90">
        <x:v>0</x:v>
      </x:c>
      <x:c r="M484" s="90">
        <x:v>0</x:v>
      </x:c>
      <x:c r="N484" s="90">
        <x:v>0</x:v>
      </x:c>
      <x:c r="O484" s="90">
        <x:v>0</x:v>
      </x:c>
      <x:c r="P484" s="90">
        <x:v>0</x:v>
      </x:c>
      <x:c r="Q484" s="90">
        <x:v>0</x:v>
      </x:c>
      <x:c r="R484" s="90">
        <x:v>0</x:v>
      </x:c>
      <x:c r="S484" s="90">
        <x:v>0</x:v>
      </x:c>
      <x:c r="T484" s="90">
        <x:v>0</x:v>
      </x:c>
      <x:c r="U484" s="90">
        <x:v>0</x:v>
      </x:c>
      <x:c r="V484" s="90">
        <x:v>0</x:v>
      </x:c>
      <x:c r="W484" s="90">
        <x:v>0</x:v>
      </x:c>
      <x:c r="X484" s="90">
        <x:v>0</x:v>
      </x:c>
      <x:c r="Y484" s="90">
        <x:v>0</x:v>
      </x:c>
      <x:c r="Z484" s="90">
        <x:v>0</x:v>
      </x:c>
    </x:row>
    <x:row r="485" spans="2:26" s="94" customFormat="1" ht="12.75" customHeight="1" x14ac:dyDescent="0.2">
      <x:c r="C485" s="94" t="s">
        <x:v>119</x:v>
      </x:c>
      <x:c r="D485" s="94" t="s">
        <x:v>70</x:v>
      </x:c>
      <x:c r="E485" s="101"/>
      <x:c r="F485" s="93" t="n">
        <x:v>722390.09</x:v>
      </x:c>
      <x:c r="G485" s="93" t="n">
        <x:v>51581.84</x:v>
      </x:c>
      <x:c r="H485" s="93" t="n">
        <x:v>29163.39</x:v>
      </x:c>
      <x:c r="I485" s="93" t="n">
        <x:v>15465.48</x:v>
      </x:c>
      <x:c r="J485" s="93" t="n">
        <x:v>165858.38</x:v>
      </x:c>
      <x:c r="K485" s="93" t="n">
        <x:v>4892.05</x:v>
      </x:c>
      <x:c r="L485" s="93" t="n">
        <x:v>0</x:v>
      </x:c>
      <x:c r="M485" s="93" t="n">
        <x:v>46424.71</x:v>
      </x:c>
      <x:c r="N485" s="93" t="n">
        <x:v>49446.24</x:v>
      </x:c>
      <x:c r="O485" s="93" t="n">
        <x:v>210914.4</x:v>
      </x:c>
      <x:c r="P485" s="93" t="n">
        <x:v>140655.57</x:v>
      </x:c>
      <x:c r="Q485" s="93" t="n">
        <x:v>7981.76</x:v>
      </x:c>
      <x:c r="R485" s="93" t="n">
        <x:v>6.27</x:v>
      </x:c>
      <x:c r="S485" s="93" t="n">
        <x:v>0</x:v>
      </x:c>
      <x:c r="T485" s="93" t="n">
        <x:v>0</x:v>
      </x:c>
      <x:c r="U485" s="93">
        <x:v>0</x:v>
      </x:c>
      <x:c r="V485" s="93">
        <x:v>0</x:v>
      </x:c>
      <x:c r="W485" s="93">
        <x:v>0</x:v>
      </x:c>
      <x:c r="X485" s="94">
        <x:v>0</x:v>
      </x:c>
      <x:c r="Y485" s="94">
        <x:v>0</x:v>
      </x:c>
      <x:c r="Z485" s="94" t="n">
        <x:v>0</x:v>
      </x:c>
    </x:row>
    <x:row r="486" spans="2:26" s="378" customFormat="1" ht="12.75" customHeight="1" x14ac:dyDescent="0.2">
      <x:c r="B486" s="378" t="s">
        <x:v>122</x:v>
      </x:c>
      <x:c r="C486" s="378" t="s">
        <x:v>70</x:v>
      </x:c>
      <x:c r="E486" s="376"/>
      <x:c r="F486" s="377" t="n">
        <x:v>4600575.16</x:v>
      </x:c>
      <x:c r="G486" s="377" t="n">
        <x:v>311438.06</x:v>
      </x:c>
      <x:c r="H486" s="377" t="n">
        <x:v>174745.19</x:v>
      </x:c>
      <x:c r="I486" s="377" t="n">
        <x:v>94552.57</x:v>
      </x:c>
      <x:c r="J486" s="377" t="n">
        <x:v>971475.94</x:v>
      </x:c>
      <x:c r="K486" s="377" t="n">
        <x:v>31532.52</x:v>
      </x:c>
      <x:c r="L486" s="377" t="n">
        <x:v>0</x:v>
      </x:c>
      <x:c r="M486" s="377" t="n">
        <x:v>280120.46</x:v>
      </x:c>
      <x:c r="N486" s="377" t="n">
        <x:v>309903.63</x:v>
      </x:c>
      <x:c r="O486" s="377" t="n">
        <x:v>1543098.75</x:v>
      </x:c>
      <x:c r="P486" s="377" t="n">
        <x:v>830464.64</x:v>
      </x:c>
      <x:c r="Q486" s="377" t="n">
        <x:v>53321.16</x:v>
      </x:c>
      <x:c r="R486" s="377" t="n">
        <x:v>10.98</x:v>
      </x:c>
      <x:c r="S486" s="377" t="n">
        <x:v>0</x:v>
      </x:c>
      <x:c r="T486" s="378" t="n">
        <x:v>0</x:v>
      </x:c>
      <x:c r="U486" s="378">
        <x:v>0</x:v>
      </x:c>
      <x:c r="V486" s="378">
        <x:v>0</x:v>
      </x:c>
      <x:c r="W486" s="378">
        <x:v>0</x:v>
      </x:c>
      <x:c r="X486" s="378">
        <x:v>0</x:v>
      </x:c>
      <x:c r="Y486" s="377">
        <x:v>0</x:v>
      </x:c>
      <x:c r="Z486" s="378" t="n">
        <x:v>-88.74</x:v>
      </x:c>
    </x:row>
    <x:row r="487" spans="2:26" ht="12.75" customHeight="1" x14ac:dyDescent="0.2">
      <x:c r="E487" s="89" t="s">
        <x:v>72</x:v>
      </x:c>
      <x:c r="F487" s="90" t="n">
        <x:v>7194058961.66</x:v>
      </x:c>
      <x:c r="G487" s="90" t="n">
        <x:v>402608765.9</x:v>
      </x:c>
      <x:c r="H487" s="90" t="n">
        <x:v>225742966.46</x:v>
      </x:c>
      <x:c r="I487" s="90" t="n">
        <x:v>118610711.24</x:v>
      </x:c>
      <x:c r="J487" s="90" t="n">
        <x:v>1517323419.89</x:v>
      </x:c>
      <x:c r="K487" s="90" t="n">
        <x:v>59618340.23</x:v>
      </x:c>
      <x:c r="L487" s="90" t="n">
        <x:v>19205690.58</x:v>
      </x:c>
      <x:c r="M487" s="90" t="n">
        <x:v>521948830.89</x:v>
      </x:c>
      <x:c r="N487" s="90" t="n">
        <x:v>515744857.09</x:v>
      </x:c>
      <x:c r="O487" s="90" t="n">
        <x:v>2650384910.21</x:v>
      </x:c>
      <x:c r="P487" s="90" t="n">
        <x:v>1065418621.53</x:v>
      </x:c>
      <x:c r="Q487" s="90" t="n">
        <x:v>97483095.07</x:v>
      </x:c>
      <x:c r="R487" s="90" t="n">
        <x:v>-31247.43</x:v>
      </x:c>
      <x:c r="S487" s="90" t="n">
        <x:v>0</x:v>
      </x:c>
      <x:c r="T487" t="n">
        <x:v>0</x:v>
      </x:c>
      <x:c r="U487">
        <x:v>0</x:v>
      </x:c>
      <x:c r="V487">
        <x:v>0</x:v>
      </x:c>
      <x:c r="W487">
        <x:v>0</x:v>
      </x:c>
      <x:c r="X487">
        <x:v>0</x:v>
      </x:c>
      <x:c r="Y487" s="90">
        <x:v>0</x:v>
      </x:c>
      <x:c r="Z487" t="n">
        <x:v>0</x:v>
      </x:c>
    </x:row>
    <x:row r="488" spans="2:26" ht="12.75" customHeight="1" x14ac:dyDescent="0.2">
      <x:c r="E488" s="89" t="s">
        <x:v>81</x:v>
      </x:c>
      <x:c r="F488" s="371" t="n">
        <x:v>44029984.26</x:v>
      </x:c>
      <x:c r="G488" s="90" t="n">
        <x:v>5558443.26</x:v>
      </x:c>
      <x:c r="H488" s="90" t="n">
        <x:v>2499011.47</x:v>
      </x:c>
      <x:c r="I488" s="90" t="n">
        <x:v>975568.45</x:v>
      </x:c>
      <x:c r="J488" s="90" t="n">
        <x:v>7323304.4</x:v>
      </x:c>
      <x:c r="K488" s="90" t="n">
        <x:v>281514.84</x:v>
      </x:c>
      <x:c r="L488" s="90" t="n">
        <x:v>3196.95</x:v>
      </x:c>
      <x:c r="M488" s="90" t="n">
        <x:v>2467651.8</x:v>
      </x:c>
      <x:c r="N488" s="90" t="n">
        <x:v>2968352.29</x:v>
      </x:c>
      <x:c r="O488" s="90" t="n">
        <x:v>6873310.4</x:v>
      </x:c>
      <x:c r="P488" s="90" t="n">
        <x:v>14605987.13</x:v>
      </x:c>
      <x:c r="Q488" s="90" t="n">
        <x:v>459571.29</x:v>
      </x:c>
      <x:c r="R488" s="90" t="n">
        <x:v>14431.48</x:v>
      </x:c>
      <x:c r="S488" s="90" t="n">
        <x:v>0.02</x:v>
      </x:c>
      <x:c r="T488" t="n">
        <x:v>4.06</x:v>
      </x:c>
      <x:c r="U488">
        <x:v>0</x:v>
      </x:c>
      <x:c r="V488">
        <x:v>0</x:v>
      </x:c>
      <x:c r="W488">
        <x:v>0</x:v>
      </x:c>
      <x:c r="X488">
        <x:v>0</x:v>
      </x:c>
      <x:c r="Y488" s="90">
        <x:v>0</x:v>
      </x:c>
      <x:c r="Z488" t="n">
        <x:v>-363.58</x:v>
      </x:c>
    </x:row>
    <x:row r="489" spans="2:26" ht="12.75" customHeight="1" x14ac:dyDescent="0.2">
      <x:c r="D489" t="s">
        <x:v>156</x:v>
      </x:c>
      <x:c r="E489" s="89" t="s">
        <x:v>70</x:v>
      </x:c>
      <x:c r="F489" s="90" t="n">
        <x:v>7238088945.92</x:v>
      </x:c>
      <x:c r="G489" s="90" t="n">
        <x:v>408167209.16</x:v>
      </x:c>
      <x:c r="H489" s="90" t="n">
        <x:v>228241977.93</x:v>
      </x:c>
      <x:c r="I489" s="90" t="n">
        <x:v>119586279.69</x:v>
      </x:c>
      <x:c r="J489" s="90" t="n">
        <x:v>1524646724.29</x:v>
      </x:c>
      <x:c r="K489" s="90" t="n">
        <x:v>59899855.07</x:v>
      </x:c>
      <x:c r="L489" s="90" t="n">
        <x:v>19208887.53</x:v>
      </x:c>
      <x:c r="M489" s="90" t="n">
        <x:v>524416482.69</x:v>
      </x:c>
      <x:c r="N489" s="90" t="n">
        <x:v>518713209.38</x:v>
      </x:c>
      <x:c r="O489" s="90" t="n">
        <x:v>2657258220.61</x:v>
      </x:c>
      <x:c r="P489" s="90" t="n">
        <x:v>1080024608.66</x:v>
      </x:c>
      <x:c r="Q489" s="90" t="n">
        <x:v>97942666.36</x:v>
      </x:c>
      <x:c r="R489" s="90" t="n">
        <x:v>-16815.95</x:v>
      </x:c>
      <x:c r="S489" s="90" t="n">
        <x:v>0.02</x:v>
      </x:c>
      <x:c r="T489" t="n">
        <x:v>4.06</x:v>
      </x:c>
      <x:c r="U489">
        <x:v>0</x:v>
      </x:c>
      <x:c r="V489">
        <x:v>0</x:v>
      </x:c>
      <x:c r="W489">
        <x:v>0</x:v>
      </x:c>
      <x:c r="X489">
        <x:v>0</x:v>
      </x:c>
      <x:c r="Y489" s="90">
        <x:v>0</x:v>
      </x:c>
      <x:c r="Z489" t="n">
        <x:v>-363.58</x:v>
      </x:c>
    </x:row>
    <x:row r="490" spans="2:26" s="656" customFormat="1" ht="12.75" customHeight="1" x14ac:dyDescent="0.2">
      <x:c r="C490" s="656" t="s">
        <x:v>155</x:v>
      </x:c>
      <x:c r="D490" s="657" t="s">
        <x:v>70</x:v>
      </x:c>
      <x:c r="E490" s="657"/>
      <x:c r="F490" s="658" t="n">
        <x:v>7238088945.92</x:v>
      </x:c>
      <x:c r="G490" s="658" t="n">
        <x:v>408167209.16</x:v>
      </x:c>
      <x:c r="H490" s="658" t="n">
        <x:v>228241977.93</x:v>
      </x:c>
      <x:c r="I490" s="658" t="n">
        <x:v>119586279.69</x:v>
      </x:c>
      <x:c r="J490" s="658" t="n">
        <x:v>1524646724.29</x:v>
      </x:c>
      <x:c r="K490" s="658" t="n">
        <x:v>59899855.07</x:v>
      </x:c>
      <x:c r="L490" s="658" t="n">
        <x:v>19208887.53</x:v>
      </x:c>
      <x:c r="M490" s="658" t="n">
        <x:v>524416482.69</x:v>
      </x:c>
      <x:c r="N490" s="658" t="n">
        <x:v>518713209.38</x:v>
      </x:c>
      <x:c r="O490" s="658" t="n">
        <x:v>2657258220.61</x:v>
      </x:c>
      <x:c r="P490" s="658" t="n">
        <x:v>1080024608.66</x:v>
      </x:c>
      <x:c r="Q490" s="658" t="n">
        <x:v>97942666.36</x:v>
      </x:c>
      <x:c r="R490" s="658" t="n">
        <x:v>-16815.95</x:v>
      </x:c>
      <x:c r="S490" s="658" t="n">
        <x:v>0.02</x:v>
      </x:c>
      <x:c r="T490" s="656" t="n">
        <x:v>4.06</x:v>
      </x:c>
      <x:c r="U490" s="656">
        <x:v>0</x:v>
      </x:c>
      <x:c r="V490" s="656">
        <x:v>0</x:v>
      </x:c>
      <x:c r="W490" s="656">
        <x:v>0</x:v>
      </x:c>
      <x:c r="X490" s="656">
        <x:v>0</x:v>
      </x:c>
      <x:c r="Y490" s="658">
        <x:v>0</x:v>
      </x:c>
      <x:c r="Z490" s="656" t="n">
        <x:v>-363.58</x:v>
      </x:c>
    </x:row>
    <x:row r="491" spans="2:26" ht="12.75" customHeight="1" x14ac:dyDescent="0.2">
      <x:c r="D491" s="89"/>
      <x:c r="E491" s="89" t="s">
        <x:v>72</x:v>
      </x:c>
      <x:c r="F491" s="371" t="n">
        <x:v>1922958</x:v>
      </x:c>
      <x:c r="G491" s="90" t="n">
        <x:v>159319.16</x:v>
      </x:c>
      <x:c r="H491" s="90" t="n">
        <x:v>77548.72</x:v>
      </x:c>
      <x:c r="I491" s="90" t="n">
        <x:v>42986.6</x:v>
      </x:c>
      <x:c r="J491" s="90" t="n">
        <x:v>351264.11</x:v>
      </x:c>
      <x:c r="K491" s="90" t="n">
        <x:v>11893.99</x:v>
      </x:c>
      <x:c r="L491" s="90" t="n">
        <x:v>0</x:v>
      </x:c>
      <x:c r="M491" s="90" t="n">
        <x:v>104494.99</x:v>
      </x:c>
      <x:c r="N491" s="90" t="n">
        <x:v>120498.04</x:v>
      </x:c>
      <x:c r="O491" s="90" t="n">
        <x:v>609717.11</x:v>
      </x:c>
      <x:c r="P491" s="90" t="n">
        <x:v>425799.3</x:v>
      </x:c>
      <x:c r="Q491" s="90" t="n">
        <x:v>19451.58</x:v>
      </x:c>
      <x:c r="R491" s="90" t="n">
        <x:v>-15.6</x:v>
      </x:c>
      <x:c r="S491" s="90" t="n">
        <x:v>0</x:v>
      </x:c>
      <x:c r="T491" t="n">
        <x:v>0</x:v>
      </x:c>
      <x:c r="U491">
        <x:v>0</x:v>
      </x:c>
      <x:c r="V491">
        <x:v>0</x:v>
      </x:c>
      <x:c r="W491">
        <x:v>0</x:v>
      </x:c>
      <x:c r="X491">
        <x:v>0</x:v>
      </x:c>
      <x:c r="Y491" s="90">
        <x:v>0</x:v>
      </x:c>
      <x:c r="Z491" t="n">
        <x:v>0</x:v>
      </x:c>
    </x:row>
    <x:row r="492" spans="2:26" ht="12.75" customHeight="1" x14ac:dyDescent="0.2">
      <x:c r="D492" s="89"/>
      <x:c r="E492" s="89" t="s">
        <x:v>81</x:v>
      </x:c>
      <x:c r="F492" s="371" t="n">
        <x:v>31695.39</x:v>
      </x:c>
      <x:c r="G492" s="90" t="n">
        <x:v>2440.05</x:v>
      </x:c>
      <x:c r="H492" s="90" t="n">
        <x:v>1077.78</x:v>
      </x:c>
      <x:c r="I492" s="90" t="n">
        <x:v>590.11</x:v>
      </x:c>
      <x:c r="J492" s="90" t="n">
        <x:v>5061.17</x:v>
      </x:c>
      <x:c r="K492" s="90" t="n">
        <x:v>200.49</x:v>
      </x:c>
      <x:c r="L492" s="90" t="n">
        <x:v>0</x:v>
      </x:c>
      <x:c r="M492" s="90" t="n">
        <x:v>1825.33</x:v>
      </x:c>
      <x:c r="N492" s="90" t="n">
        <x:v>2262.81</x:v>
      </x:c>
      <x:c r="O492" s="90" t="n">
        <x:v>11418.11</x:v>
      </x:c>
      <x:c r="P492" s="90" t="n">
        <x:v>6482.7</x:v>
      </x:c>
      <x:c r="Q492" s="90" t="n">
        <x:v>336.81</x:v>
      </x:c>
      <x:c r="R492" s="90" t="n">
        <x:v>0.03</x:v>
      </x:c>
      <x:c r="S492" s="90" t="n">
        <x:v>0</x:v>
      </x:c>
      <x:c r="T492" t="n">
        <x:v>0</x:v>
      </x:c>
      <x:c r="U492">
        <x:v>0</x:v>
      </x:c>
      <x:c r="V492">
        <x:v>0</x:v>
      </x:c>
      <x:c r="W492">
        <x:v>0</x:v>
      </x:c>
      <x:c r="X492">
        <x:v>0</x:v>
      </x:c>
      <x:c r="Y492" s="90">
        <x:v>0</x:v>
      </x:c>
      <x:c r="Z492" t="n">
        <x:v>0</x:v>
      </x:c>
    </x:row>
    <x:row r="493" spans="2:26" ht="12.75" customHeight="1" x14ac:dyDescent="0.2">
      <x:c r="D493" s="89" t="s">
        <x:v>115</x:v>
      </x:c>
      <x:c r="E493" s="89" t="s">
        <x:v>70</x:v>
      </x:c>
      <x:c r="F493" s="371" t="n">
        <x:v>1954653.39</x:v>
      </x:c>
      <x:c r="G493" s="90" t="n">
        <x:v>161759.21</x:v>
      </x:c>
      <x:c r="H493" s="90" t="n">
        <x:v>78626.5</x:v>
      </x:c>
      <x:c r="I493" s="90" t="n">
        <x:v>43576.71</x:v>
      </x:c>
      <x:c r="J493" s="90" t="n">
        <x:v>356325.28</x:v>
      </x:c>
      <x:c r="K493" s="90" t="n">
        <x:v>12094.48</x:v>
      </x:c>
      <x:c r="L493" s="90" t="n">
        <x:v>0</x:v>
      </x:c>
      <x:c r="M493" s="90" t="n">
        <x:v>106320.32</x:v>
      </x:c>
      <x:c r="N493" s="90" t="n">
        <x:v>122760.85</x:v>
      </x:c>
      <x:c r="O493" s="90" t="n">
        <x:v>621135.22</x:v>
      </x:c>
      <x:c r="P493" s="90" t="n">
        <x:v>432282</x:v>
      </x:c>
      <x:c r="Q493" s="90" t="n">
        <x:v>19788.39</x:v>
      </x:c>
      <x:c r="R493" s="90" t="n">
        <x:v>-15.57</x:v>
      </x:c>
      <x:c r="S493" s="90" t="n">
        <x:v>0</x:v>
      </x:c>
      <x:c r="T493" t="n">
        <x:v>0</x:v>
      </x:c>
      <x:c r="U493">
        <x:v>0</x:v>
      </x:c>
      <x:c r="V493">
        <x:v>0</x:v>
      </x:c>
      <x:c r="W493">
        <x:v>0</x:v>
      </x:c>
      <x:c r="X493">
        <x:v>0</x:v>
      </x:c>
      <x:c r="Y493" s="90">
        <x:v>0</x:v>
      </x:c>
      <x:c r="Z493" t="n">
        <x:v>0</x:v>
      </x:c>
    </x:row>
    <x:row r="494" spans="2:26" ht="12.75" customHeight="1" x14ac:dyDescent="0.2">
      <x:c r="C494" s="89"/>
      <x:c r="D494" s="89"/>
      <x:c r="E494" t="s">
        <x:v>72</x:v>
      </x:c>
      <x:c r="F494" s="90" t="n">
        <x:v>74289.79</x:v>
      </x:c>
      <x:c r="G494" s="90" t="n">
        <x:v>4022.86</x:v>
      </x:c>
      <x:c r="H494" s="90" t="n">
        <x:v>1850.83</x:v>
      </x:c>
      <x:c r="I494" s="90" t="n">
        <x:v>1005.97</x:v>
      </x:c>
      <x:c r="J494" s="90" t="n">
        <x:v>19690.83</x:v>
      </x:c>
      <x:c r="K494" s="90" t="n">
        <x:v>487.51</x:v>
      </x:c>
      <x:c r="L494" s="90" t="n">
        <x:v>0</x:v>
      </x:c>
      <x:c r="M494" s="90" t="n">
        <x:v>4276.5</x:v>
      </x:c>
      <x:c r="N494" s="90" t="n">
        <x:v>5295.45</x:v>
      </x:c>
      <x:c r="O494" s="90" t="n">
        <x:v>25967.6</x:v>
      </x:c>
      <x:c r="P494" s="90" t="n">
        <x:v>10897.84</x:v>
      </x:c>
      <x:c r="Q494" s="90" t="n">
        <x:v>795.43</x:v>
      </x:c>
      <x:c r="R494" s="90" t="n">
        <x:v>-1.03</x:v>
      </x:c>
      <x:c r="S494" s="90" t="n">
        <x:v>0</x:v>
      </x:c>
      <x:c r="T494" t="n">
        <x:v>0</x:v>
      </x:c>
      <x:c r="U494">
        <x:v>0</x:v>
      </x:c>
      <x:c r="V494">
        <x:v>0</x:v>
      </x:c>
      <x:c r="W494">
        <x:v>0</x:v>
      </x:c>
      <x:c r="X494">
        <x:v>0</x:v>
      </x:c>
      <x:c r="Y494" s="90">
        <x:v>0</x:v>
      </x:c>
      <x:c r="Z494" t="n">
        <x:v>0</x:v>
      </x:c>
    </x:row>
    <x:row r="495" spans="2:26" ht="12.75" customHeight="1" x14ac:dyDescent="0.2">
      <x:c r="E495" s="89" t="s">
        <x:v>81</x:v>
      </x:c>
      <x:c r="F495" s="90" t="n">
        <x:v>326.05</x:v>
      </x:c>
      <x:c r="G495" s="90" t="n">
        <x:v>31.66</x:v>
      </x:c>
      <x:c r="H495" s="90" t="n">
        <x:v>16.84</x:v>
      </x:c>
      <x:c r="I495" s="90" t="n">
        <x:v>9.14</x:v>
      </x:c>
      <x:c r="J495" s="90" t="n">
        <x:v>155.9</x:v>
      </x:c>
      <x:c r="K495" s="90" t="n">
        <x:v>5.06</x:v>
      </x:c>
      <x:c r="L495" s="90" t="n">
        <x:v>0</x:v>
      </x:c>
      <x:c r="M495" s="90" t="n">
        <x:v>44.21</x:v>
      </x:c>
      <x:c r="N495" s="90" t="n">
        <x:v>46.71</x:v>
      </x:c>
      <x:c r="O495" s="90" t="n">
        <x:v>-76.52</x:v>
      </x:c>
      <x:c r="P495" s="90" t="n">
        <x:v>84.83</x:v>
      </x:c>
      <x:c r="Q495" s="90" t="n">
        <x:v>8.21</x:v>
      </x:c>
      <x:c r="R495" s="90" t="n">
        <x:v>0.01</x:v>
      </x:c>
      <x:c r="S495" s="90" t="n">
        <x:v>0</x:v>
      </x:c>
      <x:c r="T495" t="n">
        <x:v>0</x:v>
      </x:c>
      <x:c r="U495">
        <x:v>0</x:v>
      </x:c>
      <x:c r="V495">
        <x:v>0</x:v>
      </x:c>
      <x:c r="W495">
        <x:v>0</x:v>
      </x:c>
      <x:c r="X495">
        <x:v>0</x:v>
      </x:c>
      <x:c r="Y495" s="90">
        <x:v>0</x:v>
      </x:c>
      <x:c r="Z495" t="n">
        <x:v>0</x:v>
      </x:c>
    </x:row>
    <x:row r="496" spans="2:26" ht="12.75" customHeight="1" x14ac:dyDescent="0.2">
      <x:c r="D496" s="773">
        <x:v>2</x:v>
      </x:c>
      <x:c r="E496" s="89" t="s">
        <x:v>70</x:v>
      </x:c>
      <x:c r="F496" s="90" t="n">
        <x:v>74615.84</x:v>
      </x:c>
      <x:c r="G496" s="90" t="n">
        <x:v>4054.52</x:v>
      </x:c>
      <x:c r="H496" s="90" t="n">
        <x:v>1867.67</x:v>
      </x:c>
      <x:c r="I496" s="90" t="n">
        <x:v>1015.11</x:v>
      </x:c>
      <x:c r="J496" s="90" t="n">
        <x:v>19846.73</x:v>
      </x:c>
      <x:c r="K496" s="90" t="n">
        <x:v>492.57</x:v>
      </x:c>
      <x:c r="L496" s="90" t="n">
        <x:v>0</x:v>
      </x:c>
      <x:c r="M496" s="90" t="n">
        <x:v>4320.71</x:v>
      </x:c>
      <x:c r="N496" s="90" t="n">
        <x:v>5342.16</x:v>
      </x:c>
      <x:c r="O496" s="90" t="n">
        <x:v>25891.08</x:v>
      </x:c>
      <x:c r="P496" s="90" t="n">
        <x:v>10982.67</x:v>
      </x:c>
      <x:c r="Q496" s="90" t="n">
        <x:v>803.64</x:v>
      </x:c>
      <x:c r="R496" s="90" t="n">
        <x:v>-1.02</x:v>
      </x:c>
      <x:c r="S496" s="90" t="n">
        <x:v>0</x:v>
      </x:c>
      <x:c r="T496" t="n">
        <x:v>0</x:v>
      </x:c>
      <x:c r="U496">
        <x:v>0</x:v>
      </x:c>
      <x:c r="V496">
        <x:v>0</x:v>
      </x:c>
      <x:c r="W496">
        <x:v>0</x:v>
      </x:c>
      <x:c r="X496">
        <x:v>0</x:v>
      </x:c>
      <x:c r="Y496" s="90">
        <x:v>0</x:v>
      </x:c>
      <x:c r="Z496" t="n">
        <x:v>0</x:v>
      </x:c>
    </x:row>
    <x:row r="497" spans="1:26" ht="12.75" customHeight="1" x14ac:dyDescent="0.2">
      <x:c r="C497" s="89"/>
      <x:c r="D497" s="89"/>
      <x:c r="E497" t="s">
        <x:v>72</x:v>
      </x:c>
      <x:c r="F497" s="90" t="n">
        <x:v>3331549.61</x:v>
      </x:c>
      <x:c r="G497" s="90" t="n">
        <x:v>182192.21</x:v>
      </x:c>
      <x:c r="H497" s="90" t="n">
        <x:v>102153.37</x:v>
      </x:c>
      <x:c r="I497" s="90" t="n">
        <x:v>54175.39</x:v>
      </x:c>
      <x:c r="J497" s="90" t="n">
        <x:v>745643.89</x:v>
      </x:c>
      <x:c r="K497" s="90" t="n">
        <x:v>26606.11</x:v>
      </x:c>
      <x:c r="L497" s="90" t="n">
        <x:v>0</x:v>
      </x:c>
      <x:c r="M497" s="90" t="n">
        <x:v>233387.39</x:v>
      </x:c>
      <x:c r="N497" s="90" t="n">
        <x:v>238637.89</x:v>
      </x:c>
      <x:c r="O497" s="90" t="n">
        <x:v>1220767.39</x:v>
      </x:c>
      <x:c r="P497" s="90" t="n">
        <x:v>484597.6</x:v>
      </x:c>
      <x:c r="Q497" s="90" t="n">
        <x:v>43409.91</x:v>
      </x:c>
      <x:c r="R497" s="90" t="n">
        <x:v>-21.54</x:v>
      </x:c>
      <x:c r="S497" s="90" t="n">
        <x:v>0</x:v>
      </x:c>
      <x:c r="T497" t="n">
        <x:v>0</x:v>
      </x:c>
      <x:c r="U497">
        <x:v>0</x:v>
      </x:c>
      <x:c r="V497">
        <x:v>0</x:v>
      </x:c>
      <x:c r="W497">
        <x:v>0</x:v>
      </x:c>
      <x:c r="X497">
        <x:v>0</x:v>
      </x:c>
      <x:c r="Y497" s="90">
        <x:v>0</x:v>
      </x:c>
      <x:c r="Z497" t="n">
        <x:v>0</x:v>
      </x:c>
    </x:row>
    <x:row r="498" spans="1:26" ht="12.75" customHeight="1" x14ac:dyDescent="0.2">
      <x:c r="E498" s="89" t="s">
        <x:v>81</x:v>
      </x:c>
      <x:c r="F498" s="90" t="n">
        <x:v>-6870.16</x:v>
      </x:c>
      <x:c r="G498" s="90" t="n">
        <x:v>20.28</x:v>
      </x:c>
      <x:c r="H498" s="90" t="n">
        <x:v>11.42</x:v>
      </x:c>
      <x:c r="I498" s="90" t="n">
        <x:v>6.22</x:v>
      </x:c>
      <x:c r="J498" s="90" t="n">
        <x:v>95.64</x:v>
      </x:c>
      <x:c r="K498" s="90" t="n">
        <x:v>2.91</x:v>
      </x:c>
      <x:c r="L498" s="90" t="n">
        <x:v>0</x:v>
      </x:c>
      <x:c r="M498" s="90" t="n">
        <x:v>25.68</x:v>
      </x:c>
      <x:c r="N498" s="90" t="n">
        <x:v>29.91</x:v>
      </x:c>
      <x:c r="O498" s="90" t="n">
        <x:v>-7121.32</x:v>
      </x:c>
      <x:c r="P498" s="90" t="n">
        <x:v>54.28</x:v>
      </x:c>
      <x:c r="Q498" s="90" t="n">
        <x:v>4.82</x:v>
      </x:c>
      <x:c r="R498" s="90" t="n">
        <x:v>0</x:v>
      </x:c>
      <x:c r="S498" s="90" t="n">
        <x:v>0</x:v>
      </x:c>
      <x:c r="T498" t="n">
        <x:v>0</x:v>
      </x:c>
      <x:c r="U498">
        <x:v>0</x:v>
      </x:c>
      <x:c r="V498">
        <x:v>0</x:v>
      </x:c>
      <x:c r="W498">
        <x:v>0</x:v>
      </x:c>
      <x:c r="X498">
        <x:v>0</x:v>
      </x:c>
      <x:c r="Y498" s="90">
        <x:v>0</x:v>
      </x:c>
      <x:c r="Z498" t="n">
        <x:v>0</x:v>
      </x:c>
    </x:row>
    <x:row r="499" spans="1:26" ht="12.75" customHeight="1" x14ac:dyDescent="0.2">
      <x:c r="D499" t="s">
        <x:v>118</x:v>
      </x:c>
      <x:c r="E499" s="89" t="s">
        <x:v>70</x:v>
      </x:c>
      <x:c r="F499" s="90" t="n">
        <x:v>3324679.45</x:v>
      </x:c>
      <x:c r="G499" s="90" t="n">
        <x:v>182212.49</x:v>
      </x:c>
      <x:c r="H499" s="90" t="n">
        <x:v>102164.79</x:v>
      </x:c>
      <x:c r="I499" s="90" t="n">
        <x:v>54181.61</x:v>
      </x:c>
      <x:c r="J499" s="90" t="n">
        <x:v>745739.53</x:v>
      </x:c>
      <x:c r="K499" s="90" t="n">
        <x:v>26609.02</x:v>
      </x:c>
      <x:c r="L499" s="90" t="n">
        <x:v>0</x:v>
      </x:c>
      <x:c r="M499" s="90" t="n">
        <x:v>233413.07</x:v>
      </x:c>
      <x:c r="N499" s="90" t="n">
        <x:v>238667.8</x:v>
      </x:c>
      <x:c r="O499" s="90" t="n">
        <x:v>1213646.07</x:v>
      </x:c>
      <x:c r="P499" s="90" t="n">
        <x:v>484651.88</x:v>
      </x:c>
      <x:c r="Q499" s="90" t="n">
        <x:v>43414.73</x:v>
      </x:c>
      <x:c r="R499" s="90" t="n">
        <x:v>-21.54</x:v>
      </x:c>
      <x:c r="S499" s="90" t="n">
        <x:v>0</x:v>
      </x:c>
      <x:c r="T499" t="n">
        <x:v>0</x:v>
      </x:c>
      <x:c r="U499">
        <x:v>0</x:v>
      </x:c>
      <x:c r="V499">
        <x:v>0</x:v>
      </x:c>
      <x:c r="W499">
        <x:v>0</x:v>
      </x:c>
      <x:c r="X499">
        <x:v>0</x:v>
      </x:c>
      <x:c r="Y499" s="90">
        <x:v>0</x:v>
      </x:c>
      <x:c r="Z499" t="n">
        <x:v>0</x:v>
      </x:c>
    </x:row>
    <x:row r="500" spans="1:26" s="224" customFormat="1" ht="12.75" customHeight="1" x14ac:dyDescent="0.2">
      <x:c r="C500" s="223" t="s">
        <x:v>120</x:v>
      </x:c>
      <x:c r="D500" s="223" t="s">
        <x:v>70</x:v>
      </x:c>
      <x:c r="F500" s="225" t="n">
        <x:v>5353948.68</x:v>
      </x:c>
      <x:c r="G500" s="225" t="n">
        <x:v>348026.22</x:v>
      </x:c>
      <x:c r="H500" s="225" t="n">
        <x:v>182658.96</x:v>
      </x:c>
      <x:c r="I500" s="225" t="n">
        <x:v>98773.43</x:v>
      </x:c>
      <x:c r="J500" s="225" t="n">
        <x:v>1121911.54</x:v>
      </x:c>
      <x:c r="K500" s="225" t="n">
        <x:v>39196.07</x:v>
      </x:c>
      <x:c r="L500" s="225" t="n">
        <x:v>0</x:v>
      </x:c>
      <x:c r="M500" s="225" t="n">
        <x:v>344054.1</x:v>
      </x:c>
      <x:c r="N500" s="225" t="n">
        <x:v>366770.81</x:v>
      </x:c>
      <x:c r="O500" s="225" t="n">
        <x:v>1860672.37</x:v>
      </x:c>
      <x:c r="P500" s="225" t="n">
        <x:v>927916.55</x:v>
      </x:c>
      <x:c r="Q500" s="225" t="n">
        <x:v>64006.76</x:v>
      </x:c>
      <x:c r="R500" s="225" t="n">
        <x:v>-38.13</x:v>
      </x:c>
      <x:c r="S500" s="225" t="n">
        <x:v>0</x:v>
      </x:c>
      <x:c r="T500" s="224" t="n">
        <x:v>0</x:v>
      </x:c>
      <x:c r="U500" s="224">
        <x:v>0</x:v>
      </x:c>
      <x:c r="V500" s="224">
        <x:v>0</x:v>
      </x:c>
      <x:c r="W500" s="224">
        <x:v>0</x:v>
      </x:c>
      <x:c r="X500" s="224">
        <x:v>0</x:v>
      </x:c>
      <x:c r="Y500" s="225">
        <x:v>0</x:v>
      </x:c>
      <x:c r="Z500" s="224" t="n">
        <x:v>0</x:v>
      </x:c>
    </x:row>
    <x:row r="501" spans="1:26" ht="12.75" customHeight="1" x14ac:dyDescent="0.2">
      <x:c r="E501" s="89" t="s">
        <x:v>72</x:v>
      </x:c>
      <x:c r="F501" s="90" t="n">
        <x:v>48847452.5</x:v>
      </x:c>
      <x:c r="G501" s="90" t="n">
        <x:v>2956898.65</x:v>
      </x:c>
      <x:c r="H501" s="90" t="n">
        <x:v>1670858.56</x:v>
      </x:c>
      <x:c r="I501" s="90" t="n">
        <x:v>890663.49</x:v>
      </x:c>
      <x:c r="J501" s="90" t="n">
        <x:v>10650539.58</x:v>
      </x:c>
      <x:c r="K501" s="90" t="n">
        <x:v>289194.06</x:v>
      </x:c>
      <x:c r="L501" s="90" t="n">
        <x:v>0</x:v>
      </x:c>
      <x:c r="M501" s="90" t="n">
        <x:v>2525057.51</x:v>
      </x:c>
      <x:c r="N501" s="90" t="n">
        <x:v>3504369.81</x:v>
      </x:c>
      <x:c r="O501" s="90" t="n">
        <x:v>18008545.39</x:v>
      </x:c>
      <x:c r="P501" s="90" t="n">
        <x:v>7877853.09</x:v>
      </x:c>
      <x:c r="Q501" s="90" t="n">
        <x:v>473033.96</x:v>
      </x:c>
      <x:c r="R501" s="90" t="n">
        <x:v>438.4</x:v>
      </x:c>
      <x:c r="S501" s="90" t="n">
        <x:v>0</x:v>
      </x:c>
      <x:c r="T501" t="n">
        <x:v>0</x:v>
      </x:c>
      <x:c r="U501">
        <x:v>0</x:v>
      </x:c>
      <x:c r="V501">
        <x:v>0</x:v>
      </x:c>
      <x:c r="W501">
        <x:v>0</x:v>
      </x:c>
      <x:c r="X501">
        <x:v>0</x:v>
      </x:c>
      <x:c r="Y501" s="90">
        <x:v>0</x:v>
      </x:c>
      <x:c r="Z501" t="n">
        <x:v>0</x:v>
      </x:c>
    </x:row>
    <x:row r="502" spans="1:26" ht="12.75" customHeight="1" x14ac:dyDescent="0.2">
      <x:c r="D502" s="89"/>
      <x:c r="E502" s="89" t="s">
        <x:v>81</x:v>
      </x:c>
      <x:c r="F502" s="90" t="n">
        <x:v>-4501.92</x:v>
      </x:c>
      <x:c r="G502" s="90" t="n">
        <x:v>1047.21</x:v>
      </x:c>
      <x:c r="H502" s="90" t="n">
        <x:v>565.68</x:v>
      </x:c>
      <x:c r="I502" s="90" t="n">
        <x:v>302.85</x:v>
      </x:c>
      <x:c r="J502" s="90" t="n">
        <x:v>3704.93</x:v>
      </x:c>
      <x:c r="K502" s="90" t="n">
        <x:v>98.85</x:v>
      </x:c>
      <x:c r="L502" s="90" t="n">
        <x:v>0</x:v>
      </x:c>
      <x:c r="M502" s="90" t="n">
        <x:v>865.38</x:v>
      </x:c>
      <x:c r="N502" s="90" t="n">
        <x:v>1214.32</x:v>
      </x:c>
      <x:c r="O502" s="90" t="n">
        <x:v>-15273.45</x:v>
      </x:c>
      <x:c r="P502" s="90" t="n">
        <x:v>2811.97</x:v>
      </x:c>
      <x:c r="Q502" s="90" t="n">
        <x:v>160.66</x:v>
      </x:c>
      <x:c r="R502" s="90" t="n">
        <x:v>-0.44</x:v>
      </x:c>
      <x:c r="S502" s="90" t="n">
        <x:v>0.12</x:v>
      </x:c>
      <x:c r="T502" t="n">
        <x:v>0</x:v>
      </x:c>
      <x:c r="U502">
        <x:v>0</x:v>
      </x:c>
      <x:c r="V502">
        <x:v>0</x:v>
      </x:c>
      <x:c r="W502">
        <x:v>0</x:v>
      </x:c>
      <x:c r="X502">
        <x:v>0</x:v>
      </x:c>
      <x:c r="Y502" s="90">
        <x:v>0</x:v>
      </x:c>
      <x:c r="Z502" t="n">
        <x:v>0</x:v>
      </x:c>
    </x:row>
    <x:row r="503" spans="1:26" ht="12.75" customHeight="1" x14ac:dyDescent="0.2">
      <x:c r="D503" t="s">
        <x:v>82</x:v>
      </x:c>
      <x:c r="E503" s="89" t="s">
        <x:v>70</x:v>
      </x:c>
      <x:c r="F503" s="90" t="n">
        <x:v>48842950.58</x:v>
      </x:c>
      <x:c r="G503" s="90" t="n">
        <x:v>2957945.86</x:v>
      </x:c>
      <x:c r="H503" s="90" t="n">
        <x:v>1671424.24</x:v>
      </x:c>
      <x:c r="I503" s="90" t="n">
        <x:v>890966.34</x:v>
      </x:c>
      <x:c r="J503" s="90" t="n">
        <x:v>10654244.51</x:v>
      </x:c>
      <x:c r="K503" s="90" t="n">
        <x:v>289292.91</x:v>
      </x:c>
      <x:c r="L503" s="90" t="n">
        <x:v>0</x:v>
      </x:c>
      <x:c r="M503" s="90" t="n">
        <x:v>2525922.89</x:v>
      </x:c>
      <x:c r="N503" s="90" t="n">
        <x:v>3505584.13</x:v>
      </x:c>
      <x:c r="O503" s="90" t="n">
        <x:v>17993271.94</x:v>
      </x:c>
      <x:c r="P503" s="90" t="n">
        <x:v>7880665.06</x:v>
      </x:c>
      <x:c r="Q503" s="90" t="n">
        <x:v>473194.62</x:v>
      </x:c>
      <x:c r="R503" s="90" t="n">
        <x:v>437.96</x:v>
      </x:c>
      <x:c r="S503" s="90" t="n">
        <x:v>0.12</x:v>
      </x:c>
      <x:c r="T503" t="n">
        <x:v>0</x:v>
      </x:c>
      <x:c r="U503">
        <x:v>0</x:v>
      </x:c>
      <x:c r="V503">
        <x:v>0</x:v>
      </x:c>
      <x:c r="W503">
        <x:v>0</x:v>
      </x:c>
      <x:c r="X503">
        <x:v>0</x:v>
      </x:c>
      <x:c r="Y503" s="90">
        <x:v>0</x:v>
      </x:c>
      <x:c r="Z503" t="n">
        <x:v>0</x:v>
      </x:c>
    </x:row>
    <x:row r="504" spans="1:26" ht="12.75" customHeight="1" x14ac:dyDescent="0.2">
      <x:c r="E504" s="89" t="s">
        <x:v>72</x:v>
      </x:c>
      <x:c r="F504" s="90" t="n">
        <x:v>137467523.91</x:v>
      </x:c>
      <x:c r="G504" s="90" t="n">
        <x:v>8663269.4</x:v>
      </x:c>
      <x:c r="H504" s="90" t="n">
        <x:v>4412110.42</x:v>
      </x:c>
      <x:c r="I504" s="90" t="n">
        <x:v>2001839.24</x:v>
      </x:c>
      <x:c r="J504" s="90" t="n">
        <x:v>22410734.67</x:v>
      </x:c>
      <x:c r="K504" s="90" t="n">
        <x:v>875496.56</x:v>
      </x:c>
      <x:c r="L504" s="90" t="n">
        <x:v>1472893.34</x:v>
      </x:c>
      <x:c r="M504" s="90" t="n">
        <x:v>9306214.48</x:v>
      </x:c>
      <x:c r="N504" s="90" t="n">
        <x:v>10653553.7</x:v>
      </x:c>
      <x:c r="O504" s="90" t="n">
        <x:v>52243121.2</x:v>
      </x:c>
      <x:c r="P504" s="90" t="n">
        <x:v>23995973.79</x:v>
      </x:c>
      <x:c r="Q504" s="90" t="n">
        <x:v>1432482.64</x:v>
      </x:c>
      <x:c r="R504" s="90" t="n">
        <x:v>-165.53</x:v>
      </x:c>
      <x:c r="S504" s="90" t="n">
        <x:v>0</x:v>
      </x:c>
      <x:c r="T504" t="n">
        <x:v>0</x:v>
      </x:c>
      <x:c r="U504">
        <x:v>0</x:v>
      </x:c>
      <x:c r="V504">
        <x:v>0</x:v>
      </x:c>
      <x:c r="W504">
        <x:v>0</x:v>
      </x:c>
      <x:c r="X504">
        <x:v>0</x:v>
      </x:c>
      <x:c r="Y504" s="90">
        <x:v>0</x:v>
      </x:c>
      <x:c r="Z504" t="n">
        <x:v>0</x:v>
      </x:c>
    </x:row>
    <x:row r="505" spans="1:26" ht="12.75" customHeight="1" x14ac:dyDescent="0.2">
      <x:c r="D505" s="89"/>
      <x:c r="E505" s="89" t="s">
        <x:v>81</x:v>
      </x:c>
      <x:c r="F505" s="90" t="n">
        <x:v>18712430.98</x:v>
      </x:c>
      <x:c r="G505" s="90" t="n">
        <x:v>2019789.4</x:v>
      </x:c>
      <x:c r="H505" s="90" t="n">
        <x:v>879794.96</x:v>
      </x:c>
      <x:c r="I505" s="90" t="n">
        <x:v>335545.4</x:v>
      </x:c>
      <x:c r="J505" s="90" t="n">
        <x:v>3041356.19</x:v>
      </x:c>
      <x:c r="K505" s="90" t="n">
        <x:v>124932.99</x:v>
      </x:c>
      <x:c r="L505" s="90" t="n">
        <x:v>0</x:v>
      </x:c>
      <x:c r="M505" s="90" t="n">
        <x:v>1095367.92</x:v>
      </x:c>
      <x:c r="N505" s="90" t="n">
        <x:v>1290315.49</x:v>
      </x:c>
      <x:c r="O505" s="90" t="n">
        <x:v>4393356.75</x:v>
      </x:c>
      <x:c r="P505" s="90" t="n">
        <x:v>5328262.13</x:v>
      </x:c>
      <x:c r="Q505" s="90" t="n">
        <x:v>203881.06</x:v>
      </x:c>
      <x:c r="R505" s="90" t="n">
        <x:v>-90.62</x:v>
      </x:c>
      <x:c r="S505" s="90" t="n">
        <x:v>0</x:v>
      </x:c>
      <x:c r="T505" t="n">
        <x:v>2.35</x:v>
      </x:c>
      <x:c r="U505">
        <x:v>0</x:v>
      </x:c>
      <x:c r="V505">
        <x:v>0</x:v>
      </x:c>
      <x:c r="W505">
        <x:v>0</x:v>
      </x:c>
      <x:c r="X505">
        <x:v>0</x:v>
      </x:c>
      <x:c r="Y505" s="90">
        <x:v>0</x:v>
      </x:c>
      <x:c r="Z505" t="n">
        <x:v>-83.04</x:v>
      </x:c>
    </x:row>
    <x:row r="506" spans="1:26" ht="12.75" customHeight="1" x14ac:dyDescent="0.2">
      <x:c r="C506" s="89"/>
      <x:c r="D506" s="89" t="s">
        <x:v>86</x:v>
      </x:c>
      <x:c r="E506" t="s">
        <x:v>70</x:v>
      </x:c>
      <x:c r="F506" s="90" t="n">
        <x:v>156179954.89</x:v>
      </x:c>
      <x:c r="G506" s="90" t="n">
        <x:v>10683058.8</x:v>
      </x:c>
      <x:c r="H506" s="90" t="n">
        <x:v>5291905.38</x:v>
      </x:c>
      <x:c r="I506" s="90" t="n">
        <x:v>2337384.64</x:v>
      </x:c>
      <x:c r="J506" s="90" t="n">
        <x:v>25452090.86</x:v>
      </x:c>
      <x:c r="K506" s="90" t="n">
        <x:v>1000429.55</x:v>
      </x:c>
      <x:c r="L506" s="90" t="n">
        <x:v>1472893.34</x:v>
      </x:c>
      <x:c r="M506" s="90" t="n">
        <x:v>10401582.4</x:v>
      </x:c>
      <x:c r="N506" s="90" t="n">
        <x:v>11943869.19</x:v>
      </x:c>
      <x:c r="O506" s="90" t="n">
        <x:v>56636477.95</x:v>
      </x:c>
      <x:c r="P506" s="90" t="n">
        <x:v>29324235.92</x:v>
      </x:c>
      <x:c r="Q506" s="90" t="n">
        <x:v>1636363.7</x:v>
      </x:c>
      <x:c r="R506" s="90" t="n">
        <x:v>-256.15</x:v>
      </x:c>
      <x:c r="S506" s="90" t="n">
        <x:v>0</x:v>
      </x:c>
      <x:c r="T506" t="n">
        <x:v>2.35</x:v>
      </x:c>
      <x:c r="U506">
        <x:v>0</x:v>
      </x:c>
      <x:c r="V506">
        <x:v>0</x:v>
      </x:c>
      <x:c r="W506">
        <x:v>0</x:v>
      </x:c>
      <x:c r="X506">
        <x:v>0</x:v>
      </x:c>
      <x:c r="Y506" s="90">
        <x:v>0</x:v>
      </x:c>
      <x:c r="Z506" t="n">
        <x:v>-83.04</x:v>
      </x:c>
    </x:row>
    <x:row r="507" spans="1:26" ht="12.75" customHeight="1" x14ac:dyDescent="0.2">
      <x:c r="B507" s="89"/>
      <x:c r="C507" s="89"/>
      <x:c r="E507" t="s">
        <x:v>72</x:v>
      </x:c>
      <x:c r="F507" s="90" t="n">
        <x:v>241323099.81</x:v>
      </x:c>
      <x:c r="G507" s="90" t="n">
        <x:v>38330997.58</x:v>
      </x:c>
      <x:c r="H507" s="90" t="n">
        <x:v>21631334.39</x:v>
      </x:c>
      <x:c r="I507" s="90" t="n">
        <x:v>11395580.82</x:v>
      </x:c>
      <x:c r="J507" s="90" t="n">
        <x:v>17111977.15</x:v>
      </x:c>
      <x:c r="K507" s="90" t="n">
        <x:v>446892.78</x:v>
      </x:c>
      <x:c r="L507" s="90" t="n">
        <x:v>13442000</x:v>
      </x:c>
      <x:c r="M507" s="90" t="n">
        <x:v>3889784.64</x:v>
      </x:c>
      <x:c r="N507" s="90" t="n">
        <x:v>5545916.4</x:v>
      </x:c>
      <x:c r="O507" s="90" t="n">
        <x:v>28257377.93</x:v>
      </x:c>
      <x:c r="P507" s="90" t="n">
        <x:v>100541636.9</x:v>
      </x:c>
      <x:c r="Q507" s="90" t="n">
        <x:v>729204.82</x:v>
      </x:c>
      <x:c r="R507" s="90" t="n">
        <x:v>396.4</x:v>
      </x:c>
      <x:c r="S507" s="90" t="n">
        <x:v>0</x:v>
      </x:c>
      <x:c r="T507" t="n">
        <x:v>0</x:v>
      </x:c>
      <x:c r="U507">
        <x:v>0</x:v>
      </x:c>
      <x:c r="V507">
        <x:v>0</x:v>
      </x:c>
      <x:c r="W507">
        <x:v>0</x:v>
      </x:c>
      <x:c r="X507">
        <x:v>0</x:v>
      </x:c>
      <x:c r="Y507" s="90">
        <x:v>0</x:v>
      </x:c>
      <x:c r="Z507" t="n">
        <x:v>0</x:v>
      </x:c>
    </x:row>
    <x:row r="508" spans="1:26" ht="12.75" customHeight="1" x14ac:dyDescent="0.2">
      <x:c r="A508" s="89"/>
      <x:c r="B508" s="89"/>
      <x:c r="E508" t="s">
        <x:v>81</x:v>
      </x:c>
      <x:c r="F508" s="90" t="n">
        <x:v>123717.69</x:v>
      </x:c>
      <x:c r="G508" s="90" t="n">
        <x:v>22646.3</x:v>
      </x:c>
      <x:c r="H508" s="90" t="n">
        <x:v>9129.34</x:v>
      </x:c>
      <x:c r="I508" s="90" t="n">
        <x:v>3521.77</x:v>
      </x:c>
      <x:c r="J508" s="90" t="n">
        <x:v>18601.31</x:v>
      </x:c>
      <x:c r="K508" s="90" t="n">
        <x:v>733.66</x:v>
      </x:c>
      <x:c r="L508" s="90" t="n">
        <x:v>4564.06</x:v>
      </x:c>
      <x:c r="M508" s="90" t="n">
        <x:v>6361.15</x:v>
      </x:c>
      <x:c r="N508" s="90" t="n">
        <x:v>7389.75</x:v>
      </x:c>
      <x:c r="O508" s="90" t="n">
        <x:v>-13914.1</x:v>
      </x:c>
      <x:c r="P508" s="90" t="n">
        <x:v>63487.55</x:v>
      </x:c>
      <x:c r="Q508" s="90" t="n">
        <x:v>1198.46</x:v>
      </x:c>
      <x:c r="R508" s="90" t="n">
        <x:v>-1.56</x:v>
      </x:c>
      <x:c r="S508" s="90" t="n">
        <x:v>0</x:v>
      </x:c>
      <x:c r="T508" t="n">
        <x:v>0</x:v>
      </x:c>
      <x:c r="U508">
        <x:v>0</x:v>
      </x:c>
      <x:c r="V508">
        <x:v>0</x:v>
      </x:c>
      <x:c r="W508">
        <x:v>0</x:v>
      </x:c>
      <x:c r="X508">
        <x:v>0</x:v>
      </x:c>
      <x:c r="Y508" s="90">
        <x:v>0</x:v>
      </x:c>
      <x:c r="Z508" t="n">
        <x:v>0</x:v>
      </x:c>
    </x:row>
    <x:row r="509" spans="1:26" ht="12.75" customHeight="1" x14ac:dyDescent="0.2">
      <x:c r="A509" s="89"/>
      <x:c r="B509" s="89"/>
      <x:c r="D509" t="s">
        <x:v>87</x:v>
      </x:c>
      <x:c r="E509" t="s">
        <x:v>70</x:v>
      </x:c>
      <x:c r="F509" s="371" t="n">
        <x:v>241446817.5</x:v>
      </x:c>
      <x:c r="G509" s="90" t="n">
        <x:v>38353643.88</x:v>
      </x:c>
      <x:c r="H509" s="90" t="n">
        <x:v>21640463.73</x:v>
      </x:c>
      <x:c r="I509" s="90" t="n">
        <x:v>11399102.59</x:v>
      </x:c>
      <x:c r="J509" s="90" t="n">
        <x:v>17130578.46</x:v>
      </x:c>
      <x:c r="K509" s="90" t="n">
        <x:v>447626.44</x:v>
      </x:c>
      <x:c r="L509" s="90" t="n">
        <x:v>13446564.06</x:v>
      </x:c>
      <x:c r="M509" s="90" t="n">
        <x:v>3896145.79</x:v>
      </x:c>
      <x:c r="N509" s="90" t="n">
        <x:v>5553306.15</x:v>
      </x:c>
      <x:c r="O509" s="90" t="n">
        <x:v>28243463.83</x:v>
      </x:c>
      <x:c r="P509" s="90" t="n">
        <x:v>100605124.45</x:v>
      </x:c>
      <x:c r="Q509" s="90" t="n">
        <x:v>730403.28</x:v>
      </x:c>
      <x:c r="R509" s="90" t="n">
        <x:v>394.84</x:v>
      </x:c>
      <x:c r="S509" s="90" t="n">
        <x:v>0</x:v>
      </x:c>
      <x:c r="T509" t="n">
        <x:v>0</x:v>
      </x:c>
      <x:c r="U509">
        <x:v>0</x:v>
      </x:c>
      <x:c r="V509">
        <x:v>0</x:v>
      </x:c>
      <x:c r="W509">
        <x:v>0</x:v>
      </x:c>
      <x:c r="X509">
        <x:v>0</x:v>
      </x:c>
      <x:c r="Y509" s="90">
        <x:v>0</x:v>
      </x:c>
      <x:c r="Z509" t="n">
        <x:v>0</x:v>
      </x:c>
    </x:row>
    <x:row r="510" spans="1:26" s="94" customFormat="1" ht="12.75" customHeight="1" x14ac:dyDescent="0.2">
      <x:c r="C510" s="101" t="s">
        <x:v>119</x:v>
      </x:c>
      <x:c r="D510" s="101" t="s">
        <x:v>70</x:v>
      </x:c>
      <x:c r="F510" s="93" t="n">
        <x:v>446469722.97</x:v>
      </x:c>
      <x:c r="G510" s="93" t="n">
        <x:v>51994648.54</x:v>
      </x:c>
      <x:c r="H510" s="93" t="n">
        <x:v>28603793.35</x:v>
      </x:c>
      <x:c r="I510" s="93" t="n">
        <x:v>14627453.57</x:v>
      </x:c>
      <x:c r="J510" s="93" t="n">
        <x:v>53236913.83</x:v>
      </x:c>
      <x:c r="K510" s="93" t="n">
        <x:v>1737348.9</x:v>
      </x:c>
      <x:c r="L510" s="93" t="n">
        <x:v>14919457.4</x:v>
      </x:c>
      <x:c r="M510" s="93" t="n">
        <x:v>16823651.08</x:v>
      </x:c>
      <x:c r="N510" s="93" t="n">
        <x:v>21002759.47</x:v>
      </x:c>
      <x:c r="O510" s="93" t="n">
        <x:v>102873213.72</x:v>
      </x:c>
      <x:c r="P510" s="93" t="n">
        <x:v>137810025.43</x:v>
      </x:c>
      <x:c r="Q510" s="93" t="n">
        <x:v>2839961.6</x:v>
      </x:c>
      <x:c r="R510" s="93" t="n">
        <x:v>576.65</x:v>
      </x:c>
      <x:c r="S510" s="93" t="n">
        <x:v>0.12</x:v>
      </x:c>
      <x:c r="T510" s="94" t="n">
        <x:v>2.35</x:v>
      </x:c>
      <x:c r="U510" s="94">
        <x:v>0</x:v>
      </x:c>
      <x:c r="V510" s="94">
        <x:v>0</x:v>
      </x:c>
      <x:c r="W510" s="94">
        <x:v>0</x:v>
      </x:c>
      <x:c r="X510" s="94">
        <x:v>0</x:v>
      </x:c>
      <x:c r="Y510" s="93">
        <x:v>0</x:v>
      </x:c>
      <x:c r="Z510" s="94" t="n">
        <x:v>-83.04</x:v>
      </x:c>
    </x:row>
    <x:row r="511" spans="1:26" s="226" customFormat="1" ht="12.75" customHeight="1" x14ac:dyDescent="0.2">
      <x:c r="B511" s="98" t="s">
        <x:v>112</x:v>
      </x:c>
      <x:c r="C511" s="98" t="s">
        <x:v>70</x:v>
      </x:c>
      <x:c r="F511" s="100" t="n">
        <x:v>7689912617.57</x:v>
      </x:c>
      <x:c r="G511" s="100" t="n">
        <x:v>460509883.92</x:v>
      </x:c>
      <x:c r="H511" s="100" t="n">
        <x:v>257028430.24</x:v>
      </x:c>
      <x:c r="I511" s="100" t="n">
        <x:v>134312506.69</x:v>
      </x:c>
      <x:c r="J511" s="100" t="n">
        <x:v>1579005549.66</x:v>
      </x:c>
      <x:c r="K511" s="100" t="n">
        <x:v>61676400.04</x:v>
      </x:c>
      <x:c r="L511" s="100" t="n">
        <x:v>34128344.93</x:v>
      </x:c>
      <x:c r="M511" s="100" t="n">
        <x:v>541584187.87</x:v>
      </x:c>
      <x:c r="N511" s="100" t="n">
        <x:v>540082739.66</x:v>
      </x:c>
      <x:c r="O511" s="100" t="n">
        <x:v>2761992106.7</x:v>
      </x:c>
      <x:c r="P511" s="100" t="n">
        <x:v>1218762550.64</x:v>
      </x:c>
      <x:c r="Q511" s="100" t="n">
        <x:v>100846634.72</x:v>
      </x:c>
      <x:c r="R511" s="100" t="n">
        <x:v>-16277.43</x:v>
      </x:c>
      <x:c r="S511" s="100" t="n">
        <x:v>0.14</x:v>
      </x:c>
      <x:c r="T511" s="226" t="n">
        <x:v>6.41</x:v>
      </x:c>
      <x:c r="U511" s="226">
        <x:v>0</x:v>
      </x:c>
      <x:c r="V511" s="226">
        <x:v>0</x:v>
      </x:c>
      <x:c r="W511" s="226">
        <x:v>0</x:v>
      </x:c>
      <x:c r="X511" s="226">
        <x:v>0</x:v>
      </x:c>
      <x:c r="Y511" s="100">
        <x:v>0</x:v>
      </x:c>
      <x:c r="Z511" s="226" t="n">
        <x:v>-446.62</x:v>
      </x:c>
    </x:row>
    <x:row r="512" spans="1:26" ht="12" customHeight="1" x14ac:dyDescent="0.2">
      <x:c r="A512" s="89" t="s">
        <x:v>78</x:v>
      </x:c>
      <x:c r="B512" s="89" t="s">
        <x:v>70</x:v>
      </x:c>
      <x:c r="F512" s="371" t="n">
        <x:v>7694513192.73</x:v>
      </x:c>
      <x:c r="G512" s="90" t="n">
        <x:v>460821321.98</x:v>
      </x:c>
      <x:c r="H512" s="90" t="n">
        <x:v>257203175.43</x:v>
      </x:c>
      <x:c r="I512" s="90" t="n">
        <x:v>134407059.26</x:v>
      </x:c>
      <x:c r="J512" s="90" t="n">
        <x:v>1579977025.6</x:v>
      </x:c>
      <x:c r="K512" s="90" t="n">
        <x:v>61707932.56</x:v>
      </x:c>
      <x:c r="L512" s="90" t="n">
        <x:v>34128344.93</x:v>
      </x:c>
      <x:c r="M512" s="90" t="n">
        <x:v>541864308.33</x:v>
      </x:c>
      <x:c r="N512" s="90" t="n">
        <x:v>540392643.29</x:v>
      </x:c>
      <x:c r="O512" s="90" t="n">
        <x:v>2763535205.45</x:v>
      </x:c>
      <x:c r="P512" s="90" t="n">
        <x:v>1219593015.28</x:v>
      </x:c>
      <x:c r="Q512" s="90" t="n">
        <x:v>100899955.88</x:v>
      </x:c>
      <x:c r="R512" s="90" t="n">
        <x:v>-16266.45</x:v>
      </x:c>
      <x:c r="S512" s="90" t="n">
        <x:v>0.14</x:v>
      </x:c>
      <x:c r="T512" t="n">
        <x:v>6.41</x:v>
      </x:c>
      <x:c r="U512">
        <x:v>0</x:v>
      </x:c>
      <x:c r="V512">
        <x:v>0</x:v>
      </x:c>
      <x:c r="W512">
        <x:v>0</x:v>
      </x:c>
      <x:c r="X512">
        <x:v>0</x:v>
      </x:c>
      <x:c r="Y512" s="90">
        <x:v>0</x:v>
      </x:c>
      <x:c r="Z512" t="n">
        <x:v>-535.36</x:v>
      </x:c>
    </x:row>
    <x:row r="513" spans="2:26" ht="12.75" customHeight="1" x14ac:dyDescent="0.2">
      <x:c r="B513" s="89"/>
      <x:c r="C513" s="89"/>
      <x:c r="E513" t="s">
        <x:v>73</x:v>
      </x:c>
      <x:c r="F513" s="90" t="n">
        <x:v>-226278.07</x:v>
      </x:c>
      <x:c r="G513" s="90" t="n">
        <x:v>26896.68</x:v>
      </x:c>
      <x:c r="H513" s="90" t="n">
        <x:v>15292.29</x:v>
      </x:c>
      <x:c r="I513" s="90" t="n">
        <x:v>7987.79</x:v>
      </x:c>
      <x:c r="J513" s="90" t="n">
        <x:v>-105125.62</x:v>
      </x:c>
      <x:c r="K513" s="90" t="n">
        <x:v>-3487.78</x:v>
      </x:c>
      <x:c r="L513" s="90" t="n">
        <x:v>0</x:v>
      </x:c>
      <x:c r="M513" s="90" t="n">
        <x:v>-30596.02</x:v>
      </x:c>
      <x:c r="N513" s="90" t="n">
        <x:v>-33825.99</x:v>
      </x:c>
      <x:c r="O513" s="90" t="n">
        <x:v>-169274.83</x:v>
      </x:c>
      <x:c r="P513" s="90" t="n">
        <x:v>71546.22</x:v>
      </x:c>
      <x:c r="Q513" s="90" t="n">
        <x:v>-5690.81</x:v>
      </x:c>
      <x:c r="R513" s="90" t="n">
        <x:v>0</x:v>
      </x:c>
      <x:c r="S513" s="90" t="n">
        <x:v>0</x:v>
      </x:c>
      <x:c r="T513" s="90" t="n">
        <x:v>0</x:v>
      </x:c>
      <x:c r="U513" s="90">
        <x:v>0</x:v>
      </x:c>
      <x:c r="V513" s="90">
        <x:v>0</x:v>
      </x:c>
      <x:c r="W513" s="90">
        <x:v>0</x:v>
      </x:c>
      <x:c r="X513">
        <x:v>0</x:v>
      </x:c>
      <x:c r="Y513">
        <x:v>0</x:v>
      </x:c>
      <x:c r="Z513" t="n">
        <x:v>0</x:v>
      </x:c>
    </x:row>
    <x:row r="514" spans="2:26" ht="12.75" customHeight="1" x14ac:dyDescent="0.2">
      <x:c r="B514" s="89"/>
      <x:c r="C514" s="89"/>
      <x:c r="D514" t="s">
        <x:v>156</x:v>
      </x:c>
      <x:c r="E514" t="s">
        <x:v>70</x:v>
      </x:c>
      <x:c r="F514" s="90" t="n">
        <x:v>-226278.07</x:v>
      </x:c>
      <x:c r="G514" s="90" t="n">
        <x:v>26896.68</x:v>
      </x:c>
      <x:c r="H514" s="90" t="n">
        <x:v>15292.29</x:v>
      </x:c>
      <x:c r="I514" s="90" t="n">
        <x:v>7987.79</x:v>
      </x:c>
      <x:c r="J514" s="90" t="n">
        <x:v>-105125.62</x:v>
      </x:c>
      <x:c r="K514" s="90" t="n">
        <x:v>-3487.78</x:v>
      </x:c>
      <x:c r="L514" s="90" t="n">
        <x:v>0</x:v>
      </x:c>
      <x:c r="M514" s="90" t="n">
        <x:v>-30596.02</x:v>
      </x:c>
      <x:c r="N514" s="90" t="n">
        <x:v>-33825.99</x:v>
      </x:c>
      <x:c r="O514" s="90" t="n">
        <x:v>-169274.83</x:v>
      </x:c>
      <x:c r="P514" s="90" t="n">
        <x:v>71546.22</x:v>
      </x:c>
      <x:c r="Q514" s="90" t="n">
        <x:v>-5690.81</x:v>
      </x:c>
      <x:c r="R514" s="90" t="n">
        <x:v>0</x:v>
      </x:c>
      <x:c r="S514" s="90" t="n">
        <x:v>0</x:v>
      </x:c>
      <x:c r="T514" s="90" t="n">
        <x:v>0</x:v>
      </x:c>
      <x:c r="U514" s="90">
        <x:v>0</x:v>
      </x:c>
      <x:c r="V514" s="90">
        <x:v>0</x:v>
      </x:c>
      <x:c r="W514" s="90">
        <x:v>0</x:v>
      </x:c>
      <x:c r="X514">
        <x:v>0</x:v>
      </x:c>
      <x:c r="Y514">
        <x:v>0</x:v>
      </x:c>
      <x:c r="Z514" t="n">
        <x:v>0</x:v>
      </x:c>
    </x:row>
    <x:row r="515" spans="2:26" s="656" customFormat="1" ht="12.75" customHeight="1" x14ac:dyDescent="0.2">
      <x:c r="C515" s="656" t="s">
        <x:v>155</x:v>
      </x:c>
      <x:c r="D515" s="657" t="s">
        <x:v>70</x:v>
      </x:c>
      <x:c r="E515" s="657"/>
      <x:c r="F515" s="658" t="n">
        <x:v>-226278.07</x:v>
      </x:c>
      <x:c r="G515" s="658" t="n">
        <x:v>26896.68</x:v>
      </x:c>
      <x:c r="H515" s="658" t="n">
        <x:v>15292.29</x:v>
      </x:c>
      <x:c r="I515" s="658" t="n">
        <x:v>7987.79</x:v>
      </x:c>
      <x:c r="J515" s="658" t="n">
        <x:v>-105125.62</x:v>
      </x:c>
      <x:c r="K515" s="658" t="n">
        <x:v>-3487.78</x:v>
      </x:c>
      <x:c r="L515" s="658" t="n">
        <x:v>0</x:v>
      </x:c>
      <x:c r="M515" s="658" t="n">
        <x:v>-30596.02</x:v>
      </x:c>
      <x:c r="N515" s="658" t="n">
        <x:v>-33825.99</x:v>
      </x:c>
      <x:c r="O515" s="658" t="n">
        <x:v>-169274.83</x:v>
      </x:c>
      <x:c r="P515" s="658" t="n">
        <x:v>71546.22</x:v>
      </x:c>
      <x:c r="Q515" s="658" t="n">
        <x:v>-5690.81</x:v>
      </x:c>
      <x:c r="R515" s="658" t="n">
        <x:v>0</x:v>
      </x:c>
      <x:c r="S515" s="658" t="n">
        <x:v>0</x:v>
      </x:c>
      <x:c r="T515" s="658" t="n">
        <x:v>0</x:v>
      </x:c>
      <x:c r="U515" s="658">
        <x:v>0</x:v>
      </x:c>
      <x:c r="V515" s="658">
        <x:v>0</x:v>
      </x:c>
      <x:c r="W515" s="658">
        <x:v>0</x:v>
      </x:c>
      <x:c r="X515" s="656">
        <x:v>0</x:v>
      </x:c>
      <x:c r="Y515" s="656">
        <x:v>0</x:v>
      </x:c>
      <x:c r="Z515" s="656" t="n">
        <x:v>0</x:v>
      </x:c>
    </x:row>
    <x:row r="516" spans="2:26" ht="12.75" customHeight="1" x14ac:dyDescent="0.2">
      <x:c r="E516" s="89" t="s">
        <x:v>73</x:v>
      </x:c>
      <x:c r="F516" s="90">
        <x:v>0</x:v>
      </x:c>
      <x:c r="G516" s="90">
        <x:v>0</x:v>
      </x:c>
      <x:c r="H516" s="90">
        <x:v>0</x:v>
      </x:c>
      <x:c r="I516" s="90">
        <x:v>0</x:v>
      </x:c>
      <x:c r="J516" s="90">
        <x:v>0</x:v>
      </x:c>
      <x:c r="K516" s="90">
        <x:v>0</x:v>
      </x:c>
      <x:c r="L516" s="90">
        <x:v>0</x:v>
      </x:c>
      <x:c r="M516" s="90">
        <x:v>0</x:v>
      </x:c>
      <x:c r="N516" s="90">
        <x:v>0</x:v>
      </x:c>
      <x:c r="O516" s="90">
        <x:v>0</x:v>
      </x:c>
      <x:c r="P516" s="90">
        <x:v>0</x:v>
      </x:c>
      <x:c r="Q516" s="90">
        <x:v>0</x:v>
      </x:c>
      <x:c r="R516" s="90">
        <x:v>0</x:v>
      </x:c>
      <x:c r="S516" s="90">
        <x:v>0</x:v>
      </x:c>
      <x:c r="T516">
        <x:v>0</x:v>
      </x:c>
      <x:c r="U516">
        <x:v>0</x:v>
      </x:c>
      <x:c r="V516">
        <x:v>0</x:v>
      </x:c>
      <x:c r="W516">
        <x:v>0</x:v>
      </x:c>
      <x:c r="X516">
        <x:v>0</x:v>
      </x:c>
      <x:c r="Y516" s="90">
        <x:v>0</x:v>
      </x:c>
      <x:c r="Z516">
        <x:v>0</x:v>
      </x:c>
    </x:row>
    <x:row r="517" spans="2:26" ht="12.75" customHeight="1" x14ac:dyDescent="0.2">
      <x:c r="D517" t="s">
        <x:v>115</x:v>
      </x:c>
      <x:c r="E517" s="89" t="s">
        <x:v>70</x:v>
      </x:c>
      <x:c r="F517" s="371">
        <x:v>0</x:v>
      </x:c>
      <x:c r="G517" s="90">
        <x:v>0</x:v>
      </x:c>
      <x:c r="H517" s="90">
        <x:v>0</x:v>
      </x:c>
      <x:c r="I517" s="90">
        <x:v>0</x:v>
      </x:c>
      <x:c r="J517" s="90">
        <x:v>0</x:v>
      </x:c>
      <x:c r="K517" s="90">
        <x:v>0</x:v>
      </x:c>
      <x:c r="L517" s="90">
        <x:v>0</x:v>
      </x:c>
      <x:c r="M517" s="90">
        <x:v>0</x:v>
      </x:c>
      <x:c r="N517" s="90">
        <x:v>0</x:v>
      </x:c>
      <x:c r="O517" s="90">
        <x:v>0</x:v>
      </x:c>
      <x:c r="P517" s="90">
        <x:v>0</x:v>
      </x:c>
      <x:c r="Q517" s="90">
        <x:v>0</x:v>
      </x:c>
      <x:c r="R517" s="90">
        <x:v>0</x:v>
      </x:c>
      <x:c r="S517" s="90">
        <x:v>0</x:v>
      </x:c>
      <x:c r="T517">
        <x:v>0</x:v>
      </x:c>
      <x:c r="U517">
        <x:v>0</x:v>
      </x:c>
      <x:c r="V517">
        <x:v>0</x:v>
      </x:c>
      <x:c r="W517">
        <x:v>0</x:v>
      </x:c>
      <x:c r="X517">
        <x:v>0</x:v>
      </x:c>
      <x:c r="Y517" s="90">
        <x:v>0</x:v>
      </x:c>
      <x:c r="Z517">
        <x:v>0</x:v>
      </x:c>
    </x:row>
    <x:row r="518" spans="2:26" ht="12.75" customHeight="1" x14ac:dyDescent="0.2">
      <x:c r="E518" s="89" t="s">
        <x:v>73</x:v>
      </x:c>
      <x:c r="F518" s="371">
        <x:v>0</x:v>
      </x:c>
      <x:c r="G518" s="90">
        <x:v>0</x:v>
      </x:c>
      <x:c r="H518" s="90">
        <x:v>0</x:v>
      </x:c>
      <x:c r="I518" s="90">
        <x:v>0</x:v>
      </x:c>
      <x:c r="J518" s="90">
        <x:v>0</x:v>
      </x:c>
      <x:c r="K518" s="90">
        <x:v>0</x:v>
      </x:c>
      <x:c r="L518" s="90">
        <x:v>0</x:v>
      </x:c>
      <x:c r="M518" s="90">
        <x:v>0</x:v>
      </x:c>
      <x:c r="N518" s="90">
        <x:v>0</x:v>
      </x:c>
      <x:c r="O518" s="90">
        <x:v>0</x:v>
      </x:c>
      <x:c r="P518" s="90">
        <x:v>0</x:v>
      </x:c>
      <x:c r="Q518" s="90">
        <x:v>0</x:v>
      </x:c>
      <x:c r="R518" s="90">
        <x:v>0</x:v>
      </x:c>
      <x:c r="S518" s="90">
        <x:v>0</x:v>
      </x:c>
      <x:c r="T518">
        <x:v>0</x:v>
      </x:c>
      <x:c r="U518">
        <x:v>0</x:v>
      </x:c>
      <x:c r="V518">
        <x:v>0</x:v>
      </x:c>
      <x:c r="W518">
        <x:v>0</x:v>
      </x:c>
      <x:c r="X518">
        <x:v>0</x:v>
      </x:c>
      <x:c r="Y518" s="90">
        <x:v>0</x:v>
      </x:c>
      <x:c r="Z518">
        <x:v>0</x:v>
      </x:c>
    </x:row>
    <x:row r="519" spans="2:26" ht="12.75" customHeight="1" x14ac:dyDescent="0.2">
      <x:c r="D519" s="772">
        <x:v>2</x:v>
      </x:c>
      <x:c r="E519" s="89" t="s">
        <x:v>70</x:v>
      </x:c>
      <x:c r="F519" s="371">
        <x:v>0</x:v>
      </x:c>
      <x:c r="G519" s="90">
        <x:v>0</x:v>
      </x:c>
      <x:c r="H519" s="90">
        <x:v>0</x:v>
      </x:c>
      <x:c r="I519" s="90">
        <x:v>0</x:v>
      </x:c>
      <x:c r="J519" s="90">
        <x:v>0</x:v>
      </x:c>
      <x:c r="K519" s="90">
        <x:v>0</x:v>
      </x:c>
      <x:c r="L519" s="90">
        <x:v>0</x:v>
      </x:c>
      <x:c r="M519" s="90">
        <x:v>0</x:v>
      </x:c>
      <x:c r="N519" s="90">
        <x:v>0</x:v>
      </x:c>
      <x:c r="O519" s="90">
        <x:v>0</x:v>
      </x:c>
      <x:c r="P519" s="90">
        <x:v>0</x:v>
      </x:c>
      <x:c r="Q519" s="90">
        <x:v>0</x:v>
      </x:c>
      <x:c r="R519" s="90">
        <x:v>0</x:v>
      </x:c>
      <x:c r="S519" s="90">
        <x:v>0</x:v>
      </x:c>
      <x:c r="T519">
        <x:v>0</x:v>
      </x:c>
      <x:c r="U519">
        <x:v>0</x:v>
      </x:c>
      <x:c r="V519">
        <x:v>0</x:v>
      </x:c>
      <x:c r="W519">
        <x:v>0</x:v>
      </x:c>
      <x:c r="X519">
        <x:v>0</x:v>
      </x:c>
      <x:c r="Y519" s="90">
        <x:v>0</x:v>
      </x:c>
      <x:c r="Z519">
        <x:v>0</x:v>
      </x:c>
    </x:row>
    <x:row r="520" spans="2:26" ht="12.75" customHeight="1" x14ac:dyDescent="0.2">
      <x:c r="E520" s="89" t="s">
        <x:v>73</x:v>
      </x:c>
      <x:c r="F520" s="371">
        <x:v>0</x:v>
      </x:c>
      <x:c r="G520" s="90">
        <x:v>0</x:v>
      </x:c>
      <x:c r="H520" s="90">
        <x:v>0</x:v>
      </x:c>
      <x:c r="I520" s="90">
        <x:v>0</x:v>
      </x:c>
      <x:c r="J520" s="90">
        <x:v>0</x:v>
      </x:c>
      <x:c r="K520" s="90">
        <x:v>0</x:v>
      </x:c>
      <x:c r="L520" s="90">
        <x:v>0</x:v>
      </x:c>
      <x:c r="M520" s="90">
        <x:v>0</x:v>
      </x:c>
      <x:c r="N520" s="90">
        <x:v>0</x:v>
      </x:c>
      <x:c r="O520" s="90">
        <x:v>0</x:v>
      </x:c>
      <x:c r="P520" s="90">
        <x:v>0</x:v>
      </x:c>
      <x:c r="Q520" s="90">
        <x:v>0</x:v>
      </x:c>
      <x:c r="R520" s="90">
        <x:v>0</x:v>
      </x:c>
      <x:c r="S520" s="90">
        <x:v>0</x:v>
      </x:c>
      <x:c r="T520">
        <x:v>0</x:v>
      </x:c>
      <x:c r="U520">
        <x:v>0</x:v>
      </x:c>
      <x:c r="V520">
        <x:v>0</x:v>
      </x:c>
      <x:c r="W520">
        <x:v>0</x:v>
      </x:c>
      <x:c r="X520">
        <x:v>0</x:v>
      </x:c>
      <x:c r="Y520" s="90">
        <x:v>0</x:v>
      </x:c>
      <x:c r="Z520">
        <x:v>0</x:v>
      </x:c>
    </x:row>
    <x:row r="521" spans="2:26" ht="12.75" customHeight="1" x14ac:dyDescent="0.2">
      <x:c r="D521" t="s">
        <x:v>118</x:v>
      </x:c>
      <x:c r="E521" s="89" t="s">
        <x:v>70</x:v>
      </x:c>
      <x:c r="F521" s="371">
        <x:v>0</x:v>
      </x:c>
      <x:c r="G521" s="90">
        <x:v>0</x:v>
      </x:c>
      <x:c r="H521" s="90">
        <x:v>0</x:v>
      </x:c>
      <x:c r="I521" s="90">
        <x:v>0</x:v>
      </x:c>
      <x:c r="J521" s="90">
        <x:v>0</x:v>
      </x:c>
      <x:c r="K521" s="90">
        <x:v>0</x:v>
      </x:c>
      <x:c r="L521" s="90">
        <x:v>0</x:v>
      </x:c>
      <x:c r="M521" s="90">
        <x:v>0</x:v>
      </x:c>
      <x:c r="N521" s="90">
        <x:v>0</x:v>
      </x:c>
      <x:c r="O521" s="90">
        <x:v>0</x:v>
      </x:c>
      <x:c r="P521" s="90">
        <x:v>0</x:v>
      </x:c>
      <x:c r="Q521" s="90">
        <x:v>0</x:v>
      </x:c>
      <x:c r="R521" s="90">
        <x:v>0</x:v>
      </x:c>
      <x:c r="S521" s="90">
        <x:v>0</x:v>
      </x:c>
      <x:c r="T521">
        <x:v>0</x:v>
      </x:c>
      <x:c r="U521">
        <x:v>0</x:v>
      </x:c>
      <x:c r="V521">
        <x:v>0</x:v>
      </x:c>
      <x:c r="W521">
        <x:v>0</x:v>
      </x:c>
      <x:c r="X521">
        <x:v>0</x:v>
      </x:c>
      <x:c r="Y521" s="90">
        <x:v>0</x:v>
      </x:c>
      <x:c r="Z521">
        <x:v>0</x:v>
      </x:c>
    </x:row>
    <x:row r="522" spans="2:26" s="224" customFormat="1" ht="12.75" customHeight="1" x14ac:dyDescent="0.2">
      <x:c r="C522" s="223" t="s">
        <x:v>120</x:v>
      </x:c>
      <x:c r="D522" s="223" t="s">
        <x:v>70</x:v>
      </x:c>
      <x:c r="F522" s="225">
        <x:v>0</x:v>
      </x:c>
      <x:c r="G522" s="225">
        <x:v>0</x:v>
      </x:c>
      <x:c r="H522" s="225">
        <x:v>0</x:v>
      </x:c>
      <x:c r="I522" s="225">
        <x:v>0</x:v>
      </x:c>
      <x:c r="J522" s="225">
        <x:v>0</x:v>
      </x:c>
      <x:c r="K522" s="225">
        <x:v>0</x:v>
      </x:c>
      <x:c r="L522" s="225">
        <x:v>0</x:v>
      </x:c>
      <x:c r="M522" s="225">
        <x:v>0</x:v>
      </x:c>
      <x:c r="N522" s="225">
        <x:v>0</x:v>
      </x:c>
      <x:c r="O522" s="225">
        <x:v>0</x:v>
      </x:c>
      <x:c r="P522" s="225">
        <x:v>0</x:v>
      </x:c>
      <x:c r="Q522" s="225">
        <x:v>0</x:v>
      </x:c>
      <x:c r="R522" s="225">
        <x:v>0</x:v>
      </x:c>
      <x:c r="S522" s="225">
        <x:v>0</x:v>
      </x:c>
      <x:c r="T522" s="224">
        <x:v>0</x:v>
      </x:c>
      <x:c r="U522" s="224">
        <x:v>0</x:v>
      </x:c>
      <x:c r="V522" s="224">
        <x:v>0</x:v>
      </x:c>
      <x:c r="W522" s="224">
        <x:v>0</x:v>
      </x:c>
      <x:c r="X522" s="224">
        <x:v>0</x:v>
      </x:c>
      <x:c r="Y522" s="225">
        <x:v>0</x:v>
      </x:c>
      <x:c r="Z522" s="224">
        <x:v>0</x:v>
      </x:c>
    </x:row>
    <x:row r="523" spans="2:26" ht="12.75" customHeight="1" x14ac:dyDescent="0.2">
      <x:c r="D523" s="89"/>
      <x:c r="E523" s="89" t="s">
        <x:v>73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2:26" ht="12.75" customHeight="1" x14ac:dyDescent="0.2">
      <x:c r="D524" s="89" t="s">
        <x:v>82</x:v>
      </x:c>
      <x:c r="E524" s="89" t="s">
        <x:v>70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2:26" ht="12.75" customHeight="1" x14ac:dyDescent="0.2">
      <x:c r="D525" s="89"/>
      <x:c r="E525" s="89" t="s">
        <x:v>73</x:v>
      </x:c>
      <x:c r="F525" s="371" t="n">
        <x:v>-31196.09</x:v>
      </x:c>
      <x:c r="G525" s="90" t="n">
        <x:v>2454.39</x:v>
      </x:c>
      <x:c r="H525" s="90" t="n">
        <x:v>1386.66</x:v>
      </x:c>
      <x:c r="I525" s="90" t="n">
        <x:v>731.55</x:v>
      </x:c>
      <x:c r="J525" s="90" t="n">
        <x:v>-14691.57</x:v>
      </x:c>
      <x:c r="K525" s="90" t="n">
        <x:v>-406.98</x:v>
      </x:c>
      <x:c r="L525" s="90" t="n">
        <x:v>0</x:v>
      </x:c>
      <x:c r="M525" s="90" t="n">
        <x:v>-3570.02</x:v>
      </x:c>
      <x:c r="N525" s="90" t="n">
        <x:v>-3811.48</x:v>
      </x:c>
      <x:c r="O525" s="90" t="n">
        <x:v>-19139.53</x:v>
      </x:c>
      <x:c r="P525" s="90" t="n">
        <x:v>6514.92</x:v>
      </x:c>
      <x:c r="Q525" s="90" t="n">
        <x:v>-664.03</x:v>
      </x:c>
      <x:c r="R525" s="90" t="n">
        <x:v>0</x:v>
      </x:c>
      <x:c r="S525" s="90" t="n">
        <x:v>0</x:v>
      </x:c>
      <x:c r="T525" s="90" t="n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 t="n">
        <x:v>0</x:v>
      </x:c>
    </x:row>
    <x:row r="526" spans="2:26" ht="12.75" customHeight="1" x14ac:dyDescent="0.2">
      <x:c r="D526" s="89" t="s">
        <x:v>86</x:v>
      </x:c>
      <x:c r="E526" s="89" t="s">
        <x:v>70</x:v>
      </x:c>
      <x:c r="F526" s="371" t="n">
        <x:v>-31196.09</x:v>
      </x:c>
      <x:c r="G526" s="90" t="n">
        <x:v>2454.39</x:v>
      </x:c>
      <x:c r="H526" s="90" t="n">
        <x:v>1386.66</x:v>
      </x:c>
      <x:c r="I526" s="90" t="n">
        <x:v>731.55</x:v>
      </x:c>
      <x:c r="J526" s="90" t="n">
        <x:v>-14691.57</x:v>
      </x:c>
      <x:c r="K526" s="90" t="n">
        <x:v>-406.98</x:v>
      </x:c>
      <x:c r="L526" s="90" t="n">
        <x:v>0</x:v>
      </x:c>
      <x:c r="M526" s="90" t="n">
        <x:v>-3570.02</x:v>
      </x:c>
      <x:c r="N526" s="90" t="n">
        <x:v>-3811.48</x:v>
      </x:c>
      <x:c r="O526" s="90" t="n">
        <x:v>-19139.53</x:v>
      </x:c>
      <x:c r="P526" s="90" t="n">
        <x:v>6514.92</x:v>
      </x:c>
      <x:c r="Q526" s="90" t="n">
        <x:v>-664.03</x:v>
      </x:c>
      <x:c r="R526" s="90" t="n">
        <x:v>0</x:v>
      </x:c>
      <x:c r="S526" s="90" t="n">
        <x:v>0</x:v>
      </x:c>
      <x:c r="T526" s="90" t="n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 t="n">
        <x:v>0</x:v>
      </x:c>
    </x:row>
    <x:row r="527" spans="2:26" x14ac:dyDescent="0.2">
      <x:c r="E527" t="s">
        <x:v>73</x:v>
      </x:c>
      <x:c r="F527" s="90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>
        <x:v>0</x:v>
      </x:c>
      <x:c r="V527">
        <x:v>0</x:v>
      </x:c>
      <x:c r="W527">
        <x:v>0</x:v>
      </x:c>
      <x:c r="X527">
        <x:v>0</x:v>
      </x:c>
      <x:c r="Y527">
        <x:v>0</x:v>
      </x:c>
      <x:c r="Z527" s="90">
        <x:v>0</x:v>
      </x:c>
    </x:row>
    <x:row r="528" spans="2:26" x14ac:dyDescent="0.2">
      <x:c r="D528" t="s">
        <x:v>87</x:v>
      </x:c>
      <x:c r="E528" t="s">
        <x:v>70</x:v>
      </x:c>
      <x:c r="F528" s="90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>
        <x:v>0</x:v>
      </x:c>
      <x:c r="V528">
        <x:v>0</x:v>
      </x:c>
      <x:c r="W528">
        <x:v>0</x:v>
      </x:c>
      <x:c r="X528">
        <x:v>0</x:v>
      </x:c>
      <x:c r="Y528">
        <x:v>0</x:v>
      </x:c>
      <x:c r="Z528" s="90">
        <x:v>0</x:v>
      </x:c>
    </x:row>
    <x:row r="529" spans="2:26" s="94" customFormat="1" ht="12.75" customHeight="1" x14ac:dyDescent="0.2">
      <x:c r="C529" s="94" t="s">
        <x:v>119</x:v>
      </x:c>
      <x:c r="D529" s="94" t="s">
        <x:v>70</x:v>
      </x:c>
      <x:c r="E529" s="101"/>
      <x:c r="F529" s="93" t="n">
        <x:v>-31196.09</x:v>
      </x:c>
      <x:c r="G529" s="93" t="n">
        <x:v>2454.39</x:v>
      </x:c>
      <x:c r="H529" s="93" t="n">
        <x:v>1386.66</x:v>
      </x:c>
      <x:c r="I529" s="93" t="n">
        <x:v>731.55</x:v>
      </x:c>
      <x:c r="J529" s="93" t="n">
        <x:v>-14691.57</x:v>
      </x:c>
      <x:c r="K529" s="93" t="n">
        <x:v>-406.98</x:v>
      </x:c>
      <x:c r="L529" s="93" t="n">
        <x:v>0</x:v>
      </x:c>
      <x:c r="M529" s="93" t="n">
        <x:v>-3570.02</x:v>
      </x:c>
      <x:c r="N529" s="93" t="n">
        <x:v>-3811.48</x:v>
      </x:c>
      <x:c r="O529" s="93" t="n">
        <x:v>-19139.53</x:v>
      </x:c>
      <x:c r="P529" s="93" t="n">
        <x:v>6514.92</x:v>
      </x:c>
      <x:c r="Q529" s="93" t="n">
        <x:v>-664.03</x:v>
      </x:c>
      <x:c r="R529" s="93" t="n">
        <x:v>0</x:v>
      </x:c>
      <x:c r="S529" s="93" t="n">
        <x:v>0</x:v>
      </x:c>
      <x:c r="T529" s="93" t="n">
        <x:v>0</x:v>
      </x:c>
      <x:c r="U529" s="93">
        <x:v>0</x:v>
      </x:c>
      <x:c r="V529" s="93">
        <x:v>0</x:v>
      </x:c>
      <x:c r="W529" s="93">
        <x:v>0</x:v>
      </x:c>
      <x:c r="X529" s="94">
        <x:v>0</x:v>
      </x:c>
      <x:c r="Y529" s="94">
        <x:v>0</x:v>
      </x:c>
      <x:c r="Z529" s="94" t="n">
        <x:v>0</x:v>
      </x:c>
    </x:row>
    <x:row r="530" spans="2:26" s="378" customFormat="1" ht="12.75" customHeight="1" x14ac:dyDescent="0.2">
      <x:c r="B530" s="378" t="s">
        <x:v>122</x:v>
      </x:c>
      <x:c r="C530" s="378" t="s">
        <x:v>70</x:v>
      </x:c>
      <x:c r="E530" s="376"/>
      <x:c r="F530" s="377" t="n">
        <x:v>-257474.16</x:v>
      </x:c>
      <x:c r="G530" s="377" t="n">
        <x:v>29351.07</x:v>
      </x:c>
      <x:c r="H530" s="377" t="n">
        <x:v>16678.95</x:v>
      </x:c>
      <x:c r="I530" s="377" t="n">
        <x:v>8719.34</x:v>
      </x:c>
      <x:c r="J530" s="377" t="n">
        <x:v>-119817.19</x:v>
      </x:c>
      <x:c r="K530" s="377" t="n">
        <x:v>-3894.76</x:v>
      </x:c>
      <x:c r="L530" s="377" t="n">
        <x:v>0</x:v>
      </x:c>
      <x:c r="M530" s="377" t="n">
        <x:v>-34166.04</x:v>
      </x:c>
      <x:c r="N530" s="377" t="n">
        <x:v>-37637.47</x:v>
      </x:c>
      <x:c r="O530" s="377" t="n">
        <x:v>-188414.36</x:v>
      </x:c>
      <x:c r="P530" s="377" t="n">
        <x:v>78061.14</x:v>
      </x:c>
      <x:c r="Q530" s="377" t="n">
        <x:v>-6354.84</x:v>
      </x:c>
      <x:c r="R530" s="377" t="n">
        <x:v>0</x:v>
      </x:c>
      <x:c r="S530" s="377" t="n">
        <x:v>0</x:v>
      </x:c>
      <x:c r="T530" s="378" t="n">
        <x:v>0</x:v>
      </x:c>
      <x:c r="U530" s="378">
        <x:v>0</x:v>
      </x:c>
      <x:c r="V530" s="378">
        <x:v>0</x:v>
      </x:c>
      <x:c r="W530" s="378">
        <x:v>0</x:v>
      </x:c>
      <x:c r="X530" s="378">
        <x:v>0</x:v>
      </x:c>
      <x:c r="Y530" s="377">
        <x:v>0</x:v>
      </x:c>
      <x:c r="Z530" s="378" t="n">
        <x:v>0</x:v>
      </x:c>
    </x:row>
    <x:row r="531" spans="2:26" ht="12.75" customHeight="1" x14ac:dyDescent="0.2">
      <x:c r="E531" s="89" t="s">
        <x:v>73</x:v>
      </x:c>
      <x:c r="F531" s="90" t="n">
        <x:v>-633811893.27</x:v>
      </x:c>
      <x:c r="G531" s="90" t="n">
        <x:v>10445313.45</x:v>
      </x:c>
      <x:c r="H531" s="90" t="n">
        <x:v>6043668.35</x:v>
      </x:c>
      <x:c r="I531" s="90" t="n">
        <x:v>3225979.12</x:v>
      </x:c>
      <x:c r="J531" s="90" t="n">
        <x:v>-194493967.5</x:v>
      </x:c>
      <x:c r="K531" s="90" t="n">
        <x:v>-7524083.84</x:v>
      </x:c>
      <x:c r="L531" s="90" t="n">
        <x:v>0</x:v>
      </x:c>
      <x:c r="M531" s="90" t="n">
        <x:v>-66004810.5</x:v>
      </x:c>
      <x:c r="N531" s="90" t="n">
        <x:v>-65630053.07</x:v>
      </x:c>
      <x:c r="O531" s="90" t="n">
        <x:v>-335335691.51</x:v>
      </x:c>
      <x:c r="P531" s="90" t="n">
        <x:v>27741086.86</x:v>
      </x:c>
      <x:c r="Q531" s="90" t="n">
        <x:v>-12279334.63</x:v>
      </x:c>
      <x:c r="R531" s="90" t="n">
        <x:v>0</x:v>
      </x:c>
      <x:c r="S531" s="90" t="n">
        <x:v>0</x:v>
      </x:c>
      <x:c r="T531" t="n">
        <x:v>0</x:v>
      </x:c>
      <x:c r="U531">
        <x:v>0</x:v>
      </x:c>
      <x:c r="V531">
        <x:v>0</x:v>
      </x:c>
      <x:c r="W531">
        <x:v>0</x:v>
      </x:c>
      <x:c r="X531">
        <x:v>0</x:v>
      </x:c>
      <x:c r="Y531" s="90">
        <x:v>0</x:v>
      </x:c>
      <x:c r="Z531" t="n">
        <x:v>0</x:v>
      </x:c>
    </x:row>
    <x:row r="532" spans="2:26" ht="12.75" customHeight="1" x14ac:dyDescent="0.2">
      <x:c r="D532" s="89" t="s">
        <x:v>156</x:v>
      </x:c>
      <x:c r="E532" s="89" t="s">
        <x:v>70</x:v>
      </x:c>
      <x:c r="F532" s="90" t="n">
        <x:v>-633811893.27</x:v>
      </x:c>
      <x:c r="G532" s="90" t="n">
        <x:v>10445313.45</x:v>
      </x:c>
      <x:c r="H532" s="90" t="n">
        <x:v>6043668.35</x:v>
      </x:c>
      <x:c r="I532" s="90" t="n">
        <x:v>3225979.12</x:v>
      </x:c>
      <x:c r="J532" s="90" t="n">
        <x:v>-194493967.5</x:v>
      </x:c>
      <x:c r="K532" s="90" t="n">
        <x:v>-7524083.84</x:v>
      </x:c>
      <x:c r="L532" s="90" t="n">
        <x:v>0</x:v>
      </x:c>
      <x:c r="M532" s="90" t="n">
        <x:v>-66004810.5</x:v>
      </x:c>
      <x:c r="N532" s="90" t="n">
        <x:v>-65630053.07</x:v>
      </x:c>
      <x:c r="O532" s="90" t="n">
        <x:v>-335335691.51</x:v>
      </x:c>
      <x:c r="P532" s="90" t="n">
        <x:v>27741086.86</x:v>
      </x:c>
      <x:c r="Q532" s="90" t="n">
        <x:v>-12279334.63</x:v>
      </x:c>
      <x:c r="R532" s="90" t="n">
        <x:v>0</x:v>
      </x:c>
      <x:c r="S532" s="90" t="n">
        <x:v>0</x:v>
      </x:c>
      <x:c r="T532" t="n">
        <x:v>0</x:v>
      </x:c>
      <x:c r="U532">
        <x:v>0</x:v>
      </x:c>
      <x:c r="V532">
        <x:v>0</x:v>
      </x:c>
      <x:c r="W532">
        <x:v>0</x:v>
      </x:c>
      <x:c r="X532">
        <x:v>0</x:v>
      </x:c>
      <x:c r="Y532" s="90">
        <x:v>0</x:v>
      </x:c>
      <x:c r="Z532" t="n">
        <x:v>0</x:v>
      </x:c>
    </x:row>
    <x:row r="533" spans="2:26" s="656" customFormat="1" ht="12.75" customHeight="1" x14ac:dyDescent="0.2">
      <x:c r="C533" s="656" t="s">
        <x:v>155</x:v>
      </x:c>
      <x:c r="D533" s="657" t="s">
        <x:v>70</x:v>
      </x:c>
      <x:c r="E533" s="657"/>
      <x:c r="F533" s="738" t="n">
        <x:v>-633811893.27</x:v>
      </x:c>
      <x:c r="G533" s="658" t="n">
        <x:v>10445313.45</x:v>
      </x:c>
      <x:c r="H533" s="658" t="n">
        <x:v>6043668.35</x:v>
      </x:c>
      <x:c r="I533" s="658" t="n">
        <x:v>3225979.12</x:v>
      </x:c>
      <x:c r="J533" s="658" t="n">
        <x:v>-194493967.5</x:v>
      </x:c>
      <x:c r="K533" s="658" t="n">
        <x:v>-7524083.84</x:v>
      </x:c>
      <x:c r="L533" s="658" t="n">
        <x:v>0</x:v>
      </x:c>
      <x:c r="M533" s="658" t="n">
        <x:v>-66004810.5</x:v>
      </x:c>
      <x:c r="N533" s="658" t="n">
        <x:v>-65630053.07</x:v>
      </x:c>
      <x:c r="O533" s="658" t="n">
        <x:v>-335335691.51</x:v>
      </x:c>
      <x:c r="P533" s="658" t="n">
        <x:v>27741086.86</x:v>
      </x:c>
      <x:c r="Q533" s="658" t="n">
        <x:v>-12279334.63</x:v>
      </x:c>
      <x:c r="R533" s="658" t="n">
        <x:v>0</x:v>
      </x:c>
      <x:c r="S533" s="658" t="n">
        <x:v>0</x:v>
      </x:c>
      <x:c r="T533" s="656" t="n">
        <x:v>0</x:v>
      </x:c>
      <x:c r="U533" s="656">
        <x:v>0</x:v>
      </x:c>
      <x:c r="V533" s="656">
        <x:v>0</x:v>
      </x:c>
      <x:c r="W533" s="656">
        <x:v>0</x:v>
      </x:c>
      <x:c r="X533" s="656">
        <x:v>0</x:v>
      </x:c>
      <x:c r="Y533" s="658">
        <x:v>0</x:v>
      </x:c>
      <x:c r="Z533" s="656" t="n">
        <x:v>0</x:v>
      </x:c>
    </x:row>
    <x:row r="534" spans="2:26" ht="12.75" customHeight="1" x14ac:dyDescent="0.2">
      <x:c r="D534" s="89"/>
      <x:c r="E534" s="89" t="s">
        <x:v>73</x:v>
      </x:c>
      <x:c r="F534" s="371" t="n">
        <x:v>572676.61</x:v>
      </x:c>
      <x:c r="G534" s="90" t="n">
        <x:v>54198.01</x:v>
      </x:c>
      <x:c r="H534" s="90" t="n">
        <x:v>26146.59</x:v>
      </x:c>
      <x:c r="I534" s="90" t="n">
        <x:v>14647.13</x:v>
      </x:c>
      <x:c r="J534" s="90" t="n">
        <x:v>98253.74</x:v>
      </x:c>
      <x:c r="K534" s="90" t="n">
        <x:v>3141.26</x:v>
      </x:c>
      <x:c r="L534" s="90" t="n">
        <x:v>0</x:v>
      </x:c>
      <x:c r="M534" s="90" t="n">
        <x:v>27604.79</x:v>
      </x:c>
      <x:c r="N534" s="90" t="n">
        <x:v>32810.74</x:v>
      </x:c>
      <x:c r="O534" s="90" t="n">
        <x:v>165741.59</x:v>
      </x:c>
      <x:c r="P534" s="90" t="n">
        <x:v>144992.38</x:v>
      </x:c>
      <x:c r="Q534" s="90" t="n">
        <x:v>5140.38</x:v>
      </x:c>
      <x:c r="R534" s="90" t="n">
        <x:v>0</x:v>
      </x:c>
      <x:c r="S534" s="90" t="n">
        <x:v>0</x:v>
      </x:c>
      <x:c r="T534" t="n">
        <x:v>0</x:v>
      </x:c>
      <x:c r="U534">
        <x:v>0</x:v>
      </x:c>
      <x:c r="V534">
        <x:v>0</x:v>
      </x:c>
      <x:c r="W534">
        <x:v>0</x:v>
      </x:c>
      <x:c r="X534">
        <x:v>0</x:v>
      </x:c>
      <x:c r="Y534" s="90">
        <x:v>0</x:v>
      </x:c>
      <x:c r="Z534" t="n">
        <x:v>0</x:v>
      </x:c>
    </x:row>
    <x:row r="535" spans="2:26" ht="12.6" customHeight="1" x14ac:dyDescent="0.2">
      <x:c r="D535" s="89" t="s">
        <x:v>115</x:v>
      </x:c>
      <x:c r="E535" s="89" t="s">
        <x:v>70</x:v>
      </x:c>
      <x:c r="F535" s="371" t="n">
        <x:v>572676.61</x:v>
      </x:c>
      <x:c r="G535" s="90" t="n">
        <x:v>54198.01</x:v>
      </x:c>
      <x:c r="H535" s="90" t="n">
        <x:v>26146.59</x:v>
      </x:c>
      <x:c r="I535" s="90" t="n">
        <x:v>14647.13</x:v>
      </x:c>
      <x:c r="J535" s="90" t="n">
        <x:v>98253.74</x:v>
      </x:c>
      <x:c r="K535" s="90" t="n">
        <x:v>3141.26</x:v>
      </x:c>
      <x:c r="L535" s="90" t="n">
        <x:v>0</x:v>
      </x:c>
      <x:c r="M535" s="90" t="n">
        <x:v>27604.79</x:v>
      </x:c>
      <x:c r="N535" s="90" t="n">
        <x:v>32810.74</x:v>
      </x:c>
      <x:c r="O535" s="90" t="n">
        <x:v>165741.59</x:v>
      </x:c>
      <x:c r="P535" s="90" t="n">
        <x:v>144992.38</x:v>
      </x:c>
      <x:c r="Q535" s="90" t="n">
        <x:v>5140.38</x:v>
      </x:c>
      <x:c r="R535" s="90" t="n">
        <x:v>0</x:v>
      </x:c>
      <x:c r="S535" s="90" t="n">
        <x:v>0</x:v>
      </x:c>
      <x:c r="T535" t="n">
        <x:v>0</x:v>
      </x:c>
      <x:c r="U535">
        <x:v>0</x:v>
      </x:c>
      <x:c r="V535">
        <x:v>0</x:v>
      </x:c>
      <x:c r="W535">
        <x:v>0</x:v>
      </x:c>
      <x:c r="X535">
        <x:v>0</x:v>
      </x:c>
      <x:c r="Y535" s="90">
        <x:v>0</x:v>
      </x:c>
      <x:c r="Z535" t="n">
        <x:v>0</x:v>
      </x:c>
    </x:row>
    <x:row r="536" spans="2:26" ht="12.75" customHeight="1" x14ac:dyDescent="0.2">
      <x:c r="E536" s="89" t="s">
        <x:v>73</x:v>
      </x:c>
      <x:c r="F536" s="90" t="n">
        <x:v>-11495.84</x:v>
      </x:c>
      <x:c r="G536" s="90" t="n">
        <x:v>-603.07</x:v>
      </x:c>
      <x:c r="H536" s="90" t="n">
        <x:v>-277.46</x:v>
      </x:c>
      <x:c r="I536" s="90" t="n">
        <x:v>-168.37</x:v>
      </x:c>
      <x:c r="J536" s="90" t="n">
        <x:v>-2860.6</x:v>
      </x:c>
      <x:c r="K536" s="90" t="n">
        <x:v>-72.14</x:v>
      </x:c>
      <x:c r="L536" s="90" t="n">
        <x:v>0</x:v>
      </x:c>
      <x:c r="M536" s="90" t="n">
        <x:v>-632.82</x:v>
      </x:c>
      <x:c r="N536" s="90" t="n">
        <x:v>-848.15</x:v>
      </x:c>
      <x:c r="O536" s="90" t="n">
        <x:v>-4298.83</x:v>
      </x:c>
      <x:c r="P536" s="90" t="n">
        <x:v>-1616.7</x:v>
      </x:c>
      <x:c r="Q536" s="90" t="n">
        <x:v>-117.7</x:v>
      </x:c>
      <x:c r="R536" s="90" t="n">
        <x:v>0</x:v>
      </x:c>
      <x:c r="S536" s="90" t="n">
        <x:v>0</x:v>
      </x:c>
      <x:c r="T536" t="n">
        <x:v>0</x:v>
      </x:c>
      <x:c r="U536">
        <x:v>0</x:v>
      </x:c>
      <x:c r="V536">
        <x:v>0</x:v>
      </x:c>
      <x:c r="W536">
        <x:v>0</x:v>
      </x:c>
      <x:c r="X536">
        <x:v>0</x:v>
      </x:c>
      <x:c r="Y536" s="90">
        <x:v>0</x:v>
      </x:c>
      <x:c r="Z536" t="n">
        <x:v>0</x:v>
      </x:c>
    </x:row>
    <x:row r="537" spans="2:26" ht="12.75" customHeight="1" x14ac:dyDescent="0.2">
      <x:c r="D537" s="773">
        <x:v>2</x:v>
      </x:c>
      <x:c r="E537" s="89" t="s">
        <x:v>70</x:v>
      </x:c>
      <x:c r="F537" s="90" t="n">
        <x:v>-11495.84</x:v>
      </x:c>
      <x:c r="G537" s="90" t="n">
        <x:v>-603.07</x:v>
      </x:c>
      <x:c r="H537" s="90" t="n">
        <x:v>-277.46</x:v>
      </x:c>
      <x:c r="I537" s="90" t="n">
        <x:v>-168.37</x:v>
      </x:c>
      <x:c r="J537" s="90" t="n">
        <x:v>-2860.6</x:v>
      </x:c>
      <x:c r="K537" s="90" t="n">
        <x:v>-72.14</x:v>
      </x:c>
      <x:c r="L537" s="90" t="n">
        <x:v>0</x:v>
      </x:c>
      <x:c r="M537" s="90" t="n">
        <x:v>-632.82</x:v>
      </x:c>
      <x:c r="N537" s="90" t="n">
        <x:v>-848.15</x:v>
      </x:c>
      <x:c r="O537" s="90" t="n">
        <x:v>-4298.83</x:v>
      </x:c>
      <x:c r="P537" s="90" t="n">
        <x:v>-1616.7</x:v>
      </x:c>
      <x:c r="Q537" s="90" t="n">
        <x:v>-117.7</x:v>
      </x:c>
      <x:c r="R537" s="90" t="n">
        <x:v>0</x:v>
      </x:c>
      <x:c r="S537" s="90" t="n">
        <x:v>0</x:v>
      </x:c>
      <x:c r="T537" t="n">
        <x:v>0</x:v>
      </x:c>
      <x:c r="U537">
        <x:v>0</x:v>
      </x:c>
      <x:c r="V537">
        <x:v>0</x:v>
      </x:c>
      <x:c r="W537">
        <x:v>0</x:v>
      </x:c>
      <x:c r="X537">
        <x:v>0</x:v>
      </x:c>
      <x:c r="Y537" s="90">
        <x:v>0</x:v>
      </x:c>
      <x:c r="Z537" t="n">
        <x:v>0</x:v>
      </x:c>
    </x:row>
    <x:row r="538" spans="2:26" ht="12.75" customHeight="1" x14ac:dyDescent="0.2">
      <x:c r="E538" s="89" t="s">
        <x:v>73</x:v>
      </x:c>
      <x:c r="F538" s="90" t="n">
        <x:v>-298279.45</x:v>
      </x:c>
      <x:c r="G538" s="90" t="n">
        <x:v>-728.17</x:v>
      </x:c>
      <x:c r="H538" s="90" t="n">
        <x:v>-809.31</x:v>
      </x:c>
      <x:c r="I538" s="90" t="n">
        <x:v>-376.02</x:v>
      </x:c>
      <x:c r="J538" s="90" t="n">
        <x:v>-85680.91</x:v>
      </x:c>
      <x:c r="K538" s="90" t="n">
        <x:v>-3328.71</x:v>
      </x:c>
      <x:c r="L538" s="90" t="n">
        <x:v>0</x:v>
      </x:c>
      <x:c r="M538" s="90" t="n">
        <x:v>-29199.66</x:v>
      </x:c>
      <x:c r="N538" s="90" t="n">
        <x:v>-27733.04</x:v>
      </x:c>
      <x:c r="O538" s="90" t="n">
        <x:v>-143587.22</x:v>
      </x:c>
      <x:c r="P538" s="90" t="n">
        <x:v>-1405.26</x:v>
      </x:c>
      <x:c r="Q538" s="90" t="n">
        <x:v>-5431.15</x:v>
      </x:c>
      <x:c r="R538" s="90" t="n">
        <x:v>0</x:v>
      </x:c>
      <x:c r="S538" s="90" t="n">
        <x:v>0</x:v>
      </x:c>
      <x:c r="T538" t="n">
        <x:v>0</x:v>
      </x:c>
      <x:c r="U538">
        <x:v>0</x:v>
      </x:c>
      <x:c r="V538">
        <x:v>0</x:v>
      </x:c>
      <x:c r="W538">
        <x:v>0</x:v>
      </x:c>
      <x:c r="X538">
        <x:v>0</x:v>
      </x:c>
      <x:c r="Y538" s="90">
        <x:v>0</x:v>
      </x:c>
      <x:c r="Z538" t="n">
        <x:v>0</x:v>
      </x:c>
    </x:row>
    <x:row r="539" spans="2:26" ht="12.75" customHeight="1" x14ac:dyDescent="0.2">
      <x:c r="D539" s="89" t="s">
        <x:v>118</x:v>
      </x:c>
      <x:c r="E539" s="89" t="s">
        <x:v>70</x:v>
      </x:c>
      <x:c r="F539" s="90" t="n">
        <x:v>-298279.45</x:v>
      </x:c>
      <x:c r="G539" s="90" t="n">
        <x:v>-728.17</x:v>
      </x:c>
      <x:c r="H539" s="90" t="n">
        <x:v>-809.31</x:v>
      </x:c>
      <x:c r="I539" s="90" t="n">
        <x:v>-376.02</x:v>
      </x:c>
      <x:c r="J539" s="90" t="n">
        <x:v>-85680.91</x:v>
      </x:c>
      <x:c r="K539" s="90" t="n">
        <x:v>-3328.71</x:v>
      </x:c>
      <x:c r="L539" s="90" t="n">
        <x:v>0</x:v>
      </x:c>
      <x:c r="M539" s="90" t="n">
        <x:v>-29199.66</x:v>
      </x:c>
      <x:c r="N539" s="90" t="n">
        <x:v>-27733.04</x:v>
      </x:c>
      <x:c r="O539" s="90" t="n">
        <x:v>-143587.22</x:v>
      </x:c>
      <x:c r="P539" s="90" t="n">
        <x:v>-1405.26</x:v>
      </x:c>
      <x:c r="Q539" s="90" t="n">
        <x:v>-5431.15</x:v>
      </x:c>
      <x:c r="R539" s="90" t="n">
        <x:v>0</x:v>
      </x:c>
      <x:c r="S539" s="90" t="n">
        <x:v>0</x:v>
      </x:c>
      <x:c r="T539" t="n">
        <x:v>0</x:v>
      </x:c>
      <x:c r="U539">
        <x:v>0</x:v>
      </x:c>
      <x:c r="V539">
        <x:v>0</x:v>
      </x:c>
      <x:c r="W539">
        <x:v>0</x:v>
      </x:c>
      <x:c r="X539">
        <x:v>0</x:v>
      </x:c>
      <x:c r="Y539" s="90">
        <x:v>0</x:v>
      </x:c>
      <x:c r="Z539" t="n">
        <x:v>0</x:v>
      </x:c>
    </x:row>
    <x:row r="540" spans="2:26" s="224" customFormat="1" ht="12.75" customHeight="1" x14ac:dyDescent="0.2">
      <x:c r="C540" s="223" t="s">
        <x:v>120</x:v>
      </x:c>
      <x:c r="D540" s="223" t="s">
        <x:v>70</x:v>
      </x:c>
      <x:c r="F540" s="225" t="n">
        <x:v>262901.32</x:v>
      </x:c>
      <x:c r="G540" s="225" t="n">
        <x:v>52866.77</x:v>
      </x:c>
      <x:c r="H540" s="225" t="n">
        <x:v>25059.82</x:v>
      </x:c>
      <x:c r="I540" s="225" t="n">
        <x:v>14102.74</x:v>
      </x:c>
      <x:c r="J540" s="225" t="n">
        <x:v>9712.23</x:v>
      </x:c>
      <x:c r="K540" s="225" t="n">
        <x:v>-259.59</x:v>
      </x:c>
      <x:c r="L540" s="225" t="n">
        <x:v>0</x:v>
      </x:c>
      <x:c r="M540" s="225" t="n">
        <x:v>-2227.69</x:v>
      </x:c>
      <x:c r="N540" s="225" t="n">
        <x:v>4229.55</x:v>
      </x:c>
      <x:c r="O540" s="225" t="n">
        <x:v>17855.54</x:v>
      </x:c>
      <x:c r="P540" s="225" t="n">
        <x:v>141970.42</x:v>
      </x:c>
      <x:c r="Q540" s="225" t="n">
        <x:v>-408.47</x:v>
      </x:c>
      <x:c r="R540" s="225" t="n">
        <x:v>0</x:v>
      </x:c>
      <x:c r="S540" s="225" t="n">
        <x:v>0</x:v>
      </x:c>
      <x:c r="T540" s="224" t="n">
        <x:v>0</x:v>
      </x:c>
      <x:c r="U540" s="224">
        <x:v>0</x:v>
      </x:c>
      <x:c r="V540" s="224">
        <x:v>0</x:v>
      </x:c>
      <x:c r="W540" s="224">
        <x:v>0</x:v>
      </x:c>
      <x:c r="X540" s="224">
        <x:v>0</x:v>
      </x:c>
      <x:c r="Y540" s="225">
        <x:v>0</x:v>
      </x:c>
      <x:c r="Z540" s="224" t="n">
        <x:v>0</x:v>
      </x:c>
    </x:row>
    <x:row r="541" spans="2:26" ht="12.75" customHeight="1" x14ac:dyDescent="0.2">
      <x:c r="E541" s="89" t="s">
        <x:v>73</x:v>
      </x:c>
      <x:c r="F541" s="90" t="n">
        <x:v>4631259.42</x:v>
      </x:c>
      <x:c r="G541" s="90" t="n">
        <x:v>558477.52</x:v>
      </x:c>
      <x:c r="H541" s="90" t="n">
        <x:v>316498.74</x:v>
      </x:c>
      <x:c r="I541" s="90" t="n">
        <x:v>167983.06</x:v>
      </x:c>
      <x:c r="J541" s="90" t="n">
        <x:v>664622.82</x:v>
      </x:c>
      <x:c r="K541" s="90" t="n">
        <x:v>17733.67</x:v>
      </x:c>
      <x:c r="L541" s="90" t="n">
        <x:v>0</x:v>
      </x:c>
      <x:c r="M541" s="90" t="n">
        <x:v>156640.94</x:v>
      </x:c>
      <x:c r="N541" s="90" t="n">
        <x:v>207558.96</x:v>
      </x:c>
      <x:c r="O541" s="90" t="n">
        <x:v>1018989.61</x:v>
      </x:c>
      <x:c r="P541" s="90" t="n">
        <x:v>1493820.31</x:v>
      </x:c>
      <x:c r="Q541" s="90" t="n">
        <x:v>28933.79</x:v>
      </x:c>
      <x:c r="R541" s="90" t="n">
        <x:v>0</x:v>
      </x:c>
      <x:c r="S541" s="90" t="n">
        <x:v>0</x:v>
      </x:c>
      <x:c r="T541" t="n">
        <x:v>0</x:v>
      </x:c>
      <x:c r="U541">
        <x:v>0</x:v>
      </x:c>
      <x:c r="V541">
        <x:v>0</x:v>
      </x:c>
      <x:c r="W541">
        <x:v>0</x:v>
      </x:c>
      <x:c r="X541">
        <x:v>0</x:v>
      </x:c>
      <x:c r="Y541" s="90">
        <x:v>0</x:v>
      </x:c>
      <x:c r="Z541" t="n">
        <x:v>0</x:v>
      </x:c>
    </x:row>
    <x:row r="542" spans="2:26" ht="12.75" customHeight="1" x14ac:dyDescent="0.2">
      <x:c r="D542" s="89" t="s">
        <x:v>82</x:v>
      </x:c>
      <x:c r="E542" s="89" t="s">
        <x:v>70</x:v>
      </x:c>
      <x:c r="F542" s="90" t="n">
        <x:v>4631259.42</x:v>
      </x:c>
      <x:c r="G542" s="90" t="n">
        <x:v>558477.52</x:v>
      </x:c>
      <x:c r="H542" s="90" t="n">
        <x:v>316498.74</x:v>
      </x:c>
      <x:c r="I542" s="90" t="n">
        <x:v>167983.06</x:v>
      </x:c>
      <x:c r="J542" s="90" t="n">
        <x:v>664622.82</x:v>
      </x:c>
      <x:c r="K542" s="90" t="n">
        <x:v>17733.67</x:v>
      </x:c>
      <x:c r="L542" s="90" t="n">
        <x:v>0</x:v>
      </x:c>
      <x:c r="M542" s="90" t="n">
        <x:v>156640.94</x:v>
      </x:c>
      <x:c r="N542" s="90" t="n">
        <x:v>207558.96</x:v>
      </x:c>
      <x:c r="O542" s="90" t="n">
        <x:v>1018989.61</x:v>
      </x:c>
      <x:c r="P542" s="90" t="n">
        <x:v>1493820.31</x:v>
      </x:c>
      <x:c r="Q542" s="90" t="n">
        <x:v>28933.79</x:v>
      </x:c>
      <x:c r="R542" s="90" t="n">
        <x:v>0</x:v>
      </x:c>
      <x:c r="S542" s="90" t="n">
        <x:v>0</x:v>
      </x:c>
      <x:c r="T542" t="n">
        <x:v>0</x:v>
      </x:c>
      <x:c r="U542">
        <x:v>0</x:v>
      </x:c>
      <x:c r="V542">
        <x:v>0</x:v>
      </x:c>
      <x:c r="W542">
        <x:v>0</x:v>
      </x:c>
      <x:c r="X542">
        <x:v>0</x:v>
      </x:c>
      <x:c r="Y542" s="90">
        <x:v>0</x:v>
      </x:c>
      <x:c r="Z542" t="n">
        <x:v>0</x:v>
      </x:c>
    </x:row>
    <x:row r="543" spans="2:26" ht="12.75" customHeight="1" x14ac:dyDescent="0.2">
      <x:c r="E543" s="89" t="s">
        <x:v>73</x:v>
      </x:c>
      <x:c r="F543" s="90" t="n">
        <x:v>-24884555.57</x:v>
      </x:c>
      <x:c r="G543" s="90" t="n">
        <x:v>-576046.6</x:v>
      </x:c>
      <x:c r="H543" s="90" t="n">
        <x:v>-198940.76</x:v>
      </x:c>
      <x:c r="I543" s="90" t="n">
        <x:v>-60712.45</x:v>
      </x:c>
      <x:c r="J543" s="90" t="n">
        <x:v>-7153441.05</x:v>
      </x:c>
      <x:c r="K543" s="90" t="n">
        <x:v>-233032.41</x:v>
      </x:c>
      <x:c r="L543" s="90" t="n">
        <x:v>0</x:v>
      </x:c>
      <x:c r="M543" s="90" t="n">
        <x:v>-2048680.17</x:v>
      </x:c>
      <x:c r="N543" s="90" t="n">
        <x:v>-2449168.17</x:v>
      </x:c>
      <x:c r="O543" s="90" t="n">
        <x:v>-10286515.01</x:v>
      </x:c>
      <x:c r="P543" s="90" t="n">
        <x:v>-1497871.91</x:v>
      </x:c>
      <x:c r="Q543" s="90" t="n">
        <x:v>-380147.04</x:v>
      </x:c>
      <x:c r="R543" s="90" t="n">
        <x:v>0</x:v>
      </x:c>
      <x:c r="S543" s="90" t="n">
        <x:v>0</x:v>
      </x:c>
      <x:c r="T543" t="n">
        <x:v>0</x:v>
      </x:c>
      <x:c r="U543">
        <x:v>0</x:v>
      </x:c>
      <x:c r="V543">
        <x:v>0</x:v>
      </x:c>
      <x:c r="W543">
        <x:v>0</x:v>
      </x:c>
      <x:c r="X543">
        <x:v>0</x:v>
      </x:c>
      <x:c r="Y543" s="90">
        <x:v>0</x:v>
      </x:c>
      <x:c r="Z543" t="n">
        <x:v>0</x:v>
      </x:c>
    </x:row>
    <x:row r="544" spans="2:26" ht="12.75" customHeight="1" x14ac:dyDescent="0.2">
      <x:c r="D544" s="89" t="s">
        <x:v>86</x:v>
      </x:c>
      <x:c r="E544" s="89" t="s">
        <x:v>70</x:v>
      </x:c>
      <x:c r="F544" s="90" t="n">
        <x:v>-24884555.57</x:v>
      </x:c>
      <x:c r="G544" s="90" t="n">
        <x:v>-576046.6</x:v>
      </x:c>
      <x:c r="H544" s="90" t="n">
        <x:v>-198940.76</x:v>
      </x:c>
      <x:c r="I544" s="90" t="n">
        <x:v>-60712.45</x:v>
      </x:c>
      <x:c r="J544" s="90" t="n">
        <x:v>-7153441.05</x:v>
      </x:c>
      <x:c r="K544" s="90" t="n">
        <x:v>-233032.41</x:v>
      </x:c>
      <x:c r="L544" s="90" t="n">
        <x:v>0</x:v>
      </x:c>
      <x:c r="M544" s="90" t="n">
        <x:v>-2048680.17</x:v>
      </x:c>
      <x:c r="N544" s="90" t="n">
        <x:v>-2449168.17</x:v>
      </x:c>
      <x:c r="O544" s="90" t="n">
        <x:v>-10286515.01</x:v>
      </x:c>
      <x:c r="P544" s="90" t="n">
        <x:v>-1497871.91</x:v>
      </x:c>
      <x:c r="Q544" s="90" t="n">
        <x:v>-380147.04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ht="12.75" customHeight="1" x14ac:dyDescent="0.2">
      <x:c r="E545" s="89" t="s">
        <x:v>73</x:v>
      </x:c>
      <x:c r="F545" s="90" t="n">
        <x:v>45950466.71</x:v>
      </x:c>
      <x:c r="G545" s="90" t="n">
        <x:v>8781115.82</x:v>
      </x:c>
      <x:c r="H545" s="90" t="n">
        <x:v>4940851.97</x:v>
      </x:c>
      <x:c r="I545" s="90" t="n">
        <x:v>2611795.86</x:v>
      </x:c>
      <x:c r="J545" s="90" t="n">
        <x:v>1898372.42</x:v>
      </x:c>
      <x:c r="K545" s="90" t="n">
        <x:v>49151.99</x:v>
      </x:c>
      <x:c r="L545" s="90" t="n">
        <x:v>0</x:v>
      </x:c>
      <x:c r="M545" s="90" t="n">
        <x:v>431154.43</x:v>
      </x:c>
      <x:c r="N545" s="90" t="n">
        <x:v>619734.97</x:v>
      </x:c>
      <x:c r="O545" s="90" t="n">
        <x:v>3109869.82</x:v>
      </x:c>
      <x:c r="P545" s="90" t="n">
        <x:v>23428222.72</x:v>
      </x:c>
      <x:c r="Q545" s="90" t="n">
        <x:v>80196.71</x:v>
      </x:c>
      <x:c r="R545" s="90" t="n">
        <x:v>0</x:v>
      </x:c>
      <x:c r="S545" s="90" t="n">
        <x:v>0</x:v>
      </x:c>
      <x:c r="T545" t="n">
        <x:v>0</x:v>
      </x:c>
      <x:c r="U545">
        <x:v>0</x:v>
      </x:c>
      <x:c r="V545">
        <x:v>0</x:v>
      </x:c>
      <x:c r="W545">
        <x:v>0</x:v>
      </x:c>
      <x:c r="X545">
        <x:v>0</x:v>
      </x:c>
      <x:c r="Y545" s="90">
        <x:v>0</x:v>
      </x:c>
      <x:c r="Z545" t="n">
        <x:v>0</x:v>
      </x:c>
    </x:row>
    <x:row r="546" spans="1:26" ht="12.75" customHeight="1" x14ac:dyDescent="0.2">
      <x:c r="D546" s="89" t="s">
        <x:v>87</x:v>
      </x:c>
      <x:c r="E546" s="89" t="s">
        <x:v>70</x:v>
      </x:c>
      <x:c r="F546" s="90" t="n">
        <x:v>45950466.71</x:v>
      </x:c>
      <x:c r="G546" s="90" t="n">
        <x:v>8781115.82</x:v>
      </x:c>
      <x:c r="H546" s="90" t="n">
        <x:v>4940851.97</x:v>
      </x:c>
      <x:c r="I546" s="90" t="n">
        <x:v>2611795.86</x:v>
      </x:c>
      <x:c r="J546" s="90" t="n">
        <x:v>1898372.42</x:v>
      </x:c>
      <x:c r="K546" s="90" t="n">
        <x:v>49151.99</x:v>
      </x:c>
      <x:c r="L546" s="90" t="n">
        <x:v>0</x:v>
      </x:c>
      <x:c r="M546" s="90" t="n">
        <x:v>431154.43</x:v>
      </x:c>
      <x:c r="N546" s="90" t="n">
        <x:v>619734.97</x:v>
      </x:c>
      <x:c r="O546" s="90" t="n">
        <x:v>3109869.82</x:v>
      </x:c>
      <x:c r="P546" s="90" t="n">
        <x:v>23428222.72</x:v>
      </x:c>
      <x:c r="Q546" s="90" t="n">
        <x:v>80196.71</x:v>
      </x:c>
      <x:c r="R546" s="90" t="n">
        <x:v>0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s="94" customFormat="1" ht="12.75" customHeight="1" x14ac:dyDescent="0.2">
      <x:c r="C547" s="101" t="s">
        <x:v>119</x:v>
      </x:c>
      <x:c r="D547" s="101" t="s">
        <x:v>70</x:v>
      </x:c>
      <x:c r="F547" s="93" t="n">
        <x:v>25697170.56</x:v>
      </x:c>
      <x:c r="G547" s="93" t="n">
        <x:v>8763546.74</x:v>
      </x:c>
      <x:c r="H547" s="93" t="n">
        <x:v>5058409.95</x:v>
      </x:c>
      <x:c r="I547" s="93" t="n">
        <x:v>2719066.47</x:v>
      </x:c>
      <x:c r="J547" s="93" t="n">
        <x:v>-4590445.81</x:v>
      </x:c>
      <x:c r="K547" s="93" t="n">
        <x:v>-166146.75</x:v>
      </x:c>
      <x:c r="L547" s="93" t="n">
        <x:v>0</x:v>
      </x:c>
      <x:c r="M547" s="93" t="n">
        <x:v>-1460884.8</x:v>
      </x:c>
      <x:c r="N547" s="93" t="n">
        <x:v>-1621874.24</x:v>
      </x:c>
      <x:c r="O547" s="93" t="n">
        <x:v>-6157655.58</x:v>
      </x:c>
      <x:c r="P547" s="93" t="n">
        <x:v>23424171.12</x:v>
      </x:c>
      <x:c r="Q547" s="93" t="n">
        <x:v>-271016.54</x:v>
      </x:c>
      <x:c r="R547" s="93" t="n">
        <x:v>0</x:v>
      </x:c>
      <x:c r="S547" s="93" t="n">
        <x:v>0</x:v>
      </x:c>
      <x:c r="T547" s="94" t="n">
        <x:v>0</x:v>
      </x:c>
      <x:c r="U547" s="94">
        <x:v>0</x:v>
      </x:c>
      <x:c r="V547" s="94">
        <x:v>0</x:v>
      </x:c>
      <x:c r="W547" s="94">
        <x:v>0</x:v>
      </x:c>
      <x:c r="X547" s="94">
        <x:v>0</x:v>
      </x:c>
      <x:c r="Y547" s="93">
        <x:v>0</x:v>
      </x:c>
      <x:c r="Z547" s="94" t="n">
        <x:v>0</x:v>
      </x:c>
    </x:row>
    <x:row r="548" spans="1:26" s="226" customFormat="1" ht="12.75" customHeight="1" x14ac:dyDescent="0.2">
      <x:c r="B548" s="98" t="s">
        <x:v>112</x:v>
      </x:c>
      <x:c r="C548" s="98" t="s">
        <x:v>70</x:v>
      </x:c>
      <x:c r="F548" s="100" t="n">
        <x:v>-607851821.39</x:v>
      </x:c>
      <x:c r="G548" s="100" t="n">
        <x:v>19261726.96</x:v>
      </x:c>
      <x:c r="H548" s="100" t="n">
        <x:v>11127138.12</x:v>
      </x:c>
      <x:c r="I548" s="100" t="n">
        <x:v>5959148.33</x:v>
      </x:c>
      <x:c r="J548" s="100" t="n">
        <x:v>-199074701.08</x:v>
      </x:c>
      <x:c r="K548" s="100" t="n">
        <x:v>-7690490.18</x:v>
      </x:c>
      <x:c r="L548" s="100" t="n">
        <x:v>0</x:v>
      </x:c>
      <x:c r="M548" s="100" t="n">
        <x:v>-67467922.99</x:v>
      </x:c>
      <x:c r="N548" s="100" t="n">
        <x:v>-67247697.76</x:v>
      </x:c>
      <x:c r="O548" s="100" t="n">
        <x:v>-341475491.55</x:v>
      </x:c>
      <x:c r="P548" s="100" t="n">
        <x:v>51307228.4</x:v>
      </x:c>
      <x:c r="Q548" s="100" t="n">
        <x:v>-12550759.64</x:v>
      </x:c>
      <x:c r="R548" s="100" t="n">
        <x:v>0</x:v>
      </x:c>
      <x:c r="S548" s="100" t="n">
        <x:v>0</x:v>
      </x:c>
      <x:c r="T548" s="226" t="n">
        <x:v>0</x:v>
      </x:c>
      <x:c r="U548" s="226">
        <x:v>0</x:v>
      </x:c>
      <x:c r="V548" s="226">
        <x:v>0</x:v>
      </x:c>
      <x:c r="W548" s="226">
        <x:v>0</x:v>
      </x:c>
      <x:c r="X548" s="226">
        <x:v>0</x:v>
      </x:c>
      <x:c r="Y548" s="100">
        <x:v>0</x:v>
      </x:c>
      <x:c r="Z548" s="226" t="n">
        <x:v>0</x:v>
      </x:c>
    </x:row>
    <x:row r="549" spans="1:26" ht="12.75" customHeight="1" x14ac:dyDescent="0.2">
      <x:c r="A549" s="89" t="s">
        <x:v>79</x:v>
      </x:c>
      <x:c r="B549" s="89" t="s">
        <x:v>70</x:v>
      </x:c>
      <x:c r="F549" s="90" t="n">
        <x:v>-608109295.55</x:v>
      </x:c>
      <x:c r="G549" s="90" t="n">
        <x:v>19291078.03</x:v>
      </x:c>
      <x:c r="H549" s="90" t="n">
        <x:v>11143817.07</x:v>
      </x:c>
      <x:c r="I549" s="90" t="n">
        <x:v>5967867.67</x:v>
      </x:c>
      <x:c r="J549" s="90" t="n">
        <x:v>-199194518.27</x:v>
      </x:c>
      <x:c r="K549" s="90" t="n">
        <x:v>-7694384.94</x:v>
      </x:c>
      <x:c r="L549" s="90" t="n">
        <x:v>0</x:v>
      </x:c>
      <x:c r="M549" s="90" t="n">
        <x:v>-67502089.03</x:v>
      </x:c>
      <x:c r="N549" s="90" t="n">
        <x:v>-67285335.23</x:v>
      </x:c>
      <x:c r="O549" s="90" t="n">
        <x:v>-341663905.91</x:v>
      </x:c>
      <x:c r="P549" s="90" t="n">
        <x:v>51385289.54</x:v>
      </x:c>
      <x:c r="Q549" s="90" t="n">
        <x:v>-12557114.48</x:v>
      </x:c>
      <x:c r="R549" s="90" t="n">
        <x:v>0</x:v>
      </x:c>
      <x:c r="S549" s="90" t="n">
        <x:v>0</x:v>
      </x:c>
      <x:c r="T549" t="n">
        <x:v>0</x:v>
      </x:c>
      <x:c r="U549">
        <x:v>0</x:v>
      </x:c>
      <x:c r="V549">
        <x:v>0</x:v>
      </x:c>
      <x:c r="W549">
        <x:v>0</x:v>
      </x:c>
      <x:c r="X549">
        <x:v>0</x:v>
      </x:c>
      <x:c r="Y549" s="90">
        <x:v>0</x:v>
      </x:c>
      <x:c r="Z549" t="n">
        <x:v>0</x:v>
      </x:c>
    </x:row>
    <x:row r="550" spans="1:26" ht="12.75" customHeight="1" x14ac:dyDescent="0.2">
      <x:c r="A550" s="89" t="s">
        <x:v>70</x:v>
      </x:c>
      <x:c r="F550" s="90" t="n">
        <x:v>7085963940.66</x:v>
      </x:c>
      <x:c r="G550" s="90" t="n">
        <x:v>480076955.6</x:v>
      </x:c>
      <x:c r="H550" s="90" t="n">
        <x:v>268331934.46</x:v>
      </x:c>
      <x:c r="I550" s="90" t="n">
        <x:v>140368351.2</x:v>
      </x:c>
      <x:c r="J550" s="90" t="n">
        <x:v>1380700865.15</x:v>
      </x:c>
      <x:c r="K550" s="90" t="n">
        <x:v>54010222.78</x:v>
      </x:c>
      <x:c r="L550" s="90" t="n">
        <x:v>34128344.93</x:v>
      </x:c>
      <x:c r="M550" s="90" t="n">
        <x:v>474333055</x:v>
      </x:c>
      <x:c r="N550" s="90" t="n">
        <x:v>473070222.57</x:v>
      </x:c>
      <x:c r="O550" s="90" t="n">
        <x:v>2421735127.85</x:v>
      </x:c>
      <x:c r="P550" s="90" t="n">
        <x:v>1270888239.83</x:v>
      </x:c>
      <x:c r="Q550" s="90" t="n">
        <x:v>88337416.55</x:v>
      </x:c>
      <x:c r="R550" s="90" t="n">
        <x:v>-16266.45</x:v>
      </x:c>
      <x:c r="S550" s="90" t="n">
        <x:v>0.14</x:v>
      </x:c>
      <x:c r="T550" t="n">
        <x:v>6.41</x:v>
      </x:c>
      <x:c r="U550">
        <x:v>0</x:v>
      </x:c>
      <x:c r="V550">
        <x:v>0</x:v>
      </x:c>
      <x:c r="W550">
        <x:v>0</x:v>
      </x:c>
      <x:c r="X550">
        <x:v>0</x:v>
      </x:c>
      <x:c r="Y550" s="90">
        <x:v>0</x:v>
      </x:c>
      <x:c r="Z550" t="n">
        <x:v>-535.36</x:v>
      </x:c>
    </x:row>
    <x:row r="551" spans="1:26" ht="12.75" customHeight="1" x14ac:dyDescent="0.2">
      <x:c r="A551" s="89"/>
      <x:c r="F551" s="90"/>
      <x:c r="G551" s="90"/>
      <x:c r="H551" s="90"/>
      <x:c r="I551" s="90"/>
      <x:c r="J551" s="90"/>
      <x:c r="K551" s="90"/>
      <x:c r="L551" s="90"/>
      <x:c r="M551" s="90"/>
      <x:c r="N551" s="90"/>
      <x:c r="O551" s="90"/>
      <x:c r="P551" s="90"/>
      <x:c r="Q551" s="90"/>
      <x:c r="R551" s="90"/>
      <x:c r="S551" s="90"/>
      <x:c r="T551" s="90"/>
      <x:c r="U551" s="90"/>
      <x:c r="V551" s="90"/>
      <x:c r="W551" s="90"/>
    </x:row>
    <x:row r="552" spans="1:26" ht="12.75" hidden="1" customHeight="1" x14ac:dyDescent="0.2">
      <x:c r="A552" s="89"/>
      <x:c r="F552" s="90"/>
      <x:c r="G552" s="90"/>
      <x:c r="H552" s="90"/>
      <x:c r="I552" s="90"/>
      <x:c r="J552" s="90"/>
      <x:c r="K552" s="90"/>
      <x:c r="L552" s="90"/>
      <x:c r="M552" s="90"/>
      <x:c r="N552" s="90"/>
      <x:c r="O552" s="90"/>
      <x:c r="P552" s="90"/>
      <x:c r="Q552" s="90"/>
      <x:c r="R552" s="90"/>
      <x:c r="S552" s="90"/>
    </x:row>
    <x:row r="553" spans="1:26" ht="12.75" hidden="1" customHeight="1" x14ac:dyDescent="0.2">
      <x:c r="A553" s="89"/>
      <x:c r="F553" s="90"/>
      <x:c r="G553" s="90"/>
      <x:c r="H553" s="90"/>
      <x:c r="I553" s="90"/>
      <x:c r="J553" s="90"/>
      <x:c r="K553" s="90"/>
      <x:c r="L553" s="90"/>
      <x:c r="M553" s="90"/>
      <x:c r="N553" s="90"/>
      <x:c r="O553" s="90"/>
      <x:c r="P553" s="90"/>
      <x:c r="Q553" s="90"/>
      <x:c r="R553" s="90"/>
      <x:c r="S553" s="90"/>
    </x:row>
    <x:row r="554" spans="1:26" ht="12.75" hidden="1" customHeight="1" x14ac:dyDescent="0.2">
      <x:c r="A554" s="89"/>
      <x:c r="F554" s="90"/>
      <x:c r="G554" s="90"/>
      <x:c r="H554" s="90"/>
      <x:c r="I554" s="90"/>
      <x:c r="J554" s="90"/>
      <x:c r="K554" s="90"/>
      <x:c r="L554" s="90"/>
      <x:c r="M554" s="90"/>
      <x:c r="N554" s="90"/>
      <x:c r="O554" s="90"/>
      <x:c r="P554" s="90"/>
      <x:c r="Q554" s="90"/>
      <x:c r="R554" s="90"/>
      <x:c r="S554" s="90"/>
    </x:row>
    <x:row r="555" spans="1:26" ht="12.75" hidden="1" customHeight="1" x14ac:dyDescent="0.2">
      <x:c r="A555" s="89"/>
      <x:c r="F555" s="90"/>
      <x:c r="G555" s="90"/>
      <x:c r="H555" s="90"/>
      <x:c r="I555" s="90"/>
      <x:c r="J555" s="90"/>
      <x:c r="K555" s="90"/>
      <x:c r="L555" s="90"/>
      <x:c r="M555" s="90"/>
      <x:c r="N555" s="90"/>
      <x:c r="O555" s="90"/>
      <x:c r="P555" s="90"/>
      <x:c r="Q555" s="90"/>
      <x:c r="R555" s="90"/>
      <x:c r="S555" s="90"/>
    </x:row>
    <x:row r="556" spans="1:26" ht="12.75" hidden="1" customHeight="1" x14ac:dyDescent="0.2">
      <x:c r="A556" s="89"/>
      <x:c r="F556" s="90"/>
      <x:c r="G556" s="90"/>
      <x:c r="H556" s="90"/>
      <x:c r="I556" s="90"/>
      <x:c r="J556" s="90"/>
      <x:c r="K556" s="90"/>
      <x:c r="L556" s="90"/>
      <x:c r="M556" s="90"/>
      <x:c r="N556" s="90"/>
      <x:c r="O556" s="90"/>
      <x:c r="P556" s="90"/>
      <x:c r="Q556" s="90"/>
      <x:c r="R556" s="90"/>
      <x:c r="S556" s="90"/>
    </x:row>
    <x:row r="557" spans="1:26" ht="12.75" hidden="1" customHeight="1" x14ac:dyDescent="0.2">
      <x:c r="A557" s="89"/>
      <x:c r="F557" s="90"/>
      <x:c r="G557" s="90"/>
      <x:c r="H557" s="90"/>
      <x:c r="I557" s="90"/>
      <x:c r="J557" s="90"/>
      <x:c r="K557" s="90"/>
      <x:c r="L557" s="90"/>
      <x:c r="M557" s="90"/>
      <x:c r="N557" s="90"/>
      <x:c r="O557" s="90"/>
      <x:c r="P557" s="90"/>
      <x:c r="Q557" s="90"/>
      <x:c r="R557" s="90"/>
      <x:c r="S557" s="90"/>
    </x:row>
    <x:row r="558" spans="1:26" ht="12.75" hidden="1" customHeight="1" x14ac:dyDescent="0.2">
      <x:c r="A558" s="89"/>
      <x:c r="F558" s="90"/>
      <x:c r="G558" s="90"/>
      <x:c r="H558" s="90"/>
      <x:c r="I558" s="90"/>
      <x:c r="J558" s="90"/>
      <x:c r="K558" s="90"/>
      <x:c r="L558" s="90"/>
      <x:c r="M558" s="90"/>
      <x:c r="N558" s="90"/>
      <x:c r="O558" s="90"/>
      <x:c r="P558" s="90"/>
      <x:c r="Q558" s="90"/>
      <x:c r="R558" s="90"/>
      <x:c r="S558" s="90"/>
    </x:row>
    <x:row r="559" spans="1:26" ht="12.75" hidden="1" customHeight="1" x14ac:dyDescent="0.2">
      <x:c r="A559" s="89"/>
      <x:c r="F559" s="90"/>
      <x:c r="G559" s="90"/>
      <x:c r="H559" s="90"/>
      <x:c r="I559" s="90"/>
      <x:c r="J559" s="90"/>
      <x:c r="K559" s="90"/>
      <x:c r="L559" s="90"/>
      <x:c r="M559" s="90"/>
      <x:c r="N559" s="90"/>
      <x:c r="O559" s="90"/>
      <x:c r="P559" s="90"/>
      <x:c r="Q559" s="90"/>
      <x:c r="R559" s="90"/>
      <x:c r="S559" s="90"/>
    </x:row>
    <x:row r="560" spans="1:26" ht="12.75" hidden="1" customHeight="1" x14ac:dyDescent="0.2">
      <x:c r="A560" s="89"/>
      <x:c r="F560" s="90"/>
      <x:c r="G560" s="90"/>
      <x:c r="H560" s="90"/>
      <x:c r="I560" s="90"/>
      <x:c r="J560" s="90"/>
      <x:c r="K560" s="90"/>
      <x:c r="L560" s="90"/>
      <x:c r="M560" s="90"/>
      <x:c r="N560" s="90"/>
      <x:c r="O560" s="90"/>
      <x:c r="P560" s="90"/>
      <x:c r="Q560" s="90"/>
      <x:c r="R560" s="90"/>
      <x:c r="S560" s="90"/>
    </x:row>
    <x:row r="561" spans="1:41" ht="12.75" hidden="1" customHeight="1" x14ac:dyDescent="0.2">
      <x:c r="A561" s="89"/>
      <x:c r="F561" s="90"/>
      <x:c r="G561" s="90"/>
      <x:c r="H561" s="90"/>
      <x:c r="I561" s="90"/>
      <x:c r="J561" s="90"/>
      <x:c r="K561" s="90"/>
      <x:c r="L561" s="90"/>
      <x:c r="M561" s="90"/>
      <x:c r="N561" s="90"/>
      <x:c r="O561" s="90"/>
      <x:c r="P561" s="90"/>
      <x:c r="Q561" s="90"/>
      <x:c r="R561" s="90"/>
      <x:c r="S561" s="90"/>
    </x:row>
    <x:row r="562" spans="1:41" ht="12.75" hidden="1" customHeight="1" x14ac:dyDescent="0.2">
      <x:c r="A562" s="89"/>
      <x:c r="F562" s="90"/>
      <x:c r="G562" s="90"/>
      <x:c r="H562" s="90"/>
      <x:c r="I562" s="90"/>
      <x:c r="J562" s="90"/>
      <x:c r="K562" s="90"/>
      <x:c r="L562" s="90"/>
      <x:c r="M562" s="90"/>
      <x:c r="N562" s="90"/>
      <x:c r="O562" s="90"/>
      <x:c r="P562" s="90"/>
      <x:c r="Q562" s="90"/>
      <x:c r="R562" s="90"/>
      <x:c r="S562" s="90"/>
    </x:row>
    <x:row r="563" spans="1:41" ht="12.75" hidden="1" customHeight="1" x14ac:dyDescent="0.2">
      <x:c r="A563" s="89"/>
      <x:c r="F563" s="90"/>
      <x:c r="G563" s="90"/>
      <x:c r="H563" s="90"/>
      <x:c r="I563" s="90"/>
      <x:c r="J563" s="90"/>
      <x:c r="K563" s="90"/>
      <x:c r="L563" s="90"/>
      <x:c r="M563" s="90"/>
      <x:c r="N563" s="90"/>
      <x:c r="O563" s="90"/>
      <x:c r="P563" s="90"/>
      <x:c r="Q563" s="90"/>
      <x:c r="R563" s="90"/>
      <x:c r="S563" s="90"/>
    </x:row>
    <x:row r="564" spans="1:41" ht="12.75" hidden="1" customHeight="1" x14ac:dyDescent="0.2">
      <x:c r="A564" s="89"/>
      <x:c r="F564" s="90"/>
      <x:c r="G564" s="90"/>
      <x:c r="H564" s="90"/>
      <x:c r="I564" s="90"/>
      <x:c r="J564" s="90"/>
      <x:c r="K564" s="90"/>
      <x:c r="L564" s="90"/>
      <x:c r="M564" s="90"/>
      <x:c r="N564" s="90"/>
      <x:c r="O564" s="90"/>
      <x:c r="P564" s="90"/>
      <x:c r="Q564" s="90"/>
      <x:c r="R564" s="90"/>
      <x:c r="S564" s="90"/>
    </x:row>
    <x:row r="565" spans="1:41" ht="12.75" hidden="1" customHeight="1" x14ac:dyDescent="0.2">
      <x:c r="A565" s="89"/>
      <x:c r="F565" s="90"/>
      <x:c r="G565" s="90"/>
      <x:c r="H565" s="90"/>
      <x:c r="I565" s="90"/>
      <x:c r="J565" s="90"/>
      <x:c r="K565" s="90"/>
      <x:c r="L565" s="90"/>
      <x:c r="M565" s="90"/>
      <x:c r="N565" s="90"/>
      <x:c r="O565" s="90"/>
      <x:c r="P565" s="90"/>
      <x:c r="Q565" s="90"/>
      <x:c r="R565" s="90"/>
      <x:c r="S565" s="90"/>
    </x:row>
    <x:row r="566" spans="1:41" ht="12.75" hidden="1" customHeight="1" x14ac:dyDescent="0.2">
      <x:c r="A566" s="89"/>
      <x:c r="F566" s="90"/>
      <x:c r="G566" s="90"/>
      <x:c r="H566" s="90"/>
      <x:c r="I566" s="90"/>
      <x:c r="J566" s="90"/>
      <x:c r="K566" s="90"/>
      <x:c r="L566" s="90"/>
      <x:c r="M566" s="90"/>
      <x:c r="N566" s="90"/>
      <x:c r="O566" s="90"/>
      <x:c r="P566" s="90"/>
      <x:c r="Q566" s="90"/>
      <x:c r="R566" s="90"/>
      <x:c r="S566" s="90"/>
    </x:row>
    <x:row r="567" spans="1:41" ht="12.75" customHeight="1" x14ac:dyDescent="0.2">
      <x:c r="A567" s="89"/>
      <x:c r="F567" s="90"/>
      <x:c r="G567" s="90"/>
      <x:c r="H567" s="90"/>
      <x:c r="I567" s="90"/>
      <x:c r="J567" s="90"/>
      <x:c r="K567" s="90"/>
      <x:c r="L567" s="90"/>
      <x:c r="M567" s="90"/>
      <x:c r="N567" s="90"/>
      <x:c r="O567" s="90"/>
      <x:c r="P567" s="90"/>
      <x:c r="Q567" s="90"/>
      <x:c r="R567" s="90"/>
      <x:c r="S567" s="90"/>
    </x:row>
    <x:row r="568" spans="1:41" ht="12.75" customHeight="1" x14ac:dyDescent="0.2">
      <x:c r="C568" s="778" t="s">
        <x:v>2</x:v>
      </x:c>
      <x:c r="D568" s="775" t="s">
        <x:v>132</x:v>
      </x:c>
      <x:c r="E568" s="98" t="s">
        <x:v>70</x:v>
      </x:c>
      <x:c r="F568" s="100">
        <x:f>F511+F548+F460-L460-L511</x:f>
        <x:v>0</x:v>
      </x:c>
      <x:c r="G568" s="100">
        <x:f>G511+G460</x:f>
        <x:v>0</x:v>
      </x:c>
      <x:c r="H568" s="100">
        <x:f t="shared" ref="H568:AO568" si="23">H511+H460</x:f>
        <x:v>0</x:v>
      </x:c>
      <x:c r="I568" s="100">
        <x:f t="shared" si="23"/>
        <x:v>0</x:v>
      </x:c>
      <x:c r="J568" s="100">
        <x:f t="shared" si="23"/>
        <x:v>0</x:v>
      </x:c>
      <x:c r="K568" s="100">
        <x:f t="shared" si="23"/>
        <x:v>0</x:v>
      </x:c>
      <x:c r="L568" s="100">
        <x:f t="shared" si="23"/>
        <x:v>0</x:v>
      </x:c>
      <x:c r="M568" s="100">
        <x:f t="shared" si="23"/>
        <x:v>0</x:v>
      </x:c>
      <x:c r="N568" s="100">
        <x:f t="shared" si="23"/>
        <x:v>0</x:v>
      </x:c>
      <x:c r="O568" s="100">
        <x:f t="shared" si="23"/>
        <x:v>0</x:v>
      </x:c>
      <x:c r="P568" s="100">
        <x:f t="shared" si="23"/>
        <x:v>0</x:v>
      </x:c>
      <x:c r="Q568" s="100">
        <x:f t="shared" si="23"/>
        <x:v>0</x:v>
      </x:c>
      <x:c r="R568" s="100">
        <x:f t="shared" si="23"/>
        <x:v>0</x:v>
      </x:c>
      <x:c r="S568" s="100">
        <x:f t="shared" si="23"/>
        <x:v>0</x:v>
      </x:c>
      <x:c r="T568" s="100">
        <x:f t="shared" si="23"/>
        <x:v>0</x:v>
      </x:c>
      <x:c r="U568" s="100">
        <x:f t="shared" si="23"/>
        <x:v>0</x:v>
      </x:c>
      <x:c r="V568" s="100">
        <x:f t="shared" si="23"/>
        <x:v>0</x:v>
      </x:c>
      <x:c r="W568" s="100">
        <x:f t="shared" si="23"/>
        <x:v>0</x:v>
      </x:c>
      <x:c r="X568" s="100">
        <x:f t="shared" si="23"/>
        <x:v>0</x:v>
      </x:c>
      <x:c r="Y568" s="100">
        <x:f t="shared" si="23"/>
        <x:v>0</x:v>
      </x:c>
      <x:c r="Z568" s="100">
        <x:f t="shared" si="23"/>
        <x:v>0</x:v>
      </x:c>
      <x:c r="AA568" s="100">
        <x:f t="shared" si="23"/>
        <x:v>0</x:v>
      </x:c>
      <x:c r="AB568" s="100">
        <x:f t="shared" si="23"/>
        <x:v>0</x:v>
      </x:c>
      <x:c r="AC568" s="100">
        <x:f t="shared" si="23"/>
        <x:v>0</x:v>
      </x:c>
      <x:c r="AD568" s="100">
        <x:f t="shared" si="23"/>
        <x:v>0</x:v>
      </x:c>
      <x:c r="AE568" s="100">
        <x:f t="shared" si="23"/>
        <x:v>0</x:v>
      </x:c>
      <x:c r="AF568" s="100">
        <x:f t="shared" si="23"/>
        <x:v>0</x:v>
      </x:c>
      <x:c r="AG568" s="100">
        <x:f t="shared" si="23"/>
        <x:v>0</x:v>
      </x:c>
      <x:c r="AH568" s="100">
        <x:f t="shared" si="23"/>
        <x:v>0</x:v>
      </x:c>
      <x:c r="AI568" s="100">
        <x:f t="shared" si="23"/>
        <x:v>0</x:v>
      </x:c>
      <x:c r="AJ568" s="100">
        <x:f t="shared" si="23"/>
        <x:v>0</x:v>
      </x:c>
      <x:c r="AK568" s="100">
        <x:f t="shared" si="23"/>
        <x:v>0</x:v>
      </x:c>
      <x:c r="AL568" s="100">
        <x:f t="shared" si="23"/>
        <x:v>0</x:v>
      </x:c>
      <x:c r="AM568" s="100">
        <x:f t="shared" si="23"/>
        <x:v>0</x:v>
      </x:c>
      <x:c r="AN568" s="100">
        <x:f t="shared" si="23"/>
        <x:v>0</x:v>
      </x:c>
      <x:c r="AO568" s="100">
        <x:f t="shared" si="23"/>
        <x:v>0</x:v>
      </x:c>
    </x:row>
    <x:row r="569" spans="1:41" ht="12.75" customHeight="1" x14ac:dyDescent="0.2">
      <x:c r="C569" s="778"/>
      <x:c r="D569" s="775"/>
      <x:c r="E569" s="98" t="s">
        <x:v>73</x:v>
      </x:c>
      <x:c r="F569" s="100">
        <x:f>F548</x:f>
        <x:v>0</x:v>
      </x:c>
      <x:c r="G569" s="90"/>
      <x:c r="H569" s="90"/>
      <x:c r="I569" s="90"/>
      <x:c r="J569" s="90"/>
      <x:c r="K569" s="90"/>
      <x:c r="L569" s="90"/>
      <x:c r="M569" s="90"/>
      <x:c r="N569" s="90"/>
      <x:c r="O569" s="90"/>
      <x:c r="P569" s="90"/>
      <x:c r="Q569" s="90"/>
      <x:c r="R569" s="90"/>
      <x:c r="S569" s="90"/>
    </x:row>
    <x:row r="570" spans="1:41" ht="12.75" customHeight="1" x14ac:dyDescent="0.2">
      <x:c r="C570" s="778"/>
      <x:c r="D570" s="775" t="s">
        <x:v>133</x:v>
      </x:c>
      <x:c r="E570" s="233" t="s">
        <x:v>70</x:v>
      </x:c>
      <x:c r="F570" s="234">
        <x:f>F530+F486-L486</x:f>
        <x:v>0</x:v>
      </x:c>
      <x:c r="G570" s="234">
        <x:f t="shared" ref="G570:AA570" si="24">G486</x:f>
        <x:v>0</x:v>
      </x:c>
      <x:c r="H570" s="234">
        <x:f t="shared" si="24"/>
        <x:v>0</x:v>
      </x:c>
      <x:c r="I570" s="234">
        <x:f t="shared" si="24"/>
        <x:v>0</x:v>
      </x:c>
      <x:c r="J570" s="234">
        <x:f t="shared" si="24"/>
        <x:v>0</x:v>
      </x:c>
      <x:c r="K570" s="234">
        <x:f t="shared" si="24"/>
        <x:v>0</x:v>
      </x:c>
      <x:c r="L570" s="234">
        <x:f t="shared" si="24"/>
        <x:v>0</x:v>
      </x:c>
      <x:c r="M570" s="234">
        <x:f t="shared" si="24"/>
        <x:v>0</x:v>
      </x:c>
      <x:c r="N570" s="234">
        <x:f t="shared" si="24"/>
        <x:v>0</x:v>
      </x:c>
      <x:c r="O570" s="234">
        <x:f t="shared" si="24"/>
        <x:v>0</x:v>
      </x:c>
      <x:c r="P570" s="234">
        <x:f t="shared" si="24"/>
        <x:v>0</x:v>
      </x:c>
      <x:c r="Q570" s="234">
        <x:f t="shared" si="24"/>
        <x:v>0</x:v>
      </x:c>
      <x:c r="R570" s="234">
        <x:f t="shared" si="24"/>
        <x:v>0</x:v>
      </x:c>
      <x:c r="S570" s="234">
        <x:f t="shared" si="24"/>
        <x:v>0</x:v>
      </x:c>
      <x:c r="T570" s="234">
        <x:f t="shared" si="24"/>
        <x:v>0</x:v>
      </x:c>
      <x:c r="U570" s="234">
        <x:f t="shared" si="24"/>
        <x:v>0</x:v>
      </x:c>
      <x:c r="V570" s="234">
        <x:f t="shared" si="24"/>
        <x:v>0</x:v>
      </x:c>
      <x:c r="W570" s="234">
        <x:f t="shared" si="24"/>
        <x:v>0</x:v>
      </x:c>
      <x:c r="X570" s="234">
        <x:f t="shared" si="24"/>
        <x:v>0</x:v>
      </x:c>
      <x:c r="Y570" s="234">
        <x:f t="shared" si="24"/>
        <x:v>0</x:v>
      </x:c>
      <x:c r="Z570" s="234">
        <x:f t="shared" si="24"/>
        <x:v>0</x:v>
      </x:c>
      <x:c r="AA570" s="234">
        <x:f t="shared" si="24"/>
        <x:v>0</x:v>
      </x:c>
    </x:row>
    <x:row r="571" spans="1:41" ht="12.75" customHeight="1" x14ac:dyDescent="0.2">
      <x:c r="C571" s="778"/>
      <x:c r="D571" s="775"/>
      <x:c r="E571" s="233" t="s">
        <x:v>73</x:v>
      </x:c>
      <x:c r="F571" s="234">
        <x:f>F530</x:f>
        <x:v>0</x:v>
      </x:c>
      <x:c r="G571" s="90"/>
      <x:c r="H571" s="90"/>
      <x:c r="I571" s="90"/>
      <x:c r="J571" s="90"/>
      <x:c r="K571" s="90"/>
      <x:c r="L571" s="90"/>
      <x:c r="M571" s="90"/>
      <x:c r="N571" s="90"/>
      <x:c r="O571" s="90"/>
      <x:c r="P571" s="90"/>
      <x:c r="Q571" s="90"/>
      <x:c r="R571" s="90"/>
    </x:row>
    <x:row r="572" spans="1:41" ht="12.75" customHeight="1" x14ac:dyDescent="0.2">
      <x:c r="A572" s="89"/>
      <x:c r="C572" s="97"/>
      <x:c r="F572" s="90"/>
      <x:c r="G572" s="90"/>
      <x:c r="H572" s="90"/>
      <x:c r="I572" s="90"/>
      <x:c r="J572" s="90"/>
      <x:c r="K572" s="90"/>
      <x:c r="L572" s="90"/>
      <x:c r="M572" s="90"/>
      <x:c r="N572" s="90"/>
      <x:c r="O572" s="90"/>
      <x:c r="P572" s="90"/>
      <x:c r="Q572" s="90"/>
      <x:c r="R572" s="90"/>
      <x:c r="S572" s="90"/>
    </x:row>
    <x:row r="573" spans="1:41" ht="12.75" customHeight="1" x14ac:dyDescent="0.2">
      <x:c r="C573" s="778" t="s">
        <x:v>160</x:v>
      </x:c>
      <x:c r="D573" s="775" t="s">
        <x:v>132</x:v>
      </x:c>
      <x:c r="E573" s="223" t="s">
        <x:v>70</x:v>
      </x:c>
      <x:c r="F573" s="225">
        <x:f>F540+F500-L500</x:f>
        <x:v>0</x:v>
      </x:c>
      <x:c r="G573" s="225">
        <x:f t="shared" ref="G573:AO573" si="25">G500</x:f>
        <x:v>0</x:v>
      </x:c>
      <x:c r="H573" s="225">
        <x:f t="shared" si="25"/>
        <x:v>0</x:v>
      </x:c>
      <x:c r="I573" s="225">
        <x:f t="shared" si="25"/>
        <x:v>0</x:v>
      </x:c>
      <x:c r="J573" s="225">
        <x:f t="shared" si="25"/>
        <x:v>0</x:v>
      </x:c>
      <x:c r="K573" s="225">
        <x:f t="shared" si="25"/>
        <x:v>0</x:v>
      </x:c>
      <x:c r="L573" s="225">
        <x:f t="shared" si="25"/>
        <x:v>0</x:v>
      </x:c>
      <x:c r="M573" s="225">
        <x:f t="shared" si="25"/>
        <x:v>0</x:v>
      </x:c>
      <x:c r="N573" s="225">
        <x:f t="shared" si="25"/>
        <x:v>0</x:v>
      </x:c>
      <x:c r="O573" s="225">
        <x:f t="shared" si="25"/>
        <x:v>0</x:v>
      </x:c>
      <x:c r="P573" s="225">
        <x:f t="shared" si="25"/>
        <x:v>0</x:v>
      </x:c>
      <x:c r="Q573" s="225">
        <x:f t="shared" si="25"/>
        <x:v>0</x:v>
      </x:c>
      <x:c r="R573" s="225">
        <x:f t="shared" si="25"/>
        <x:v>0</x:v>
      </x:c>
      <x:c r="S573" s="225">
        <x:f t="shared" si="25"/>
        <x:v>0</x:v>
      </x:c>
      <x:c r="T573" s="225">
        <x:f t="shared" si="25"/>
        <x:v>0</x:v>
      </x:c>
      <x:c r="U573" s="225">
        <x:f t="shared" si="25"/>
        <x:v>0</x:v>
      </x:c>
      <x:c r="V573" s="225">
        <x:f t="shared" si="25"/>
        <x:v>0</x:v>
      </x:c>
      <x:c r="W573" s="225">
        <x:f t="shared" si="25"/>
        <x:v>0</x:v>
      </x:c>
      <x:c r="X573" s="225">
        <x:f t="shared" si="25"/>
        <x:v>0</x:v>
      </x:c>
      <x:c r="Y573" s="225">
        <x:f t="shared" si="25"/>
        <x:v>0</x:v>
      </x:c>
      <x:c r="Z573" s="225">
        <x:f t="shared" si="25"/>
        <x:v>0</x:v>
      </x:c>
      <x:c r="AA573" s="225">
        <x:f t="shared" si="25"/>
        <x:v>0</x:v>
      </x:c>
      <x:c r="AB573" s="225">
        <x:f t="shared" si="25"/>
        <x:v>0</x:v>
      </x:c>
      <x:c r="AC573" s="225">
        <x:f t="shared" si="25"/>
        <x:v>0</x:v>
      </x:c>
      <x:c r="AD573" s="225">
        <x:f t="shared" si="25"/>
        <x:v>0</x:v>
      </x:c>
      <x:c r="AE573" s="225">
        <x:f t="shared" si="25"/>
        <x:v>0</x:v>
      </x:c>
      <x:c r="AF573" s="225">
        <x:f t="shared" si="25"/>
        <x:v>0</x:v>
      </x:c>
      <x:c r="AG573" s="225">
        <x:f t="shared" si="25"/>
        <x:v>0</x:v>
      </x:c>
      <x:c r="AH573" s="225">
        <x:f t="shared" si="25"/>
        <x:v>0</x:v>
      </x:c>
      <x:c r="AI573" s="225">
        <x:f t="shared" si="25"/>
        <x:v>0</x:v>
      </x:c>
      <x:c r="AJ573" s="225">
        <x:f t="shared" si="25"/>
        <x:v>0</x:v>
      </x:c>
      <x:c r="AK573" s="225">
        <x:f t="shared" si="25"/>
        <x:v>0</x:v>
      </x:c>
      <x:c r="AL573" s="225">
        <x:f t="shared" si="25"/>
        <x:v>0</x:v>
      </x:c>
      <x:c r="AM573" s="225">
        <x:f t="shared" si="25"/>
        <x:v>0</x:v>
      </x:c>
      <x:c r="AN573" s="225">
        <x:f t="shared" si="25"/>
        <x:v>0</x:v>
      </x:c>
      <x:c r="AO573" s="225">
        <x:f t="shared" si="25"/>
        <x:v>0</x:v>
      </x:c>
    </x:row>
    <x:row r="574" spans="1:41" ht="12.75" customHeight="1" x14ac:dyDescent="0.2">
      <x:c r="C574" s="778"/>
      <x:c r="D574" s="775"/>
      <x:c r="E574" s="223" t="s">
        <x:v>73</x:v>
      </x:c>
      <x:c r="F574" s="225">
        <x:f>F540</x:f>
        <x:v>0</x:v>
      </x:c>
      <x:c r="G574" s="90"/>
      <x:c r="H574" s="90"/>
      <x:c r="I574" s="90"/>
      <x:c r="J574" s="90"/>
      <x:c r="K574" s="90"/>
      <x:c r="L574" s="90"/>
      <x:c r="M574" s="90"/>
      <x:c r="N574" s="90"/>
      <x:c r="O574" s="90"/>
      <x:c r="P574" s="90"/>
      <x:c r="Q574" s="90"/>
      <x:c r="R574" s="90"/>
      <x:c r="S574" s="90"/>
    </x:row>
    <x:row r="575" spans="1:41" ht="12.75" customHeight="1" x14ac:dyDescent="0.2">
      <x:c r="C575" s="778"/>
      <x:c r="D575" s="775" t="s">
        <x:v>133</x:v>
      </x:c>
      <x:c r="E575" s="227" t="s">
        <x:v>70</x:v>
      </x:c>
      <x:c r="F575" s="228">
        <x:f>F522+F475-L475</x:f>
        <x:v>0</x:v>
      </x:c>
      <x:c r="G575" s="228">
        <x:f t="shared" ref="G575:Z575" si="26">G475</x:f>
        <x:v>0</x:v>
      </x:c>
      <x:c r="H575" s="228">
        <x:f t="shared" si="26"/>
        <x:v>0</x:v>
      </x:c>
      <x:c r="I575" s="228">
        <x:f t="shared" si="26"/>
        <x:v>0</x:v>
      </x:c>
      <x:c r="J575" s="228">
        <x:f t="shared" si="26"/>
        <x:v>0</x:v>
      </x:c>
      <x:c r="K575" s="228">
        <x:f t="shared" si="26"/>
        <x:v>0</x:v>
      </x:c>
      <x:c r="L575" s="228">
        <x:f t="shared" si="26"/>
        <x:v>0</x:v>
      </x:c>
      <x:c r="M575" s="228">
        <x:f t="shared" si="26"/>
        <x:v>0</x:v>
      </x:c>
      <x:c r="N575" s="228">
        <x:f t="shared" si="26"/>
        <x:v>0</x:v>
      </x:c>
      <x:c r="O575" s="228">
        <x:f t="shared" si="26"/>
        <x:v>0</x:v>
      </x:c>
      <x:c r="P575" s="228">
        <x:f t="shared" si="26"/>
        <x:v>0</x:v>
      </x:c>
      <x:c r="Q575" s="228">
        <x:f t="shared" si="26"/>
        <x:v>0</x:v>
      </x:c>
      <x:c r="R575" s="228">
        <x:f t="shared" si="26"/>
        <x:v>0</x:v>
      </x:c>
      <x:c r="S575" s="228">
        <x:f t="shared" si="26"/>
        <x:v>0</x:v>
      </x:c>
      <x:c r="T575" s="228">
        <x:f t="shared" si="26"/>
        <x:v>0</x:v>
      </x:c>
      <x:c r="U575" s="228">
        <x:f t="shared" si="26"/>
        <x:v>0</x:v>
      </x:c>
      <x:c r="V575" s="228">
        <x:f t="shared" si="26"/>
        <x:v>0</x:v>
      </x:c>
      <x:c r="W575" s="228">
        <x:f t="shared" si="26"/>
        <x:v>0</x:v>
      </x:c>
      <x:c r="X575" s="228">
        <x:f t="shared" si="26"/>
        <x:v>0</x:v>
      </x:c>
      <x:c r="Y575" s="228">
        <x:f t="shared" si="26"/>
        <x:v>0</x:v>
      </x:c>
      <x:c r="Z575" s="228">
        <x:f t="shared" si="26"/>
        <x:v>0</x:v>
      </x:c>
    </x:row>
    <x:row r="576" spans="1:41" ht="12.75" customHeight="1" x14ac:dyDescent="0.2">
      <x:c r="C576" s="778"/>
      <x:c r="D576" s="775"/>
      <x:c r="E576" s="227" t="s">
        <x:v>73</x:v>
      </x:c>
      <x:c r="F576" s="228">
        <x:f>F522</x:f>
        <x:v>0</x:v>
      </x:c>
      <x:c r="G576" s="90"/>
      <x:c r="H576" s="90"/>
      <x:c r="I576" s="90"/>
      <x:c r="J576" s="90"/>
      <x:c r="K576" s="90"/>
      <x:c r="L576" s="90"/>
      <x:c r="M576" s="90"/>
      <x:c r="N576" s="90"/>
      <x:c r="O576" s="90"/>
      <x:c r="P576" s="90"/>
      <x:c r="Q576" s="90"/>
      <x:c r="R576" s="90"/>
    </x:row>
    <x:row r="577" spans="1:41" ht="12.75" customHeight="1" x14ac:dyDescent="0.2">
      <x:c r="A577" s="89"/>
      <x:c r="C577" s="97"/>
      <x:c r="F577" s="90"/>
      <x:c r="G577" s="90"/>
      <x:c r="H577" s="90"/>
      <x:c r="I577" s="90"/>
      <x:c r="J577" s="90"/>
      <x:c r="K577" s="90"/>
      <x:c r="L577" s="90"/>
      <x:c r="M577" s="90"/>
      <x:c r="N577" s="90"/>
      <x:c r="O577" s="90"/>
      <x:c r="P577" s="90"/>
      <x:c r="Q577" s="90"/>
      <x:c r="R577" s="90"/>
      <x:c r="S577" s="90"/>
    </x:row>
    <x:row r="578" spans="1:41" ht="12.75" customHeight="1" x14ac:dyDescent="0.2">
      <x:c r="C578" s="778" t="s">
        <x:v>155</x:v>
      </x:c>
      <x:c r="D578" s="775" t="s">
        <x:v>132</x:v>
      </x:c>
      <x:c r="E578" s="221" t="s">
        <x:v>70</x:v>
      </x:c>
      <x:c r="F578" s="222">
        <x:f>F533+F490+F452-L452-L490</x:f>
        <x:v>0</x:v>
      </x:c>
      <x:c r="G578" s="222">
        <x:f t="shared" ref="G578:Z578" si="27">G490+G452</x:f>
        <x:v>0</x:v>
      </x:c>
      <x:c r="H578" s="222">
        <x:f t="shared" si="27"/>
        <x:v>0</x:v>
      </x:c>
      <x:c r="I578" s="222">
        <x:f t="shared" si="27"/>
        <x:v>0</x:v>
      </x:c>
      <x:c r="J578" s="222">
        <x:f t="shared" si="27"/>
        <x:v>0</x:v>
      </x:c>
      <x:c r="K578" s="222">
        <x:f t="shared" si="27"/>
        <x:v>0</x:v>
      </x:c>
      <x:c r="L578" s="222">
        <x:f t="shared" si="27"/>
        <x:v>0</x:v>
      </x:c>
      <x:c r="M578" s="222">
        <x:f t="shared" si="27"/>
        <x:v>0</x:v>
      </x:c>
      <x:c r="N578" s="222">
        <x:f t="shared" si="27"/>
        <x:v>0</x:v>
      </x:c>
      <x:c r="O578" s="222">
        <x:f t="shared" si="27"/>
        <x:v>0</x:v>
      </x:c>
      <x:c r="P578" s="222">
        <x:f t="shared" si="27"/>
        <x:v>0</x:v>
      </x:c>
      <x:c r="Q578" s="222">
        <x:f t="shared" si="27"/>
        <x:v>0</x:v>
      </x:c>
      <x:c r="R578" s="222">
        <x:f t="shared" si="27"/>
        <x:v>0</x:v>
      </x:c>
      <x:c r="S578" s="222">
        <x:f t="shared" si="27"/>
        <x:v>0</x:v>
      </x:c>
      <x:c r="T578" s="222">
        <x:f t="shared" si="27"/>
        <x:v>0</x:v>
      </x:c>
      <x:c r="U578" s="222">
        <x:f t="shared" si="27"/>
        <x:v>0</x:v>
      </x:c>
      <x:c r="V578" s="222">
        <x:f t="shared" si="27"/>
        <x:v>0</x:v>
      </x:c>
      <x:c r="W578" s="222">
        <x:f t="shared" si="27"/>
        <x:v>0</x:v>
      </x:c>
      <x:c r="X578" s="222">
        <x:f t="shared" si="27"/>
        <x:v>0</x:v>
      </x:c>
      <x:c r="Y578" s="222">
        <x:f t="shared" si="27"/>
        <x:v>0</x:v>
      </x:c>
      <x:c r="Z578" s="222">
        <x:f t="shared" si="27"/>
        <x:v>0</x:v>
      </x:c>
    </x:row>
    <x:row r="579" spans="1:41" ht="12.75" customHeight="1" x14ac:dyDescent="0.2">
      <x:c r="C579" s="778"/>
      <x:c r="D579" s="775"/>
      <x:c r="E579" s="221" t="s">
        <x:v>73</x:v>
      </x:c>
      <x:c r="F579" s="222">
        <x:f>F533</x:f>
        <x:v>0</x:v>
      </x:c>
      <x:c r="G579" s="90"/>
      <x:c r="H579" s="90"/>
      <x:c r="I579" s="90"/>
      <x:c r="J579" s="90"/>
      <x:c r="K579" s="90"/>
      <x:c r="L579" s="90"/>
      <x:c r="M579" s="90"/>
      <x:c r="N579" s="90"/>
      <x:c r="O579" s="90"/>
      <x:c r="P579" s="90"/>
      <x:c r="Q579" s="90"/>
      <x:c r="R579" s="90"/>
      <x:c r="S579" s="90"/>
    </x:row>
    <x:row r="580" spans="1:41" ht="12.75" customHeight="1" x14ac:dyDescent="0.2">
      <x:c r="C580" s="778"/>
      <x:c r="D580" s="775" t="s">
        <x:v>133</x:v>
      </x:c>
      <x:c r="E580" s="229" t="s">
        <x:v>70</x:v>
      </x:c>
      <x:c r="F580" s="230">
        <x:f>F515+F465-L465</x:f>
        <x:v>0</x:v>
      </x:c>
      <x:c r="G580" s="230">
        <x:f t="shared" ref="G580:Z580" si="28">G465</x:f>
        <x:v>0</x:v>
      </x:c>
      <x:c r="H580" s="230">
        <x:f t="shared" si="28"/>
        <x:v>0</x:v>
      </x:c>
      <x:c r="I580" s="230">
        <x:f t="shared" si="28"/>
        <x:v>0</x:v>
      </x:c>
      <x:c r="J580" s="230">
        <x:f t="shared" si="28"/>
        <x:v>0</x:v>
      </x:c>
      <x:c r="K580" s="230">
        <x:f t="shared" si="28"/>
        <x:v>0</x:v>
      </x:c>
      <x:c r="L580" s="230">
        <x:f t="shared" si="28"/>
        <x:v>0</x:v>
      </x:c>
      <x:c r="M580" s="230">
        <x:f t="shared" si="28"/>
        <x:v>0</x:v>
      </x:c>
      <x:c r="N580" s="230">
        <x:f t="shared" si="28"/>
        <x:v>0</x:v>
      </x:c>
      <x:c r="O580" s="230">
        <x:f t="shared" si="28"/>
        <x:v>0</x:v>
      </x:c>
      <x:c r="P580" s="230">
        <x:f t="shared" si="28"/>
        <x:v>0</x:v>
      </x:c>
      <x:c r="Q580" s="230">
        <x:f t="shared" si="28"/>
        <x:v>0</x:v>
      </x:c>
      <x:c r="R580" s="230">
        <x:f t="shared" si="28"/>
        <x:v>0</x:v>
      </x:c>
      <x:c r="S580" s="230">
        <x:f t="shared" si="28"/>
        <x:v>0</x:v>
      </x:c>
      <x:c r="T580" s="230">
        <x:f t="shared" si="28"/>
        <x:v>0</x:v>
      </x:c>
      <x:c r="U580" s="230">
        <x:f t="shared" si="28"/>
        <x:v>0</x:v>
      </x:c>
      <x:c r="V580" s="230">
        <x:f t="shared" si="28"/>
        <x:v>0</x:v>
      </x:c>
      <x:c r="W580" s="230">
        <x:f t="shared" si="28"/>
        <x:v>0</x:v>
      </x:c>
      <x:c r="X580" s="230">
        <x:f t="shared" si="28"/>
        <x:v>0</x:v>
      </x:c>
      <x:c r="Y580" s="230">
        <x:f t="shared" si="28"/>
        <x:v>0</x:v>
      </x:c>
      <x:c r="Z580" s="230">
        <x:f t="shared" si="28"/>
        <x:v>0</x:v>
      </x:c>
    </x:row>
    <x:row r="581" spans="1:41" ht="12.75" customHeight="1" x14ac:dyDescent="0.2">
      <x:c r="C581" s="778"/>
      <x:c r="D581" s="775"/>
      <x:c r="E581" s="229" t="s">
        <x:v>73</x:v>
      </x:c>
      <x:c r="F581" s="230">
        <x:f>F515</x:f>
        <x:v>0</x:v>
      </x:c>
      <x:c r="G581" s="90"/>
      <x:c r="H581" s="90"/>
      <x:c r="I581" s="90"/>
      <x:c r="J581" s="90"/>
      <x:c r="K581" s="90"/>
      <x:c r="L581" s="90"/>
      <x:c r="M581" s="90"/>
      <x:c r="N581" s="90"/>
      <x:c r="O581" s="90"/>
      <x:c r="P581" s="90"/>
      <x:c r="Q581" s="90"/>
      <x:c r="R581" s="90"/>
    </x:row>
    <x:row r="582" spans="1:41" ht="12.75" customHeight="1" x14ac:dyDescent="0.2">
      <x:c r="A582" s="89"/>
      <x:c r="C582" s="97"/>
      <x:c r="F582" s="90"/>
      <x:c r="G582" s="90"/>
      <x:c r="H582" s="90"/>
      <x:c r="I582" s="90"/>
      <x:c r="J582" s="90"/>
      <x:c r="K582" s="90"/>
      <x:c r="L582" s="90"/>
      <x:c r="M582" s="90"/>
      <x:c r="N582" s="90"/>
      <x:c r="O582" s="90"/>
      <x:c r="P582" s="90"/>
      <x:c r="Q582" s="90"/>
      <x:c r="R582" s="90"/>
      <x:c r="S582" s="90"/>
    </x:row>
    <x:row r="583" spans="1:41" ht="12.75" customHeight="1" x14ac:dyDescent="0.2">
      <x:c r="C583" s="776" t="s">
        <x:v>326</x:v>
      </x:c>
      <x:c r="D583" s="775" t="s">
        <x:v>132</x:v>
      </x:c>
      <x:c r="E583" s="373" t="s">
        <x:v>70</x:v>
      </x:c>
      <x:c r="F583" s="374">
        <x:v>0</x:v>
      </x:c>
      <x:c r="G583" s="374">
        <x:v>0</x:v>
      </x:c>
      <x:c r="H583" s="374">
        <x:v>0</x:v>
      </x:c>
      <x:c r="I583" s="374">
        <x:v>0</x:v>
      </x:c>
      <x:c r="J583" s="374">
        <x:v>0</x:v>
      </x:c>
      <x:c r="K583" s="374">
        <x:v>0</x:v>
      </x:c>
      <x:c r="L583" s="374">
        <x:v>0</x:v>
      </x:c>
      <x:c r="M583" s="374">
        <x:v>0</x:v>
      </x:c>
      <x:c r="N583" s="374">
        <x:v>0</x:v>
      </x:c>
      <x:c r="O583" s="374">
        <x:v>0</x:v>
      </x:c>
      <x:c r="P583" s="374">
        <x:v>0</x:v>
      </x:c>
      <x:c r="Q583" s="374">
        <x:v>0</x:v>
      </x:c>
      <x:c r="R583" s="374">
        <x:v>0</x:v>
      </x:c>
      <x:c r="S583" s="374">
        <x:v>0</x:v>
      </x:c>
      <x:c r="T583" s="374">
        <x:v>0</x:v>
      </x:c>
      <x:c r="U583" s="374">
        <x:v>0</x:v>
      </x:c>
      <x:c r="V583" s="374">
        <x:v>0</x:v>
      </x:c>
      <x:c r="W583" s="374">
        <x:v>0</x:v>
      </x:c>
      <x:c r="X583" s="374">
        <x:v>0</x:v>
      </x:c>
      <x:c r="Y583" s="374">
        <x:v>0</x:v>
      </x:c>
      <x:c r="Z583" s="374">
        <x:v>0</x:v>
      </x:c>
      <x:c r="AA583" s="374">
        <x:v>0</x:v>
      </x:c>
      <x:c r="AB583" s="374">
        <x:v>0</x:v>
      </x:c>
      <x:c r="AC583" s="374">
        <x:v>0</x:v>
      </x:c>
      <x:c r="AD583" s="374">
        <x:v>0</x:v>
      </x:c>
      <x:c r="AE583" s="374">
        <x:v>0</x:v>
      </x:c>
      <x:c r="AF583" s="374">
        <x:v>0</x:v>
      </x:c>
      <x:c r="AG583" s="374">
        <x:v>0</x:v>
      </x:c>
      <x:c r="AH583" s="374">
        <x:v>0</x:v>
      </x:c>
      <x:c r="AI583" s="374">
        <x:v>0</x:v>
      </x:c>
      <x:c r="AJ583" s="374">
        <x:v>0</x:v>
      </x:c>
      <x:c r="AK583" s="374">
        <x:v>0</x:v>
      </x:c>
      <x:c r="AL583" s="374">
        <x:v>0</x:v>
      </x:c>
      <x:c r="AM583" s="374">
        <x:v>0</x:v>
      </x:c>
      <x:c r="AN583" s="374">
        <x:v>0</x:v>
      </x:c>
      <x:c r="AO583" s="374">
        <x:v>0</x:v>
      </x:c>
    </x:row>
    <x:row r="584" spans="1:41" ht="12.75" customHeight="1" x14ac:dyDescent="0.2">
      <x:c r="C584" s="776"/>
      <x:c r="D584" s="775"/>
      <x:c r="E584" s="373" t="s">
        <x:v>73</x:v>
      </x:c>
      <x:c r="F584" s="374">
        <x:v>0</x:v>
      </x:c>
      <x:c r="G584" s="90"/>
      <x:c r="H584" s="90"/>
      <x:c r="I584" s="90"/>
      <x:c r="J584" s="90"/>
      <x:c r="K584" s="90"/>
      <x:c r="L584" s="90"/>
      <x:c r="M584" s="90"/>
      <x:c r="N584" s="90"/>
      <x:c r="O584" s="90"/>
      <x:c r="P584" s="90"/>
      <x:c r="Q584" s="90"/>
      <x:c r="R584" s="90"/>
      <x:c r="S584" s="90"/>
    </x:row>
    <x:row r="585" spans="1:41" ht="12.75" customHeight="1" x14ac:dyDescent="0.2">
      <x:c r="C585" s="776"/>
      <x:c r="D585" s="775" t="s">
        <x:v>133</x:v>
      </x:c>
      <x:c r="E585" s="242" t="s">
        <x:v>70</x:v>
      </x:c>
      <x:c r="F585" s="243">
        <x:v>0</x:v>
      </x:c>
      <x:c r="G585" s="243">
        <x:v>0</x:v>
      </x:c>
      <x:c r="H585" s="243">
        <x:v>0</x:v>
      </x:c>
      <x:c r="I585" s="243">
        <x:v>0</x:v>
      </x:c>
      <x:c r="J585" s="243">
        <x:v>0</x:v>
      </x:c>
      <x:c r="K585" s="243">
        <x:v>0</x:v>
      </x:c>
      <x:c r="L585" s="243">
        <x:v>0</x:v>
      </x:c>
      <x:c r="M585" s="243">
        <x:v>0</x:v>
      </x:c>
      <x:c r="N585" s="243">
        <x:v>0</x:v>
      </x:c>
      <x:c r="O585" s="243">
        <x:v>0</x:v>
      </x:c>
      <x:c r="P585" s="243">
        <x:v>0</x:v>
      </x:c>
      <x:c r="Q585" s="243">
        <x:v>0</x:v>
      </x:c>
      <x:c r="R585" s="243">
        <x:v>0</x:v>
      </x:c>
      <x:c r="S585" s="243">
        <x:v>0</x:v>
      </x:c>
      <x:c r="T585" s="243">
        <x:v>0</x:v>
      </x:c>
      <x:c r="U585" s="243">
        <x:v>0</x:v>
      </x:c>
      <x:c r="V585" s="243">
        <x:v>0</x:v>
      </x:c>
      <x:c r="W585" s="243">
        <x:v>0</x:v>
      </x:c>
      <x:c r="X585" s="243">
        <x:v>0</x:v>
      </x:c>
      <x:c r="Y585" s="243">
        <x:v>0</x:v>
      </x:c>
      <x:c r="Z585" s="243">
        <x:v>0</x:v>
      </x:c>
      <x:c r="AA585" s="243">
        <x:v>0</x:v>
      </x:c>
      <x:c r="AB585" s="243">
        <x:v>0</x:v>
      </x:c>
      <x:c r="AC585" s="243">
        <x:v>0</x:v>
      </x:c>
      <x:c r="AD585" s="243">
        <x:v>0</x:v>
      </x:c>
      <x:c r="AE585" s="243">
        <x:v>0</x:v>
      </x:c>
      <x:c r="AF585" s="243">
        <x:v>0</x:v>
      </x:c>
      <x:c r="AG585" s="243">
        <x:v>0</x:v>
      </x:c>
      <x:c r="AH585" s="243">
        <x:v>0</x:v>
      </x:c>
      <x:c r="AI585" s="243">
        <x:v>0</x:v>
      </x:c>
      <x:c r="AJ585" s="243">
        <x:v>0</x:v>
      </x:c>
      <x:c r="AK585" s="243">
        <x:v>0</x:v>
      </x:c>
      <x:c r="AL585" s="243">
        <x:v>0</x:v>
      </x:c>
      <x:c r="AM585" s="243">
        <x:v>0</x:v>
      </x:c>
      <x:c r="AN585" s="243">
        <x:v>0</x:v>
      </x:c>
      <x:c r="AO585" s="243">
        <x:v>0</x:v>
      </x:c>
    </x:row>
    <x:row r="586" spans="1:41" ht="12.75" customHeight="1" x14ac:dyDescent="0.2">
      <x:c r="C586" s="776"/>
      <x:c r="D586" s="775"/>
      <x:c r="E586" s="242" t="s">
        <x:v>73</x:v>
      </x:c>
      <x:c r="F586" s="243">
        <x:v>0</x:v>
      </x:c>
      <x:c r="G586" s="90"/>
      <x:c r="H586" s="90"/>
      <x:c r="I586" s="90"/>
      <x:c r="J586" s="90"/>
      <x:c r="K586" s="90"/>
      <x:c r="L586" s="90"/>
      <x:c r="M586" s="90"/>
      <x:c r="N586" s="90"/>
      <x:c r="O586" s="90"/>
      <x:c r="P586" s="90"/>
      <x:c r="Q586" s="90"/>
      <x:c r="R586" s="90"/>
    </x:row>
    <x:row r="587" spans="1:41" ht="12.75" customHeight="1" x14ac:dyDescent="0.2">
      <x:c r="A587" s="89"/>
      <x:c r="C587" s="97"/>
      <x:c r="F587" s="90"/>
      <x:c r="G587" s="90"/>
      <x:c r="H587" s="90"/>
      <x:c r="I587" s="90"/>
      <x:c r="J587" s="90"/>
      <x:c r="K587" s="90"/>
      <x:c r="L587" s="90"/>
      <x:c r="M587" s="90"/>
      <x:c r="N587" s="90"/>
      <x:c r="O587" s="90"/>
      <x:c r="P587" s="90"/>
      <x:c r="Q587" s="90"/>
      <x:c r="R587" s="90"/>
      <x:c r="S587" s="90"/>
    </x:row>
    <x:row r="588" spans="1:41" ht="12.75" customHeight="1" x14ac:dyDescent="0.2">
      <x:c r="C588" s="778" t="s">
        <x:v>119</x:v>
      </x:c>
      <x:c r="D588" s="775" t="s">
        <x:v>132</x:v>
      </x:c>
      <x:c r="E588" s="101" t="s">
        <x:v>70</x:v>
      </x:c>
      <x:c r="F588" s="93">
        <x:f>F547+F510+F459-L459-L510</x:f>
        <x:v>0</x:v>
      </x:c>
      <x:c r="G588" s="93">
        <x:f t="shared" ref="G588:AO588" si="29">G510+G459</x:f>
        <x:v>0</x:v>
      </x:c>
      <x:c r="H588" s="93">
        <x:f t="shared" si="29"/>
        <x:v>0</x:v>
      </x:c>
      <x:c r="I588" s="93">
        <x:f t="shared" si="29"/>
        <x:v>0</x:v>
      </x:c>
      <x:c r="J588" s="93">
        <x:f t="shared" si="29"/>
        <x:v>0</x:v>
      </x:c>
      <x:c r="K588" s="93">
        <x:f t="shared" si="29"/>
        <x:v>0</x:v>
      </x:c>
      <x:c r="L588" s="93">
        <x:f t="shared" si="29"/>
        <x:v>0</x:v>
      </x:c>
      <x:c r="M588" s="93">
        <x:f t="shared" si="29"/>
        <x:v>0</x:v>
      </x:c>
      <x:c r="N588" s="93">
        <x:f t="shared" si="29"/>
        <x:v>0</x:v>
      </x:c>
      <x:c r="O588" s="93">
        <x:f t="shared" si="29"/>
        <x:v>0</x:v>
      </x:c>
      <x:c r="P588" s="93">
        <x:f t="shared" si="29"/>
        <x:v>0</x:v>
      </x:c>
      <x:c r="Q588" s="93">
        <x:f t="shared" si="29"/>
        <x:v>0</x:v>
      </x:c>
      <x:c r="R588" s="93">
        <x:f t="shared" si="29"/>
        <x:v>0</x:v>
      </x:c>
      <x:c r="S588" s="93">
        <x:f t="shared" si="29"/>
        <x:v>0</x:v>
      </x:c>
      <x:c r="T588" s="93">
        <x:f t="shared" si="29"/>
        <x:v>0</x:v>
      </x:c>
      <x:c r="U588" s="93">
        <x:f t="shared" si="29"/>
        <x:v>0</x:v>
      </x:c>
      <x:c r="V588" s="93">
        <x:f t="shared" si="29"/>
        <x:v>0</x:v>
      </x:c>
      <x:c r="W588" s="93">
        <x:f t="shared" si="29"/>
        <x:v>0</x:v>
      </x:c>
      <x:c r="X588" s="93">
        <x:f t="shared" si="29"/>
        <x:v>0</x:v>
      </x:c>
      <x:c r="Y588" s="93">
        <x:f t="shared" si="29"/>
        <x:v>0</x:v>
      </x:c>
      <x:c r="Z588" s="93">
        <x:f t="shared" si="29"/>
        <x:v>0</x:v>
      </x:c>
      <x:c r="AA588" s="93">
        <x:f t="shared" si="29"/>
        <x:v>0</x:v>
      </x:c>
      <x:c r="AB588" s="93">
        <x:f t="shared" si="29"/>
        <x:v>0</x:v>
      </x:c>
      <x:c r="AC588" s="93">
        <x:f t="shared" si="29"/>
        <x:v>0</x:v>
      </x:c>
      <x:c r="AD588" s="93">
        <x:f t="shared" si="29"/>
        <x:v>0</x:v>
      </x:c>
      <x:c r="AE588" s="93">
        <x:f t="shared" si="29"/>
        <x:v>0</x:v>
      </x:c>
      <x:c r="AF588" s="93">
        <x:f t="shared" si="29"/>
        <x:v>0</x:v>
      </x:c>
      <x:c r="AG588" s="93">
        <x:f t="shared" si="29"/>
        <x:v>0</x:v>
      </x:c>
      <x:c r="AH588" s="93">
        <x:f t="shared" si="29"/>
        <x:v>0</x:v>
      </x:c>
      <x:c r="AI588" s="93">
        <x:f t="shared" si="29"/>
        <x:v>0</x:v>
      </x:c>
      <x:c r="AJ588" s="93">
        <x:f t="shared" si="29"/>
        <x:v>0</x:v>
      </x:c>
      <x:c r="AK588" s="93">
        <x:f t="shared" si="29"/>
        <x:v>0</x:v>
      </x:c>
      <x:c r="AL588" s="93">
        <x:f t="shared" si="29"/>
        <x:v>0</x:v>
      </x:c>
      <x:c r="AM588" s="93">
        <x:f t="shared" si="29"/>
        <x:v>0</x:v>
      </x:c>
      <x:c r="AN588" s="93">
        <x:f t="shared" si="29"/>
        <x:v>0</x:v>
      </x:c>
      <x:c r="AO588" s="93">
        <x:f t="shared" si="29"/>
        <x:v>0</x:v>
      </x:c>
    </x:row>
    <x:row r="589" spans="1:41" ht="12.75" customHeight="1" x14ac:dyDescent="0.2">
      <x:c r="C589" s="778"/>
      <x:c r="D589" s="775"/>
      <x:c r="E589" s="101" t="s">
        <x:v>73</x:v>
      </x:c>
      <x:c r="F589" s="93">
        <x:f>F547</x:f>
        <x:v>0</x:v>
      </x:c>
      <x:c r="G589" s="90"/>
      <x:c r="H589" s="90"/>
      <x:c r="I589" s="90"/>
      <x:c r="J589" s="90"/>
      <x:c r="K589" s="90"/>
      <x:c r="L589" s="90"/>
      <x:c r="M589" s="90"/>
      <x:c r="N589" s="90"/>
      <x:c r="O589" s="90"/>
      <x:c r="P589" s="90"/>
      <x:c r="Q589" s="90"/>
      <x:c r="R589" s="90"/>
      <x:c r="S589" s="90"/>
    </x:row>
    <x:row r="590" spans="1:41" ht="12.75" customHeight="1" x14ac:dyDescent="0.2">
      <x:c r="C590" s="778"/>
      <x:c r="D590" s="775" t="s">
        <x:v>133</x:v>
      </x:c>
      <x:c r="E590" s="235" t="s">
        <x:v>70</x:v>
      </x:c>
      <x:c r="F590" s="236">
        <x:f>F529+F485-L485</x:f>
        <x:v>0</x:v>
      </x:c>
      <x:c r="G590" s="236">
        <x:f t="shared" ref="G590:Z590" si="30">G485</x:f>
        <x:v>0</x:v>
      </x:c>
      <x:c r="H590" s="236">
        <x:f t="shared" si="30"/>
        <x:v>0</x:v>
      </x:c>
      <x:c r="I590" s="236">
        <x:f t="shared" si="30"/>
        <x:v>0</x:v>
      </x:c>
      <x:c r="J590" s="236">
        <x:f t="shared" si="30"/>
        <x:v>0</x:v>
      </x:c>
      <x:c r="K590" s="236">
        <x:f t="shared" si="30"/>
        <x:v>0</x:v>
      </x:c>
      <x:c r="L590" s="236">
        <x:f t="shared" si="30"/>
        <x:v>0</x:v>
      </x:c>
      <x:c r="M590" s="236">
        <x:f t="shared" si="30"/>
        <x:v>0</x:v>
      </x:c>
      <x:c r="N590" s="236">
        <x:f t="shared" si="30"/>
        <x:v>0</x:v>
      </x:c>
      <x:c r="O590" s="236">
        <x:f t="shared" si="30"/>
        <x:v>0</x:v>
      </x:c>
      <x:c r="P590" s="236">
        <x:f t="shared" si="30"/>
        <x:v>0</x:v>
      </x:c>
      <x:c r="Q590" s="236">
        <x:f t="shared" si="30"/>
        <x:v>0</x:v>
      </x:c>
      <x:c r="R590" s="236">
        <x:f t="shared" si="30"/>
        <x:v>0</x:v>
      </x:c>
      <x:c r="S590" s="236">
        <x:f t="shared" si="30"/>
        <x:v>0</x:v>
      </x:c>
      <x:c r="T590" s="236">
        <x:f t="shared" si="30"/>
        <x:v>0</x:v>
      </x:c>
      <x:c r="U590" s="236">
        <x:f t="shared" si="30"/>
        <x:v>0</x:v>
      </x:c>
      <x:c r="V590" s="236">
        <x:f t="shared" si="30"/>
        <x:v>0</x:v>
      </x:c>
      <x:c r="W590" s="236">
        <x:f t="shared" si="30"/>
        <x:v>0</x:v>
      </x:c>
      <x:c r="X590" s="236">
        <x:f t="shared" si="30"/>
        <x:v>0</x:v>
      </x:c>
      <x:c r="Y590" s="236">
        <x:f t="shared" si="30"/>
        <x:v>0</x:v>
      </x:c>
      <x:c r="Z590" s="236">
        <x:f t="shared" si="30"/>
        <x:v>0</x:v>
      </x:c>
    </x:row>
    <x:row r="591" spans="1:41" ht="12.75" customHeight="1" x14ac:dyDescent="0.2">
      <x:c r="C591" s="778"/>
      <x:c r="D591" s="775"/>
      <x:c r="E591" s="235" t="s">
        <x:v>73</x:v>
      </x:c>
      <x:c r="F591" s="236">
        <x:f>F529</x:f>
        <x:v>0</x:v>
      </x:c>
      <x:c r="G591" s="90"/>
      <x:c r="H591" s="90"/>
      <x:c r="I591" s="90"/>
      <x:c r="J591" s="90"/>
      <x:c r="K591" s="90"/>
      <x:c r="L591" s="90"/>
      <x:c r="M591" s="90"/>
      <x:c r="N591" s="90"/>
      <x:c r="O591" s="90"/>
      <x:c r="P591" s="90"/>
      <x:c r="Q591" s="90"/>
      <x:c r="R591" s="90"/>
    </x:row>
    <x:row r="592" spans="1:41" ht="12.75" customHeight="1" x14ac:dyDescent="0.2">
      <x:c r="A592" s="89"/>
      <x:c r="C592" s="97"/>
      <x:c r="F592" s="90"/>
      <x:c r="G592" s="90"/>
      <x:c r="H592" s="90"/>
      <x:c r="I592" s="90"/>
      <x:c r="J592" s="90"/>
      <x:c r="K592" s="90"/>
      <x:c r="L592" s="90"/>
      <x:c r="M592" s="90"/>
      <x:c r="N592" s="90"/>
      <x:c r="O592" s="90"/>
      <x:c r="P592" s="90"/>
      <x:c r="Q592" s="90"/>
      <x:c r="R592" s="90"/>
      <x:c r="S592" s="90"/>
    </x:row>
    <x:row r="593" spans="1:41" ht="12.75" customHeight="1" x14ac:dyDescent="0.2">
      <x:c r="C593" s="777" t="s">
        <x:v>161</x:v>
      </x:c>
      <x:c r="D593" s="775" t="s">
        <x:v>132</x:v>
      </x:c>
      <x:c r="E593" s="231" t="s">
        <x:v>70</x:v>
      </x:c>
      <x:c r="F593" s="232">
        <x:v>0</x:v>
      </x:c>
      <x:c r="G593" s="232">
        <x:v>0</x:v>
      </x:c>
      <x:c r="H593" s="232">
        <x:v>0</x:v>
      </x:c>
      <x:c r="I593" s="232">
        <x:v>0</x:v>
      </x:c>
      <x:c r="J593" s="232">
        <x:v>0</x:v>
      </x:c>
      <x:c r="K593" s="232">
        <x:v>0</x:v>
      </x:c>
      <x:c r="L593" s="232">
        <x:v>0</x:v>
      </x:c>
      <x:c r="M593" s="232">
        <x:v>0</x:v>
      </x:c>
      <x:c r="N593" s="232">
        <x:v>0</x:v>
      </x:c>
      <x:c r="O593" s="232">
        <x:v>0</x:v>
      </x:c>
      <x:c r="P593" s="232">
        <x:v>0</x:v>
      </x:c>
      <x:c r="Q593" s="232">
        <x:v>0</x:v>
      </x:c>
      <x:c r="R593" s="232">
        <x:v>0</x:v>
      </x:c>
      <x:c r="S593" s="232">
        <x:v>0</x:v>
      </x:c>
      <x:c r="T593" s="232">
        <x:v>0</x:v>
      </x:c>
      <x:c r="U593" s="232">
        <x:v>0</x:v>
      </x:c>
      <x:c r="V593" s="232">
        <x:v>0</x:v>
      </x:c>
      <x:c r="W593" s="232">
        <x:v>0</x:v>
      </x:c>
      <x:c r="X593" s="232">
        <x:v>0</x:v>
      </x:c>
      <x:c r="Y593" s="232">
        <x:v>0</x:v>
      </x:c>
      <x:c r="Z593" s="232">
        <x:v>0</x:v>
      </x:c>
      <x:c r="AA593" s="232">
        <x:v>0</x:v>
      </x:c>
      <x:c r="AB593" s="232">
        <x:v>0</x:v>
      </x:c>
      <x:c r="AC593" s="232">
        <x:v>0</x:v>
      </x:c>
      <x:c r="AD593" s="232">
        <x:v>0</x:v>
      </x:c>
      <x:c r="AE593" s="232">
        <x:v>0</x:v>
      </x:c>
      <x:c r="AF593" s="232">
        <x:v>0</x:v>
      </x:c>
      <x:c r="AG593" s="232">
        <x:v>0</x:v>
      </x:c>
      <x:c r="AH593" s="232">
        <x:v>0</x:v>
      </x:c>
      <x:c r="AI593" s="232">
        <x:v>0</x:v>
      </x:c>
      <x:c r="AJ593" s="232">
        <x:v>0</x:v>
      </x:c>
      <x:c r="AK593" s="232">
        <x:v>0</x:v>
      </x:c>
      <x:c r="AL593" s="232">
        <x:v>0</x:v>
      </x:c>
      <x:c r="AM593" s="232">
        <x:v>0</x:v>
      </x:c>
      <x:c r="AN593" s="232">
        <x:v>0</x:v>
      </x:c>
      <x:c r="AO593" s="232">
        <x:v>0</x:v>
      </x:c>
    </x:row>
    <x:row r="594" spans="1:41" ht="12.75" customHeight="1" x14ac:dyDescent="0.2">
      <x:c r="C594" s="777"/>
      <x:c r="D594" s="775"/>
      <x:c r="E594" s="231" t="s">
        <x:v>73</x:v>
      </x:c>
      <x:c r="F594" s="232">
        <x:v>0</x:v>
      </x:c>
      <x:c r="G594" s="90"/>
      <x:c r="H594" s="90"/>
      <x:c r="I594" s="90"/>
      <x:c r="J594" s="90"/>
      <x:c r="K594" s="90"/>
      <x:c r="L594" s="90"/>
      <x:c r="M594" s="90"/>
      <x:c r="N594" s="90"/>
      <x:c r="O594" s="90"/>
      <x:c r="P594" s="90"/>
      <x:c r="Q594" s="90"/>
      <x:c r="R594" s="90"/>
      <x:c r="S594" s="90"/>
    </x:row>
    <x:row r="595" spans="1:41" ht="12.75" customHeight="1" x14ac:dyDescent="0.2">
      <x:c r="C595" s="777"/>
      <x:c r="E595" s="148" t="s">
        <x:v>70</x:v>
      </x:c>
      <x:c r="F595" s="149">
        <x:v>0</x:v>
      </x:c>
      <x:c r="G595" s="149">
        <x:v>0</x:v>
      </x:c>
      <x:c r="H595" s="149">
        <x:v>0</x:v>
      </x:c>
      <x:c r="I595" s="149">
        <x:v>0</x:v>
      </x:c>
      <x:c r="J595" s="149">
        <x:v>0</x:v>
      </x:c>
      <x:c r="K595" s="149">
        <x:v>0</x:v>
      </x:c>
      <x:c r="L595" s="149">
        <x:v>0</x:v>
      </x:c>
      <x:c r="M595" s="149">
        <x:v>0</x:v>
      </x:c>
      <x:c r="N595" s="149">
        <x:v>0</x:v>
      </x:c>
      <x:c r="O595" s="149">
        <x:v>0</x:v>
      </x:c>
      <x:c r="P595" s="149">
        <x:v>0</x:v>
      </x:c>
      <x:c r="Q595" s="149">
        <x:v>0</x:v>
      </x:c>
      <x:c r="R595" s="149">
        <x:v>0</x:v>
      </x:c>
      <x:c r="S595" s="149">
        <x:v>0</x:v>
      </x:c>
      <x:c r="T595" s="149">
        <x:v>0</x:v>
      </x:c>
      <x:c r="U595" s="149">
        <x:v>0</x:v>
      </x:c>
      <x:c r="V595" s="149">
        <x:v>0</x:v>
      </x:c>
      <x:c r="W595" s="149">
        <x:v>0</x:v>
      </x:c>
      <x:c r="X595" s="149">
        <x:v>0</x:v>
      </x:c>
      <x:c r="Y595" s="149">
        <x:v>0</x:v>
      </x:c>
      <x:c r="Z595" s="149">
        <x:v>0</x:v>
      </x:c>
    </x:row>
    <x:row r="596" spans="1:41" ht="12.75" customHeight="1" x14ac:dyDescent="0.2">
      <x:c r="C596" s="777"/>
      <x:c r="D596" s="220" t="s">
        <x:v>132</x:v>
      </x:c>
      <x:c r="E596" s="148" t="s">
        <x:v>73</x:v>
      </x:c>
      <x:c r="F596" s="149">
        <x:v>0</x:v>
      </x:c>
      <x:c r="G596" s="90"/>
      <x:c r="H596" s="90"/>
      <x:c r="I596" s="90"/>
      <x:c r="J596" s="90"/>
      <x:c r="K596" s="90"/>
      <x:c r="L596" s="90"/>
      <x:c r="M596" s="90"/>
      <x:c r="N596" s="90"/>
      <x:c r="O596" s="90"/>
      <x:c r="P596" s="90"/>
      <x:c r="Q596" s="90"/>
      <x:c r="R596" s="90"/>
    </x:row>
    <x:row r="597" spans="1:41" ht="12.75" customHeight="1" x14ac:dyDescent="0.2">
      <x:c r="C597" s="388"/>
      <x:c r="D597" s="220"/>
      <x:c r="E597" s="89"/>
      <x:c r="F597" s="90"/>
      <x:c r="G597" s="90"/>
      <x:c r="H597" s="90"/>
      <x:c r="I597" s="90"/>
      <x:c r="J597" s="90"/>
      <x:c r="K597" s="90"/>
      <x:c r="L597" s="90"/>
      <x:c r="M597" s="90"/>
      <x:c r="N597" s="90"/>
      <x:c r="O597" s="90"/>
      <x:c r="P597" s="90"/>
      <x:c r="Q597" s="90"/>
      <x:c r="R597" s="90"/>
    </x:row>
    <x:row r="598" spans="1:41" ht="12.75" customHeight="1" x14ac:dyDescent="0.2">
      <x:c r="D598" s="458" t="s">
        <x:v>186</x:v>
      </x:c>
      <x:c r="E598" s="459" t="s">
        <x:v>70</x:v>
      </x:c>
      <x:c r="F598" s="460">
        <x:f>F460</x:f>
        <x:v>0</x:v>
      </x:c>
      <x:c r="G598" s="460">
        <x:f t="shared" ref="G598:Z598" si="31">G460</x:f>
        <x:v>0</x:v>
      </x:c>
      <x:c r="H598" s="460">
        <x:f t="shared" si="31"/>
        <x:v>0</x:v>
      </x:c>
      <x:c r="I598" s="460">
        <x:f t="shared" si="31"/>
        <x:v>0</x:v>
      </x:c>
      <x:c r="J598" s="460">
        <x:f t="shared" si="31"/>
        <x:v>0</x:v>
      </x:c>
      <x:c r="K598" s="460">
        <x:f t="shared" si="31"/>
        <x:v>0</x:v>
      </x:c>
      <x:c r="L598" s="460">
        <x:f t="shared" si="31"/>
        <x:v>0</x:v>
      </x:c>
      <x:c r="M598" s="460">
        <x:f t="shared" si="31"/>
        <x:v>0</x:v>
      </x:c>
      <x:c r="N598" s="460">
        <x:f t="shared" si="31"/>
        <x:v>0</x:v>
      </x:c>
      <x:c r="O598" s="460">
        <x:f t="shared" si="31"/>
        <x:v>0</x:v>
      </x:c>
      <x:c r="P598" s="460">
        <x:f t="shared" si="31"/>
        <x:v>0</x:v>
      </x:c>
      <x:c r="Q598" s="460">
        <x:f t="shared" si="31"/>
        <x:v>0</x:v>
      </x:c>
      <x:c r="R598" s="460">
        <x:f t="shared" si="31"/>
        <x:v>0</x:v>
      </x:c>
      <x:c r="S598" s="460">
        <x:f t="shared" si="31"/>
        <x:v>0</x:v>
      </x:c>
      <x:c r="T598" s="460">
        <x:f t="shared" si="31"/>
        <x:v>0</x:v>
      </x:c>
      <x:c r="U598" s="460">
        <x:f t="shared" si="31"/>
        <x:v>0</x:v>
      </x:c>
      <x:c r="V598" s="460">
        <x:f t="shared" si="31"/>
        <x:v>0</x:v>
      </x:c>
      <x:c r="W598" s="460">
        <x:f t="shared" si="31"/>
        <x:v>0</x:v>
      </x:c>
      <x:c r="X598" s="460">
        <x:f t="shared" si="31"/>
        <x:v>0</x:v>
      </x:c>
      <x:c r="Y598" s="460">
        <x:f t="shared" si="31"/>
        <x:v>0</x:v>
      </x:c>
      <x:c r="Z598" s="460">
        <x:f t="shared" si="31"/>
        <x:v>0</x:v>
      </x:c>
    </x:row>
    <x:row r="599" spans="1:41" ht="12.75" customHeight="1" x14ac:dyDescent="0.2">
      <x:c r="C599" s="388"/>
      <x:c r="D599" s="220"/>
      <x:c r="E599" s="89"/>
      <x:c r="F599" s="90"/>
      <x:c r="G599" s="90"/>
      <x:c r="H599" s="90"/>
      <x:c r="I599" s="90"/>
      <x:c r="J599" s="90"/>
      <x:c r="K599" s="90"/>
      <x:c r="L599" s="90"/>
      <x:c r="M599" s="90"/>
      <x:c r="N599" s="90"/>
      <x:c r="O599" s="90"/>
      <x:c r="P599" s="90"/>
      <x:c r="Q599" s="90"/>
      <x:c r="R599" s="90"/>
    </x:row>
    <x:row r="600" spans="1:41" s="238" customFormat="1" ht="12.75" customHeight="1" x14ac:dyDescent="0.2">
      <x:c r="D600" s="239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0"/>
      <x:c r="Q600" s="240"/>
    </x:row>
    <x:row r="601" spans="1:41" ht="12.6" customHeight="1" x14ac:dyDescent="0.2">
      <x:c r="A601" s="89"/>
      <x:c r="B601" s="97" t="s">
        <x:v>93</x:v>
      </x:c>
      <x:c r="E601" s="90"/>
      <x:c r="F601" s="90"/>
      <x:c r="G601" s="90"/>
      <x:c r="H601" s="90"/>
      <x:c r="I601" s="90"/>
      <x:c r="J601" s="90"/>
      <x:c r="K601" s="90"/>
      <x:c r="L601" s="90"/>
      <x:c r="M601" s="90"/>
      <x:c r="N601" s="90"/>
      <x:c r="O601" s="90"/>
      <x:c r="P601" s="90"/>
      <x:c r="Q601" s="90"/>
    </x:row>
    <x:row r="602" spans="1:41" ht="12.75" customHeight="1" x14ac:dyDescent="0.2">
      <x:c r="F602" s="89" t="s">
        <x:v>70</x:v>
      </x:c>
      <x:c r="G602" s="89" t="s">
        <x:v>64</x:v>
      </x:c>
      <x:c r="H602" s="89" t="s">
        <x:v>65</x:v>
      </x:c>
      <x:c r="I602" s="218" t="s">
        <x:v>164</x:v>
      </x:c>
      <x:c r="J602" s="89" t="s">
        <x:v>69</x:v>
      </x:c>
      <x:c r="K602" s="89" t="s">
        <x:v>68</x:v>
      </x:c>
      <x:c r="L602" s="89" t="s">
        <x:v>71</x:v>
      </x:c>
      <x:c r="M602" s="89" t="s">
        <x:v>66</x:v>
      </x:c>
      <x:c r="N602" s="89" t="s">
        <x:v>63</x:v>
      </x:c>
      <x:c r="O602" s="89" t="s">
        <x:v>61</x:v>
      </x:c>
      <x:c r="P602" s="89" t="s">
        <x:v>62</x:v>
      </x:c>
      <x:c r="Q602" s="89" t="s">
        <x:v>67</x:v>
      </x:c>
      <x:c r="R602" s="89" t="s">
        <x:v>77</x:v>
      </x:c>
      <x:c r="S602" s="89" t="s">
        <x:v>80</x:v>
      </x:c>
      <x:c r="T602" s="89" t="s">
        <x:v>135</x:v>
      </x:c>
      <x:c r="U602" s="89" t="s">
        <x:v>173</x:v>
      </x:c>
      <x:c r="V602" s="89" t="s">
        <x:v>222</x:v>
      </x:c>
      <x:c r="W602" s="89" t="s">
        <x:v>173</x:v>
      </x:c>
      <x:c r="X602" t="s">
        <x:v>173</x:v>
      </x:c>
      <x:c r="Y602" s="89" t="s">
        <x:v>135</x:v>
      </x:c>
      <x:c r="Z602" t="s">
        <x:v>167</x:v>
      </x:c>
    </x:row>
    <x:row r="603" spans="1:41" x14ac:dyDescent="0.2">
      <x:c r="E603" t="s">
        <x:v>72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>
        <x:v>0</x:v>
      </x:c>
      <x:c r="V603">
        <x:v>0</x:v>
      </x:c>
      <x:c r="W603">
        <x:v>0</x:v>
      </x:c>
      <x:c r="X603">
        <x:v>0</x:v>
      </x:c>
      <x:c r="Y603">
        <x:v>0</x:v>
      </x:c>
      <x:c r="Z603" s="90">
        <x:v>0</x:v>
      </x:c>
    </x:row>
    <x:row r="604" spans="1:41" x14ac:dyDescent="0.2">
      <x:c r="D604" t="s">
        <x:v>156</x:v>
      </x:c>
      <x:c r="E604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>
        <x:v>0</x:v>
      </x:c>
      <x:c r="V604">
        <x:v>0</x:v>
      </x:c>
      <x:c r="W604">
        <x:v>0</x:v>
      </x:c>
      <x:c r="X604">
        <x:v>0</x:v>
      </x:c>
      <x:c r="Y604">
        <x:v>0</x:v>
      </x:c>
      <x:c r="Z604" s="90">
        <x:v>0</x:v>
      </x:c>
    </x:row>
    <x:row r="605" spans="1:41" s="286" customFormat="1" x14ac:dyDescent="0.2">
      <x:c r="C605" s="286" t="s">
        <x:v>155</x:v>
      </x:c>
      <x:c r="D605" s="286" t="s">
        <x:v>70</x:v>
      </x:c>
      <x:c r="F605" s="230">
        <x:v>0</x:v>
      </x:c>
      <x:c r="G605" s="230">
        <x:v>0</x:v>
      </x:c>
      <x:c r="H605" s="230">
        <x:v>0</x:v>
      </x:c>
      <x:c r="I605" s="230">
        <x:v>0</x:v>
      </x:c>
      <x:c r="J605" s="230">
        <x:v>0</x:v>
      </x:c>
      <x:c r="K605" s="230">
        <x:v>0</x:v>
      </x:c>
      <x:c r="L605" s="230">
        <x:v>0</x:v>
      </x:c>
      <x:c r="M605" s="230">
        <x:v>0</x:v>
      </x:c>
      <x:c r="N605" s="230">
        <x:v>0</x:v>
      </x:c>
      <x:c r="O605" s="230">
        <x:v>0</x:v>
      </x:c>
      <x:c r="P605" s="230">
        <x:v>0</x:v>
      </x:c>
      <x:c r="Q605" s="230">
        <x:v>0</x:v>
      </x:c>
      <x:c r="R605" s="230">
        <x:v>0</x:v>
      </x:c>
      <x:c r="S605" s="230">
        <x:v>0</x:v>
      </x:c>
      <x:c r="T605" s="230">
        <x:v>0</x:v>
      </x:c>
      <x:c r="U605" s="286">
        <x:v>0</x:v>
      </x:c>
      <x:c r="V605" s="286">
        <x:v>0</x:v>
      </x:c>
      <x:c r="W605" s="286">
        <x:v>0</x:v>
      </x:c>
      <x:c r="X605" s="286">
        <x:v>0</x:v>
      </x:c>
      <x:c r="Y605" s="286">
        <x:v>0</x:v>
      </x:c>
      <x:c r="Z605" s="230">
        <x:v>0</x:v>
      </x:c>
    </x:row>
    <x:row r="606" spans="1:41" ht="12.75" customHeight="1" x14ac:dyDescent="0.2">
      <x:c r="E606" s="89" t="s">
        <x:v>72</x:v>
      </x:c>
      <x:c r="F606" s="371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 s="90">
        <x:v>0</x:v>
      </x:c>
      <x:c r="Y606" s="90">
        <x:v>0</x:v>
      </x:c>
      <x:c r="Z606" s="90">
        <x:v>0</x:v>
      </x:c>
    </x:row>
    <x:row r="607" spans="1:41" ht="12.75" customHeight="1" x14ac:dyDescent="0.2">
      <x:c r="D607" t="s">
        <x:v>82</x:v>
      </x:c>
      <x:c r="E607" s="89" t="s">
        <x:v>70</x:v>
      </x:c>
      <x:c r="F607" s="371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 s="90">
        <x:v>0</x:v>
      </x:c>
      <x:c r="Y607" s="90">
        <x:v>0</x:v>
      </x:c>
      <x:c r="Z607" s="90">
        <x:v>0</x:v>
      </x:c>
    </x:row>
    <x:row r="608" spans="1:41" ht="12.75" customHeight="1" x14ac:dyDescent="0.2">
      <x:c r="E608" s="89" t="s">
        <x:v>72</x:v>
      </x:c>
      <x:c r="F608" s="371">
        <x:v>0</x:v>
      </x:c>
      <x:c r="G608" s="90">
        <x:v>0</x:v>
      </x:c>
      <x:c r="H608" s="90">
        <x:v>0</x:v>
      </x:c>
      <x:c r="I608" s="90">
        <x:v>0</x:v>
      </x:c>
      <x:c r="J608" s="90">
        <x:v>0</x:v>
      </x:c>
      <x:c r="K608" s="90">
        <x:v>0</x:v>
      </x:c>
      <x:c r="L608" s="90">
        <x:v>0</x:v>
      </x:c>
      <x:c r="M608" s="90">
        <x:v>0</x:v>
      </x:c>
      <x:c r="N608" s="90">
        <x:v>0</x:v>
      </x:c>
      <x:c r="O608" s="90">
        <x:v>0</x:v>
      </x:c>
      <x:c r="P608" s="90">
        <x:v>0</x:v>
      </x:c>
      <x:c r="Q608" s="90">
        <x:v>0</x:v>
      </x:c>
      <x:c r="R608" s="90">
        <x:v>0</x:v>
      </x:c>
      <x:c r="S608" s="90">
        <x:v>0</x:v>
      </x:c>
      <x:c r="T608" s="90">
        <x:v>0</x:v>
      </x:c>
      <x:c r="U608" s="90">
        <x:v>0</x:v>
      </x:c>
      <x:c r="V608" s="90">
        <x:v>0</x:v>
      </x:c>
      <x:c r="W608" s="90">
        <x:v>0</x:v>
      </x:c>
      <x:c r="X608" s="90">
        <x:v>0</x:v>
      </x:c>
      <x:c r="Y608" s="90">
        <x:v>0</x:v>
      </x:c>
      <x:c r="Z608" s="90">
        <x:v>0</x:v>
      </x:c>
    </x:row>
    <x:row r="609" spans="1:26" ht="12.75" customHeight="1" x14ac:dyDescent="0.2">
      <x:c r="D609" t="s">
        <x:v>86</x:v>
      </x:c>
      <x:c r="E609" s="89" t="s">
        <x:v>70</x:v>
      </x:c>
      <x:c r="F609" s="371">
        <x:v>0</x:v>
      </x:c>
      <x:c r="G609" s="90">
        <x:v>0</x:v>
      </x:c>
      <x:c r="H609" s="90">
        <x:v>0</x:v>
      </x:c>
      <x:c r="I609" s="90">
        <x:v>0</x:v>
      </x:c>
      <x:c r="J609" s="90">
        <x:v>0</x:v>
      </x:c>
      <x:c r="K609" s="90">
        <x:v>0</x:v>
      </x:c>
      <x:c r="L609" s="90">
        <x:v>0</x:v>
      </x:c>
      <x:c r="M609" s="90">
        <x:v>0</x:v>
      </x:c>
      <x:c r="N609" s="90">
        <x:v>0</x:v>
      </x:c>
      <x:c r="O609" s="90">
        <x:v>0</x:v>
      </x:c>
      <x:c r="P609" s="90">
        <x:v>0</x:v>
      </x:c>
      <x:c r="Q609" s="90">
        <x:v>0</x:v>
      </x:c>
      <x:c r="R609" s="90">
        <x:v>0</x:v>
      </x:c>
      <x:c r="S609" s="90">
        <x:v>0</x:v>
      </x:c>
      <x:c r="T609" s="90">
        <x:v>0</x:v>
      </x:c>
      <x:c r="U609" s="90">
        <x:v>0</x:v>
      </x:c>
      <x:c r="V609" s="90">
        <x:v>0</x:v>
      </x:c>
      <x:c r="W609" s="90">
        <x:v>0</x:v>
      </x:c>
      <x:c r="X609" s="90">
        <x:v>0</x:v>
      </x:c>
      <x:c r="Y609" s="90">
        <x:v>0</x:v>
      </x:c>
      <x:c r="Z609" s="90">
        <x:v>0</x:v>
      </x:c>
    </x:row>
    <x:row r="610" spans="1:26" ht="12.75" customHeight="1" x14ac:dyDescent="0.2">
      <x:c r="E610" s="89" t="s">
        <x:v>72</x:v>
      </x:c>
      <x:c r="F610" s="371">
        <x:v>0</x:v>
      </x:c>
      <x:c r="G610" s="90">
        <x:v>0</x:v>
      </x:c>
      <x:c r="H610" s="90">
        <x:v>0</x:v>
      </x:c>
      <x:c r="I610" s="90">
        <x:v>0</x:v>
      </x:c>
      <x:c r="J610" s="90">
        <x:v>0</x:v>
      </x:c>
      <x:c r="K610" s="90">
        <x:v>0</x:v>
      </x:c>
      <x:c r="L610" s="90">
        <x:v>0</x:v>
      </x:c>
      <x:c r="M610" s="90">
        <x:v>0</x:v>
      </x:c>
      <x:c r="N610" s="90">
        <x:v>0</x:v>
      </x:c>
      <x:c r="O610" s="90">
        <x:v>0</x:v>
      </x:c>
      <x:c r="P610" s="90">
        <x:v>0</x:v>
      </x:c>
      <x:c r="Q610" s="90">
        <x:v>0</x:v>
      </x:c>
      <x:c r="R610" s="90">
        <x:v>0</x:v>
      </x:c>
      <x:c r="S610" s="90">
        <x:v>0</x:v>
      </x:c>
      <x:c r="T610" s="90">
        <x:v>0</x:v>
      </x:c>
      <x:c r="U610" s="90">
        <x:v>0</x:v>
      </x:c>
      <x:c r="V610" s="90">
        <x:v>0</x:v>
      </x:c>
      <x:c r="W610" s="90">
        <x:v>0</x:v>
      </x:c>
      <x:c r="X610" s="90">
        <x:v>0</x:v>
      </x:c>
      <x:c r="Y610" s="90">
        <x:v>0</x:v>
      </x:c>
      <x:c r="Z610" s="90">
        <x:v>0</x:v>
      </x:c>
    </x:row>
    <x:row r="611" spans="1:26" ht="12.75" customHeight="1" x14ac:dyDescent="0.2">
      <x:c r="D611" t="s">
        <x:v>87</x:v>
      </x:c>
      <x:c r="E611" s="89" t="s">
        <x:v>70</x:v>
      </x:c>
      <x:c r="F611" s="371">
        <x:v>0</x:v>
      </x:c>
      <x:c r="G611" s="90">
        <x:v>0</x:v>
      </x:c>
      <x:c r="H611" s="90">
        <x:v>0</x:v>
      </x:c>
      <x:c r="I611" s="90">
        <x:v>0</x:v>
      </x:c>
      <x:c r="J611" s="90">
        <x:v>0</x:v>
      </x:c>
      <x:c r="K611" s="90">
        <x:v>0</x:v>
      </x:c>
      <x:c r="L611" s="90">
        <x:v>0</x:v>
      </x:c>
      <x:c r="M611" s="90">
        <x:v>0</x:v>
      </x:c>
      <x:c r="N611" s="90">
        <x:v>0</x:v>
      </x:c>
      <x:c r="O611" s="90">
        <x:v>0</x:v>
      </x:c>
      <x:c r="P611" s="90">
        <x:v>0</x:v>
      </x:c>
      <x:c r="Q611" s="90">
        <x:v>0</x:v>
      </x:c>
      <x:c r="R611" s="90">
        <x:v>0</x:v>
      </x:c>
      <x:c r="S611" s="90">
        <x:v>0</x:v>
      </x:c>
      <x:c r="T611" s="90">
        <x:v>0</x:v>
      </x:c>
      <x:c r="U611" s="90">
        <x:v>0</x:v>
      </x:c>
      <x:c r="V611" s="90">
        <x:v>0</x:v>
      </x:c>
      <x:c r="W611" s="90">
        <x:v>0</x:v>
      </x:c>
      <x:c r="X611" s="90">
        <x:v>0</x:v>
      </x:c>
      <x:c r="Y611" s="90">
        <x:v>0</x:v>
      </x:c>
      <x:c r="Z611" s="90">
        <x:v>0</x:v>
      </x:c>
    </x:row>
    <x:row r="612" spans="1:26" s="94" customFormat="1" ht="12.75" customHeight="1" x14ac:dyDescent="0.2">
      <x:c r="C612" s="101" t="s">
        <x:v>119</x:v>
      </x:c>
      <x:c r="D612" s="101" t="s">
        <x:v>70</x:v>
      </x:c>
      <x:c r="F612" s="93">
        <x:v>0</x:v>
      </x:c>
      <x:c r="G612" s="93">
        <x:v>0</x:v>
      </x:c>
      <x:c r="H612" s="93">
        <x:v>0</x:v>
      </x:c>
      <x:c r="I612" s="93">
        <x:v>0</x:v>
      </x:c>
      <x:c r="J612" s="93">
        <x:v>0</x:v>
      </x:c>
      <x:c r="K612" s="93">
        <x:v>0</x:v>
      </x:c>
      <x:c r="L612" s="93">
        <x:v>0</x:v>
      </x:c>
      <x:c r="M612" s="93">
        <x:v>0</x:v>
      </x:c>
      <x:c r="N612" s="93">
        <x:v>0</x:v>
      </x:c>
      <x:c r="O612" s="93">
        <x:v>0</x:v>
      </x:c>
      <x:c r="P612" s="93">
        <x:v>0</x:v>
      </x:c>
      <x:c r="Q612" s="93">
        <x:v>0</x:v>
      </x:c>
      <x:c r="R612" s="93">
        <x:v>0</x:v>
      </x:c>
      <x:c r="S612" s="93">
        <x:v>0</x:v>
      </x:c>
      <x:c r="T612" s="93">
        <x:v>0</x:v>
      </x:c>
      <x:c r="U612" s="93">
        <x:v>0</x:v>
      </x:c>
      <x:c r="V612" s="93">
        <x:v>0</x:v>
      </x:c>
      <x:c r="W612" s="93">
        <x:v>0</x:v>
      </x:c>
      <x:c r="X612" s="93">
        <x:v>0</x:v>
      </x:c>
      <x:c r="Y612" s="93">
        <x:v>0</x:v>
      </x:c>
      <x:c r="Z612" s="93">
        <x:v>0</x:v>
      </x:c>
    </x:row>
    <x:row r="613" spans="1:26" ht="12.75" customHeight="1" x14ac:dyDescent="0.2">
      <x:c r="B613" t="s">
        <x:v>112</x:v>
      </x:c>
      <x:c r="C613" t="s">
        <x:v>70</x:v>
      </x:c>
      <x:c r="E613" s="89"/>
      <x:c r="F613" s="371">
        <x:v>0</x:v>
      </x:c>
      <x:c r="G613" s="90">
        <x:v>0</x:v>
      </x:c>
      <x:c r="H613" s="90">
        <x:v>0</x:v>
      </x:c>
      <x:c r="I613" s="90">
        <x:v>0</x:v>
      </x:c>
      <x:c r="J613" s="90">
        <x:v>0</x:v>
      </x:c>
      <x:c r="K613" s="90">
        <x:v>0</x:v>
      </x:c>
      <x:c r="L613" s="90">
        <x:v>0</x:v>
      </x:c>
      <x:c r="M613" s="90">
        <x:v>0</x:v>
      </x:c>
      <x:c r="N613" s="90">
        <x:v>0</x:v>
      </x:c>
      <x:c r="O613" s="90">
        <x:v>0</x:v>
      </x:c>
      <x:c r="P613" s="90">
        <x:v>0</x:v>
      </x:c>
      <x:c r="Q613" s="90">
        <x:v>0</x:v>
      </x:c>
      <x:c r="R613" s="90">
        <x:v>0</x:v>
      </x:c>
      <x:c r="S613" s="90">
        <x:v>0</x:v>
      </x:c>
      <x:c r="T613" s="90">
        <x:v>0</x:v>
      </x:c>
      <x:c r="U613" s="90">
        <x:v>0</x:v>
      </x:c>
      <x:c r="V613" s="90">
        <x:v>0</x:v>
      </x:c>
      <x:c r="W613" s="90">
        <x:v>0</x:v>
      </x:c>
      <x:c r="X613" s="90">
        <x:v>0</x:v>
      </x:c>
      <x:c r="Y613" s="90">
        <x:v>0</x:v>
      </x:c>
      <x:c r="Z613" s="90">
        <x:v>0</x:v>
      </x:c>
    </x:row>
    <x:row r="614" spans="1:26" s="458" customFormat="1" ht="12.75" customHeight="1" x14ac:dyDescent="0.2">
      <x:c r="A614" s="458" t="s">
        <x:v>186</x:v>
      </x:c>
      <x:c r="B614" s="458" t="s">
        <x:v>70</x:v>
      </x:c>
      <x:c r="F614" s="458">
        <x:v>0</x:v>
      </x:c>
      <x:c r="G614" s="458">
        <x:v>0</x:v>
      </x:c>
      <x:c r="H614" s="458">
        <x:v>0</x:v>
      </x:c>
      <x:c r="I614" s="458">
        <x:v>0</x:v>
      </x:c>
      <x:c r="J614" s="458">
        <x:v>0</x:v>
      </x:c>
      <x:c r="K614" s="458">
        <x:v>0</x:v>
      </x:c>
      <x:c r="L614" s="458">
        <x:v>0</x:v>
      </x:c>
      <x:c r="M614" s="458">
        <x:v>0</x:v>
      </x:c>
      <x:c r="N614" s="458">
        <x:v>0</x:v>
      </x:c>
      <x:c r="O614" s="458">
        <x:v>0</x:v>
      </x:c>
      <x:c r="P614" s="458">
        <x:v>0</x:v>
      </x:c>
      <x:c r="Q614" s="458">
        <x:v>0</x:v>
      </x:c>
      <x:c r="R614" s="458">
        <x:v>0</x:v>
      </x:c>
      <x:c r="S614" s="458">
        <x:v>0</x:v>
      </x:c>
      <x:c r="T614" s="458">
        <x:v>0</x:v>
      </x:c>
      <x:c r="U614" s="458">
        <x:v>0</x:v>
      </x:c>
      <x:c r="V614" s="458">
        <x:v>0</x:v>
      </x:c>
      <x:c r="W614" s="458">
        <x:v>0</x:v>
      </x:c>
      <x:c r="X614" s="458">
        <x:v>0</x:v>
      </x:c>
      <x:c r="Y614" s="458">
        <x:v>0</x:v>
      </x:c>
      <x:c r="Z614" s="458">
        <x:v>0</x:v>
      </x:c>
    </x:row>
    <x:row r="615" spans="1:26" x14ac:dyDescent="0.2">
      <x:c r="E615" t="s">
        <x:v>72</x:v>
      </x:c>
      <x:c r="F615" s="90">
        <x:v>0</x:v>
      </x:c>
      <x:c r="G615" s="90">
        <x:v>0</x:v>
      </x:c>
      <x:c r="H615" s="90">
        <x:v>0</x:v>
      </x:c>
      <x:c r="I615" s="90">
        <x:v>0</x:v>
      </x:c>
      <x:c r="J615" s="90">
        <x:v>0</x:v>
      </x:c>
      <x:c r="K615" s="90">
        <x:v>0</x:v>
      </x:c>
      <x:c r="L615" s="90">
        <x:v>0</x:v>
      </x:c>
      <x:c r="M615" s="90">
        <x:v>0</x:v>
      </x:c>
      <x:c r="N615" s="90">
        <x:v>0</x:v>
      </x:c>
      <x:c r="O615" s="90">
        <x:v>0</x:v>
      </x:c>
      <x:c r="P615" s="90">
        <x:v>0</x:v>
      </x:c>
      <x:c r="Q615" s="90">
        <x:v>0</x:v>
      </x:c>
      <x:c r="R615" s="90">
        <x:v>0</x:v>
      </x:c>
      <x:c r="S615" s="90">
        <x:v>0</x:v>
      </x:c>
      <x:c r="T615" s="90">
        <x:v>0</x:v>
      </x:c>
      <x:c r="U615">
        <x:v>0</x:v>
      </x:c>
      <x:c r="V615">
        <x:v>0</x:v>
      </x:c>
      <x:c r="W615">
        <x:v>0</x:v>
      </x:c>
      <x:c r="X615">
        <x:v>0</x:v>
      </x:c>
      <x:c r="Y615">
        <x:v>0</x:v>
      </x:c>
      <x:c r="Z615" s="90">
        <x:v>0</x:v>
      </x:c>
    </x:row>
    <x:row r="616" spans="1:26" x14ac:dyDescent="0.2">
      <x:c r="E616" t="s">
        <x:v>81</x:v>
      </x:c>
      <x:c r="F616" s="90">
        <x:v>0</x:v>
      </x:c>
      <x:c r="G616" s="90">
        <x:v>0</x:v>
      </x:c>
      <x:c r="H616" s="90">
        <x:v>0</x:v>
      </x:c>
      <x:c r="I616" s="90">
        <x:v>0</x:v>
      </x:c>
      <x:c r="J616" s="90">
        <x:v>0</x:v>
      </x:c>
      <x:c r="K616" s="90">
        <x:v>0</x:v>
      </x:c>
      <x:c r="L616" s="90">
        <x:v>0</x:v>
      </x:c>
      <x:c r="M616" s="90">
        <x:v>0</x:v>
      </x:c>
      <x:c r="N616" s="90">
        <x:v>0</x:v>
      </x:c>
      <x:c r="O616" s="90">
        <x:v>0</x:v>
      </x:c>
      <x:c r="P616" s="90">
        <x:v>0</x:v>
      </x:c>
      <x:c r="Q616" s="90">
        <x:v>0</x:v>
      </x:c>
      <x:c r="R616" s="90">
        <x:v>0</x:v>
      </x:c>
      <x:c r="S616" s="90">
        <x:v>0</x:v>
      </x:c>
      <x:c r="T616" s="90">
        <x:v>0</x:v>
      </x:c>
      <x:c r="U616">
        <x:v>0</x:v>
      </x:c>
      <x:c r="V616">
        <x:v>0</x:v>
      </x:c>
      <x:c r="W616">
        <x:v>0</x:v>
      </x:c>
      <x:c r="X616">
        <x:v>0</x:v>
      </x:c>
      <x:c r="Y616">
        <x:v>0</x:v>
      </x:c>
      <x:c r="Z616" s="90">
        <x:v>0</x:v>
      </x:c>
    </x:row>
    <x:row r="617" spans="1:26" x14ac:dyDescent="0.2">
      <x:c r="D617" t="s">
        <x:v>156</x:v>
      </x:c>
      <x:c r="E617" t="s">
        <x:v>70</x:v>
      </x:c>
      <x:c r="F617" s="90">
        <x:v>0</x:v>
      </x:c>
      <x:c r="G617" s="90">
        <x:v>0</x:v>
      </x:c>
      <x:c r="H617" s="90">
        <x:v>0</x:v>
      </x:c>
      <x:c r="I617" s="90">
        <x:v>0</x:v>
      </x:c>
      <x:c r="J617" s="90">
        <x:v>0</x:v>
      </x:c>
      <x:c r="K617" s="90">
        <x:v>0</x:v>
      </x:c>
      <x:c r="L617" s="90">
        <x:v>0</x:v>
      </x:c>
      <x:c r="M617" s="90">
        <x:v>0</x:v>
      </x:c>
      <x:c r="N617" s="90">
        <x:v>0</x:v>
      </x:c>
      <x:c r="O617" s="90">
        <x:v>0</x:v>
      </x:c>
      <x:c r="P617" s="90">
        <x:v>0</x:v>
      </x:c>
      <x:c r="Q617" s="90">
        <x:v>0</x:v>
      </x:c>
      <x:c r="R617" s="90">
        <x:v>0</x:v>
      </x:c>
      <x:c r="S617" s="90">
        <x:v>0</x:v>
      </x:c>
      <x:c r="T617" s="90">
        <x:v>0</x:v>
      </x:c>
      <x:c r="U617">
        <x:v>0</x:v>
      </x:c>
      <x:c r="V617">
        <x:v>0</x:v>
      </x:c>
      <x:c r="W617">
        <x:v>0</x:v>
      </x:c>
      <x:c r="X617">
        <x:v>0</x:v>
      </x:c>
      <x:c r="Y617">
        <x:v>0</x:v>
      </x:c>
      <x:c r="Z617" s="90">
        <x:v>0</x:v>
      </x:c>
    </x:row>
    <x:row r="618" spans="1:26" s="286" customFormat="1" x14ac:dyDescent="0.2">
      <x:c r="C618" s="286" t="s">
        <x:v>155</x:v>
      </x:c>
      <x:c r="D618" s="286" t="s">
        <x:v>70</x:v>
      </x:c>
      <x:c r="F618" s="230">
        <x:v>0</x:v>
      </x:c>
      <x:c r="G618" s="230">
        <x:v>0</x:v>
      </x:c>
      <x:c r="H618" s="230">
        <x:v>0</x:v>
      </x:c>
      <x:c r="I618" s="230">
        <x:v>0</x:v>
      </x:c>
      <x:c r="J618" s="230">
        <x:v>0</x:v>
      </x:c>
      <x:c r="K618" s="230">
        <x:v>0</x:v>
      </x:c>
      <x:c r="L618" s="230">
        <x:v>0</x:v>
      </x:c>
      <x:c r="M618" s="230">
        <x:v>0</x:v>
      </x:c>
      <x:c r="N618" s="230">
        <x:v>0</x:v>
      </x:c>
      <x:c r="O618" s="230">
        <x:v>0</x:v>
      </x:c>
      <x:c r="P618" s="230">
        <x:v>0</x:v>
      </x:c>
      <x:c r="Q618" s="230">
        <x:v>0</x:v>
      </x:c>
      <x:c r="R618" s="230">
        <x:v>0</x:v>
      </x:c>
      <x:c r="S618" s="230">
        <x:v>0</x:v>
      </x:c>
      <x:c r="T618" s="230">
        <x:v>0</x:v>
      </x:c>
      <x:c r="U618" s="286">
        <x:v>0</x:v>
      </x:c>
      <x:c r="V618" s="286">
        <x:v>0</x:v>
      </x:c>
      <x:c r="W618" s="286">
        <x:v>0</x:v>
      </x:c>
      <x:c r="X618" s="286">
        <x:v>0</x:v>
      </x:c>
      <x:c r="Y618" s="286">
        <x:v>0</x:v>
      </x:c>
      <x:c r="Z618" s="230">
        <x:v>0</x:v>
      </x:c>
    </x:row>
    <x:row r="619" spans="1:26" x14ac:dyDescent="0.2">
      <x:c r="E619" t="s">
        <x:v>72</x:v>
      </x:c>
      <x:c r="F619" s="90" t="n">
        <x:v>52706.16</x:v>
      </x:c>
      <x:c r="G619" s="90" t="n">
        <x:v>3111.59</x:v>
      </x:c>
      <x:c r="H619" s="90" t="n">
        <x:v>1751.34</x:v>
      </x:c>
      <x:c r="I619" s="90" t="n">
        <x:v>897.63</x:v>
      </x:c>
      <x:c r="J619" s="90" t="n">
        <x:v>11377.58</x:v>
      </x:c>
      <x:c r="K619" s="90" t="n">
        <x:v>312.11</x:v>
      </x:c>
      <x:c r="L619" s="90" t="n">
        <x:v>0</x:v>
      </x:c>
      <x:c r="M619" s="90" t="n">
        <x:v>2737.85</x:v>
      </x:c>
      <x:c r="N619" s="90" t="n">
        <x:v>3754.56</x:v>
      </x:c>
      <x:c r="O619" s="90" t="n">
        <x:v>19228.87</x:v>
      </x:c>
      <x:c r="P619" s="90" t="n">
        <x:v>9026.77</x:v>
      </x:c>
      <x:c r="Q619" s="90" t="n">
        <x:v>509.25</x:v>
      </x:c>
      <x:c r="R619" s="90" t="n">
        <x:v>-1.39</x:v>
      </x:c>
      <x:c r="S619" s="90" t="n">
        <x:v>0</x:v>
      </x:c>
      <x:c r="T619" s="90" t="n">
        <x:v>0</x:v>
      </x:c>
      <x:c r="U619">
        <x:v>0</x:v>
      </x:c>
      <x:c r="V619">
        <x:v>0</x:v>
      </x:c>
      <x:c r="W619">
        <x:v>0</x:v>
      </x:c>
      <x:c r="X619">
        <x:v>0</x:v>
      </x:c>
      <x:c r="Y619">
        <x:v>0</x:v>
      </x:c>
      <x:c r="Z619" s="90" t="n">
        <x:v>0</x:v>
      </x:c>
    </x:row>
    <x:row r="620" spans="1:26" x14ac:dyDescent="0.2">
      <x:c r="E620" t="s">
        <x:v>81</x:v>
      </x:c>
      <x:c r="F620" s="90">
        <x:v>0</x:v>
      </x:c>
      <x:c r="G620" s="90">
        <x:v>0</x:v>
      </x:c>
      <x:c r="H620" s="90">
        <x:v>0</x:v>
      </x:c>
      <x:c r="I620" s="90">
        <x:v>0</x:v>
      </x:c>
      <x:c r="J620" s="90">
        <x:v>0</x:v>
      </x:c>
      <x:c r="K620" s="90">
        <x:v>0</x:v>
      </x:c>
      <x:c r="L620" s="90">
        <x:v>0</x:v>
      </x:c>
      <x:c r="M620" s="90">
        <x:v>0</x:v>
      </x:c>
      <x:c r="N620" s="90">
        <x:v>0</x:v>
      </x:c>
      <x:c r="O620" s="90">
        <x:v>0</x:v>
      </x:c>
      <x:c r="P620" s="90">
        <x:v>0</x:v>
      </x:c>
      <x:c r="Q620" s="90">
        <x:v>7.0000000000000007E-2</x:v>
      </x:c>
      <x:c r="R620" s="90">
        <x:v>0</x:v>
      </x:c>
      <x:c r="S620" s="90">
        <x:v>0</x:v>
      </x:c>
      <x:c r="T620" s="90">
        <x:v>0</x:v>
      </x:c>
      <x:c r="U620">
        <x:v>0</x:v>
      </x:c>
      <x:c r="V620">
        <x:v>0</x:v>
      </x:c>
      <x:c r="W620">
        <x:v>0</x:v>
      </x:c>
      <x:c r="X620">
        <x:v>0</x:v>
      </x:c>
      <x:c r="Y620">
        <x:v>0</x:v>
      </x:c>
      <x:c r="Z620" s="90">
        <x:v>0</x:v>
      </x:c>
    </x:row>
    <x:row r="621" spans="1:26" x14ac:dyDescent="0.2">
      <x:c r="D621" t="s">
        <x:v>82</x:v>
      </x:c>
      <x:c r="E621" t="s">
        <x:v>70</x:v>
      </x:c>
      <x:c r="F621" s="90" t="n">
        <x:v>52706.16</x:v>
      </x:c>
      <x:c r="G621" s="90" t="n">
        <x:v>3111.59</x:v>
      </x:c>
      <x:c r="H621" s="90" t="n">
        <x:v>1751.34</x:v>
      </x:c>
      <x:c r="I621" s="90" t="n">
        <x:v>897.63</x:v>
      </x:c>
      <x:c r="J621" s="90" t="n">
        <x:v>11377.58</x:v>
      </x:c>
      <x:c r="K621" s="90" t="n">
        <x:v>312.11</x:v>
      </x:c>
      <x:c r="L621" s="90" t="n">
        <x:v>0</x:v>
      </x:c>
      <x:c r="M621" s="90" t="n">
        <x:v>2737.85</x:v>
      </x:c>
      <x:c r="N621" s="90" t="n">
        <x:v>3754.56</x:v>
      </x:c>
      <x:c r="O621" s="90" t="n">
        <x:v>19228.87</x:v>
      </x:c>
      <x:c r="P621" s="90" t="n">
        <x:v>9026.77</x:v>
      </x:c>
      <x:c r="Q621" s="90" t="n">
        <x:v>509.25</x:v>
      </x:c>
      <x:c r="R621" s="90" t="n">
        <x:v>-1.39</x:v>
      </x:c>
      <x:c r="S621" s="90" t="n">
        <x:v>0</x:v>
      </x:c>
      <x:c r="T621" s="90" t="n">
        <x:v>0</x:v>
      </x:c>
      <x:c r="U621">
        <x:v>0</x:v>
      </x:c>
      <x:c r="V621">
        <x:v>0</x:v>
      </x:c>
      <x:c r="W621">
        <x:v>0</x:v>
      </x:c>
      <x:c r="X621">
        <x:v>0</x:v>
      </x:c>
      <x:c r="Y621">
        <x:v>0</x:v>
      </x:c>
      <x:c r="Z621" s="90" t="n">
        <x:v>0</x:v>
      </x:c>
    </x:row>
    <x:row r="622" spans="1:26" x14ac:dyDescent="0.2">
      <x:c r="E622" t="s">
        <x:v>72</x:v>
      </x:c>
      <x:c r="F622" s="90" t="n">
        <x:v>49921.06</x:v>
      </x:c>
      <x:c r="G622" s="90" t="n">
        <x:v>3993.69</x:v>
      </x:c>
      <x:c r="H622" s="90" t="n">
        <x:v>2254.83</x:v>
      </x:c>
      <x:c r="I622" s="90" t="n">
        <x:v>1183.5</x:v>
      </x:c>
      <x:c r="J622" s="90" t="n">
        <x:v>9237.34</x:v>
      </x:c>
      <x:c r="K622" s="90" t="n">
        <x:v>236.44</x:v>
      </x:c>
      <x:c r="L622" s="90" t="n">
        <x:v>0</x:v>
      </x:c>
      <x:c r="M622" s="90" t="n">
        <x:v>2074.09</x:v>
      </x:c>
      <x:c r="N622" s="90" t="n">
        <x:v>3047.22</x:v>
      </x:c>
      <x:c r="O622" s="90" t="n">
        <x:v>15606.67</x:v>
      </x:c>
      <x:c r="P622" s="90" t="n">
        <x:v>11901.49</x:v>
      </x:c>
      <x:c r="Q622" s="90" t="n">
        <x:v>385.79</x:v>
      </x:c>
      <x:c r="R622" s="90" t="n">
        <x:v>0</x:v>
      </x:c>
      <x:c r="S622" s="90" t="n">
        <x:v>0</x:v>
      </x:c>
      <x:c r="T622" s="90" t="n">
        <x:v>0</x:v>
      </x:c>
      <x:c r="U622">
        <x:v>0</x:v>
      </x:c>
      <x:c r="V622">
        <x:v>0</x:v>
      </x:c>
      <x:c r="W622">
        <x:v>0</x:v>
      </x:c>
      <x:c r="X622">
        <x:v>0</x:v>
      </x:c>
      <x:c r="Y622">
        <x:v>0</x:v>
      </x:c>
      <x:c r="Z622" s="90" t="n">
        <x:v>0</x:v>
      </x:c>
    </x:row>
    <x:row r="623" spans="1:26" x14ac:dyDescent="0.2">
      <x:c r="E623" t="s">
        <x:v>81</x:v>
      </x:c>
      <x:c r="F623" s="90" t="n">
        <x:v>402.4</x:v>
      </x:c>
      <x:c r="G623" s="90" t="n">
        <x:v>32.54</x:v>
      </x:c>
      <x:c r="H623" s="90" t="n">
        <x:v>18.34</x:v>
      </x:c>
      <x:c r="I623" s="90" t="n">
        <x:v>9.53</x:v>
      </x:c>
      <x:c r="J623" s="90" t="n">
        <x:v>74.32</x:v>
      </x:c>
      <x:c r="K623" s="90" t="n">
        <x:v>1.9</x:v>
      </x:c>
      <x:c r="L623" s="90" t="n">
        <x:v>0</x:v>
      </x:c>
      <x:c r="M623" s="90" t="n">
        <x:v>16.7</x:v>
      </x:c>
      <x:c r="N623" s="90" t="n">
        <x:v>24.53</x:v>
      </x:c>
      <x:c r="O623" s="90" t="n">
        <x:v>125.62</x:v>
      </x:c>
      <x:c r="P623" s="90" t="n">
        <x:v>95.81</x:v>
      </x:c>
      <x:c r="Q623" s="90" t="n">
        <x:v>3.11</x:v>
      </x:c>
      <x:c r="R623" s="90" t="n">
        <x:v>0</x:v>
      </x:c>
      <x:c r="S623" s="90" t="n">
        <x:v>0</x:v>
      </x:c>
      <x:c r="T623" s="90" t="n">
        <x:v>0</x:v>
      </x:c>
      <x:c r="U623">
        <x:v>0</x:v>
      </x:c>
      <x:c r="V623">
        <x:v>0</x:v>
      </x:c>
      <x:c r="W623">
        <x:v>0</x:v>
      </x:c>
      <x:c r="X623">
        <x:v>0</x:v>
      </x:c>
      <x:c r="Y623">
        <x:v>0</x:v>
      </x:c>
      <x:c r="Z623" s="90" t="n">
        <x:v>0</x:v>
      </x:c>
    </x:row>
    <x:row r="624" spans="1:26" x14ac:dyDescent="0.2">
      <x:c r="D624" t="s">
        <x:v>86</x:v>
      </x:c>
      <x:c r="E624" t="s">
        <x:v>70</x:v>
      </x:c>
      <x:c r="F624" s="90" t="n">
        <x:v>50323.46</x:v>
      </x:c>
      <x:c r="G624" s="90" t="n">
        <x:v>4026.23</x:v>
      </x:c>
      <x:c r="H624" s="90" t="n">
        <x:v>2273.17</x:v>
      </x:c>
      <x:c r="I624" s="90" t="n">
        <x:v>1193.03</x:v>
      </x:c>
      <x:c r="J624" s="90" t="n">
        <x:v>9311.66</x:v>
      </x:c>
      <x:c r="K624" s="90" t="n">
        <x:v>238.34</x:v>
      </x:c>
      <x:c r="L624" s="90" t="n">
        <x:v>0</x:v>
      </x:c>
      <x:c r="M624" s="90" t="n">
        <x:v>2090.79</x:v>
      </x:c>
      <x:c r="N624" s="90" t="n">
        <x:v>3071.75</x:v>
      </x:c>
      <x:c r="O624" s="90" t="n">
        <x:v>15732.29</x:v>
      </x:c>
      <x:c r="P624" s="90" t="n">
        <x:v>11997.3</x:v>
      </x:c>
      <x:c r="Q624" s="90" t="n">
        <x:v>388.9</x:v>
      </x:c>
      <x:c r="R624" s="90" t="n">
        <x:v>0</x:v>
      </x:c>
      <x:c r="S624" s="90" t="n">
        <x:v>0</x:v>
      </x:c>
      <x:c r="T624" s="90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>
        <x:v>0</x:v>
      </x:c>
      <x:c r="Z624" s="90" t="n">
        <x:v>0</x:v>
      </x:c>
    </x:row>
    <x:row r="625" spans="1:26" ht="12.75" customHeight="1" x14ac:dyDescent="0.2">
      <x:c r="E625" s="89" t="s">
        <x:v>72</x:v>
      </x:c>
      <x:c r="F625" s="371" t="n">
        <x:v>306792.77</x:v>
      </x:c>
      <x:c r="G625" s="90" t="n">
        <x:v>19035.04</x:v>
      </x:c>
      <x:c r="H625" s="90" t="n">
        <x:v>9869.84</x:v>
      </x:c>
      <x:c r="I625" s="90" t="n">
        <x:v>5496.23</x:v>
      </x:c>
      <x:c r="J625" s="90" t="n">
        <x:v>71436.63</x:v>
      </x:c>
      <x:c r="K625" s="90" t="n">
        <x:v>1696.42</x:v>
      </x:c>
      <x:c r="L625" s="90" t="n">
        <x:v>0</x:v>
      </x:c>
      <x:c r="M625" s="90" t="n">
        <x:v>14880.73</x:v>
      </x:c>
      <x:c r="N625" s="90" t="n">
        <x:v>20748.09</x:v>
      </x:c>
      <x:c r="O625" s="90" t="n">
        <x:v>103786.58</x:v>
      </x:c>
      <x:c r="P625" s="90" t="n">
        <x:v>57071.46</x:v>
      </x:c>
      <x:c r="Q625" s="90" t="n">
        <x:v>2767.81</x:v>
      </x:c>
      <x:c r="R625" s="90" t="n">
        <x:v>3.94</x:v>
      </x:c>
      <x:c r="S625" s="90" t="n">
        <x:v>0</x:v>
      </x:c>
      <x:c r="T625" s="90" t="n">
        <x:v>0</x:v>
      </x:c>
      <x:c r="U625" s="90">
        <x:v>0</x:v>
      </x:c>
      <x:c r="V625" s="90">
        <x:v>0</x:v>
      </x:c>
      <x:c r="W625" s="90">
        <x:v>0</x:v>
      </x:c>
      <x:c r="X625" s="90">
        <x:v>0</x:v>
      </x:c>
      <x:c r="Y625" s="90">
        <x:v>0</x:v>
      </x:c>
      <x:c r="Z625" s="90" t="n">
        <x:v>0</x:v>
      </x:c>
    </x:row>
    <x:row r="626" spans="1:26" x14ac:dyDescent="0.2">
      <x:c r="E626" t="s">
        <x:v>81</x:v>
      </x:c>
      <x:c r="F626" s="90" t="n">
        <x:v>7697.23</x:v>
      </x:c>
      <x:c r="G626" s="90" t="n">
        <x:v>484.57</x:v>
      </x:c>
      <x:c r="H626" s="90" t="n">
        <x:v>243.67</x:v>
      </x:c>
      <x:c r="I626" s="90" t="n">
        <x:v>136.38</x:v>
      </x:c>
      <x:c r="J626" s="90" t="n">
        <x:v>1785.86</x:v>
      </x:c>
      <x:c r="K626" s="90" t="n">
        <x:v>43.42</x:v>
      </x:c>
      <x:c r="L626" s="90" t="n">
        <x:v>0</x:v>
      </x:c>
      <x:c r="M626" s="90" t="n">
        <x:v>379.97</x:v>
      </x:c>
      <x:c r="N626" s="90" t="n">
        <x:v>517.96</x:v>
      </x:c>
      <x:c r="O626" s="90" t="n">
        <x:v>2585.26</x:v>
      </x:c>
      <x:c r="P626" s="90" t="n">
        <x:v>1449.26</x:v>
      </x:c>
      <x:c r="Q626" s="90" t="n">
        <x:v>70.74</x:v>
      </x:c>
      <x:c r="R626" s="90" t="n">
        <x:v>0.14</x:v>
      </x:c>
      <x:c r="S626" s="90" t="n">
        <x:v>0</x:v>
      </x:c>
      <x:c r="T626" s="90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>
        <x:v>0</x:v>
      </x:c>
      <x:c r="Z626" s="90" t="n">
        <x:v>0</x:v>
      </x:c>
    </x:row>
    <x:row r="627" spans="1:26" ht="12.75" customHeight="1" x14ac:dyDescent="0.2">
      <x:c r="D627" t="s">
        <x:v>87</x:v>
      </x:c>
      <x:c r="E627" s="89" t="s">
        <x:v>70</x:v>
      </x:c>
      <x:c r="F627" s="371" t="n">
        <x:v>314490</x:v>
      </x:c>
      <x:c r="G627" s="90" t="n">
        <x:v>19519.61</x:v>
      </x:c>
      <x:c r="H627" s="90" t="n">
        <x:v>10113.51</x:v>
      </x:c>
      <x:c r="I627" s="90" t="n">
        <x:v>5632.61</x:v>
      </x:c>
      <x:c r="J627" s="90" t="n">
        <x:v>73222.49</x:v>
      </x:c>
      <x:c r="K627" s="90" t="n">
        <x:v>1739.84</x:v>
      </x:c>
      <x:c r="L627" s="90" t="n">
        <x:v>0</x:v>
      </x:c>
      <x:c r="M627" s="90" t="n">
        <x:v>15260.7</x:v>
      </x:c>
      <x:c r="N627" s="90" t="n">
        <x:v>21266.05</x:v>
      </x:c>
      <x:c r="O627" s="90" t="n">
        <x:v>106371.84</x:v>
      </x:c>
      <x:c r="P627" s="90" t="n">
        <x:v>58520.72</x:v>
      </x:c>
      <x:c r="Q627" s="90" t="n">
        <x:v>2838.55</x:v>
      </x:c>
      <x:c r="R627" s="90" t="n">
        <x:v>4.08</x:v>
      </x:c>
      <x:c r="S627" s="90" t="n">
        <x:v>0</x:v>
      </x:c>
      <x:c r="T627" s="90" t="n">
        <x:v>0</x:v>
      </x:c>
      <x:c r="U627" s="90">
        <x:v>0</x:v>
      </x:c>
      <x:c r="V627" s="90">
        <x:v>0</x:v>
      </x:c>
      <x:c r="W627" s="90">
        <x:v>0</x:v>
      </x:c>
      <x:c r="X627" s="90">
        <x:v>0</x:v>
      </x:c>
      <x:c r="Y627" s="90">
        <x:v>0</x:v>
      </x:c>
      <x:c r="Z627" s="90" t="n">
        <x:v>0</x:v>
      </x:c>
    </x:row>
    <x:row r="628" spans="1:26" s="94" customFormat="1" ht="12.75" customHeight="1" x14ac:dyDescent="0.2">
      <x:c r="C628" s="101" t="s">
        <x:v>119</x:v>
      </x:c>
      <x:c r="D628" s="101" t="s">
        <x:v>70</x:v>
      </x:c>
      <x:c r="F628" s="93" t="n">
        <x:v>417519.62</x:v>
      </x:c>
      <x:c r="G628" s="93" t="n">
        <x:v>26657.43</x:v>
      </x:c>
      <x:c r="H628" s="93" t="n">
        <x:v>14138.02</x:v>
      </x:c>
      <x:c r="I628" s="93" t="n">
        <x:v>7723.27</x:v>
      </x:c>
      <x:c r="J628" s="93" t="n">
        <x:v>93911.73</x:v>
      </x:c>
      <x:c r="K628" s="93" t="n">
        <x:v>2290.29</x:v>
      </x:c>
      <x:c r="L628" s="93" t="n">
        <x:v>0</x:v>
      </x:c>
      <x:c r="M628" s="93" t="n">
        <x:v>20089.34</x:v>
      </x:c>
      <x:c r="N628" s="93" t="n">
        <x:v>28092.36</x:v>
      </x:c>
      <x:c r="O628" s="93" t="n">
        <x:v>141333</x:v>
      </x:c>
      <x:c r="P628" s="93" t="n">
        <x:v>79544.79</x:v>
      </x:c>
      <x:c r="Q628" s="93" t="n">
        <x:v>3736.7</x:v>
      </x:c>
      <x:c r="R628" s="93" t="n">
        <x:v>2.69</x:v>
      </x:c>
      <x:c r="S628" s="93" t="n">
        <x:v>0</x:v>
      </x:c>
      <x:c r="T628" s="93" t="n">
        <x:v>0</x:v>
      </x:c>
      <x:c r="U628" s="93">
        <x:v>0</x:v>
      </x:c>
      <x:c r="V628" s="93">
        <x:v>0</x:v>
      </x:c>
      <x:c r="W628" s="93">
        <x:v>0</x:v>
      </x:c>
      <x:c r="X628" s="93">
        <x:v>0</x:v>
      </x:c>
      <x:c r="Y628" s="93">
        <x:v>0</x:v>
      </x:c>
      <x:c r="Z628" s="93" t="n">
        <x:v>0</x:v>
      </x:c>
    </x:row>
    <x:row r="629" spans="1:26" s="378" customFormat="1" ht="12.75" customHeight="1" x14ac:dyDescent="0.2">
      <x:c r="B629" s="378" t="s">
        <x:v>122</x:v>
      </x:c>
      <x:c r="C629" s="378" t="s">
        <x:v>70</x:v>
      </x:c>
      <x:c r="E629" s="376"/>
      <x:c r="F629" s="710" t="n">
        <x:v>417519.62</x:v>
      </x:c>
      <x:c r="G629" s="377" t="n">
        <x:v>26657.43</x:v>
      </x:c>
      <x:c r="H629" s="377" t="n">
        <x:v>14138.02</x:v>
      </x:c>
      <x:c r="I629" s="377" t="n">
        <x:v>7723.27</x:v>
      </x:c>
      <x:c r="J629" s="377" t="n">
        <x:v>93911.73</x:v>
      </x:c>
      <x:c r="K629" s="377" t="n">
        <x:v>2290.29</x:v>
      </x:c>
      <x:c r="L629" s="377" t="n">
        <x:v>0</x:v>
      </x:c>
      <x:c r="M629" s="377" t="n">
        <x:v>20089.34</x:v>
      </x:c>
      <x:c r="N629" s="377" t="n">
        <x:v>28092.36</x:v>
      </x:c>
      <x:c r="O629" s="377" t="n">
        <x:v>141333</x:v>
      </x:c>
      <x:c r="P629" s="377" t="n">
        <x:v>79544.79</x:v>
      </x:c>
      <x:c r="Q629" s="377" t="n">
        <x:v>3736.7</x:v>
      </x:c>
      <x:c r="R629" s="377" t="n">
        <x:v>2.69</x:v>
      </x:c>
      <x:c r="S629" s="377" t="n">
        <x:v>0</x:v>
      </x:c>
      <x:c r="T629" s="377" t="n">
        <x:v>0</x:v>
      </x:c>
      <x:c r="U629" s="377">
        <x:v>0</x:v>
      </x:c>
      <x:c r="V629" s="377">
        <x:v>0</x:v>
      </x:c>
      <x:c r="W629" s="377">
        <x:v>0</x:v>
      </x:c>
      <x:c r="X629" s="377">
        <x:v>0</x:v>
      </x:c>
      <x:c r="Y629" s="377">
        <x:v>0</x:v>
      </x:c>
      <x:c r="Z629" s="377" t="n">
        <x:v>0</x:v>
      </x:c>
    </x:row>
    <x:row r="630" spans="1:26" ht="12.75" customHeight="1" x14ac:dyDescent="0.2">
      <x:c r="C630" s="89"/>
      <x:c r="D630" s="89"/>
      <x:c r="E630" t="s">
        <x:v>72</x:v>
      </x:c>
      <x:c r="F630" s="371" t="n">
        <x:v>12815008425</x:v>
      </x:c>
      <x:c r="G630" s="90" t="n">
        <x:v>696132424.7</x:v>
      </x:c>
      <x:c r="H630" s="90" t="n">
        <x:v>392646983.91</x:v>
      </x:c>
      <x:c r="I630" s="90" t="n">
        <x:v>205894711.43</x:v>
      </x:c>
      <x:c r="J630" s="90" t="n">
        <x:v>2739311715.72</x:v>
      </x:c>
      <x:c r="K630" s="90" t="n">
        <x:v>104518413.21</x:v>
      </x:c>
      <x:c r="L630" s="90" t="n">
        <x:v>8994251.4</x:v>
      </x:c>
      <x:c r="M630" s="90" t="n">
        <x:v>916374237.59</x:v>
      </x:c>
      <x:c r="N630" s="90" t="n">
        <x:v>897814237.13</x:v>
      </x:c>
      <x:c r="O630" s="90" t="n">
        <x:v>4614704417.48</x:v>
      </x:c>
      <x:c r="P630" s="90" t="n">
        <x:v>2068182494.33</x:v>
      </x:c>
      <x:c r="Q630" s="90" t="n">
        <x:v>170581693.39</x:v>
      </x:c>
      <x:c r="R630" s="90" t="n">
        <x:v>-147155.29</x:v>
      </x:c>
      <x:c r="S630" s="90" t="n">
        <x:v>0</x:v>
      </x:c>
      <x:c r="T630" t="n">
        <x:v>0</x:v>
      </x:c>
      <x:c r="U630">
        <x:v>0</x:v>
      </x:c>
      <x:c r="V630">
        <x:v>0</x:v>
      </x:c>
      <x:c r="W630">
        <x:v>0</x:v>
      </x:c>
      <x:c r="X630">
        <x:v>0</x:v>
      </x:c>
      <x:c r="Y630">
        <x:v>0</x:v>
      </x:c>
      <x:c r="Z630" t="n">
        <x:v>0</x:v>
      </x:c>
    </x:row>
    <x:row r="631" spans="1:26" ht="12.75" customHeight="1" x14ac:dyDescent="0.2">
      <x:c r="C631" s="89"/>
      <x:c r="D631" s="89"/>
      <x:c r="E631" t="s">
        <x:v>81</x:v>
      </x:c>
      <x:c r="F631" s="90" t="n">
        <x:v>8188043.26</x:v>
      </x:c>
      <x:c r="G631" s="90" t="n">
        <x:v>712370.33</x:v>
      </x:c>
      <x:c r="H631" s="90" t="n">
        <x:v>342656.4</x:v>
      </x:c>
      <x:c r="I631" s="90" t="n">
        <x:v>174871.02</x:v>
      </x:c>
      <x:c r="J631" s="90" t="n">
        <x:v>1410634.79</x:v>
      </x:c>
      <x:c r="K631" s="90" t="n">
        <x:v>60481.35</x:v>
      </x:c>
      <x:c r="L631" s="90" t="n">
        <x:v>2825.7</x:v>
      </x:c>
      <x:c r="M631" s="90" t="n">
        <x:v>530371.72</x:v>
      </x:c>
      <x:c r="N631" s="90" t="n">
        <x:v>474850.33</x:v>
      </x:c>
      <x:c r="O631" s="90" t="n">
        <x:v>2281402.99</x:v>
      </x:c>
      <x:c r="P631" s="90" t="n">
        <x:v>2098966.43</x:v>
      </x:c>
      <x:c r="Q631" s="90" t="n">
        <x:v>98638.71</x:v>
      </x:c>
      <x:c r="R631" s="90" t="n">
        <x:v>6.82</x:v>
      </x:c>
      <x:c r="S631" s="90" t="n">
        <x:v>0</x:v>
      </x:c>
      <x:c r="T631" t="n">
        <x:v>7.04</x:v>
      </x:c>
      <x:c r="U631">
        <x:v>0</x:v>
      </x:c>
      <x:c r="V631">
        <x:v>0</x:v>
      </x:c>
      <x:c r="W631">
        <x:v>0</x:v>
      </x:c>
      <x:c r="X631">
        <x:v>0</x:v>
      </x:c>
      <x:c r="Y631">
        <x:v>0</x:v>
      </x:c>
      <x:c r="Z631" t="n">
        <x:v>-40.37</x:v>
      </x:c>
    </x:row>
    <x:row r="632" spans="1:26" ht="12.75" customHeight="1" x14ac:dyDescent="0.2">
      <x:c r="D632" t="s">
        <x:v>156</x:v>
      </x:c>
      <x:c r="E632" s="89" t="s">
        <x:v>70</x:v>
      </x:c>
      <x:c r="F632" s="90" t="n">
        <x:v>12823196468.26</x:v>
      </x:c>
      <x:c r="G632" s="90" t="n">
        <x:v>696844795.03</x:v>
      </x:c>
      <x:c r="H632" s="90" t="n">
        <x:v>392989640.31</x:v>
      </x:c>
      <x:c r="I632" s="90" t="n">
        <x:v>206069582.45</x:v>
      </x:c>
      <x:c r="J632" s="90" t="n">
        <x:v>2740722350.51</x:v>
      </x:c>
      <x:c r="K632" s="90" t="n">
        <x:v>104578894.56</x:v>
      </x:c>
      <x:c r="L632" s="90" t="n">
        <x:v>8997077.1</x:v>
      </x:c>
      <x:c r="M632" s="90" t="n">
        <x:v>916904609.31</x:v>
      </x:c>
      <x:c r="N632" s="90" t="n">
        <x:v>898289087.46</x:v>
      </x:c>
      <x:c r="O632" s="90" t="n">
        <x:v>4616985820.47</x:v>
      </x:c>
      <x:c r="P632" s="90" t="n">
        <x:v>2070281460.76</x:v>
      </x:c>
      <x:c r="Q632" s="90" t="n">
        <x:v>170680332.1</x:v>
      </x:c>
      <x:c r="R632" s="90" t="n">
        <x:v>-147148.47</x:v>
      </x:c>
      <x:c r="S632" s="90" t="n">
        <x:v>0</x:v>
      </x:c>
      <x:c r="T632" t="n">
        <x:v>7.04</x:v>
      </x:c>
      <x:c r="U632">
        <x:v>0</x:v>
      </x:c>
      <x:c r="V632">
        <x:v>0</x:v>
      </x:c>
      <x:c r="W632">
        <x:v>0</x:v>
      </x:c>
      <x:c r="X632">
        <x:v>0</x:v>
      </x:c>
      <x:c r="Y632">
        <x:v>0</x:v>
      </x:c>
      <x:c r="Z632" t="n">
        <x:v>-40.37</x:v>
      </x:c>
    </x:row>
    <x:row r="633" spans="1:26" s="656" customFormat="1" ht="12.75" customHeight="1" x14ac:dyDescent="0.2">
      <x:c r="A633" s="657"/>
      <x:c r="B633" s="657"/>
      <x:c r="C633" s="656" t="s">
        <x:v>155</x:v>
      </x:c>
      <x:c r="D633" s="656" t="s">
        <x:v>70</x:v>
      </x:c>
      <x:c r="F633" s="658" t="n">
        <x:v>12823196468.26</x:v>
      </x:c>
      <x:c r="G633" s="658" t="n">
        <x:v>696844795.03</x:v>
      </x:c>
      <x:c r="H633" s="658" t="n">
        <x:v>392989640.31</x:v>
      </x:c>
      <x:c r="I633" s="658" t="n">
        <x:v>206069582.45</x:v>
      </x:c>
      <x:c r="J633" s="658" t="n">
        <x:v>2740722350.51</x:v>
      </x:c>
      <x:c r="K633" s="658" t="n">
        <x:v>104578894.56</x:v>
      </x:c>
      <x:c r="L633" s="658" t="n">
        <x:v>8997077.1</x:v>
      </x:c>
      <x:c r="M633" s="658" t="n">
        <x:v>916904609.31</x:v>
      </x:c>
      <x:c r="N633" s="658" t="n">
        <x:v>898289087.46</x:v>
      </x:c>
      <x:c r="O633" s="658" t="n">
        <x:v>4616985820.47</x:v>
      </x:c>
      <x:c r="P633" s="658" t="n">
        <x:v>2070281460.76</x:v>
      </x:c>
      <x:c r="Q633" s="658" t="n">
        <x:v>170680332.1</x:v>
      </x:c>
      <x:c r="R633" s="658" t="n">
        <x:v>-147148.47</x:v>
      </x:c>
      <x:c r="S633" s="658" t="n">
        <x:v>0</x:v>
      </x:c>
      <x:c r="T633" s="656" t="n">
        <x:v>7.04</x:v>
      </x:c>
      <x:c r="U633" s="656">
        <x:v>0</x:v>
      </x:c>
      <x:c r="V633" s="656">
        <x:v>0</x:v>
      </x:c>
      <x:c r="W633" s="656">
        <x:v>0</x:v>
      </x:c>
      <x:c r="X633" s="656">
        <x:v>0</x:v>
      </x:c>
      <x:c r="Y633" s="656">
        <x:v>0</x:v>
      </x:c>
      <x:c r="Z633" s="656" t="n">
        <x:v>-40.37</x:v>
      </x:c>
    </x:row>
    <x:row r="634" spans="1:26" ht="12.75" customHeight="1" x14ac:dyDescent="0.2">
      <x:c r="E634" s="89" t="s">
        <x:v>72</x:v>
      </x:c>
      <x:c r="F634" s="90" t="n">
        <x:v>31744217.36</x:v>
      </x:c>
      <x:c r="G634" s="90" t="n">
        <x:v>1896011.44</x:v>
      </x:c>
      <x:c r="H634" s="90" t="n">
        <x:v>1043946.05</x:v>
      </x:c>
      <x:c r="I634" s="90" t="n">
        <x:v>566202.45</x:v>
      </x:c>
      <x:c r="J634" s="90" t="n">
        <x:v>6825335.78</x:v>
      </x:c>
      <x:c r="K634" s="90" t="n">
        <x:v>247149.67</x:v>
      </x:c>
      <x:c r="L634" s="90" t="n">
        <x:v>0</x:v>
      </x:c>
      <x:c r="M634" s="90" t="n">
        <x:v>2156364.29</x:v>
      </x:c>
      <x:c r="N634" s="90" t="n">
        <x:v>2123158.74</x:v>
      </x:c>
      <x:c r="O634" s="90" t="n">
        <x:v>11056616.23</x:v>
      </x:c>
      <x:c r="P634" s="90" t="n">
        <x:v>5422637.66</x:v>
      </x:c>
      <x:c r="Q634" s="90" t="n">
        <x:v>406705.98</x:v>
      </x:c>
      <x:c r="R634" s="90" t="n">
        <x:v>89.07</x:v>
      </x:c>
      <x:c r="S634" s="90" t="n">
        <x:v>0</x:v>
      </x:c>
      <x:c r="T634" t="n">
        <x:v>0</x:v>
      </x:c>
      <x:c r="U634">
        <x:v>0</x:v>
      </x:c>
      <x:c r="V634">
        <x:v>0</x:v>
      </x:c>
      <x:c r="W634">
        <x:v>0</x:v>
      </x:c>
      <x:c r="X634">
        <x:v>0</x:v>
      </x:c>
      <x:c r="Y634">
        <x:v>0</x:v>
      </x:c>
      <x:c r="Z634" t="n">
        <x:v>0</x:v>
      </x:c>
    </x:row>
    <x:row r="635" spans="1:26" ht="12.75" customHeight="1" x14ac:dyDescent="0.2">
      <x:c r="E635" s="89" t="s">
        <x:v>81</x:v>
      </x:c>
      <x:c r="F635" s="371" t="n">
        <x:v>90800.2</x:v>
      </x:c>
      <x:c r="G635" s="90" t="n">
        <x:v>5476.81</x:v>
      </x:c>
      <x:c r="H635" s="90" t="n">
        <x:v>2878.22</x:v>
      </x:c>
      <x:c r="I635" s="90" t="n">
        <x:v>1571.13</x:v>
      </x:c>
      <x:c r="J635" s="90" t="n">
        <x:v>19966.92</x:v>
      </x:c>
      <x:c r="K635" s="90" t="n">
        <x:v>645.25</x:v>
      </x:c>
      <x:c r="L635" s="90" t="n">
        <x:v>0</x:v>
      </x:c>
      <x:c r="M635" s="90" t="n">
        <x:v>5639.74</x:v>
      </x:c>
      <x:c r="N635" s="90" t="n">
        <x:v>6109.13</x:v>
      </x:c>
      <x:c r="O635" s="90" t="n">
        <x:v>31292.26</x:v>
      </x:c>
      <x:c r="P635" s="90" t="n">
        <x:v>16162.57</x:v>
      </x:c>
      <x:c r="Q635" s="90" t="n">
        <x:v>1059.69</x:v>
      </x:c>
      <x:c r="R635" s="90" t="n">
        <x:v>-1.52</x:v>
      </x:c>
      <x:c r="S635" s="90" t="n">
        <x:v>0</x:v>
      </x:c>
      <x:c r="T635" t="n">
        <x:v>0</x:v>
      </x:c>
      <x:c r="U635">
        <x:v>0</x:v>
      </x:c>
      <x:c r="V635">
        <x:v>0</x:v>
      </x:c>
      <x:c r="W635">
        <x:v>0</x:v>
      </x:c>
      <x:c r="X635">
        <x:v>0</x:v>
      </x:c>
      <x:c r="Y635">
        <x:v>0</x:v>
      </x:c>
      <x:c r="Z635" t="n">
        <x:v>0</x:v>
      </x:c>
    </x:row>
    <x:row r="636" spans="1:26" ht="12.75" customHeight="1" x14ac:dyDescent="0.2">
      <x:c r="D636" t="s">
        <x:v>156</x:v>
      </x:c>
      <x:c r="E636" s="89" t="s">
        <x:v>70</x:v>
      </x:c>
      <x:c r="F636" s="371" t="n">
        <x:v>31835017.56</x:v>
      </x:c>
      <x:c r="G636" s="90" t="n">
        <x:v>1901488.25</x:v>
      </x:c>
      <x:c r="H636" s="90" t="n">
        <x:v>1046824.27</x:v>
      </x:c>
      <x:c r="I636" s="90" t="n">
        <x:v>567773.58</x:v>
      </x:c>
      <x:c r="J636" s="90" t="n">
        <x:v>6845302.7</x:v>
      </x:c>
      <x:c r="K636" s="90" t="n">
        <x:v>247794.92</x:v>
      </x:c>
      <x:c r="L636" s="90" t="n">
        <x:v>0</x:v>
      </x:c>
      <x:c r="M636" s="90" t="n">
        <x:v>2162004.03</x:v>
      </x:c>
      <x:c r="N636" s="90" t="n">
        <x:v>2129267.87</x:v>
      </x:c>
      <x:c r="O636" s="90" t="n">
        <x:v>11087908.49</x:v>
      </x:c>
      <x:c r="P636" s="90" t="n">
        <x:v>5438800.23</x:v>
      </x:c>
      <x:c r="Q636" s="90" t="n">
        <x:v>407765.67</x:v>
      </x:c>
      <x:c r="R636" s="90" t="n">
        <x:v>87.55</x:v>
      </x:c>
      <x:c r="S636" s="90" t="n">
        <x:v>0</x:v>
      </x:c>
      <x:c r="T636" t="n">
        <x:v>0</x:v>
      </x:c>
      <x:c r="U636">
        <x:v>0</x:v>
      </x:c>
      <x:c r="V636">
        <x:v>0</x:v>
      </x:c>
      <x:c r="W636">
        <x:v>0</x:v>
      </x:c>
      <x:c r="X636">
        <x:v>0</x:v>
      </x:c>
      <x:c r="Y636">
        <x:v>0</x:v>
      </x:c>
      <x:c r="Z636" t="n">
        <x:v>0</x:v>
      </x:c>
    </x:row>
    <x:row r="637" spans="1:26" s="739" customFormat="1" ht="12.75" customHeight="1" x14ac:dyDescent="0.2">
      <x:c r="C637" s="739" t="s">
        <x:v>326</x:v>
      </x:c>
      <x:c r="D637" s="739" t="s">
        <x:v>70</x:v>
      </x:c>
      <x:c r="E637" s="231"/>
      <x:c r="F637" s="740" t="n">
        <x:v>31835017.56</x:v>
      </x:c>
      <x:c r="G637" s="232" t="n">
        <x:v>1901488.25</x:v>
      </x:c>
      <x:c r="H637" s="232" t="n">
        <x:v>1046824.27</x:v>
      </x:c>
      <x:c r="I637" s="232" t="n">
        <x:v>567773.58</x:v>
      </x:c>
      <x:c r="J637" s="232" t="n">
        <x:v>6845302.7</x:v>
      </x:c>
      <x:c r="K637" s="232" t="n">
        <x:v>247794.92</x:v>
      </x:c>
      <x:c r="L637" s="232" t="n">
        <x:v>0</x:v>
      </x:c>
      <x:c r="M637" s="232" t="n">
        <x:v>2162004.03</x:v>
      </x:c>
      <x:c r="N637" s="232" t="n">
        <x:v>2129267.87</x:v>
      </x:c>
      <x:c r="O637" s="232" t="n">
        <x:v>11087908.49</x:v>
      </x:c>
      <x:c r="P637" s="232" t="n">
        <x:v>5438800.23</x:v>
      </x:c>
      <x:c r="Q637" s="232" t="n">
        <x:v>407765.67</x:v>
      </x:c>
      <x:c r="R637" s="232" t="n">
        <x:v>87.55</x:v>
      </x:c>
      <x:c r="S637" s="232" t="n">
        <x:v>0</x:v>
      </x:c>
      <x:c r="T637" s="739" t="n">
        <x:v>0</x:v>
      </x:c>
      <x:c r="U637" s="739">
        <x:v>0</x:v>
      </x:c>
      <x:c r="V637" s="739">
        <x:v>0</x:v>
      </x:c>
      <x:c r="W637" s="739">
        <x:v>0</x:v>
      </x:c>
      <x:c r="X637" s="739">
        <x:v>0</x:v>
      </x:c>
      <x:c r="Y637" s="739">
        <x:v>0</x:v>
      </x:c>
      <x:c r="Z637" s="739" t="n">
        <x:v>0</x:v>
      </x:c>
    </x:row>
    <x:row r="638" spans="1:26" ht="12.75" customHeight="1" x14ac:dyDescent="0.2">
      <x:c r="E638" s="89" t="s">
        <x:v>72</x:v>
      </x:c>
      <x:c r="F638" s="371" t="n">
        <x:v>23681387.87</x:v>
      </x:c>
      <x:c r="G638" s="90" t="n">
        <x:v>1342192.95</x:v>
      </x:c>
      <x:c r="H638" s="90" t="n">
        <x:v>741594.96</x:v>
      </x:c>
      <x:c r="I638" s="90" t="n">
        <x:v>386605.36</x:v>
      </x:c>
      <x:c r="J638" s="90" t="n">
        <x:v>3574834.93</x:v>
      </x:c>
      <x:c r="K638" s="90" t="n">
        <x:v>163810.99</x:v>
      </x:c>
      <x:c r="L638" s="90" t="n">
        <x:v>0</x:v>
      </x:c>
      <x:c r="M638" s="90" t="n">
        <x:v>1432646.73</x:v>
      </x:c>
      <x:c r="N638" s="90" t="n">
        <x:v>1903396.27</x:v>
      </x:c>
      <x:c r="O638" s="90" t="n">
        <x:v>9913238.58</x:v>
      </x:c>
      <x:c r="P638" s="90" t="n">
        <x:v>3949237.62</x:v>
      </x:c>
      <x:c r="Q638" s="90" t="n">
        <x:v>273858.43</x:v>
      </x:c>
      <x:c r="R638" s="90" t="n">
        <x:v>-28.95</x:v>
      </x:c>
      <x:c r="S638" s="90" t="n">
        <x:v>0</x:v>
      </x:c>
      <x:c r="T638" t="n">
        <x:v>0</x:v>
      </x:c>
      <x:c r="U638">
        <x:v>0</x:v>
      </x:c>
      <x:c r="V638">
        <x:v>0</x:v>
      </x:c>
      <x:c r="W638">
        <x:v>0</x:v>
      </x:c>
      <x:c r="X638">
        <x:v>0</x:v>
      </x:c>
      <x:c r="Y638">
        <x:v>0</x:v>
      </x:c>
      <x:c r="Z638" t="n">
        <x:v>0</x:v>
      </x:c>
    </x:row>
    <x:row r="639" spans="1:26" ht="12.75" customHeight="1" x14ac:dyDescent="0.2">
      <x:c r="E639" s="89" t="s">
        <x:v>81</x:v>
      </x:c>
      <x:c r="F639" s="90" t="n">
        <x:v>203478.11</x:v>
      </x:c>
      <x:c r="G639" s="90" t="n">
        <x:v>12513.73</x:v>
      </x:c>
      <x:c r="H639" s="90" t="n">
        <x:v>6267.59</x:v>
      </x:c>
      <x:c r="I639" s="90" t="n">
        <x:v>3281.56</x:v>
      </x:c>
      <x:c r="J639" s="90" t="n">
        <x:v>40756.89</x:v>
      </x:c>
      <x:c r="K639" s="90" t="n">
        <x:v>1395.27</x:v>
      </x:c>
      <x:c r="L639" s="90" t="n">
        <x:v>0</x:v>
      </x:c>
      <x:c r="M639" s="90" t="n">
        <x:v>12103.55</x:v>
      </x:c>
      <x:c r="N639" s="90" t="n">
        <x:v>15375.27</x:v>
      </x:c>
      <x:c r="O639" s="90" t="n">
        <x:v>72617.7</x:v>
      </x:c>
      <x:c r="P639" s="90" t="n">
        <x:v>36833.6</x:v>
      </x:c>
      <x:c r="Q639" s="90" t="n">
        <x:v>2332.77</x:v>
      </x:c>
      <x:c r="R639" s="90" t="n">
        <x:v>0.24</x:v>
      </x:c>
      <x:c r="S639" s="90" t="n">
        <x:v>-0.06</x:v>
      </x:c>
      <x:c r="T639" t="n">
        <x:v>0</x:v>
      </x:c>
      <x:c r="U639">
        <x:v>0</x:v>
      </x:c>
      <x:c r="V639">
        <x:v>0</x:v>
      </x:c>
      <x:c r="W639">
        <x:v>0</x:v>
      </x:c>
      <x:c r="X639">
        <x:v>0</x:v>
      </x:c>
      <x:c r="Y639">
        <x:v>0</x:v>
      </x:c>
      <x:c r="Z639" t="n">
        <x:v>0</x:v>
      </x:c>
    </x:row>
    <x:row r="640" spans="1:26" ht="12.75" customHeight="1" x14ac:dyDescent="0.2">
      <x:c r="D640" s="89" t="s">
        <x:v>82</x:v>
      </x:c>
      <x:c r="E640" s="89" t="s">
        <x:v>70</x:v>
      </x:c>
      <x:c r="F640" s="90" t="n">
        <x:v>23884865.98</x:v>
      </x:c>
      <x:c r="G640" s="90" t="n">
        <x:v>1354706.68</x:v>
      </x:c>
      <x:c r="H640" s="90" t="n">
        <x:v>747862.55</x:v>
      </x:c>
      <x:c r="I640" s="90" t="n">
        <x:v>389886.92</x:v>
      </x:c>
      <x:c r="J640" s="90" t="n">
        <x:v>3615591.82</x:v>
      </x:c>
      <x:c r="K640" s="90" t="n">
        <x:v>165206.26</x:v>
      </x:c>
      <x:c r="L640" s="90" t="n">
        <x:v>0</x:v>
      </x:c>
      <x:c r="M640" s="90" t="n">
        <x:v>1444750.28</x:v>
      </x:c>
      <x:c r="N640" s="90" t="n">
        <x:v>1918771.54</x:v>
      </x:c>
      <x:c r="O640" s="90" t="n">
        <x:v>9985856.28</x:v>
      </x:c>
      <x:c r="P640" s="90" t="n">
        <x:v>3986071.22</x:v>
      </x:c>
      <x:c r="Q640" s="90" t="n">
        <x:v>276191.2</x:v>
      </x:c>
      <x:c r="R640" s="90" t="n">
        <x:v>-28.71</x:v>
      </x:c>
      <x:c r="S640" s="90" t="n">
        <x:v>-0.06</x:v>
      </x:c>
      <x:c r="T640" t="n">
        <x:v>0</x:v>
      </x:c>
      <x:c r="U640">
        <x:v>0</x:v>
      </x:c>
      <x:c r="V640">
        <x:v>0</x:v>
      </x:c>
      <x:c r="W640">
        <x:v>0</x:v>
      </x:c>
      <x:c r="X640">
        <x:v>0</x:v>
      </x:c>
      <x:c r="Y640">
        <x:v>0</x:v>
      </x:c>
      <x:c r="Z640" t="n">
        <x:v>0</x:v>
      </x:c>
    </x:row>
    <x:row r="641" spans="1:26" ht="12.75" customHeight="1" x14ac:dyDescent="0.2">
      <x:c r="C641" s="89"/>
      <x:c r="D641" s="89"/>
      <x:c r="E641" t="s">
        <x:v>72</x:v>
      </x:c>
      <x:c r="F641" s="90" t="n">
        <x:v>37326194.02</x:v>
      </x:c>
      <x:c r="G641" s="90" t="n">
        <x:v>2341567.69</x:v>
      </x:c>
      <x:c r="H641" s="90" t="n">
        <x:v>1226225.59</x:v>
      </x:c>
      <x:c r="I641" s="90" t="n">
        <x:v>646313.08</x:v>
      </x:c>
      <x:c r="J641" s="90" t="n">
        <x:v>4830560.89</x:v>
      </x:c>
      <x:c r="K641" s="90" t="n">
        <x:v>328790.96</x:v>
      </x:c>
      <x:c r="L641" s="90" t="n">
        <x:v>10</x:v>
      </x:c>
      <x:c r="M641" s="90" t="n">
        <x:v>2887566.34</x:v>
      </x:c>
      <x:c r="N641" s="90" t="n">
        <x:v>2940701.95</x:v>
      </x:c>
      <x:c r="O641" s="90" t="n">
        <x:v>14675858.98</x:v>
      </x:c>
      <x:c r="P641" s="90" t="n">
        <x:v>6912081.86</x:v>
      </x:c>
      <x:c r="Q641" s="90" t="n">
        <x:v>536760.03</x:v>
      </x:c>
      <x:c r="R641" s="90" t="n">
        <x:v>-243.35</x:v>
      </x:c>
      <x:c r="S641" s="90" t="n">
        <x:v>0</x:v>
      </x:c>
      <x:c r="T641" t="n">
        <x:v>0</x:v>
      </x:c>
      <x:c r="U641">
        <x:v>0</x:v>
      </x:c>
      <x:c r="V641">
        <x:v>0</x:v>
      </x:c>
      <x:c r="W641">
        <x:v>0</x:v>
      </x:c>
      <x:c r="X641">
        <x:v>0</x:v>
      </x:c>
      <x:c r="Y641">
        <x:v>0</x:v>
      </x:c>
      <x:c r="Z641" t="n">
        <x:v>0</x:v>
      </x:c>
    </x:row>
    <x:row r="642" spans="1:26" ht="12.75" customHeight="1" x14ac:dyDescent="0.2">
      <x:c r="B642" s="89"/>
      <x:c r="C642" s="89"/>
      <x:c r="E642" t="s">
        <x:v>81</x:v>
      </x:c>
      <x:c r="F642" s="90" t="n">
        <x:v>1803780.95</x:v>
      </x:c>
      <x:c r="G642" s="90" t="n">
        <x:v>148635.05</x:v>
      </x:c>
      <x:c r="H642" s="90" t="n">
        <x:v>70152.76</x:v>
      </x:c>
      <x:c r="I642" s="90" t="n">
        <x:v>35493.92</x:v>
      </x:c>
      <x:c r="J642" s="90" t="n">
        <x:v>325744.4</x:v>
      </x:c>
      <x:c r="K642" s="90" t="n">
        <x:v>14357.08</x:v>
      </x:c>
      <x:c r="L642" s="90" t="n">
        <x:v>0</x:v>
      </x:c>
      <x:c r="M642" s="90" t="n">
        <x:v>125760.45</x:v>
      </x:c>
      <x:c r="N642" s="90" t="n">
        <x:v>115572.28</x:v>
      </x:c>
      <x:c r="O642" s="90" t="n">
        <x:v>509189.7</x:v>
      </x:c>
      <x:c r="P642" s="90" t="n">
        <x:v>435456.11</x:v>
      </x:c>
      <x:c r="Q642" s="90" t="n">
        <x:v>23424.97</x:v>
      </x:c>
      <x:c r="R642" s="90" t="n">
        <x:v>-6.29</x:v>
      </x:c>
      <x:c r="S642" s="90" t="n">
        <x:v>-0.02</x:v>
      </x:c>
      <x:c r="T642" t="n">
        <x:v>0.54</x:v>
      </x:c>
      <x:c r="U642">
        <x:v>0</x:v>
      </x:c>
      <x:c r="V642">
        <x:v>0</x:v>
      </x:c>
      <x:c r="W642">
        <x:v>0</x:v>
      </x:c>
      <x:c r="X642">
        <x:v>0</x:v>
      </x:c>
      <x:c r="Y642">
        <x:v>0</x:v>
      </x:c>
      <x:c r="Z642" t="n">
        <x:v>0</x:v>
      </x:c>
    </x:row>
    <x:row r="643" spans="1:26" ht="12.75" customHeight="1" x14ac:dyDescent="0.2">
      <x:c r="A643" s="89"/>
      <x:c r="B643" s="89"/>
      <x:c r="D643" t="s">
        <x:v>86</x:v>
      </x:c>
      <x:c r="E643" t="s">
        <x:v>70</x:v>
      </x:c>
      <x:c r="F643" s="90" t="n">
        <x:v>39129974.97</x:v>
      </x:c>
      <x:c r="G643" s="90" t="n">
        <x:v>2490202.74</x:v>
      </x:c>
      <x:c r="H643" s="90" t="n">
        <x:v>1296378.35</x:v>
      </x:c>
      <x:c r="I643" s="90" t="n">
        <x:v>681807</x:v>
      </x:c>
      <x:c r="J643" s="90" t="n">
        <x:v>5156305.29</x:v>
      </x:c>
      <x:c r="K643" s="90" t="n">
        <x:v>343148.04</x:v>
      </x:c>
      <x:c r="L643" s="90" t="n">
        <x:v>10</x:v>
      </x:c>
      <x:c r="M643" s="90" t="n">
        <x:v>3013326.79</x:v>
      </x:c>
      <x:c r="N643" s="90" t="n">
        <x:v>3056274.23</x:v>
      </x:c>
      <x:c r="O643" s="90" t="n">
        <x:v>15185048.68</x:v>
      </x:c>
      <x:c r="P643" s="90" t="n">
        <x:v>7347537.97</x:v>
      </x:c>
      <x:c r="Q643" s="90" t="n">
        <x:v>560185</x:v>
      </x:c>
      <x:c r="R643" s="90" t="n">
        <x:v>-249.64</x:v>
      </x:c>
      <x:c r="S643" s="90" t="n">
        <x:v>-0.02</x:v>
      </x:c>
      <x:c r="T643" t="n">
        <x:v>0.54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t="n">
        <x:v>0</x:v>
      </x:c>
    </x:row>
    <x:row r="644" spans="1:26" ht="12.75" customHeight="1" x14ac:dyDescent="0.2">
      <x:c r="E644" s="89" t="s">
        <x:v>72</x:v>
      </x:c>
      <x:c r="F644" s="90" t="n">
        <x:v>165149724.54</x:v>
      </x:c>
      <x:c r="G644" s="90" t="n">
        <x:v>26075002.84</x:v>
      </x:c>
      <x:c r="H644" s="90" t="n">
        <x:v>14679186.14</x:v>
      </x:c>
      <x:c r="I644" s="90" t="n">
        <x:v>7710705.03</x:v>
      </x:c>
      <x:c r="J644" s="90" t="n">
        <x:v>8226271.17</x:v>
      </x:c>
      <x:c r="K644" s="90" t="n">
        <x:v>298707.28</x:v>
      </x:c>
      <x:c r="L644" s="90" t="n">
        <x:v>5865000</x:v>
      </x:c>
      <x:c r="M644" s="90" t="n">
        <x:v>2614088.55</x:v>
      </x:c>
      <x:c r="N644" s="90" t="n">
        <x:v>3478316.82</x:v>
      </x:c>
      <x:c r="O644" s="90" t="n">
        <x:v>18102958.87</x:v>
      </x:c>
      <x:c r="P644" s="90" t="n">
        <x:v>77609539.06</x:v>
      </x:c>
      <x:c r="Q644" s="90" t="n">
        <x:v>490342.43</x:v>
      </x:c>
      <x:c r="R644" s="90" t="n">
        <x:v>-393.65</x:v>
      </x:c>
      <x:c r="S644" s="90" t="n">
        <x:v>0</x:v>
      </x:c>
      <x:c r="T644" t="n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t="n">
        <x:v>0</x:v>
      </x:c>
    </x:row>
    <x:row r="645" spans="1:26" ht="12.75" customHeight="1" x14ac:dyDescent="0.2">
      <x:c r="A645" s="89"/>
      <x:c r="B645" s="89"/>
      <x:c r="E645" t="s">
        <x:v>81</x:v>
      </x:c>
      <x:c r="F645" s="90" t="n">
        <x:v>1037886.13</x:v>
      </x:c>
      <x:c r="G645" s="90" t="n">
        <x:v>151445.04</x:v>
      </x:c>
      <x:c r="H645" s="90" t="n">
        <x:v>83302.72</x:v>
      </x:c>
      <x:c r="I645" s="90" t="n">
        <x:v>44417.4</x:v>
      </x:c>
      <x:c r="J645" s="90" t="n">
        <x:v>83722.74</x:v>
      </x:c>
      <x:c r="K645" s="90" t="n">
        <x:v>2286.49</x:v>
      </x:c>
      <x:c r="L645" s="90" t="n">
        <x:v>39642.23</x:v>
      </x:c>
      <x:c r="M645" s="90" t="n">
        <x:v>20012.88</x:v>
      </x:c>
      <x:c r="N645" s="90" t="n">
        <x:v>25666.09</x:v>
      </x:c>
      <x:c r="O645" s="90" t="n">
        <x:v>131338.6</x:v>
      </x:c>
      <x:c r="P645" s="90" t="n">
        <x:v>452293.81</x:v>
      </x:c>
      <x:c r="Q645" s="90" t="n">
        <x:v>3759.65</x:v>
      </x:c>
      <x:c r="R645" s="90" t="n">
        <x:v>-1.41</x:v>
      </x:c>
      <x:c r="S645" s="90" t="n">
        <x:v>-0.11</x:v>
      </x:c>
      <x:c r="T645" t="n">
        <x:v>0</x:v>
      </x:c>
      <x:c r="U645">
        <x:v>0</x:v>
      </x:c>
      <x:c r="V645">
        <x:v>0</x:v>
      </x:c>
      <x:c r="W645">
        <x:v>0</x:v>
      </x:c>
      <x:c r="X645">
        <x:v>0</x:v>
      </x:c>
      <x:c r="Y645">
        <x:v>0</x:v>
      </x:c>
      <x:c r="Z645" t="n">
        <x:v>0</x:v>
      </x:c>
    </x:row>
    <x:row r="646" spans="1:26" ht="12.75" customHeight="1" x14ac:dyDescent="0.2">
      <x:c r="D646" t="s">
        <x:v>87</x:v>
      </x:c>
      <x:c r="E646" s="89" t="s">
        <x:v>70</x:v>
      </x:c>
      <x:c r="F646" s="90" t="n">
        <x:v>166187610.67</x:v>
      </x:c>
      <x:c r="G646" s="90" t="n">
        <x:v>26226447.88</x:v>
      </x:c>
      <x:c r="H646" s="90" t="n">
        <x:v>14762488.86</x:v>
      </x:c>
      <x:c r="I646" s="90" t="n">
        <x:v>7755122.43</x:v>
      </x:c>
      <x:c r="J646" s="90" t="n">
        <x:v>8309993.91</x:v>
      </x:c>
      <x:c r="K646" s="90" t="n">
        <x:v>300993.77</x:v>
      </x:c>
      <x:c r="L646" s="90" t="n">
        <x:v>5904642.23</x:v>
      </x:c>
      <x:c r="M646" s="90" t="n">
        <x:v>2634101.43</x:v>
      </x:c>
      <x:c r="N646" s="90" t="n">
        <x:v>3503982.91</x:v>
      </x:c>
      <x:c r="O646" s="90" t="n">
        <x:v>18234297.47</x:v>
      </x:c>
      <x:c r="P646" s="90" t="n">
        <x:v>78061832.87</x:v>
      </x:c>
      <x:c r="Q646" s="90" t="n">
        <x:v>494102.08</x:v>
      </x:c>
      <x:c r="R646" s="90" t="n">
        <x:v>-395.06</x:v>
      </x:c>
      <x:c r="S646" s="90" t="n">
        <x:v>-0.11</x:v>
      </x:c>
      <x:c r="T646" t="n">
        <x:v>0</x:v>
      </x:c>
      <x:c r="U646">
        <x:v>0</x:v>
      </x:c>
      <x:c r="V646">
        <x:v>0</x:v>
      </x:c>
      <x:c r="W646">
        <x:v>0</x:v>
      </x:c>
      <x:c r="X646">
        <x:v>0</x:v>
      </x:c>
      <x:c r="Y646">
        <x:v>0</x:v>
      </x:c>
      <x:c r="Z646" t="n">
        <x:v>0</x:v>
      </x:c>
    </x:row>
    <x:row r="647" spans="1:26" s="94" customFormat="1" ht="12.75" customHeight="1" x14ac:dyDescent="0.2">
      <x:c r="A647" s="101"/>
      <x:c r="B647" s="101"/>
      <x:c r="C647" s="94" t="s">
        <x:v>119</x:v>
      </x:c>
      <x:c r="D647" s="94" t="s">
        <x:v>70</x:v>
      </x:c>
      <x:c r="F647" s="93" t="n">
        <x:v>229202451.62</x:v>
      </x:c>
      <x:c r="G647" s="93" t="n">
        <x:v>30071357.3</x:v>
      </x:c>
      <x:c r="H647" s="93" t="n">
        <x:v>16806729.76</x:v>
      </x:c>
      <x:c r="I647" s="93" t="n">
        <x:v>8826816.35</x:v>
      </x:c>
      <x:c r="J647" s="93" t="n">
        <x:v>17081891.02</x:v>
      </x:c>
      <x:c r="K647" s="93" t="n">
        <x:v>809348.07</x:v>
      </x:c>
      <x:c r="L647" s="93" t="n">
        <x:v>5904652.23</x:v>
      </x:c>
      <x:c r="M647" s="93" t="n">
        <x:v>7092178.5</x:v>
      </x:c>
      <x:c r="N647" s="93" t="n">
        <x:v>8479028.68</x:v>
      </x:c>
      <x:c r="O647" s="93" t="n">
        <x:v>43405202.43</x:v>
      </x:c>
      <x:c r="P647" s="93" t="n">
        <x:v>89395442.06</x:v>
      </x:c>
      <x:c r="Q647" s="93" t="n">
        <x:v>1330478.28</x:v>
      </x:c>
      <x:c r="R647" s="93" t="n">
        <x:v>-673.41</x:v>
      </x:c>
      <x:c r="S647" s="93" t="n">
        <x:v>-0.19</x:v>
      </x:c>
      <x:c r="T647" s="94" t="n">
        <x:v>0.54</x:v>
      </x:c>
      <x:c r="U647" s="94">
        <x:v>0</x:v>
      </x:c>
      <x:c r="V647" s="94">
        <x:v>0</x:v>
      </x:c>
      <x:c r="W647" s="94">
        <x:v>0</x:v>
      </x:c>
      <x:c r="X647" s="94">
        <x:v>0</x:v>
      </x:c>
      <x:c r="Y647" s="94">
        <x:v>0</x:v>
      </x:c>
      <x:c r="Z647" s="94" t="n">
        <x:v>0</x:v>
      </x:c>
    </x:row>
    <x:row r="648" spans="1:26" s="226" customFormat="1" ht="12.75" customHeight="1" x14ac:dyDescent="0.2">
      <x:c r="B648" s="226" t="s">
        <x:v>112</x:v>
      </x:c>
      <x:c r="C648" s="226" t="s">
        <x:v>70</x:v>
      </x:c>
      <x:c r="E648" s="98"/>
      <x:c r="F648" s="100" t="n">
        <x:v>13084233937.44</x:v>
      </x:c>
      <x:c r="G648" s="100" t="n">
        <x:v>728817640.58</x:v>
      </x:c>
      <x:c r="H648" s="100" t="n">
        <x:v>410843194.34</x:v>
      </x:c>
      <x:c r="I648" s="100" t="n">
        <x:v>215464172.38</x:v>
      </x:c>
      <x:c r="J648" s="100" t="n">
        <x:v>2764649544.23</x:v>
      </x:c>
      <x:c r="K648" s="100" t="n">
        <x:v>105636037.55</x:v>
      </x:c>
      <x:c r="L648" s="100" t="n">
        <x:v>14901729.33</x:v>
      </x:c>
      <x:c r="M648" s="100" t="n">
        <x:v>926158791.84</x:v>
      </x:c>
      <x:c r="N648" s="100" t="n">
        <x:v>908897384.01</x:v>
      </x:c>
      <x:c r="O648" s="100" t="n">
        <x:v>4671478931.39</x:v>
      </x:c>
      <x:c r="P648" s="100" t="n">
        <x:v>2165115703.05</x:v>
      </x:c>
      <x:c r="Q648" s="100" t="n">
        <x:v>172418576.05</x:v>
      </x:c>
      <x:c r="R648" s="100" t="n">
        <x:v>-147734.33</x:v>
      </x:c>
      <x:c r="S648" s="100" t="n">
        <x:v>-0.19</x:v>
      </x:c>
      <x:c r="T648" s="226" t="n">
        <x:v>7.58</x:v>
      </x:c>
      <x:c r="U648" s="226">
        <x:v>0</x:v>
      </x:c>
      <x:c r="V648" s="226">
        <x:v>0</x:v>
      </x:c>
      <x:c r="W648" s="226">
        <x:v>0</x:v>
      </x:c>
      <x:c r="X648" s="226">
        <x:v>0</x:v>
      </x:c>
      <x:c r="Y648" s="226">
        <x:v>0</x:v>
      </x:c>
      <x:c r="Z648" s="226" t="n">
        <x:v>-40.37</x:v>
      </x:c>
    </x:row>
    <x:row r="649" spans="1:26" ht="13.5" customHeight="1" x14ac:dyDescent="0.2">
      <x:c r="A649" t="s">
        <x:v>78</x:v>
      </x:c>
      <x:c r="B649" t="s">
        <x:v>70</x:v>
      </x:c>
      <x:c r="E649" s="89"/>
      <x:c r="F649" s="90" t="n">
        <x:v>13084651457.06</x:v>
      </x:c>
      <x:c r="G649" s="90" t="n">
        <x:v>728844298.01</x:v>
      </x:c>
      <x:c r="H649" s="90" t="n">
        <x:v>410857332.36</x:v>
      </x:c>
      <x:c r="I649" s="90" t="n">
        <x:v>215471895.65</x:v>
      </x:c>
      <x:c r="J649" s="90" t="n">
        <x:v>2764743455.96</x:v>
      </x:c>
      <x:c r="K649" s="90" t="n">
        <x:v>105638327.84</x:v>
      </x:c>
      <x:c r="L649" s="90" t="n">
        <x:v>14901729.33</x:v>
      </x:c>
      <x:c r="M649" s="90" t="n">
        <x:v>926178881.18</x:v>
      </x:c>
      <x:c r="N649" s="90" t="n">
        <x:v>908925476.37</x:v>
      </x:c>
      <x:c r="O649" s="90" t="n">
        <x:v>4671620264.39</x:v>
      </x:c>
      <x:c r="P649" s="90" t="n">
        <x:v>2165195247.84</x:v>
      </x:c>
      <x:c r="Q649" s="90" t="n">
        <x:v>172422312.75</x:v>
      </x:c>
      <x:c r="R649" s="90" t="n">
        <x:v>-147731.64</x:v>
      </x:c>
      <x:c r="S649" s="90" t="n">
        <x:v>-0.19</x:v>
      </x:c>
      <x:c r="T649" t="n">
        <x:v>7.58</x:v>
      </x:c>
      <x:c r="U649">
        <x:v>0</x:v>
      </x:c>
      <x:c r="V649">
        <x:v>0</x:v>
      </x:c>
      <x:c r="W649">
        <x:v>0</x:v>
      </x:c>
      <x:c r="X649">
        <x:v>0</x:v>
      </x:c>
      <x:c r="Y649">
        <x:v>0</x:v>
      </x:c>
      <x:c r="Z649" t="n">
        <x:v>-40.37</x:v>
      </x:c>
    </x:row>
    <x:row r="650" spans="1:26" x14ac:dyDescent="0.2">
      <x:c r="E650" t="s">
        <x:v>73</x:v>
      </x:c>
      <x:c r="F650" s="90">
        <x:v>0</x:v>
      </x:c>
      <x:c r="G650" s="90">
        <x:v>0</x:v>
      </x:c>
      <x:c r="H650" s="90">
        <x:v>0</x:v>
      </x:c>
      <x:c r="I650" s="90">
        <x:v>0</x:v>
      </x:c>
      <x:c r="J650" s="90">
        <x:v>0</x:v>
      </x:c>
      <x:c r="K650" s="90">
        <x:v>0</x:v>
      </x:c>
      <x:c r="L650" s="90">
        <x:v>0</x:v>
      </x:c>
      <x:c r="M650" s="90">
        <x:v>0</x:v>
      </x:c>
      <x:c r="N650" s="90">
        <x:v>0</x:v>
      </x:c>
      <x:c r="O650" s="90">
        <x:v>0</x:v>
      </x:c>
      <x:c r="P650" s="90">
        <x:v>0</x:v>
      </x:c>
      <x:c r="Q650" s="90">
        <x:v>0</x:v>
      </x:c>
      <x:c r="R650" s="90">
        <x:v>0</x:v>
      </x:c>
      <x:c r="S650" s="90">
        <x:v>0</x:v>
      </x:c>
      <x:c r="T650" s="90">
        <x:v>0</x:v>
      </x:c>
      <x:c r="U650">
        <x:v>0</x:v>
      </x:c>
      <x:c r="V650">
        <x:v>0</x:v>
      </x:c>
      <x:c r="W650">
        <x:v>0</x:v>
      </x:c>
      <x:c r="X650">
        <x:v>0</x:v>
      </x:c>
      <x:c r="Y650">
        <x:v>0</x:v>
      </x:c>
      <x:c r="Z650" s="90">
        <x:v>0</x:v>
      </x:c>
    </x:row>
    <x:row r="651" spans="1:26" x14ac:dyDescent="0.2">
      <x:c r="D651" t="s">
        <x:v>156</x:v>
      </x:c>
      <x:c r="E651" t="s">
        <x:v>70</x:v>
      </x:c>
      <x:c r="F651" s="90">
        <x:v>0</x:v>
      </x:c>
      <x:c r="G651" s="90">
        <x:v>0</x:v>
      </x:c>
      <x:c r="H651" s="90">
        <x:v>0</x:v>
      </x:c>
      <x:c r="I651" s="90">
        <x:v>0</x:v>
      </x:c>
      <x:c r="J651" s="90">
        <x:v>0</x:v>
      </x:c>
      <x:c r="K651" s="90">
        <x:v>0</x:v>
      </x:c>
      <x:c r="L651" s="90">
        <x:v>0</x:v>
      </x:c>
      <x:c r="M651" s="90">
        <x:v>0</x:v>
      </x:c>
      <x:c r="N651" s="90">
        <x:v>0</x:v>
      </x:c>
      <x:c r="O651" s="90">
        <x:v>0</x:v>
      </x:c>
      <x:c r="P651" s="90">
        <x:v>0</x:v>
      </x:c>
      <x:c r="Q651" s="90">
        <x:v>0</x:v>
      </x:c>
      <x:c r="R651" s="90">
        <x:v>0</x:v>
      </x:c>
      <x:c r="S651" s="90">
        <x:v>0</x:v>
      </x:c>
      <x:c r="T651" s="90">
        <x:v>0</x:v>
      </x:c>
      <x:c r="U651">
        <x:v>0</x:v>
      </x:c>
      <x:c r="V651">
        <x:v>0</x:v>
      </x:c>
      <x:c r="W651">
        <x:v>0</x:v>
      </x:c>
      <x:c r="X651">
        <x:v>0</x:v>
      </x:c>
      <x:c r="Y651">
        <x:v>0</x:v>
      </x:c>
      <x:c r="Z651" s="90">
        <x:v>0</x:v>
      </x:c>
    </x:row>
    <x:row r="652" spans="1:26" s="286" customFormat="1" ht="12.75" customHeight="1" x14ac:dyDescent="0.2">
      <x:c r="C652" s="286" t="s">
        <x:v>155</x:v>
      </x:c>
      <x:c r="D652" s="286" t="s">
        <x:v>70</x:v>
      </x:c>
      <x:c r="E652" s="229"/>
      <x:c r="F652" s="229">
        <x:v>0</x:v>
      </x:c>
      <x:c r="G652" s="230">
        <x:v>0</x:v>
      </x:c>
      <x:c r="H652" s="230">
        <x:v>0</x:v>
      </x:c>
      <x:c r="I652" s="230">
        <x:v>0</x:v>
      </x:c>
      <x:c r="J652" s="230">
        <x:v>0</x:v>
      </x:c>
      <x:c r="K652" s="230">
        <x:v>0</x:v>
      </x:c>
      <x:c r="L652" s="230">
        <x:v>0</x:v>
      </x:c>
      <x:c r="M652" s="230">
        <x:v>0</x:v>
      </x:c>
      <x:c r="N652" s="230">
        <x:v>0</x:v>
      </x:c>
      <x:c r="O652" s="230">
        <x:v>0</x:v>
      </x:c>
      <x:c r="P652" s="230">
        <x:v>0</x:v>
      </x:c>
      <x:c r="Q652" s="230">
        <x:v>0</x:v>
      </x:c>
      <x:c r="R652" s="230">
        <x:v>0</x:v>
      </x:c>
      <x:c r="S652" s="230">
        <x:v>0</x:v>
      </x:c>
      <x:c r="T652" s="230">
        <x:v>0</x:v>
      </x:c>
      <x:c r="U652" s="230">
        <x:v>0</x:v>
      </x:c>
      <x:c r="V652" s="230">
        <x:v>0</x:v>
      </x:c>
      <x:c r="W652" s="230">
        <x:v>0</x:v>
      </x:c>
      <x:c r="X652" s="230">
        <x:v>0</x:v>
      </x:c>
      <x:c r="Y652" s="230">
        <x:v>0</x:v>
      </x:c>
      <x:c r="Z652" s="230">
        <x:v>0</x:v>
      </x:c>
    </x:row>
    <x:row r="653" spans="1:26" x14ac:dyDescent="0.2">
      <x:c r="E653" t="s">
        <x:v>73</x:v>
      </x:c>
      <x:c r="F653" s="90" t="n">
        <x:v>-7906.16</x:v>
      </x:c>
      <x:c r="G653" s="90" t="n">
        <x:v>-466.73</x:v>
      </x:c>
      <x:c r="H653" s="90" t="n">
        <x:v>-262.7</x:v>
      </x:c>
      <x:c r="I653" s="90" t="n">
        <x:v>-134.64</x:v>
      </x:c>
      <x:c r="J653" s="90" t="n">
        <x:v>-1706.65</x:v>
      </x:c>
      <x:c r="K653" s="90" t="n">
        <x:v>-46.82</x:v>
      </x:c>
      <x:c r="L653" s="90" t="n">
        <x:v>0</x:v>
      </x:c>
      <x:c r="M653" s="90" t="n">
        <x:v>-410.68</x:v>
      </x:c>
      <x:c r="N653" s="90" t="n">
        <x:v>-563.19</x:v>
      </x:c>
      <x:c r="O653" s="90" t="n">
        <x:v>-2884.34</x:v>
      </x:c>
      <x:c r="P653" s="90" t="n">
        <x:v>-1354.02</x:v>
      </x:c>
      <x:c r="Q653" s="90" t="n">
        <x:v>-76.39</x:v>
      </x:c>
      <x:c r="R653" s="90" t="n">
        <x:v>0</x:v>
      </x:c>
      <x:c r="S653" s="90" t="n">
        <x:v>0</x:v>
      </x:c>
      <x:c r="T653" s="90" t="n">
        <x:v>0</x:v>
      </x:c>
      <x:c r="U653">
        <x:v>0</x:v>
      </x:c>
      <x:c r="V653">
        <x:v>0</x:v>
      </x:c>
      <x:c r="W653">
        <x:v>0</x:v>
      </x:c>
      <x:c r="X653">
        <x:v>0</x:v>
      </x:c>
      <x:c r="Y653">
        <x:v>0</x:v>
      </x:c>
      <x:c r="Z653" s="90" t="n">
        <x:v>0</x:v>
      </x:c>
    </x:row>
    <x:row r="654" spans="1:26" x14ac:dyDescent="0.2">
      <x:c r="D654" t="s">
        <x:v>82</x:v>
      </x:c>
      <x:c r="E654" t="s">
        <x:v>70</x:v>
      </x:c>
      <x:c r="F654" s="90" t="n">
        <x:v>-7906.16</x:v>
      </x:c>
      <x:c r="G654" s="90" t="n">
        <x:v>-466.73</x:v>
      </x:c>
      <x:c r="H654" s="90" t="n">
        <x:v>-262.7</x:v>
      </x:c>
      <x:c r="I654" s="90" t="n">
        <x:v>-134.64</x:v>
      </x:c>
      <x:c r="J654" s="90" t="n">
        <x:v>-1706.65</x:v>
      </x:c>
      <x:c r="K654" s="90" t="n">
        <x:v>-46.82</x:v>
      </x:c>
      <x:c r="L654" s="90" t="n">
        <x:v>0</x:v>
      </x:c>
      <x:c r="M654" s="90" t="n">
        <x:v>-410.68</x:v>
      </x:c>
      <x:c r="N654" s="90" t="n">
        <x:v>-563.19</x:v>
      </x:c>
      <x:c r="O654" s="90" t="n">
        <x:v>-2884.34</x:v>
      </x:c>
      <x:c r="P654" s="90" t="n">
        <x:v>-1354.02</x:v>
      </x:c>
      <x:c r="Q654" s="90" t="n">
        <x:v>-76.39</x:v>
      </x:c>
      <x:c r="R654" s="90" t="n">
        <x:v>0</x:v>
      </x:c>
      <x:c r="S654" s="90" t="n">
        <x:v>0</x:v>
      </x:c>
      <x:c r="T654" s="90" t="n">
        <x:v>0</x:v>
      </x:c>
      <x:c r="U654">
        <x:v>0</x:v>
      </x:c>
      <x:c r="V654">
        <x:v>0</x:v>
      </x:c>
      <x:c r="W654">
        <x:v>0</x:v>
      </x:c>
      <x:c r="X654">
        <x:v>0</x:v>
      </x:c>
      <x:c r="Y654">
        <x:v>0</x:v>
      </x:c>
      <x:c r="Z654" s="90" t="n">
        <x:v>0</x:v>
      </x:c>
    </x:row>
    <x:row r="655" spans="1:26" x14ac:dyDescent="0.2">
      <x:c r="E655" t="s">
        <x:v>73</x:v>
      </x:c>
      <x:c r="F655" s="90" t="n">
        <x:v>32235.54</x:v>
      </x:c>
      <x:c r="G655" s="90" t="n">
        <x:v>2648.41</x:v>
      </x:c>
      <x:c r="H655" s="90" t="n">
        <x:v>1490.18</x:v>
      </x:c>
      <x:c r="I655" s="90" t="n">
        <x:v>761.92</x:v>
      </x:c>
      <x:c r="J655" s="90" t="n">
        <x:v>5936.43</x:v>
      </x:c>
      <x:c r="K655" s="90" t="n">
        <x:v>152.22</x:v>
      </x:c>
      <x:c r="L655" s="90" t="n">
        <x:v>0</x:v>
      </x:c>
      <x:c r="M655" s="90" t="n">
        <x:v>1335.24</x:v>
      </x:c>
      <x:c r="N655" s="90" t="n">
        <x:v>1960.56</x:v>
      </x:c>
      <x:c r="O655" s="90" t="n">
        <x:v>10040.34</x:v>
      </x:c>
      <x:c r="P655" s="90" t="n">
        <x:v>7661.89</x:v>
      </x:c>
      <x:c r="Q655" s="90" t="n">
        <x:v>248.35</x:v>
      </x:c>
      <x:c r="R655" s="90" t="n">
        <x:v>0</x:v>
      </x:c>
      <x:c r="S655" s="90" t="n">
        <x:v>0</x:v>
      </x:c>
      <x:c r="T655" s="90" t="n">
        <x:v>0</x:v>
      </x:c>
      <x:c r="U655">
        <x:v>0</x:v>
      </x:c>
      <x:c r="V655">
        <x:v>0</x:v>
      </x:c>
      <x:c r="W655">
        <x:v>0</x:v>
      </x:c>
      <x:c r="X655">
        <x:v>0</x:v>
      </x:c>
      <x:c r="Y655">
        <x:v>0</x:v>
      </x:c>
      <x:c r="Z655" s="90" t="n">
        <x:v>0</x:v>
      </x:c>
    </x:row>
    <x:row r="656" spans="1:26" x14ac:dyDescent="0.2">
      <x:c r="D656" t="s">
        <x:v>86</x:v>
      </x:c>
      <x:c r="E656" t="s">
        <x:v>70</x:v>
      </x:c>
      <x:c r="F656" s="90" t="n">
        <x:v>32235.54</x:v>
      </x:c>
      <x:c r="G656" s="90" t="n">
        <x:v>2648.41</x:v>
      </x:c>
      <x:c r="H656" s="90" t="n">
        <x:v>1490.18</x:v>
      </x:c>
      <x:c r="I656" s="90" t="n">
        <x:v>761.92</x:v>
      </x:c>
      <x:c r="J656" s="90" t="n">
        <x:v>5936.43</x:v>
      </x:c>
      <x:c r="K656" s="90" t="n">
        <x:v>152.22</x:v>
      </x:c>
      <x:c r="L656" s="90" t="n">
        <x:v>0</x:v>
      </x:c>
      <x:c r="M656" s="90" t="n">
        <x:v>1335.24</x:v>
      </x:c>
      <x:c r="N656" s="90" t="n">
        <x:v>1960.56</x:v>
      </x:c>
      <x:c r="O656" s="90" t="n">
        <x:v>10040.34</x:v>
      </x:c>
      <x:c r="P656" s="90" t="n">
        <x:v>7661.89</x:v>
      </x:c>
      <x:c r="Q656" s="90" t="n">
        <x:v>248.35</x:v>
      </x:c>
      <x:c r="R656" s="90" t="n">
        <x:v>0</x:v>
      </x:c>
      <x:c r="S656" s="90" t="n">
        <x:v>0</x:v>
      </x:c>
      <x:c r="T656" s="90" t="n">
        <x:v>0</x:v>
      </x:c>
      <x:c r="U656">
        <x:v>0</x:v>
      </x:c>
      <x:c r="V656">
        <x:v>0</x:v>
      </x:c>
      <x:c r="W656">
        <x:v>0</x:v>
      </x:c>
      <x:c r="X656">
        <x:v>0</x:v>
      </x:c>
      <x:c r="Y656">
        <x:v>0</x:v>
      </x:c>
      <x:c r="Z656" s="90" t="n">
        <x:v>0</x:v>
      </x:c>
    </x:row>
    <x:row r="657" spans="1:26" x14ac:dyDescent="0.2">
      <x:c r="E657" t="s">
        <x:v>73</x:v>
      </x:c>
      <x:c r="F657" s="90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>
        <x:v>0</x:v>
      </x:c>
      <x:c r="V657">
        <x:v>0</x:v>
      </x:c>
      <x:c r="W657">
        <x:v>0</x:v>
      </x:c>
      <x:c r="X657">
        <x:v>0</x:v>
      </x:c>
      <x:c r="Y657">
        <x:v>0</x:v>
      </x:c>
      <x:c r="Z657" s="90">
        <x:v>0</x:v>
      </x:c>
    </x:row>
    <x:row r="658" spans="1:26" x14ac:dyDescent="0.2">
      <x:c r="D658" t="s">
        <x:v>87</x:v>
      </x:c>
      <x:c r="E658" t="s">
        <x:v>70</x:v>
      </x:c>
      <x:c r="F658" s="90">
        <x:v>0</x:v>
      </x:c>
      <x:c r="G658" s="90">
        <x:v>0</x:v>
      </x:c>
      <x:c r="H658" s="90">
        <x:v>0</x:v>
      </x:c>
      <x:c r="I658" s="90">
        <x:v>0</x:v>
      </x:c>
      <x:c r="J658" s="90">
        <x:v>0</x:v>
      </x:c>
      <x:c r="K658" s="90">
        <x:v>0</x:v>
      </x:c>
      <x:c r="L658" s="90">
        <x:v>0</x:v>
      </x:c>
      <x:c r="M658" s="90">
        <x:v>0</x:v>
      </x:c>
      <x:c r="N658" s="90">
        <x:v>0</x:v>
      </x:c>
      <x:c r="O658" s="90">
        <x:v>0</x:v>
      </x:c>
      <x:c r="P658" s="90">
        <x:v>0</x:v>
      </x:c>
      <x:c r="Q658" s="90">
        <x:v>0</x:v>
      </x:c>
      <x:c r="R658" s="90">
        <x:v>0</x:v>
      </x:c>
      <x:c r="S658" s="90">
        <x:v>0</x:v>
      </x:c>
      <x:c r="T658" s="90">
        <x:v>0</x:v>
      </x:c>
      <x:c r="U658">
        <x:v>0</x:v>
      </x:c>
      <x:c r="V658">
        <x:v>0</x:v>
      </x:c>
      <x:c r="W658">
        <x:v>0</x:v>
      </x:c>
      <x:c r="X658">
        <x:v>0</x:v>
      </x:c>
      <x:c r="Y658">
        <x:v>0</x:v>
      </x:c>
      <x:c r="Z658" s="90">
        <x:v>0</x:v>
      </x:c>
    </x:row>
    <x:row r="659" spans="1:26" s="94" customFormat="1" ht="12.75" customHeight="1" x14ac:dyDescent="0.2">
      <x:c r="C659" s="101" t="s">
        <x:v>119</x:v>
      </x:c>
      <x:c r="D659" s="101" t="s">
        <x:v>70</x:v>
      </x:c>
      <x:c r="F659" s="93" t="n">
        <x:v>24329.38</x:v>
      </x:c>
      <x:c r="G659" s="93" t="n">
        <x:v>2181.68</x:v>
      </x:c>
      <x:c r="H659" s="93" t="n">
        <x:v>1227.48</x:v>
      </x:c>
      <x:c r="I659" s="93" t="n">
        <x:v>627.28</x:v>
      </x:c>
      <x:c r="J659" s="93" t="n">
        <x:v>4229.78</x:v>
      </x:c>
      <x:c r="K659" s="93" t="n">
        <x:v>105.4</x:v>
      </x:c>
      <x:c r="L659" s="93" t="n">
        <x:v>0</x:v>
      </x:c>
      <x:c r="M659" s="93" t="n">
        <x:v>924.56</x:v>
      </x:c>
      <x:c r="N659" s="93" t="n">
        <x:v>1397.37</x:v>
      </x:c>
      <x:c r="O659" s="93" t="n">
        <x:v>7156</x:v>
      </x:c>
      <x:c r="P659" s="93" t="n">
        <x:v>6307.87</x:v>
      </x:c>
      <x:c r="Q659" s="93" t="n">
        <x:v>171.96</x:v>
      </x:c>
      <x:c r="R659" s="93" t="n">
        <x:v>0</x:v>
      </x:c>
      <x:c r="S659" s="93" t="n">
        <x:v>0</x:v>
      </x:c>
      <x:c r="T659" s="93" t="n">
        <x:v>0</x:v>
      </x:c>
      <x:c r="U659" s="93">
        <x:v>0</x:v>
      </x:c>
      <x:c r="V659" s="93">
        <x:v>0</x:v>
      </x:c>
      <x:c r="W659" s="93">
        <x:v>0</x:v>
      </x:c>
      <x:c r="X659" s="93">
        <x:v>0</x:v>
      </x:c>
      <x:c r="Y659" s="93">
        <x:v>0</x:v>
      </x:c>
      <x:c r="Z659" s="93" t="n">
        <x:v>0</x:v>
      </x:c>
    </x:row>
    <x:row r="660" spans="1:26" s="378" customFormat="1" ht="12.75" customHeight="1" x14ac:dyDescent="0.2">
      <x:c r="B660" s="378" t="s">
        <x:v>122</x:v>
      </x:c>
      <x:c r="C660" s="378" t="s">
        <x:v>70</x:v>
      </x:c>
      <x:c r="E660" s="376"/>
      <x:c r="F660" s="710" t="n">
        <x:v>24329.38</x:v>
      </x:c>
      <x:c r="G660" s="377" t="n">
        <x:v>2181.68</x:v>
      </x:c>
      <x:c r="H660" s="377" t="n">
        <x:v>1227.48</x:v>
      </x:c>
      <x:c r="I660" s="377" t="n">
        <x:v>627.28</x:v>
      </x:c>
      <x:c r="J660" s="377" t="n">
        <x:v>4229.78</x:v>
      </x:c>
      <x:c r="K660" s="377" t="n">
        <x:v>105.4</x:v>
      </x:c>
      <x:c r="L660" s="377" t="n">
        <x:v>0</x:v>
      </x:c>
      <x:c r="M660" s="377" t="n">
        <x:v>924.56</x:v>
      </x:c>
      <x:c r="N660" s="377" t="n">
        <x:v>1397.37</x:v>
      </x:c>
      <x:c r="O660" s="377" t="n">
        <x:v>7156</x:v>
      </x:c>
      <x:c r="P660" s="377" t="n">
        <x:v>6307.87</x:v>
      </x:c>
      <x:c r="Q660" s="377" t="n">
        <x:v>171.96</x:v>
      </x:c>
      <x:c r="R660" s="377" t="n">
        <x:v>0</x:v>
      </x:c>
      <x:c r="S660" s="377" t="n">
        <x:v>0</x:v>
      </x:c>
      <x:c r="T660" s="377" t="n">
        <x:v>0</x:v>
      </x:c>
      <x:c r="U660" s="377">
        <x:v>0</x:v>
      </x:c>
      <x:c r="V660" s="377">
        <x:v>0</x:v>
      </x:c>
      <x:c r="W660" s="377">
        <x:v>0</x:v>
      </x:c>
      <x:c r="X660" s="377">
        <x:v>0</x:v>
      </x:c>
      <x:c r="Y660" s="377">
        <x:v>0</x:v>
      </x:c>
      <x:c r="Z660" s="377" t="n">
        <x:v>0</x:v>
      </x:c>
    </x:row>
    <x:row r="661" spans="1:26" ht="12.75" customHeight="1" x14ac:dyDescent="0.2">
      <x:c r="E661" s="89" t="s">
        <x:v>73</x:v>
      </x:c>
      <x:c r="F661" s="371" t="n">
        <x:v>-1113041546.26</x:v>
      </x:c>
      <x:c r="G661" s="90" t="n">
        <x:v>-34176388.44</x:v>
      </x:c>
      <x:c r="H661" s="90" t="n">
        <x:v>-19324425.78</x:v>
      </x:c>
      <x:c r="I661" s="90" t="n">
        <x:v>-10114900.89</x:v>
      </x:c>
      <x:c r="J661" s="90" t="n">
        <x:v>-275747180.09</x:v>
      </x:c>
      <x:c r="K661" s="90" t="n">
        <x:v>-10481720.58</x:v>
      </x:c>
      <x:c r="L661" s="90" t="n">
        <x:v>0</x:v>
      </x:c>
      <x:c r="M661" s="90" t="n">
        <x:v>-91967934.27</x:v>
      </x:c>
      <x:c r="N661" s="90" t="n">
        <x:v>-91302320.33</x:v>
      </x:c>
      <x:c r="O661" s="90" t="n">
        <x:v>-463542591.24</x:v>
      </x:c>
      <x:c r="P661" s="90" t="n">
        <x:v>-99282901.75</x:v>
      </x:c>
      <x:c r="Q661" s="90" t="n">
        <x:v>-17101182.89</x:v>
      </x:c>
      <x:c r="R661" s="90" t="n">
        <x:v>0</x:v>
      </x:c>
      <x:c r="S661" s="90" t="n">
        <x:v>0</x:v>
      </x:c>
      <x:c r="T661" t="n">
        <x:v>0</x:v>
      </x:c>
      <x:c r="U661">
        <x:v>0</x:v>
      </x:c>
      <x:c r="V661">
        <x:v>0</x:v>
      </x:c>
      <x:c r="W661">
        <x:v>0</x:v>
      </x:c>
      <x:c r="X661">
        <x:v>0</x:v>
      </x:c>
      <x:c r="Y661">
        <x:v>0</x:v>
      </x:c>
      <x:c r="Z661" t="n">
        <x:v>0</x:v>
      </x:c>
    </x:row>
    <x:row r="662" spans="1:26" ht="12.75" customHeight="1" x14ac:dyDescent="0.2">
      <x:c r="D662" t="s">
        <x:v>156</x:v>
      </x:c>
      <x:c r="E662" s="89" t="s">
        <x:v>70</x:v>
      </x:c>
      <x:c r="F662" s="371" t="n">
        <x:v>-1113041546.26</x:v>
      </x:c>
      <x:c r="G662" s="90" t="n">
        <x:v>-34176388.44</x:v>
      </x:c>
      <x:c r="H662" s="90" t="n">
        <x:v>-19324425.78</x:v>
      </x:c>
      <x:c r="I662" s="90" t="n">
        <x:v>-10114900.89</x:v>
      </x:c>
      <x:c r="J662" s="90" t="n">
        <x:v>-275747180.09</x:v>
      </x:c>
      <x:c r="K662" s="90" t="n">
        <x:v>-10481720.58</x:v>
      </x:c>
      <x:c r="L662" s="90" t="n">
        <x:v>0</x:v>
      </x:c>
      <x:c r="M662" s="90" t="n">
        <x:v>-91967934.27</x:v>
      </x:c>
      <x:c r="N662" s="90" t="n">
        <x:v>-91302320.33</x:v>
      </x:c>
      <x:c r="O662" s="90" t="n">
        <x:v>-463542591.24</x:v>
      </x:c>
      <x:c r="P662" s="90" t="n">
        <x:v>-99282901.75</x:v>
      </x:c>
      <x:c r="Q662" s="90" t="n">
        <x:v>-17101182.89</x:v>
      </x:c>
      <x:c r="R662" s="90" t="n">
        <x:v>0</x:v>
      </x:c>
      <x:c r="S662" s="90" t="n">
        <x:v>0</x:v>
      </x:c>
      <x:c r="T662" t="n">
        <x:v>0</x:v>
      </x:c>
      <x:c r="U662">
        <x:v>0</x:v>
      </x:c>
      <x:c r="V662">
        <x:v>0</x:v>
      </x:c>
      <x:c r="W662">
        <x:v>0</x:v>
      </x:c>
      <x:c r="X662">
        <x:v>0</x:v>
      </x:c>
      <x:c r="Y662">
        <x:v>0</x:v>
      </x:c>
      <x:c r="Z662" t="n">
        <x:v>0</x:v>
      </x:c>
    </x:row>
    <x:row r="663" spans="1:26" s="656" customFormat="1" ht="12.75" customHeight="1" x14ac:dyDescent="0.2">
      <x:c r="A663" s="657"/>
      <x:c r="B663" s="657"/>
      <x:c r="C663" s="656" t="s">
        <x:v>155</x:v>
      </x:c>
      <x:c r="D663" s="656" t="s">
        <x:v>70</x:v>
      </x:c>
      <x:c r="F663" s="658" t="n">
        <x:v>-1113041546.26</x:v>
      </x:c>
      <x:c r="G663" s="658" t="n">
        <x:v>-34176388.44</x:v>
      </x:c>
      <x:c r="H663" s="658" t="n">
        <x:v>-19324425.78</x:v>
      </x:c>
      <x:c r="I663" s="658" t="n">
        <x:v>-10114900.89</x:v>
      </x:c>
      <x:c r="J663" s="658" t="n">
        <x:v>-275747180.09</x:v>
      </x:c>
      <x:c r="K663" s="658" t="n">
        <x:v>-10481720.58</x:v>
      </x:c>
      <x:c r="L663" s="658" t="n">
        <x:v>0</x:v>
      </x:c>
      <x:c r="M663" s="658" t="n">
        <x:v>-91967934.27</x:v>
      </x:c>
      <x:c r="N663" s="658" t="n">
        <x:v>-91302320.33</x:v>
      </x:c>
      <x:c r="O663" s="658" t="n">
        <x:v>-463542591.24</x:v>
      </x:c>
      <x:c r="P663" s="658" t="n">
        <x:v>-99282901.75</x:v>
      </x:c>
      <x:c r="Q663" s="658" t="n">
        <x:v>-17101182.89</x:v>
      </x:c>
      <x:c r="R663" s="658" t="n">
        <x:v>0</x:v>
      </x:c>
      <x:c r="S663" s="658" t="n">
        <x:v>0</x:v>
      </x:c>
      <x:c r="T663" s="656" t="n">
        <x:v>0</x:v>
      </x:c>
      <x:c r="U663" s="656">
        <x:v>0</x:v>
      </x:c>
      <x:c r="V663" s="656">
        <x:v>0</x:v>
      </x:c>
      <x:c r="W663" s="656">
        <x:v>0</x:v>
      </x:c>
      <x:c r="X663" s="656">
        <x:v>0</x:v>
      </x:c>
      <x:c r="Y663" s="656">
        <x:v>0</x:v>
      </x:c>
      <x:c r="Z663" s="656" t="n">
        <x:v>0</x:v>
      </x:c>
    </x:row>
    <x:row r="664" spans="1:26" ht="12.75" customHeight="1" x14ac:dyDescent="0.2">
      <x:c r="E664" s="89" t="s">
        <x:v>73</x:v>
      </x:c>
      <x:c r="F664" s="371" t="n">
        <x:v>-4970797.56</x:v>
      </x:c>
      <x:c r="G664" s="90" t="n">
        <x:v>-269325.89</x:v>
      </x:c>
      <x:c r="H664" s="90" t="n">
        <x:v>-149624.97</x:v>
      </x:c>
      <x:c r="I664" s="90" t="n">
        <x:v>-78121.59</x:v>
      </x:c>
      <x:c r="J664" s="90" t="n">
        <x:v>-1076036.63</x:v>
      </x:c>
      <x:c r="K664" s="90" t="n">
        <x:v>-39426.57</x:v>
      </x:c>
      <x:c r="L664" s="90" t="n">
        <x:v>0</x:v>
      </x:c>
      <x:c r="M664" s="90" t="n">
        <x:v>-348506.58</x:v>
      </x:c>
      <x:c r="N664" s="90" t="n">
        <x:v>-354157.74</x:v>
      </x:c>
      <x:c r="O664" s="90" t="n">
        <x:v>-1798678.49</x:v>
      </x:c>
      <x:c r="P664" s="90" t="n">
        <x:v>-792592.58</x:v>
      </x:c>
      <x:c r="Q664" s="90" t="n">
        <x:v>-64326.52</x:v>
      </x:c>
      <x:c r="R664" s="90" t="n">
        <x:v>0</x:v>
      </x:c>
      <x:c r="S664" s="90" t="n">
        <x:v>0</x:v>
      </x:c>
      <x:c r="T664" t="n">
        <x:v>0</x:v>
      </x:c>
      <x:c r="U664">
        <x:v>0</x:v>
      </x:c>
      <x:c r="V664">
        <x:v>0</x:v>
      </x:c>
      <x:c r="W664">
        <x:v>0</x:v>
      </x:c>
      <x:c r="X664">
        <x:v>0</x:v>
      </x:c>
      <x:c r="Y664">
        <x:v>0</x:v>
      </x:c>
      <x:c r="Z664" t="n">
        <x:v>0</x:v>
      </x:c>
    </x:row>
    <x:row r="665" spans="1:26" ht="12.75" customHeight="1" x14ac:dyDescent="0.2">
      <x:c r="D665" t="s">
        <x:v>156</x:v>
      </x:c>
      <x:c r="E665" s="89" t="s">
        <x:v>70</x:v>
      </x:c>
      <x:c r="F665" s="371" t="n">
        <x:v>-4970797.56</x:v>
      </x:c>
      <x:c r="G665" s="90" t="n">
        <x:v>-269325.89</x:v>
      </x:c>
      <x:c r="H665" s="90" t="n">
        <x:v>-149624.97</x:v>
      </x:c>
      <x:c r="I665" s="90" t="n">
        <x:v>-78121.59</x:v>
      </x:c>
      <x:c r="J665" s="90" t="n">
        <x:v>-1076036.63</x:v>
      </x:c>
      <x:c r="K665" s="90" t="n">
        <x:v>-39426.57</x:v>
      </x:c>
      <x:c r="L665" s="90" t="n">
        <x:v>0</x:v>
      </x:c>
      <x:c r="M665" s="90" t="n">
        <x:v>-348506.58</x:v>
      </x:c>
      <x:c r="N665" s="90" t="n">
        <x:v>-354157.74</x:v>
      </x:c>
      <x:c r="O665" s="90" t="n">
        <x:v>-1798678.49</x:v>
      </x:c>
      <x:c r="P665" s="90" t="n">
        <x:v>-792592.58</x:v>
      </x:c>
      <x:c r="Q665" s="90" t="n">
        <x:v>-64326.52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>
        <x:v>0</x:v>
      </x:c>
      <x:c r="Z665" t="n">
        <x:v>0</x:v>
      </x:c>
    </x:row>
    <x:row r="666" spans="1:26" s="739" customFormat="1" ht="12.75" customHeight="1" x14ac:dyDescent="0.2">
      <x:c r="C666" s="739" t="s">
        <x:v>326</x:v>
      </x:c>
      <x:c r="D666" s="739" t="s">
        <x:v>70</x:v>
      </x:c>
      <x:c r="E666" s="231"/>
      <x:c r="F666" s="740" t="n">
        <x:v>-4970797.56</x:v>
      </x:c>
      <x:c r="G666" s="232" t="n">
        <x:v>-269325.89</x:v>
      </x:c>
      <x:c r="H666" s="232" t="n">
        <x:v>-149624.97</x:v>
      </x:c>
      <x:c r="I666" s="232" t="n">
        <x:v>-78121.59</x:v>
      </x:c>
      <x:c r="J666" s="232" t="n">
        <x:v>-1076036.63</x:v>
      </x:c>
      <x:c r="K666" s="232" t="n">
        <x:v>-39426.57</x:v>
      </x:c>
      <x:c r="L666" s="232" t="n">
        <x:v>0</x:v>
      </x:c>
      <x:c r="M666" s="232" t="n">
        <x:v>-348506.58</x:v>
      </x:c>
      <x:c r="N666" s="232" t="n">
        <x:v>-354157.74</x:v>
      </x:c>
      <x:c r="O666" s="232" t="n">
        <x:v>-1798678.49</x:v>
      </x:c>
      <x:c r="P666" s="232" t="n">
        <x:v>-792592.58</x:v>
      </x:c>
      <x:c r="Q666" s="232" t="n">
        <x:v>-64326.52</x:v>
      </x:c>
      <x:c r="R666" s="232" t="n">
        <x:v>0</x:v>
      </x:c>
      <x:c r="S666" s="232" t="n">
        <x:v>0</x:v>
      </x:c>
      <x:c r="T666" s="739" t="n">
        <x:v>0</x:v>
      </x:c>
      <x:c r="U666" s="739">
        <x:v>0</x:v>
      </x:c>
      <x:c r="V666" s="739">
        <x:v>0</x:v>
      </x:c>
      <x:c r="W666" s="739">
        <x:v>0</x:v>
      </x:c>
      <x:c r="X666" s="739">
        <x:v>0</x:v>
      </x:c>
      <x:c r="Y666" s="739">
        <x:v>0</x:v>
      </x:c>
      <x:c r="Z666" s="739" t="n">
        <x:v>0</x:v>
      </x:c>
    </x:row>
    <x:row r="667" spans="1:26" ht="12.75" customHeight="1" x14ac:dyDescent="0.2">
      <x:c r="E667" s="89" t="s">
        <x:v>73</x:v>
      </x:c>
      <x:c r="F667" s="371" t="n">
        <x:v>-187855.98</x:v>
      </x:c>
      <x:c r="G667" s="90" t="n">
        <x:v>203417.85</x:v>
      </x:c>
      <x:c r="H667" s="90" t="n">
        <x:v>118300.72</x:v>
      </x:c>
      <x:c r="I667" s="90" t="n">
        <x:v>61829.01</x:v>
      </x:c>
      <x:c r="J667" s="90" t="n">
        <x:v>-228807.34</x:v>
      </x:c>
      <x:c r="K667" s="90" t="n">
        <x:v>-10295.56</x:v>
      </x:c>
      <x:c r="L667" s="90" t="n">
        <x:v>0</x:v>
      </x:c>
      <x:c r="M667" s="90" t="n">
        <x:v>-90305.3</x:v>
      </x:c>
      <x:c r="N667" s="90" t="n">
        <x:v>-128220.63</x:v>
      </x:c>
      <x:c r="O667" s="90" t="n">
        <x:v>-702462.52</x:v>
      </x:c>
      <x:c r="P667" s="90" t="n">
        <x:v>605486.11</x:v>
      </x:c>
      <x:c r="Q667" s="90" t="n">
        <x:v>-16798.32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>
        <x:v>0</x:v>
      </x:c>
      <x:c r="Z667" t="n">
        <x:v>0</x:v>
      </x:c>
    </x:row>
    <x:row r="668" spans="1:26" ht="12.75" customHeight="1" x14ac:dyDescent="0.2">
      <x:c r="D668" s="89" t="s">
        <x:v>82</x:v>
      </x:c>
      <x:c r="E668" s="89" t="s">
        <x:v>70</x:v>
      </x:c>
      <x:c r="F668" s="90" t="n">
        <x:v>-187855.98</x:v>
      </x:c>
      <x:c r="G668" s="90" t="n">
        <x:v>203417.85</x:v>
      </x:c>
      <x:c r="H668" s="90" t="n">
        <x:v>118300.72</x:v>
      </x:c>
      <x:c r="I668" s="90" t="n">
        <x:v>61829.01</x:v>
      </x:c>
      <x:c r="J668" s="90" t="n">
        <x:v>-228807.34</x:v>
      </x:c>
      <x:c r="K668" s="90" t="n">
        <x:v>-10295.56</x:v>
      </x:c>
      <x:c r="L668" s="90" t="n">
        <x:v>0</x:v>
      </x:c>
      <x:c r="M668" s="90" t="n">
        <x:v>-90305.3</x:v>
      </x:c>
      <x:c r="N668" s="90" t="n">
        <x:v>-128220.63</x:v>
      </x:c>
      <x:c r="O668" s="90" t="n">
        <x:v>-702462.52</x:v>
      </x:c>
      <x:c r="P668" s="90" t="n">
        <x:v>605486.11</x:v>
      </x:c>
      <x:c r="Q668" s="90" t="n">
        <x:v>-16798.32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>
        <x:v>0</x:v>
      </x:c>
      <x:c r="Z668" t="n">
        <x:v>0</x:v>
      </x:c>
    </x:row>
    <x:row r="669" spans="1:26" ht="12.75" customHeight="1" x14ac:dyDescent="0.2">
      <x:c r="E669" s="89" t="s">
        <x:v>73</x:v>
      </x:c>
      <x:c r="F669" s="90" t="n">
        <x:v>2459860.03</x:v>
      </x:c>
      <x:c r="G669" s="90" t="n">
        <x:v>709867.57</x:v>
      </x:c>
      <x:c r="H669" s="90" t="n">
        <x:v>402138.38</x:v>
      </x:c>
      <x:c r="I669" s="90" t="n">
        <x:v>215517.65</x:v>
      </x:c>
      <x:c r="J669" s="90" t="n">
        <x:v>-244697.65</x:v>
      </x:c>
      <x:c r="K669" s="90" t="n">
        <x:v>-17630.91</x:v>
      </x:c>
      <x:c r="L669" s="90" t="n">
        <x:v>0</x:v>
      </x:c>
      <x:c r="M669" s="90" t="n">
        <x:v>-152005.54</x:v>
      </x:c>
      <x:c r="N669" s="90" t="n">
        <x:v>-109036.85</x:v>
      </x:c>
      <x:c r="O669" s="90" t="n">
        <x:v>-437383.69</x:v>
      </x:c>
      <x:c r="P669" s="90" t="n">
        <x:v>2121895.4</x:v>
      </x:c>
      <x:c r="Q669" s="90" t="n">
        <x:v>-28804.33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>
        <x:v>0</x:v>
      </x:c>
      <x:c r="Z669" t="n">
        <x:v>0</x:v>
      </x:c>
    </x:row>
    <x:row r="670" spans="1:26" ht="12.75" customHeight="1" x14ac:dyDescent="0.2">
      <x:c r="D670" s="89" t="s">
        <x:v>86</x:v>
      </x:c>
      <x:c r="E670" s="89" t="s">
        <x:v>70</x:v>
      </x:c>
      <x:c r="F670" s="90" t="n">
        <x:v>2459860.03</x:v>
      </x:c>
      <x:c r="G670" s="90" t="n">
        <x:v>709867.57</x:v>
      </x:c>
      <x:c r="H670" s="90" t="n">
        <x:v>402138.38</x:v>
      </x:c>
      <x:c r="I670" s="90" t="n">
        <x:v>215517.65</x:v>
      </x:c>
      <x:c r="J670" s="90" t="n">
        <x:v>-244697.65</x:v>
      </x:c>
      <x:c r="K670" s="90" t="n">
        <x:v>-17630.91</x:v>
      </x:c>
      <x:c r="L670" s="90" t="n">
        <x:v>0</x:v>
      </x:c>
      <x:c r="M670" s="90" t="n">
        <x:v>-152005.54</x:v>
      </x:c>
      <x:c r="N670" s="90" t="n">
        <x:v>-109036.85</x:v>
      </x:c>
      <x:c r="O670" s="90" t="n">
        <x:v>-437383.69</x:v>
      </x:c>
      <x:c r="P670" s="90" t="n">
        <x:v>2121895.4</x:v>
      </x:c>
      <x:c r="Q670" s="90" t="n">
        <x:v>-28804.33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>
        <x:v>0</x:v>
      </x:c>
      <x:c r="Z670" t="n">
        <x:v>0</x:v>
      </x:c>
    </x:row>
    <x:row r="671" spans="1:26" ht="12.75" customHeight="1" x14ac:dyDescent="0.2">
      <x:c r="E671" s="89" t="s">
        <x:v>73</x:v>
      </x:c>
      <x:c r="F671" s="90" t="n">
        <x:v>79419817.37</x:v>
      </x:c>
      <x:c r="G671" s="90" t="n">
        <x:v>15404559.3</x:v>
      </x:c>
      <x:c r="H671" s="90" t="n">
        <x:v>8757302.64</x:v>
      </x:c>
      <x:c r="I671" s="90" t="n">
        <x:v>4758799.73</x:v>
      </x:c>
      <x:c r="J671" s="90" t="n">
        <x:v>1342820.06</x:v>
      </x:c>
      <x:c r="K671" s="90" t="n">
        <x:v>41036.71</x:v>
      </x:c>
      <x:c r="L671" s="90" t="n">
        <x:v>0</x:v>
      </x:c>
      <x:c r="M671" s="90" t="n">
        <x:v>357948.17</x:v>
      </x:c>
      <x:c r="N671" s="90" t="n">
        <x:v>413932.09</x:v>
      </x:c>
      <x:c r="O671" s="90" t="n">
        <x:v>2225480.44</x:v>
      </x:c>
      <x:c r="P671" s="90" t="n">
        <x:v>46050982.4</x:v>
      </x:c>
      <x:c r="Q671" s="90" t="n">
        <x:v>66955.83</x:v>
      </x:c>
      <x:c r="R671" s="90" t="n">
        <x:v>0</x:v>
      </x:c>
      <x:c r="S671" s="90" t="n">
        <x:v>0</x:v>
      </x:c>
      <x:c r="T671" t="n">
        <x:v>0</x:v>
      </x:c>
      <x:c r="U671">
        <x:v>0</x:v>
      </x:c>
      <x:c r="V671">
        <x:v>0</x:v>
      </x:c>
      <x:c r="W671">
        <x:v>0</x:v>
      </x:c>
      <x:c r="X671">
        <x:v>0</x:v>
      </x:c>
      <x:c r="Y671">
        <x:v>0</x:v>
      </x:c>
      <x:c r="Z671" t="n">
        <x:v>0</x:v>
      </x:c>
    </x:row>
    <x:row r="672" spans="1:26" ht="12.75" customHeight="1" x14ac:dyDescent="0.2">
      <x:c r="D672" s="89" t="s">
        <x:v>87</x:v>
      </x:c>
      <x:c r="E672" s="89" t="s">
        <x:v>70</x:v>
      </x:c>
      <x:c r="F672" s="90" t="n">
        <x:v>79419817.37</x:v>
      </x:c>
      <x:c r="G672" s="90" t="n">
        <x:v>15404559.3</x:v>
      </x:c>
      <x:c r="H672" s="90" t="n">
        <x:v>8757302.64</x:v>
      </x:c>
      <x:c r="I672" s="90" t="n">
        <x:v>4758799.73</x:v>
      </x:c>
      <x:c r="J672" s="90" t="n">
        <x:v>1342820.06</x:v>
      </x:c>
      <x:c r="K672" s="90" t="n">
        <x:v>41036.71</x:v>
      </x:c>
      <x:c r="L672" s="90" t="n">
        <x:v>0</x:v>
      </x:c>
      <x:c r="M672" s="90" t="n">
        <x:v>357948.17</x:v>
      </x:c>
      <x:c r="N672" s="90" t="n">
        <x:v>413932.09</x:v>
      </x:c>
      <x:c r="O672" s="90" t="n">
        <x:v>2225480.44</x:v>
      </x:c>
      <x:c r="P672" s="90" t="n">
        <x:v>46050982.4</x:v>
      </x:c>
      <x:c r="Q672" s="90" t="n">
        <x:v>66955.83</x:v>
      </x:c>
      <x:c r="R672" s="90" t="n">
        <x:v>0</x:v>
      </x:c>
      <x:c r="S672" s="90" t="n">
        <x:v>0</x:v>
      </x:c>
      <x:c r="T672" t="n">
        <x:v>0</x:v>
      </x:c>
      <x:c r="U672">
        <x:v>0</x:v>
      </x:c>
      <x:c r="V672">
        <x:v>0</x:v>
      </x:c>
      <x:c r="W672">
        <x:v>0</x:v>
      </x:c>
      <x:c r="X672">
        <x:v>0</x:v>
      </x:c>
      <x:c r="Y672">
        <x:v>0</x:v>
      </x:c>
      <x:c r="Z672" t="n">
        <x:v>0</x:v>
      </x:c>
    </x:row>
    <x:row r="673" spans="1:41" s="94" customFormat="1" ht="12.75" customHeight="1" x14ac:dyDescent="0.2">
      <x:c r="C673" s="94" t="s">
        <x:v>119</x:v>
      </x:c>
      <x:c r="D673" s="94" t="s">
        <x:v>70</x:v>
      </x:c>
      <x:c r="E673" s="101"/>
      <x:c r="F673" s="93" t="n">
        <x:v>81691821.42</x:v>
      </x:c>
      <x:c r="G673" s="93" t="n">
        <x:v>16317844.72</x:v>
      </x:c>
      <x:c r="H673" s="93" t="n">
        <x:v>9277741.74</x:v>
      </x:c>
      <x:c r="I673" s="93" t="n">
        <x:v>5036146.39</x:v>
      </x:c>
      <x:c r="J673" s="93" t="n">
        <x:v>869315.07</x:v>
      </x:c>
      <x:c r="K673" s="93" t="n">
        <x:v>13110.24</x:v>
      </x:c>
      <x:c r="L673" s="93" t="n">
        <x:v>0</x:v>
      </x:c>
      <x:c r="M673" s="93" t="n">
        <x:v>115637.33</x:v>
      </x:c>
      <x:c r="N673" s="93" t="n">
        <x:v>176674.61</x:v>
      </x:c>
      <x:c r="O673" s="93" t="n">
        <x:v>1085634.23</x:v>
      </x:c>
      <x:c r="P673" s="93" t="n">
        <x:v>48778363.91</x:v>
      </x:c>
      <x:c r="Q673" s="93" t="n">
        <x:v>21353.18</x:v>
      </x:c>
      <x:c r="R673" s="93" t="n">
        <x:v>0</x:v>
      </x:c>
      <x:c r="S673" s="93" t="n">
        <x:v>0</x:v>
      </x:c>
      <x:c r="T673" s="94" t="n">
        <x:v>0</x:v>
      </x:c>
      <x:c r="U673" s="94">
        <x:v>0</x:v>
      </x:c>
      <x:c r="V673" s="94">
        <x:v>0</x:v>
      </x:c>
      <x:c r="W673" s="94">
        <x:v>0</x:v>
      </x:c>
      <x:c r="X673" s="94">
        <x:v>0</x:v>
      </x:c>
      <x:c r="Y673" s="94">
        <x:v>0</x:v>
      </x:c>
      <x:c r="Z673" s="94" t="n">
        <x:v>0</x:v>
      </x:c>
    </x:row>
    <x:row r="674" spans="1:41" s="226" customFormat="1" ht="12.75" customHeight="1" x14ac:dyDescent="0.2">
      <x:c r="B674" s="98" t="s">
        <x:v>112</x:v>
      </x:c>
      <x:c r="C674" s="98" t="s">
        <x:v>70</x:v>
      </x:c>
      <x:c r="F674" s="100" t="n">
        <x:v>-1036320522.4</x:v>
      </x:c>
      <x:c r="G674" s="100" t="n">
        <x:v>-18127869.61</x:v>
      </x:c>
      <x:c r="H674" s="100" t="n">
        <x:v>-10196309.01</x:v>
      </x:c>
      <x:c r="I674" s="100" t="n">
        <x:v>-5156876.09</x:v>
      </x:c>
      <x:c r="J674" s="100" t="n">
        <x:v>-275953901.65</x:v>
      </x:c>
      <x:c r="K674" s="100" t="n">
        <x:v>-10508036.91</x:v>
      </x:c>
      <x:c r="L674" s="100" t="n">
        <x:v>0</x:v>
      </x:c>
      <x:c r="M674" s="100" t="n">
        <x:v>-92200803.52</x:v>
      </x:c>
      <x:c r="N674" s="100" t="n">
        <x:v>-91479803.46</x:v>
      </x:c>
      <x:c r="O674" s="100" t="n">
        <x:v>-464255635.5</x:v>
      </x:c>
      <x:c r="P674" s="100" t="n">
        <x:v>-51297130.42</x:v>
      </x:c>
      <x:c r="Q674" s="100" t="n">
        <x:v>-17144156.23</x:v>
      </x:c>
      <x:c r="R674" s="100" t="n">
        <x:v>0</x:v>
      </x:c>
      <x:c r="S674" s="100" t="n">
        <x:v>0</x:v>
      </x:c>
      <x:c r="T674" s="226" t="n">
        <x:v>0</x:v>
      </x:c>
      <x:c r="U674" s="226">
        <x:v>0</x:v>
      </x:c>
      <x:c r="V674" s="226">
        <x:v>0</x:v>
      </x:c>
      <x:c r="W674" s="226">
        <x:v>0</x:v>
      </x:c>
      <x:c r="X674" s="226">
        <x:v>0</x:v>
      </x:c>
      <x:c r="Y674" s="226">
        <x:v>0</x:v>
      </x:c>
      <x:c r="Z674" s="226" t="n">
        <x:v>0</x:v>
      </x:c>
    </x:row>
    <x:row r="675" spans="1:41" ht="12.75" customHeight="1" x14ac:dyDescent="0.2">
      <x:c r="A675" s="89" t="s">
        <x:v>79</x:v>
      </x:c>
      <x:c r="B675" s="89" t="s">
        <x:v>70</x:v>
      </x:c>
      <x:c r="F675" s="90" t="n">
        <x:v>-1036296193.02</x:v>
      </x:c>
      <x:c r="G675" s="90" t="n">
        <x:v>-18125687.93</x:v>
      </x:c>
      <x:c r="H675" s="90" t="n">
        <x:v>-10195081.53</x:v>
      </x:c>
      <x:c r="I675" s="90" t="n">
        <x:v>-5156248.81</x:v>
      </x:c>
      <x:c r="J675" s="90" t="n">
        <x:v>-275949671.87</x:v>
      </x:c>
      <x:c r="K675" s="90" t="n">
        <x:v>-10507931.51</x:v>
      </x:c>
      <x:c r="L675" s="90" t="n">
        <x:v>0</x:v>
      </x:c>
      <x:c r="M675" s="90" t="n">
        <x:v>-92199878.96</x:v>
      </x:c>
      <x:c r="N675" s="90" t="n">
        <x:v>-91478406.09</x:v>
      </x:c>
      <x:c r="O675" s="90" t="n">
        <x:v>-464248479.5</x:v>
      </x:c>
      <x:c r="P675" s="90" t="n">
        <x:v>-51290822.55</x:v>
      </x:c>
      <x:c r="Q675" s="90" t="n">
        <x:v>-17143984.27</x:v>
      </x:c>
      <x:c r="R675" s="90" t="n">
        <x:v>0</x:v>
      </x:c>
      <x:c r="S675" s="90" t="n">
        <x:v>0</x:v>
      </x:c>
      <x:c r="T675" t="n">
        <x:v>0</x:v>
      </x:c>
      <x:c r="U675">
        <x:v>0</x:v>
      </x:c>
      <x:c r="V675">
        <x:v>0</x:v>
      </x:c>
      <x:c r="W675">
        <x:v>0</x:v>
      </x:c>
      <x:c r="X675">
        <x:v>0</x:v>
      </x:c>
      <x:c r="Y675">
        <x:v>0</x:v>
      </x:c>
      <x:c r="Z675" t="n">
        <x:v>0</x:v>
      </x:c>
    </x:row>
    <x:row r="676" spans="1:41" ht="12.75" customHeight="1" x14ac:dyDescent="0.2">
      <x:c r="A676" s="89" t="s">
        <x:v>70</x:v>
      </x:c>
      <x:c r="F676" s="90" t="n">
        <x:v>12048355264.04</x:v>
      </x:c>
      <x:c r="G676" s="90" t="n">
        <x:v>710718610.08</x:v>
      </x:c>
      <x:c r="H676" s="90" t="n">
        <x:v>400662250.83</x:v>
      </x:c>
      <x:c r="I676" s="90" t="n">
        <x:v>210315646.84</x:v>
      </x:c>
      <x:c r="J676" s="90" t="n">
        <x:v>2488793784.09</x:v>
      </x:c>
      <x:c r="K676" s="90" t="n">
        <x:v>95130396.33</x:v>
      </x:c>
      <x:c r="L676" s="90" t="n">
        <x:v>14901729.33</x:v>
      </x:c>
      <x:c r="M676" s="90" t="n">
        <x:v>833979002.22</x:v>
      </x:c>
      <x:c r="N676" s="90" t="n">
        <x:v>817447070.28</x:v>
      </x:c>
      <x:c r="O676" s="90" t="n">
        <x:v>4207371784.89</x:v>
      </x:c>
      <x:c r="P676" s="90" t="n">
        <x:v>2113904425.29</x:v>
      </x:c>
      <x:c r="Q676" s="90" t="n">
        <x:v>155278328.48</x:v>
      </x:c>
      <x:c r="R676" s="90" t="n">
        <x:v>-147731.64</x:v>
      </x:c>
      <x:c r="S676" s="90" t="n">
        <x:v>-0.19</x:v>
      </x:c>
      <x:c r="T676" t="n">
        <x:v>7.58</x:v>
      </x:c>
      <x:c r="U676">
        <x:v>0</x:v>
      </x:c>
      <x:c r="V676">
        <x:v>0</x:v>
      </x:c>
      <x:c r="W676">
        <x:v>0</x:v>
      </x:c>
      <x:c r="X676">
        <x:v>0</x:v>
      </x:c>
      <x:c r="Y676">
        <x:v>0</x:v>
      </x:c>
      <x:c r="Z676" t="n">
        <x:v>-40.37</x:v>
      </x:c>
    </x:row>
    <x:row r="677" spans="1:41" ht="12.75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  <x:c r="T677" s="90"/>
      <x:c r="U677" s="90"/>
      <x:c r="V677" s="90"/>
      <x:c r="W677" s="90"/>
      <x:c r="X677" s="150"/>
    </x:row>
    <x:row r="678" spans="1:41" ht="12.75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41" ht="12.75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41" ht="12.75" customHeight="1" x14ac:dyDescent="0.2">
      <x:c r="C680" s="778" t="s">
        <x:v>2</x:v>
      </x:c>
      <x:c r="D680" s="775" t="s">
        <x:v>132</x:v>
      </x:c>
      <x:c r="E680" s="98" t="s">
        <x:v>70</x:v>
      </x:c>
      <x:c r="F680" s="100">
        <x:f>F674+F648+F613-L613-L648</x:f>
        <x:v>0</x:v>
      </x:c>
      <x:c r="G680" s="100">
        <x:f t="shared" ref="G680:AO680" si="32">G648+G613</x:f>
        <x:v>0</x:v>
      </x:c>
      <x:c r="H680" s="100">
        <x:f t="shared" si="32"/>
        <x:v>0</x:v>
      </x:c>
      <x:c r="I680" s="100">
        <x:f t="shared" si="32"/>
        <x:v>0</x:v>
      </x:c>
      <x:c r="J680" s="100">
        <x:f t="shared" si="32"/>
        <x:v>0</x:v>
      </x:c>
      <x:c r="K680" s="100">
        <x:f t="shared" si="32"/>
        <x:v>0</x:v>
      </x:c>
      <x:c r="L680" s="100">
        <x:f t="shared" si="32"/>
        <x:v>0</x:v>
      </x:c>
      <x:c r="M680" s="100">
        <x:f t="shared" si="32"/>
        <x:v>0</x:v>
      </x:c>
      <x:c r="N680" s="100">
        <x:f t="shared" si="32"/>
        <x:v>0</x:v>
      </x:c>
      <x:c r="O680" s="100">
        <x:f t="shared" si="32"/>
        <x:v>0</x:v>
      </x:c>
      <x:c r="P680" s="100">
        <x:f t="shared" si="32"/>
        <x:v>0</x:v>
      </x:c>
      <x:c r="Q680" s="100">
        <x:f t="shared" si="32"/>
        <x:v>0</x:v>
      </x:c>
      <x:c r="R680" s="100">
        <x:f t="shared" si="32"/>
        <x:v>0</x:v>
      </x:c>
      <x:c r="S680" s="100">
        <x:f t="shared" si="32"/>
        <x:v>0</x:v>
      </x:c>
      <x:c r="T680" s="100">
        <x:f t="shared" si="32"/>
        <x:v>0</x:v>
      </x:c>
      <x:c r="U680" s="100">
        <x:f t="shared" si="32"/>
        <x:v>0</x:v>
      </x:c>
      <x:c r="V680" s="100">
        <x:f t="shared" si="32"/>
        <x:v>0</x:v>
      </x:c>
      <x:c r="W680" s="100">
        <x:f t="shared" si="32"/>
        <x:v>0</x:v>
      </x:c>
      <x:c r="X680" s="100">
        <x:f t="shared" si="32"/>
        <x:v>0</x:v>
      </x:c>
      <x:c r="Y680" s="100">
        <x:f t="shared" si="32"/>
        <x:v>0</x:v>
      </x:c>
      <x:c r="Z680" s="100">
        <x:f t="shared" si="32"/>
        <x:v>0</x:v>
      </x:c>
      <x:c r="AA680" s="100">
        <x:f t="shared" si="32"/>
        <x:v>0</x:v>
      </x:c>
      <x:c r="AB680" s="100">
        <x:f t="shared" si="32"/>
        <x:v>0</x:v>
      </x:c>
      <x:c r="AC680" s="100">
        <x:f t="shared" si="32"/>
        <x:v>0</x:v>
      </x:c>
      <x:c r="AD680" s="100">
        <x:f t="shared" si="32"/>
        <x:v>0</x:v>
      </x:c>
      <x:c r="AE680" s="100">
        <x:f t="shared" si="32"/>
        <x:v>0</x:v>
      </x:c>
      <x:c r="AF680" s="100">
        <x:f t="shared" si="32"/>
        <x:v>0</x:v>
      </x:c>
      <x:c r="AG680" s="100">
        <x:f t="shared" si="32"/>
        <x:v>0</x:v>
      </x:c>
      <x:c r="AH680" s="100">
        <x:f t="shared" si="32"/>
        <x:v>0</x:v>
      </x:c>
      <x:c r="AI680" s="100">
        <x:f t="shared" si="32"/>
        <x:v>0</x:v>
      </x:c>
      <x:c r="AJ680" s="100">
        <x:f t="shared" si="32"/>
        <x:v>0</x:v>
      </x:c>
      <x:c r="AK680" s="100">
        <x:f t="shared" si="32"/>
        <x:v>0</x:v>
      </x:c>
      <x:c r="AL680" s="100">
        <x:f t="shared" si="32"/>
        <x:v>0</x:v>
      </x:c>
      <x:c r="AM680" s="100">
        <x:f t="shared" si="32"/>
        <x:v>0</x:v>
      </x:c>
      <x:c r="AN680" s="100">
        <x:f t="shared" si="32"/>
        <x:v>0</x:v>
      </x:c>
      <x:c r="AO680" s="100">
        <x:f t="shared" si="32"/>
        <x:v>0</x:v>
      </x:c>
    </x:row>
    <x:row r="681" spans="1:41" ht="12.75" customHeight="1" x14ac:dyDescent="0.2">
      <x:c r="C681" s="778"/>
      <x:c r="D681" s="775"/>
      <x:c r="E681" s="98" t="s">
        <x:v>73</x:v>
      </x:c>
      <x:c r="F681" s="100">
        <x:f>F674</x:f>
        <x:v>0</x:v>
      </x:c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41" ht="12.75" customHeight="1" x14ac:dyDescent="0.2">
      <x:c r="C682" s="778"/>
      <x:c r="D682" s="775" t="s">
        <x:v>133</x:v>
      </x:c>
      <x:c r="E682" s="233" t="s">
        <x:v>70</x:v>
      </x:c>
      <x:c r="F682" s="234">
        <x:v>0</x:v>
      </x:c>
      <x:c r="G682" s="234">
        <x:v>0</x:v>
      </x:c>
      <x:c r="H682" s="234">
        <x:v>0</x:v>
      </x:c>
      <x:c r="I682" s="234">
        <x:v>0</x:v>
      </x:c>
      <x:c r="J682" s="234">
        <x:v>0</x:v>
      </x:c>
      <x:c r="K682" s="234">
        <x:v>0</x:v>
      </x:c>
      <x:c r="L682" s="234">
        <x:v>0</x:v>
      </x:c>
      <x:c r="M682" s="234">
        <x:v>0</x:v>
      </x:c>
      <x:c r="N682" s="234">
        <x:v>0</x:v>
      </x:c>
      <x:c r="O682" s="234">
        <x:v>0</x:v>
      </x:c>
      <x:c r="P682" s="234">
        <x:v>0</x:v>
      </x:c>
      <x:c r="Q682" s="234">
        <x:v>0</x:v>
      </x:c>
      <x:c r="R682" s="234">
        <x:v>0</x:v>
      </x:c>
      <x:c r="S682" s="234">
        <x:v>0</x:v>
      </x:c>
      <x:c r="T682" s="234">
        <x:v>0</x:v>
      </x:c>
      <x:c r="U682" s="234">
        <x:v>0</x:v>
      </x:c>
      <x:c r="V682" s="234">
        <x:v>0</x:v>
      </x:c>
      <x:c r="W682" s="234">
        <x:v>0</x:v>
      </x:c>
      <x:c r="X682" s="234">
        <x:v>0</x:v>
      </x:c>
      <x:c r="Y682" s="234">
        <x:v>0</x:v>
      </x:c>
      <x:c r="Z682" s="234">
        <x:v>0</x:v>
      </x:c>
      <x:c r="AA682" s="234">
        <x:v>0</x:v>
      </x:c>
      <x:c r="AB682" s="234">
        <x:v>0</x:v>
      </x:c>
      <x:c r="AC682" s="234">
        <x:v>0</x:v>
      </x:c>
      <x:c r="AD682" s="234">
        <x:v>0</x:v>
      </x:c>
      <x:c r="AE682" s="234">
        <x:v>0</x:v>
      </x:c>
      <x:c r="AF682" s="234">
        <x:v>0</x:v>
      </x:c>
      <x:c r="AG682" s="234">
        <x:v>0</x:v>
      </x:c>
      <x:c r="AH682" s="234">
        <x:v>0</x:v>
      </x:c>
      <x:c r="AI682" s="234">
        <x:v>0</x:v>
      </x:c>
      <x:c r="AJ682" s="234">
        <x:v>0</x:v>
      </x:c>
      <x:c r="AK682" s="234">
        <x:v>0</x:v>
      </x:c>
      <x:c r="AL682" s="234">
        <x:v>0</x:v>
      </x:c>
      <x:c r="AM682" s="234">
        <x:v>0</x:v>
      </x:c>
      <x:c r="AN682" s="234">
        <x:v>0</x:v>
      </x:c>
      <x:c r="AO682" s="234">
        <x:v>0</x:v>
      </x:c>
    </x:row>
    <x:row r="683" spans="1:41" ht="12.75" customHeight="1" x14ac:dyDescent="0.2">
      <x:c r="C683" s="778"/>
      <x:c r="D683" s="775"/>
      <x:c r="E683" s="233" t="s">
        <x:v>73</x:v>
      </x:c>
      <x:c r="F683" s="234">
        <x:v>0</x:v>
      </x:c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</x:row>
    <x:row r="684" spans="1:41" ht="12.75" customHeight="1" x14ac:dyDescent="0.2">
      <x:c r="A684" s="89"/>
      <x:c r="C684" s="97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41" ht="12.75" customHeight="1" x14ac:dyDescent="0.2">
      <x:c r="C685" s="778" t="s">
        <x:v>160</x:v>
      </x:c>
      <x:c r="D685" s="775" t="s">
        <x:v>132</x:v>
      </x:c>
      <x:c r="E685" s="223" t="s">
        <x:v>70</x:v>
      </x:c>
      <x:c r="F685" s="225">
        <x:v>0</x:v>
      </x:c>
      <x:c r="G685" s="225">
        <x:v>0</x:v>
      </x:c>
      <x:c r="H685" s="225">
        <x:v>0</x:v>
      </x:c>
      <x:c r="I685" s="225">
        <x:v>0</x:v>
      </x:c>
      <x:c r="J685" s="225">
        <x:v>0</x:v>
      </x:c>
      <x:c r="K685" s="225">
        <x:v>0</x:v>
      </x:c>
      <x:c r="L685" s="225">
        <x:v>0</x:v>
      </x:c>
      <x:c r="M685" s="225">
        <x:v>0</x:v>
      </x:c>
      <x:c r="N685" s="225">
        <x:v>0</x:v>
      </x:c>
      <x:c r="O685" s="225">
        <x:v>0</x:v>
      </x:c>
      <x:c r="P685" s="225">
        <x:v>0</x:v>
      </x:c>
      <x:c r="Q685" s="225">
        <x:v>0</x:v>
      </x:c>
      <x:c r="R685" s="225">
        <x:v>0</x:v>
      </x:c>
      <x:c r="S685" s="225">
        <x:v>0</x:v>
      </x:c>
      <x:c r="T685" s="225">
        <x:v>0</x:v>
      </x:c>
      <x:c r="U685" s="225"/>
      <x:c r="V685" s="225"/>
      <x:c r="W685" s="225"/>
      <x:c r="X685" s="225">
        <x:v>0</x:v>
      </x:c>
      <x:c r="Y685" s="225">
        <x:v>0</x:v>
      </x:c>
      <x:c r="Z685" s="225">
        <x:v>0</x:v>
      </x:c>
      <x:c r="AA685" s="225">
        <x:v>0</x:v>
      </x:c>
      <x:c r="AB685" s="225">
        <x:v>0</x:v>
      </x:c>
      <x:c r="AC685" s="225">
        <x:v>0</x:v>
      </x:c>
      <x:c r="AD685" s="225">
        <x:v>0</x:v>
      </x:c>
      <x:c r="AE685" s="225">
        <x:v>0</x:v>
      </x:c>
      <x:c r="AF685" s="225">
        <x:v>0</x:v>
      </x:c>
      <x:c r="AG685" s="225">
        <x:v>0</x:v>
      </x:c>
      <x:c r="AH685" s="225">
        <x:v>0</x:v>
      </x:c>
      <x:c r="AI685" s="225">
        <x:v>0</x:v>
      </x:c>
      <x:c r="AJ685" s="225">
        <x:v>0</x:v>
      </x:c>
      <x:c r="AK685" s="225">
        <x:v>0</x:v>
      </x:c>
      <x:c r="AL685" s="225">
        <x:v>0</x:v>
      </x:c>
      <x:c r="AM685" s="225">
        <x:v>0</x:v>
      </x:c>
      <x:c r="AN685" s="225">
        <x:v>0</x:v>
      </x:c>
      <x:c r="AO685" s="225">
        <x:v>0</x:v>
      </x:c>
    </x:row>
    <x:row r="686" spans="1:41" ht="12.75" customHeight="1" x14ac:dyDescent="0.2">
      <x:c r="C686" s="778"/>
      <x:c r="D686" s="775"/>
      <x:c r="E686" s="223" t="s">
        <x:v>73</x:v>
      </x:c>
      <x:c r="F686" s="225">
        <x:v>0</x:v>
      </x:c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41" ht="12.75" customHeight="1" x14ac:dyDescent="0.2">
      <x:c r="C687" s="778"/>
      <x:c r="D687" s="775" t="s">
        <x:v>133</x:v>
      </x:c>
      <x:c r="E687" s="227" t="s">
        <x:v>70</x:v>
      </x:c>
      <x:c r="F687" s="228">
        <x:v>0</x:v>
      </x:c>
      <x:c r="G687" s="228">
        <x:v>0</x:v>
      </x:c>
      <x:c r="H687" s="228">
        <x:v>0</x:v>
      </x:c>
      <x:c r="I687" s="228">
        <x:v>0</x:v>
      </x:c>
      <x:c r="J687" s="228">
        <x:v>0</x:v>
      </x:c>
      <x:c r="K687" s="228">
        <x:v>0</x:v>
      </x:c>
      <x:c r="L687" s="228">
        <x:v>0</x:v>
      </x:c>
      <x:c r="M687" s="228">
        <x:v>0</x:v>
      </x:c>
      <x:c r="N687" s="228">
        <x:v>0</x:v>
      </x:c>
      <x:c r="O687" s="228">
        <x:v>0</x:v>
      </x:c>
      <x:c r="P687" s="228">
        <x:v>0</x:v>
      </x:c>
      <x:c r="Q687" s="228">
        <x:v>0</x:v>
      </x:c>
      <x:c r="R687" s="228">
        <x:v>0</x:v>
      </x:c>
      <x:c r="S687" s="228">
        <x:v>0</x:v>
      </x:c>
      <x:c r="T687" s="228">
        <x:v>0</x:v>
      </x:c>
      <x:c r="U687" s="228"/>
      <x:c r="V687" s="228"/>
      <x:c r="W687" s="228"/>
      <x:c r="X687" s="228">
        <x:v>0</x:v>
      </x:c>
      <x:c r="Y687" s="228">
        <x:v>0</x:v>
      </x:c>
      <x:c r="Z687" s="228">
        <x:v>0</x:v>
      </x:c>
      <x:c r="AA687" s="228">
        <x:v>0</x:v>
      </x:c>
      <x:c r="AB687" s="228">
        <x:v>0</x:v>
      </x:c>
      <x:c r="AC687" s="228">
        <x:v>0</x:v>
      </x:c>
      <x:c r="AD687" s="228">
        <x:v>0</x:v>
      </x:c>
      <x:c r="AE687" s="228">
        <x:v>0</x:v>
      </x:c>
      <x:c r="AF687" s="228">
        <x:v>0</x:v>
      </x:c>
      <x:c r="AG687" s="228">
        <x:v>0</x:v>
      </x:c>
      <x:c r="AH687" s="228">
        <x:v>0</x:v>
      </x:c>
      <x:c r="AI687" s="228">
        <x:v>0</x:v>
      </x:c>
      <x:c r="AJ687" s="228">
        <x:v>0</x:v>
      </x:c>
      <x:c r="AK687" s="228">
        <x:v>0</x:v>
      </x:c>
      <x:c r="AL687" s="228">
        <x:v>0</x:v>
      </x:c>
      <x:c r="AM687" s="228">
        <x:v>0</x:v>
      </x:c>
      <x:c r="AN687" s="228">
        <x:v>0</x:v>
      </x:c>
      <x:c r="AO687" s="228">
        <x:v>0</x:v>
      </x:c>
    </x:row>
    <x:row r="688" spans="1:41" ht="12.75" customHeight="1" x14ac:dyDescent="0.2">
      <x:c r="C688" s="778"/>
      <x:c r="D688" s="775"/>
      <x:c r="E688" s="227" t="s">
        <x:v>73</x:v>
      </x:c>
      <x:c r="F688" s="228">
        <x:v>0</x:v>
      </x:c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</x:row>
    <x:row r="689" spans="1:41" ht="12.75" customHeight="1" x14ac:dyDescent="0.2">
      <x:c r="A689" s="89"/>
      <x:c r="C689" s="97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customHeight="1" x14ac:dyDescent="0.2">
      <x:c r="C690" s="778" t="s">
        <x:v>155</x:v>
      </x:c>
      <x:c r="D690" s="775" t="s">
        <x:v>132</x:v>
      </x:c>
      <x:c r="E690" s="221" t="s">
        <x:v>70</x:v>
      </x:c>
      <x:c r="F690" s="222">
        <x:f>F663+F633-L633</x:f>
        <x:v>0</x:v>
      </x:c>
      <x:c r="G690" s="222">
        <x:f>G633</x:f>
        <x:v>0</x:v>
      </x:c>
      <x:c r="H690" s="222">
        <x:f t="shared" ref="H690:AO690" si="33">H633</x:f>
        <x:v>0</x:v>
      </x:c>
      <x:c r="I690" s="222">
        <x:f t="shared" si="33"/>
        <x:v>0</x:v>
      </x:c>
      <x:c r="J690" s="222">
        <x:f t="shared" si="33"/>
        <x:v>0</x:v>
      </x:c>
      <x:c r="K690" s="222">
        <x:f t="shared" si="33"/>
        <x:v>0</x:v>
      </x:c>
      <x:c r="L690" s="222">
        <x:f t="shared" si="33"/>
        <x:v>0</x:v>
      </x:c>
      <x:c r="M690" s="222">
        <x:f t="shared" si="33"/>
        <x:v>0</x:v>
      </x:c>
      <x:c r="N690" s="222">
        <x:f t="shared" si="33"/>
        <x:v>0</x:v>
      </x:c>
      <x:c r="O690" s="222">
        <x:f t="shared" si="33"/>
        <x:v>0</x:v>
      </x:c>
      <x:c r="P690" s="222">
        <x:f t="shared" si="33"/>
        <x:v>0</x:v>
      </x:c>
      <x:c r="Q690" s="222">
        <x:f t="shared" si="33"/>
        <x:v>0</x:v>
      </x:c>
      <x:c r="R690" s="222">
        <x:f t="shared" si="33"/>
        <x:v>0</x:v>
      </x:c>
      <x:c r="S690" s="222">
        <x:f t="shared" si="33"/>
        <x:v>0</x:v>
      </x:c>
      <x:c r="T690" s="222">
        <x:f t="shared" si="33"/>
        <x:v>0</x:v>
      </x:c>
      <x:c r="U690" s="222">
        <x:f t="shared" si="33"/>
        <x:v>0</x:v>
      </x:c>
      <x:c r="V690" s="222">
        <x:f t="shared" si="33"/>
        <x:v>0</x:v>
      </x:c>
      <x:c r="W690" s="222">
        <x:f t="shared" si="33"/>
        <x:v>0</x:v>
      </x:c>
      <x:c r="X690" s="222">
        <x:f t="shared" si="33"/>
        <x:v>0</x:v>
      </x:c>
      <x:c r="Y690" s="222">
        <x:f t="shared" si="33"/>
        <x:v>0</x:v>
      </x:c>
      <x:c r="Z690" s="222">
        <x:f t="shared" si="33"/>
        <x:v>0</x:v>
      </x:c>
      <x:c r="AA690" s="222">
        <x:f t="shared" si="33"/>
        <x:v>0</x:v>
      </x:c>
      <x:c r="AB690" s="222">
        <x:f t="shared" si="33"/>
        <x:v>0</x:v>
      </x:c>
      <x:c r="AC690" s="222">
        <x:f t="shared" si="33"/>
        <x:v>0</x:v>
      </x:c>
      <x:c r="AD690" s="222">
        <x:f t="shared" si="33"/>
        <x:v>0</x:v>
      </x:c>
      <x:c r="AE690" s="222">
        <x:f t="shared" si="33"/>
        <x:v>0</x:v>
      </x:c>
      <x:c r="AF690" s="222">
        <x:f t="shared" si="33"/>
        <x:v>0</x:v>
      </x:c>
      <x:c r="AG690" s="222">
        <x:f t="shared" si="33"/>
        <x:v>0</x:v>
      </x:c>
      <x:c r="AH690" s="222">
        <x:f t="shared" si="33"/>
        <x:v>0</x:v>
      </x:c>
      <x:c r="AI690" s="222">
        <x:f t="shared" si="33"/>
        <x:v>0</x:v>
      </x:c>
      <x:c r="AJ690" s="222">
        <x:f t="shared" si="33"/>
        <x:v>0</x:v>
      </x:c>
      <x:c r="AK690" s="222">
        <x:f t="shared" si="33"/>
        <x:v>0</x:v>
      </x:c>
      <x:c r="AL690" s="222">
        <x:f t="shared" si="33"/>
        <x:v>0</x:v>
      </x:c>
      <x:c r="AM690" s="222">
        <x:f t="shared" si="33"/>
        <x:v>0</x:v>
      </x:c>
      <x:c r="AN690" s="222">
        <x:f t="shared" si="33"/>
        <x:v>0</x:v>
      </x:c>
      <x:c r="AO690" s="222">
        <x:f t="shared" si="33"/>
        <x:v>0</x:v>
      </x:c>
    </x:row>
    <x:row r="691" spans="1:41" ht="12.75" customHeight="1" x14ac:dyDescent="0.2">
      <x:c r="C691" s="778"/>
      <x:c r="D691" s="775"/>
      <x:c r="E691" s="221" t="s">
        <x:v>73</x:v>
      </x:c>
      <x:c r="F691" s="222">
        <x:f>F663</x:f>
        <x:v>0</x:v>
      </x:c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/>
      <x:c r="D692" s="775" t="s">
        <x:v>133</x:v>
      </x:c>
      <x:c r="E692" s="242" t="s">
        <x:v>70</x:v>
      </x:c>
      <x:c r="F692" s="243">
        <x:v>0</x:v>
      </x:c>
      <x:c r="G692" s="243">
        <x:v>0</x:v>
      </x:c>
      <x:c r="H692" s="243">
        <x:v>0</x:v>
      </x:c>
      <x:c r="I692" s="243">
        <x:v>0</x:v>
      </x:c>
      <x:c r="J692" s="243">
        <x:v>0</x:v>
      </x:c>
      <x:c r="K692" s="243">
        <x:v>0</x:v>
      </x:c>
      <x:c r="L692" s="243">
        <x:v>0</x:v>
      </x:c>
      <x:c r="M692" s="243">
        <x:v>0</x:v>
      </x:c>
      <x:c r="N692" s="243">
        <x:v>0</x:v>
      </x:c>
      <x:c r="O692" s="243">
        <x:v>0</x:v>
      </x:c>
      <x:c r="P692" s="243">
        <x:v>0</x:v>
      </x:c>
      <x:c r="Q692" s="243">
        <x:v>0</x:v>
      </x:c>
      <x:c r="R692" s="243">
        <x:v>0</x:v>
      </x:c>
      <x:c r="S692" s="243">
        <x:v>0</x:v>
      </x:c>
      <x:c r="T692" s="243">
        <x:v>0</x:v>
      </x:c>
      <x:c r="U692" s="243">
        <x:v>0</x:v>
      </x:c>
      <x:c r="V692" s="243">
        <x:v>0</x:v>
      </x:c>
      <x:c r="W692" s="243">
        <x:v>0</x:v>
      </x:c>
      <x:c r="X692" s="243">
        <x:v>0</x:v>
      </x:c>
      <x:c r="Y692" s="243">
        <x:v>0</x:v>
      </x:c>
      <x:c r="Z692" s="243">
        <x:v>0</x:v>
      </x:c>
      <x:c r="AA692" s="243">
        <x:v>0</x:v>
      </x:c>
      <x:c r="AB692" s="243">
        <x:v>0</x:v>
      </x:c>
      <x:c r="AC692" s="243">
        <x:v>0</x:v>
      </x:c>
      <x:c r="AD692" s="243">
        <x:v>0</x:v>
      </x:c>
      <x:c r="AE692" s="243">
        <x:v>0</x:v>
      </x:c>
      <x:c r="AF692" s="243">
        <x:v>0</x:v>
      </x:c>
      <x:c r="AG692" s="243">
        <x:v>0</x:v>
      </x:c>
      <x:c r="AH692" s="243">
        <x:v>0</x:v>
      </x:c>
      <x:c r="AI692" s="243">
        <x:v>0</x:v>
      </x:c>
      <x:c r="AJ692" s="243">
        <x:v>0</x:v>
      </x:c>
      <x:c r="AK692" s="243">
        <x:v>0</x:v>
      </x:c>
      <x:c r="AL692" s="243">
        <x:v>0</x:v>
      </x:c>
      <x:c r="AM692" s="243">
        <x:v>0</x:v>
      </x:c>
      <x:c r="AN692" s="243">
        <x:v>0</x:v>
      </x:c>
      <x:c r="AO692" s="243">
        <x:v>0</x:v>
      </x:c>
    </x:row>
    <x:row r="693" spans="1:41" ht="12.75" customHeight="1" x14ac:dyDescent="0.2">
      <x:c r="C693" s="778"/>
      <x:c r="D693" s="775"/>
      <x:c r="E693" s="242" t="s">
        <x:v>73</x:v>
      </x:c>
      <x:c r="F693" s="243"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</x:row>
    <x:row r="694" spans="1:41" ht="12.75" customHeight="1" x14ac:dyDescent="0.2">
      <x:c r="A694" s="89"/>
      <x:c r="C694" s="97"/>
      <x:c r="F694" s="90"/>
      <x:c r="G694" s="90"/>
      <x:c r="H694" s="90"/>
      <x:c r="I694" s="90"/>
      <x:c r="J694" s="90"/>
      <x:c r="K694" s="90"/>
      <x:c r="L694" s="90"/>
      <x:c r="M694" s="90"/>
      <x:c r="N694" s="90"/>
      <x:c r="O694" s="90"/>
      <x:c r="P694" s="90"/>
      <x:c r="Q694" s="90"/>
      <x:c r="R694" s="90"/>
      <x:c r="S694" s="90"/>
    </x:row>
    <x:row r="695" spans="1:41" ht="12.75" customHeight="1" x14ac:dyDescent="0.2">
      <x:c r="C695" s="776" t="s">
        <x:v>326</x:v>
      </x:c>
      <x:c r="D695" s="775" t="s">
        <x:v>132</x:v>
      </x:c>
      <x:c r="E695" s="373" t="s">
        <x:v>70</x:v>
      </x:c>
      <x:c r="F695" s="374">
        <x:f>F666+F637-L637</x:f>
        <x:v>0</x:v>
      </x:c>
      <x:c r="G695" s="374">
        <x:f>G637</x:f>
        <x:v>0</x:v>
      </x:c>
      <x:c r="H695" s="374">
        <x:f t="shared" ref="H695:AO695" si="34">H637</x:f>
        <x:v>0</x:v>
      </x:c>
      <x:c r="I695" s="374">
        <x:f t="shared" si="34"/>
        <x:v>0</x:v>
      </x:c>
      <x:c r="J695" s="374">
        <x:f t="shared" si="34"/>
        <x:v>0</x:v>
      </x:c>
      <x:c r="K695" s="374">
        <x:f t="shared" si="34"/>
        <x:v>0</x:v>
      </x:c>
      <x:c r="L695" s="374">
        <x:f>L637</x:f>
        <x:v>0</x:v>
      </x:c>
      <x:c r="M695" s="374">
        <x:f t="shared" si="34"/>
        <x:v>0</x:v>
      </x:c>
      <x:c r="N695" s="374">
        <x:f t="shared" si="34"/>
        <x:v>0</x:v>
      </x:c>
      <x:c r="O695" s="374">
        <x:f t="shared" si="34"/>
        <x:v>0</x:v>
      </x:c>
      <x:c r="P695" s="374">
        <x:f t="shared" si="34"/>
        <x:v>0</x:v>
      </x:c>
      <x:c r="Q695" s="374">
        <x:f t="shared" si="34"/>
        <x:v>0</x:v>
      </x:c>
      <x:c r="R695" s="374">
        <x:f t="shared" si="34"/>
        <x:v>0</x:v>
      </x:c>
      <x:c r="S695" s="374">
        <x:f t="shared" si="34"/>
        <x:v>0</x:v>
      </x:c>
      <x:c r="T695" s="374">
        <x:f t="shared" si="34"/>
        <x:v>0</x:v>
      </x:c>
      <x:c r="U695" s="374">
        <x:f t="shared" si="34"/>
        <x:v>0</x:v>
      </x:c>
      <x:c r="V695" s="374">
        <x:f t="shared" si="34"/>
        <x:v>0</x:v>
      </x:c>
      <x:c r="W695" s="374">
        <x:f t="shared" si="34"/>
        <x:v>0</x:v>
      </x:c>
      <x:c r="X695" s="374">
        <x:f t="shared" si="34"/>
        <x:v>0</x:v>
      </x:c>
      <x:c r="Y695" s="374">
        <x:f t="shared" si="34"/>
        <x:v>0</x:v>
      </x:c>
      <x:c r="Z695" s="374">
        <x:f t="shared" si="34"/>
        <x:v>0</x:v>
      </x:c>
      <x:c r="AA695" s="374">
        <x:f t="shared" si="34"/>
        <x:v>0</x:v>
      </x:c>
      <x:c r="AB695" s="374">
        <x:f t="shared" si="34"/>
        <x:v>0</x:v>
      </x:c>
      <x:c r="AC695" s="374">
        <x:f t="shared" si="34"/>
        <x:v>0</x:v>
      </x:c>
      <x:c r="AD695" s="374">
        <x:f t="shared" si="34"/>
        <x:v>0</x:v>
      </x:c>
      <x:c r="AE695" s="374">
        <x:f t="shared" si="34"/>
        <x:v>0</x:v>
      </x:c>
      <x:c r="AF695" s="374">
        <x:f t="shared" si="34"/>
        <x:v>0</x:v>
      </x:c>
      <x:c r="AG695" s="374">
        <x:f t="shared" si="34"/>
        <x:v>0</x:v>
      </x:c>
      <x:c r="AH695" s="374">
        <x:f t="shared" si="34"/>
        <x:v>0</x:v>
      </x:c>
      <x:c r="AI695" s="374">
        <x:f t="shared" si="34"/>
        <x:v>0</x:v>
      </x:c>
      <x:c r="AJ695" s="374">
        <x:f t="shared" si="34"/>
        <x:v>0</x:v>
      </x:c>
      <x:c r="AK695" s="374">
        <x:f t="shared" si="34"/>
        <x:v>0</x:v>
      </x:c>
      <x:c r="AL695" s="374">
        <x:f t="shared" si="34"/>
        <x:v>0</x:v>
      </x:c>
      <x:c r="AM695" s="374">
        <x:f t="shared" si="34"/>
        <x:v>0</x:v>
      </x:c>
      <x:c r="AN695" s="374">
        <x:f t="shared" si="34"/>
        <x:v>0</x:v>
      </x:c>
      <x:c r="AO695" s="374">
        <x:f t="shared" si="34"/>
        <x:v>0</x:v>
      </x:c>
    </x:row>
    <x:row r="696" spans="1:41" ht="12.75" customHeight="1" x14ac:dyDescent="0.2">
      <x:c r="C696" s="776"/>
      <x:c r="D696" s="775"/>
      <x:c r="E696" s="373" t="s">
        <x:v>73</x:v>
      </x:c>
      <x:c r="F696" s="374">
        <x:f>F666</x:f>
        <x:v>0</x:v>
      </x:c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6"/>
      <x:c r="D697" s="775" t="s">
        <x:v>133</x:v>
      </x:c>
      <x:c r="E697" s="242" t="s">
        <x:v>70</x:v>
      </x:c>
      <x:c r="F697" s="243">
        <x:v>0</x:v>
      </x:c>
      <x:c r="G697" s="243">
        <x:v>0</x:v>
      </x:c>
      <x:c r="H697" s="243">
        <x:v>0</x:v>
      </x:c>
      <x:c r="I697" s="243">
        <x:v>0</x:v>
      </x:c>
      <x:c r="J697" s="243">
        <x:v>0</x:v>
      </x:c>
      <x:c r="K697" s="243">
        <x:v>0</x:v>
      </x:c>
      <x:c r="L697" s="243">
        <x:v>0</x:v>
      </x:c>
      <x:c r="M697" s="243">
        <x:v>0</x:v>
      </x:c>
      <x:c r="N697" s="243">
        <x:v>0</x:v>
      </x:c>
      <x:c r="O697" s="243">
        <x:v>0</x:v>
      </x:c>
      <x:c r="P697" s="243">
        <x:v>0</x:v>
      </x:c>
      <x:c r="Q697" s="243">
        <x:v>0</x:v>
      </x:c>
      <x:c r="R697" s="243">
        <x:v>0</x:v>
      </x:c>
      <x:c r="S697" s="243">
        <x:v>0</x:v>
      </x:c>
      <x:c r="T697" s="243">
        <x:v>0</x:v>
      </x:c>
      <x:c r="U697" s="243">
        <x:v>0</x:v>
      </x:c>
      <x:c r="V697" s="243">
        <x:v>0</x:v>
      </x:c>
      <x:c r="W697" s="243">
        <x:v>0</x:v>
      </x:c>
      <x:c r="X697" s="243">
        <x:v>0</x:v>
      </x:c>
      <x:c r="Y697" s="243">
        <x:v>0</x:v>
      </x:c>
      <x:c r="Z697" s="243">
        <x:v>0</x:v>
      </x:c>
      <x:c r="AA697" s="243">
        <x:v>0</x:v>
      </x:c>
      <x:c r="AB697" s="243">
        <x:v>0</x:v>
      </x:c>
      <x:c r="AC697" s="243">
        <x:v>0</x:v>
      </x:c>
      <x:c r="AD697" s="243">
        <x:v>0</x:v>
      </x:c>
      <x:c r="AE697" s="243">
        <x:v>0</x:v>
      </x:c>
      <x:c r="AF697" s="243">
        <x:v>0</x:v>
      </x:c>
      <x:c r="AG697" s="243">
        <x:v>0</x:v>
      </x:c>
      <x:c r="AH697" s="243">
        <x:v>0</x:v>
      </x:c>
      <x:c r="AI697" s="243">
        <x:v>0</x:v>
      </x:c>
      <x:c r="AJ697" s="243">
        <x:v>0</x:v>
      </x:c>
      <x:c r="AK697" s="243">
        <x:v>0</x:v>
      </x:c>
      <x:c r="AL697" s="243">
        <x:v>0</x:v>
      </x:c>
      <x:c r="AM697" s="243">
        <x:v>0</x:v>
      </x:c>
      <x:c r="AN697" s="243">
        <x:v>0</x:v>
      </x:c>
      <x:c r="AO697" s="243">
        <x:v>0</x:v>
      </x:c>
    </x:row>
    <x:row r="698" spans="1:41" ht="12.75" customHeight="1" x14ac:dyDescent="0.2">
      <x:c r="C698" s="776"/>
      <x:c r="D698" s="775"/>
      <x:c r="E698" s="242" t="s">
        <x:v>73</x:v>
      </x:c>
      <x:c r="F698" s="243"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</x:row>
    <x:row r="699" spans="1:41" ht="12.75" customHeight="1" x14ac:dyDescent="0.2">
      <x:c r="C699" s="719"/>
      <x:c r="D699" s="220"/>
      <x:c r="E699" s="89"/>
      <x:c r="F699" s="90"/>
      <x:c r="G699" s="90"/>
      <x:c r="H699" s="90"/>
      <x:c r="I699" s="90"/>
      <x:c r="J699" s="90"/>
      <x:c r="K699" s="90"/>
      <x:c r="L699" s="90"/>
      <x:c r="M699" s="90"/>
      <x:c r="N699" s="90"/>
      <x:c r="O699" s="90"/>
      <x:c r="P699" s="90"/>
      <x:c r="Q699" s="90"/>
      <x:c r="R699" s="90"/>
    </x:row>
    <x:row r="700" spans="1:41" ht="12.75" customHeight="1" x14ac:dyDescent="0.2">
      <x:c r="C700" s="778" t="s">
        <x:v>119</x:v>
      </x:c>
      <x:c r="D700" s="775" t="s">
        <x:v>132</x:v>
      </x:c>
      <x:c r="E700" s="101" t="s">
        <x:v>70</x:v>
      </x:c>
      <x:c r="F700" s="93">
        <x:f>F647+F673+F612-L612-L647</x:f>
        <x:v>0</x:v>
      </x:c>
      <x:c r="G700" s="93">
        <x:f t="shared" ref="G700:AO700" si="35">G647+G612</x:f>
        <x:v>0</x:v>
      </x:c>
      <x:c r="H700" s="93">
        <x:f t="shared" si="35"/>
        <x:v>0</x:v>
      </x:c>
      <x:c r="I700" s="93">
        <x:f t="shared" si="35"/>
        <x:v>0</x:v>
      </x:c>
      <x:c r="J700" s="93">
        <x:f t="shared" si="35"/>
        <x:v>0</x:v>
      </x:c>
      <x:c r="K700" s="93">
        <x:f t="shared" si="35"/>
        <x:v>0</x:v>
      </x:c>
      <x:c r="L700" s="93">
        <x:f t="shared" si="35"/>
        <x:v>0</x:v>
      </x:c>
      <x:c r="M700" s="93">
        <x:f t="shared" si="35"/>
        <x:v>0</x:v>
      </x:c>
      <x:c r="N700" s="93">
        <x:f t="shared" si="35"/>
        <x:v>0</x:v>
      </x:c>
      <x:c r="O700" s="93">
        <x:f t="shared" si="35"/>
        <x:v>0</x:v>
      </x:c>
      <x:c r="P700" s="93">
        <x:f t="shared" si="35"/>
        <x:v>0</x:v>
      </x:c>
      <x:c r="Q700" s="93">
        <x:f t="shared" si="35"/>
        <x:v>0</x:v>
      </x:c>
      <x:c r="R700" s="93">
        <x:f t="shared" si="35"/>
        <x:v>0</x:v>
      </x:c>
      <x:c r="S700" s="93">
        <x:f t="shared" si="35"/>
        <x:v>0</x:v>
      </x:c>
      <x:c r="T700" s="93">
        <x:f t="shared" si="35"/>
        <x:v>0</x:v>
      </x:c>
      <x:c r="U700" s="93">
        <x:f t="shared" si="35"/>
        <x:v>0</x:v>
      </x:c>
      <x:c r="V700" s="93">
        <x:f t="shared" si="35"/>
        <x:v>0</x:v>
      </x:c>
      <x:c r="W700" s="93">
        <x:f t="shared" si="35"/>
        <x:v>0</x:v>
      </x:c>
      <x:c r="X700" s="93">
        <x:f t="shared" si="35"/>
        <x:v>0</x:v>
      </x:c>
      <x:c r="Y700" s="93">
        <x:f t="shared" si="35"/>
        <x:v>0</x:v>
      </x:c>
      <x:c r="Z700" s="93">
        <x:f t="shared" si="35"/>
        <x:v>0</x:v>
      </x:c>
      <x:c r="AA700" s="93">
        <x:f t="shared" si="35"/>
        <x:v>0</x:v>
      </x:c>
      <x:c r="AB700" s="93">
        <x:f t="shared" si="35"/>
        <x:v>0</x:v>
      </x:c>
      <x:c r="AC700" s="93">
        <x:f t="shared" si="35"/>
        <x:v>0</x:v>
      </x:c>
      <x:c r="AD700" s="93">
        <x:f t="shared" si="35"/>
        <x:v>0</x:v>
      </x:c>
      <x:c r="AE700" s="93">
        <x:f t="shared" si="35"/>
        <x:v>0</x:v>
      </x:c>
      <x:c r="AF700" s="93">
        <x:f t="shared" si="35"/>
        <x:v>0</x:v>
      </x:c>
      <x:c r="AG700" s="93">
        <x:f t="shared" si="35"/>
        <x:v>0</x:v>
      </x:c>
      <x:c r="AH700" s="93">
        <x:f t="shared" si="35"/>
        <x:v>0</x:v>
      </x:c>
      <x:c r="AI700" s="93">
        <x:f t="shared" si="35"/>
        <x:v>0</x:v>
      </x:c>
      <x:c r="AJ700" s="93">
        <x:f t="shared" si="35"/>
        <x:v>0</x:v>
      </x:c>
      <x:c r="AK700" s="93">
        <x:f t="shared" si="35"/>
        <x:v>0</x:v>
      </x:c>
      <x:c r="AL700" s="93">
        <x:f t="shared" si="35"/>
        <x:v>0</x:v>
      </x:c>
      <x:c r="AM700" s="93">
        <x:f t="shared" si="35"/>
        <x:v>0</x:v>
      </x:c>
      <x:c r="AN700" s="93">
        <x:f t="shared" si="35"/>
        <x:v>0</x:v>
      </x:c>
      <x:c r="AO700" s="93">
        <x:f t="shared" si="35"/>
        <x:v>0</x:v>
      </x:c>
    </x:row>
    <x:row r="701" spans="1:41" ht="12.75" customHeight="1" x14ac:dyDescent="0.2">
      <x:c r="C701" s="778"/>
      <x:c r="D701" s="775"/>
      <x:c r="E701" s="101" t="s">
        <x:v>73</x:v>
      </x:c>
      <x:c r="F701" s="93">
        <x:f>F673</x:f>
        <x:v>0</x:v>
      </x:c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/>
      <x:c r="D702" s="775" t="s">
        <x:v>133</x:v>
      </x:c>
      <x:c r="E702" s="235" t="s">
        <x:v>70</x:v>
      </x:c>
      <x:c r="F702" s="236">
        <x:v>0</x:v>
      </x:c>
      <x:c r="G702" s="236">
        <x:v>0</x:v>
      </x:c>
      <x:c r="H702" s="236">
        <x:v>0</x:v>
      </x:c>
      <x:c r="I702" s="236">
        <x:v>0</x:v>
      </x:c>
      <x:c r="J702" s="236">
        <x:v>0</x:v>
      </x:c>
      <x:c r="K702" s="236">
        <x:v>0</x:v>
      </x:c>
      <x:c r="L702" s="236">
        <x:v>0</x:v>
      </x:c>
      <x:c r="M702" s="236">
        <x:v>0</x:v>
      </x:c>
      <x:c r="N702" s="236">
        <x:v>0</x:v>
      </x:c>
      <x:c r="O702" s="236">
        <x:v>0</x:v>
      </x:c>
      <x:c r="P702" s="236">
        <x:v>0</x:v>
      </x:c>
      <x:c r="Q702" s="236">
        <x:v>0</x:v>
      </x:c>
      <x:c r="R702" s="236">
        <x:v>0</x:v>
      </x:c>
      <x:c r="S702" s="236">
        <x:v>0</x:v>
      </x:c>
      <x:c r="T702" s="236">
        <x:v>0</x:v>
      </x:c>
      <x:c r="U702" s="236">
        <x:v>0</x:v>
      </x:c>
      <x:c r="V702" s="236">
        <x:v>0</x:v>
      </x:c>
      <x:c r="W702" s="236">
        <x:v>0</x:v>
      </x:c>
      <x:c r="X702" s="236">
        <x:v>0</x:v>
      </x:c>
      <x:c r="Y702" s="236">
        <x:v>0</x:v>
      </x:c>
      <x:c r="Z702" s="236">
        <x:v>0</x:v>
      </x:c>
      <x:c r="AA702" s="236">
        <x:v>0</x:v>
      </x:c>
      <x:c r="AB702" s="236">
        <x:v>0</x:v>
      </x:c>
      <x:c r="AC702" s="236">
        <x:v>0</x:v>
      </x:c>
      <x:c r="AD702" s="236">
        <x:v>0</x:v>
      </x:c>
      <x:c r="AE702" s="236">
        <x:v>0</x:v>
      </x:c>
      <x:c r="AF702" s="236">
        <x:v>0</x:v>
      </x:c>
      <x:c r="AG702" s="236">
        <x:v>0</x:v>
      </x:c>
      <x:c r="AH702" s="236">
        <x:v>0</x:v>
      </x:c>
      <x:c r="AI702" s="236">
        <x:v>0</x:v>
      </x:c>
      <x:c r="AJ702" s="236">
        <x:v>0</x:v>
      </x:c>
      <x:c r="AK702" s="236">
        <x:v>0</x:v>
      </x:c>
      <x:c r="AL702" s="236">
        <x:v>0</x:v>
      </x:c>
      <x:c r="AM702" s="236">
        <x:v>0</x:v>
      </x:c>
      <x:c r="AN702" s="236">
        <x:v>0</x:v>
      </x:c>
      <x:c r="AO702" s="236">
        <x:v>0</x:v>
      </x:c>
    </x:row>
    <x:row r="703" spans="1:41" ht="12.75" customHeight="1" x14ac:dyDescent="0.2">
      <x:c r="C703" s="778"/>
      <x:c r="D703" s="775"/>
      <x:c r="E703" s="235" t="s">
        <x:v>73</x:v>
      </x:c>
      <x:c r="F703" s="236"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</x:row>
    <x:row r="704" spans="1:41" ht="12.75" customHeight="1" x14ac:dyDescent="0.2">
      <x:c r="A704" s="89"/>
      <x:c r="C704" s="97"/>
      <x:c r="F704" s="90"/>
      <x:c r="G704" s="90"/>
      <x:c r="H704" s="90"/>
      <x:c r="I704" s="90"/>
      <x:c r="J704" s="90"/>
      <x:c r="K704" s="90"/>
      <x:c r="L704" s="90"/>
      <x:c r="M704" s="90"/>
      <x:c r="N704" s="90"/>
      <x:c r="O704" s="90"/>
      <x:c r="P704" s="90"/>
      <x:c r="Q704" s="90"/>
      <x:c r="R704" s="90"/>
      <x:c r="S704" s="90"/>
    </x:row>
    <x:row r="705" spans="3:41" ht="12.75" customHeight="1" x14ac:dyDescent="0.2">
      <x:c r="C705" s="777" t="s">
        <x:v>161</x:v>
      </x:c>
      <x:c r="D705" s="775" t="s">
        <x:v>132</x:v>
      </x:c>
      <x:c r="E705" s="231" t="s">
        <x:v>70</x:v>
      </x:c>
      <x:c r="F705" s="232">
        <x:v>0</x:v>
      </x:c>
      <x:c r="G705" s="232">
        <x:v>0</x:v>
      </x:c>
      <x:c r="H705" s="232">
        <x:v>0</x:v>
      </x:c>
      <x:c r="I705" s="232">
        <x:v>0</x:v>
      </x:c>
      <x:c r="J705" s="232">
        <x:v>0</x:v>
      </x:c>
      <x:c r="K705" s="232">
        <x:v>0</x:v>
      </x:c>
      <x:c r="L705" s="232">
        <x:v>0</x:v>
      </x:c>
      <x:c r="M705" s="232">
        <x:v>0</x:v>
      </x:c>
      <x:c r="N705" s="232">
        <x:v>0</x:v>
      </x:c>
      <x:c r="O705" s="232">
        <x:v>0</x:v>
      </x:c>
      <x:c r="P705" s="232">
        <x:v>0</x:v>
      </x:c>
      <x:c r="Q705" s="232">
        <x:v>0</x:v>
      </x:c>
      <x:c r="R705" s="232">
        <x:v>0</x:v>
      </x:c>
      <x:c r="S705" s="232">
        <x:v>0</x:v>
      </x:c>
      <x:c r="T705" s="232">
        <x:v>0</x:v>
      </x:c>
      <x:c r="U705" s="232"/>
      <x:c r="V705" s="232"/>
      <x:c r="W705" s="232"/>
      <x:c r="X705" s="232">
        <x:v>0</x:v>
      </x:c>
      <x:c r="Y705" s="232">
        <x:v>0</x:v>
      </x:c>
      <x:c r="Z705" s="232">
        <x:v>0</x:v>
      </x:c>
      <x:c r="AA705" s="232">
        <x:v>0</x:v>
      </x:c>
      <x:c r="AB705" s="232">
        <x:v>0</x:v>
      </x:c>
      <x:c r="AC705" s="232">
        <x:v>0</x:v>
      </x:c>
      <x:c r="AD705" s="232">
        <x:v>0</x:v>
      </x:c>
      <x:c r="AE705" s="232">
        <x:v>0</x:v>
      </x:c>
      <x:c r="AF705" s="232">
        <x:v>0</x:v>
      </x:c>
      <x:c r="AG705" s="232">
        <x:v>0</x:v>
      </x:c>
      <x:c r="AH705" s="232">
        <x:v>0</x:v>
      </x:c>
      <x:c r="AI705" s="232">
        <x:v>0</x:v>
      </x:c>
      <x:c r="AJ705" s="232">
        <x:v>0</x:v>
      </x:c>
      <x:c r="AK705" s="232">
        <x:v>0</x:v>
      </x:c>
      <x:c r="AL705" s="232">
        <x:v>0</x:v>
      </x:c>
      <x:c r="AM705" s="232">
        <x:v>0</x:v>
      </x:c>
      <x:c r="AN705" s="232">
        <x:v>0</x:v>
      </x:c>
      <x:c r="AO705" s="232">
        <x:v>0</x:v>
      </x:c>
    </x:row>
    <x:row r="706" spans="3:41" ht="12.75" customHeight="1" x14ac:dyDescent="0.2">
      <x:c r="C706" s="777"/>
      <x:c r="D706" s="775"/>
      <x:c r="E706" s="231" t="s">
        <x:v>73</x:v>
      </x:c>
      <x:c r="F706" s="232">
        <x:v>0</x:v>
      </x:c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3:41" ht="12.75" customHeight="1" x14ac:dyDescent="0.2">
      <x:c r="C707" s="777"/>
      <x:c r="E707" s="148" t="s">
        <x:v>70</x:v>
      </x:c>
      <x:c r="F707" s="149">
        <x:v>0</x:v>
      </x:c>
      <x:c r="G707" s="149">
        <x:v>0</x:v>
      </x:c>
      <x:c r="H707" s="149">
        <x:v>0</x:v>
      </x:c>
      <x:c r="I707" s="149">
        <x:v>0</x:v>
      </x:c>
      <x:c r="J707" s="149">
        <x:v>0</x:v>
      </x:c>
      <x:c r="K707" s="149">
        <x:v>0</x:v>
      </x:c>
      <x:c r="L707" s="149">
        <x:v>0</x:v>
      </x:c>
      <x:c r="M707" s="149">
        <x:v>0</x:v>
      </x:c>
      <x:c r="N707" s="149">
        <x:v>0</x:v>
      </x:c>
      <x:c r="O707" s="149">
        <x:v>0</x:v>
      </x:c>
      <x:c r="P707" s="149">
        <x:v>0</x:v>
      </x:c>
      <x:c r="Q707" s="149">
        <x:v>0</x:v>
      </x:c>
      <x:c r="R707" s="149">
        <x:v>0</x:v>
      </x:c>
      <x:c r="S707" s="149">
        <x:v>0</x:v>
      </x:c>
      <x:c r="T707" s="149">
        <x:v>0</x:v>
      </x:c>
      <x:c r="U707" s="149"/>
      <x:c r="V707" s="149"/>
      <x:c r="W707" s="149"/>
      <x:c r="X707" s="149">
        <x:v>0</x:v>
      </x:c>
      <x:c r="Y707" s="149">
        <x:v>0</x:v>
      </x:c>
      <x:c r="Z707" s="149">
        <x:v>0</x:v>
      </x:c>
      <x:c r="AA707" s="149">
        <x:v>0</x:v>
      </x:c>
    </x:row>
    <x:row r="708" spans="3:41" ht="12.75" customHeight="1" x14ac:dyDescent="0.2">
      <x:c r="C708" s="777"/>
      <x:c r="D708" s="220" t="s">
        <x:v>132</x:v>
      </x:c>
      <x:c r="E708" s="148" t="s">
        <x:v>73</x:v>
      </x:c>
      <x:c r="F708" s="149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</x:row>
    <x:row r="709" spans="3:41" ht="12.75" customHeight="1" x14ac:dyDescent="0.2">
      <x:c r="C709" s="388"/>
      <x:c r="D709" s="220"/>
      <x:c r="E709" s="89"/>
      <x:c r="F709" s="90"/>
      <x:c r="G709" s="90"/>
      <x:c r="H709" s="90"/>
      <x:c r="I709" s="90"/>
      <x:c r="J709" s="90"/>
      <x:c r="K709" s="90"/>
      <x:c r="L709" s="90"/>
      <x:c r="M709" s="90"/>
      <x:c r="N709" s="90"/>
      <x:c r="O709" s="90"/>
      <x:c r="P709" s="90"/>
      <x:c r="Q709" s="90"/>
      <x:c r="R709" s="90"/>
    </x:row>
    <x:row r="710" spans="3:41" ht="12.75" customHeight="1" x14ac:dyDescent="0.2">
      <x:c r="D710" s="458" t="s">
        <x:v>186</x:v>
      </x:c>
      <x:c r="E710" s="459" t="s">
        <x:v>70</x:v>
      </x:c>
      <x:c r="F710" s="460">
        <x:f>F614</x:f>
        <x:v>0</x:v>
      </x:c>
      <x:c r="G710" s="460">
        <x:f t="shared" ref="G710:AA710" si="36">G614</x:f>
        <x:v>0</x:v>
      </x:c>
      <x:c r="H710" s="460">
        <x:f t="shared" si="36"/>
        <x:v>0</x:v>
      </x:c>
      <x:c r="I710" s="460">
        <x:f t="shared" si="36"/>
        <x:v>0</x:v>
      </x:c>
      <x:c r="J710" s="460">
        <x:f t="shared" si="36"/>
        <x:v>0</x:v>
      </x:c>
      <x:c r="K710" s="460">
        <x:f t="shared" si="36"/>
        <x:v>0</x:v>
      </x:c>
      <x:c r="L710" s="460">
        <x:f t="shared" si="36"/>
        <x:v>0</x:v>
      </x:c>
      <x:c r="M710" s="460">
        <x:f t="shared" si="36"/>
        <x:v>0</x:v>
      </x:c>
      <x:c r="N710" s="460">
        <x:f t="shared" si="36"/>
        <x:v>0</x:v>
      </x:c>
      <x:c r="O710" s="460">
        <x:f t="shared" si="36"/>
        <x:v>0</x:v>
      </x:c>
      <x:c r="P710" s="460">
        <x:f t="shared" si="36"/>
        <x:v>0</x:v>
      </x:c>
      <x:c r="Q710" s="460">
        <x:f t="shared" si="36"/>
        <x:v>0</x:v>
      </x:c>
      <x:c r="R710" s="460">
        <x:f t="shared" si="36"/>
        <x:v>0</x:v>
      </x:c>
      <x:c r="S710" s="460">
        <x:f t="shared" si="36"/>
        <x:v>0</x:v>
      </x:c>
      <x:c r="T710" s="460">
        <x:f t="shared" si="36"/>
        <x:v>0</x:v>
      </x:c>
      <x:c r="U710" s="460">
        <x:f t="shared" si="36"/>
        <x:v>0</x:v>
      </x:c>
      <x:c r="V710" s="460">
        <x:f t="shared" si="36"/>
        <x:v>0</x:v>
      </x:c>
      <x:c r="W710" s="460">
        <x:f t="shared" si="36"/>
        <x:v>0</x:v>
      </x:c>
      <x:c r="X710" s="460">
        <x:f t="shared" si="36"/>
        <x:v>0</x:v>
      </x:c>
      <x:c r="Y710" s="460">
        <x:f t="shared" si="36"/>
        <x:v>0</x:v>
      </x:c>
      <x:c r="Z710" s="460">
        <x:f t="shared" si="36"/>
        <x:v>0</x:v>
      </x:c>
      <x:c r="AA710" s="460">
        <x:f t="shared" si="36"/>
        <x:v>0</x:v>
      </x:c>
    </x:row>
    <x:row r="711" spans="3:41" ht="12.75" customHeight="1" x14ac:dyDescent="0.2">
      <x:c r="C711" s="388"/>
      <x:c r="D711" s="220"/>
      <x:c r="E711" s="89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</x:row>
    <x:row r="712" spans="3:41" s="238" customFormat="1" ht="12.75" customHeight="1" x14ac:dyDescent="0.2">
      <x:c r="D712" s="239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0"/>
      <x:c r="Q712" s="240"/>
    </x:row>
  </x:sheetData>
  <x:mergeCells count="87">
    <x:mergeCell ref="D697:D698"/>
    <x:mergeCell ref="C593:C596"/>
    <x:mergeCell ref="C573:C576"/>
    <x:mergeCell ref="D573:D574"/>
    <x:mergeCell ref="D575:D576"/>
    <x:mergeCell ref="C578:C581"/>
    <x:mergeCell ref="D578:D579"/>
    <x:mergeCell ref="D580:D581"/>
    <x:mergeCell ref="C588:C591"/>
    <x:mergeCell ref="D588:D589"/>
    <x:mergeCell ref="D590:D591"/>
    <x:mergeCell ref="D593:D594"/>
    <x:mergeCell ref="C583:C586"/>
    <x:mergeCell ref="D583:D584"/>
    <x:mergeCell ref="D585:D586"/>
    <x:mergeCell ref="C568:C571"/>
    <x:mergeCell ref="D568:D569"/>
    <x:mergeCell ref="D570:D571"/>
    <x:mergeCell ref="C420:C423"/>
    <x:mergeCell ref="D420:D421"/>
    <x:mergeCell ref="D422:D423"/>
    <x:mergeCell ref="C425:C428"/>
    <x:mergeCell ref="D425:D426"/>
    <x:mergeCell ref="D427:D428"/>
    <x:mergeCell ref="C435:C438"/>
    <x:mergeCell ref="D435:D436"/>
    <x:mergeCell ref="D437:D438"/>
    <x:mergeCell ref="C440:C443"/>
    <x:mergeCell ref="D440:D441"/>
    <x:mergeCell ref="D442:D443"/>
    <x:mergeCell ref="C430:C433"/>
    <x:mergeCell ref="D97:D98"/>
    <x:mergeCell ref="C80:C83"/>
    <x:mergeCell ref="C85:C88"/>
    <x:mergeCell ref="D261:D262"/>
    <x:mergeCell ref="C75:C78"/>
    <x:mergeCell ref="D75:D76"/>
    <x:mergeCell ref="D77:D78"/>
    <x:mergeCell ref="C95:C98"/>
    <x:mergeCell ref="D80:D81"/>
    <x:mergeCell ref="D82:D83"/>
    <x:mergeCell ref="D85:D86"/>
    <x:mergeCell ref="D87:D88"/>
    <x:mergeCell ref="D95:D96"/>
    <x:mergeCell ref="C90:C93"/>
    <x:mergeCell ref="D90:D91"/>
    <x:mergeCell ref="D92:D93"/>
    <x:mergeCell ref="D266:D267"/>
    <x:mergeCell ref="D276:D277"/>
    <x:mergeCell ref="C100:C103"/>
    <x:mergeCell ref="D100:D101"/>
    <x:mergeCell ref="D102:D103"/>
    <x:mergeCell ref="C254:C257"/>
    <x:mergeCell ref="D254:D255"/>
    <x:mergeCell ref="D256:D257"/>
    <x:mergeCell ref="C259:C262"/>
    <x:mergeCell ref="D259:D260"/>
    <x:mergeCell ref="D264:D265"/>
    <x:mergeCell ref="C264:C267"/>
    <x:mergeCell ref="C274:C277"/>
    <x:mergeCell ref="D274:D275"/>
    <x:mergeCell ref="C705:C708"/>
    <x:mergeCell ref="C680:C683"/>
    <x:mergeCell ref="D680:D681"/>
    <x:mergeCell ref="D682:D683"/>
    <x:mergeCell ref="C685:C688"/>
    <x:mergeCell ref="D685:D686"/>
    <x:mergeCell ref="D687:D688"/>
    <x:mergeCell ref="C690:C693"/>
    <x:mergeCell ref="D690:D691"/>
    <x:mergeCell ref="D692:D693"/>
    <x:mergeCell ref="C700:C703"/>
    <x:mergeCell ref="D700:D701"/>
    <x:mergeCell ref="D702:D703"/>
    <x:mergeCell ref="D705:D706"/>
    <x:mergeCell ref="C695:C698"/>
    <x:mergeCell ref="D695:D696"/>
    <x:mergeCell ref="D430:D431"/>
    <x:mergeCell ref="D432:D433"/>
    <x:mergeCell ref="C269:C272"/>
    <x:mergeCell ref="D269:D270"/>
    <x:mergeCell ref="D271:D272"/>
    <x:mergeCell ref="C279:C282"/>
    <x:mergeCell ref="D279:D280"/>
    <x:mergeCell ref="C415:C418"/>
    <x:mergeCell ref="D415:D416"/>
    <x:mergeCell ref="D417:D418"/>
  </x:mergeCells>
  <x:pageMargins left="0.7" right="0.7" top="0.75" bottom="0.75" header="0.3" footer="0.3"/>
  <x:pageSetup orientation="portrait" r:id="rId1"/>
  <x:ignoredErrors>
    <x:ignoredError sqref="D153 D156 D159 D177 D181 D493 D499 D535 D539" numberStoredAsText="1"/>
  </x:ignoredErrors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485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8" x14ac:dyDescent="0.2">
      <x:c r="B1" s="97" t="s">
        <x:v>74</x:v>
      </x:c>
    </x:row>
    <x:row r="2" spans="2:18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8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8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8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8" s="739" customFormat="1" ht="12.75" customHeight="1" x14ac:dyDescent="0.2">
      <x:c r="B6" s="739" t="s">
        <x:v>85</x:v>
      </x:c>
      <x:c r="C6" s="739" t="s">
        <x:v>70</x:v>
      </x:c>
      <x:c r="D6" s="231"/>
      <x:c r="E6" s="740">
        <x:v>0</x:v>
      </x:c>
      <x:c r="F6" s="232">
        <x:v>0</x:v>
      </x:c>
      <x:c r="G6" s="232">
        <x:v>0</x:v>
      </x:c>
      <x:c r="H6" s="232">
        <x:v>0</x:v>
      </x:c>
      <x:c r="I6" s="232">
        <x:v>0</x:v>
      </x:c>
      <x:c r="J6" s="232">
        <x:v>0</x:v>
      </x:c>
      <x:c r="K6" s="232">
        <x:v>0</x:v>
      </x:c>
      <x:c r="L6" s="232">
        <x:v>0</x:v>
      </x:c>
      <x:c r="M6" s="232">
        <x:v>0</x:v>
      </x:c>
      <x:c r="N6" s="232">
        <x:v>0</x:v>
      </x:c>
      <x:c r="O6" s="232">
        <x:v>0</x:v>
      </x:c>
      <x:c r="P6" s="232">
        <x:v>0</x:v>
      </x:c>
      <x:c r="Q6" s="232">
        <x:v>0</x:v>
      </x:c>
      <x:c r="R6" s="739">
        <x:v>0</x:v>
      </x:c>
    </x:row>
    <x:row r="7" spans="2:18" ht="12.75" customHeight="1" x14ac:dyDescent="0.2">
      <x:c r="D7" t="s">
        <x:v>72</x:v>
      </x:c>
      <x:c r="E7" s="384" t="n">
        <x:v>104754634.94</x:v>
      </x:c>
      <x:c r="F7" s="89" t="n">
        <x:v>6975298.69</x:v>
      </x:c>
      <x:c r="G7" s="89" t="n">
        <x:v>3988878.11</x:v>
      </x:c>
      <x:c r="H7" s="384" t="n">
        <x:v>1891710.46</x:v>
      </x:c>
      <x:c r="I7" s="89" t="n">
        <x:v>21813833.06</x:v>
      </x:c>
      <x:c r="J7" s="89" t="n">
        <x:v>885097.78</x:v>
      </x:c>
      <x:c r="K7" s="89" t="n">
        <x:v>0</x:v>
      </x:c>
      <x:c r="L7" s="89" t="n">
        <x:v>8065770.61</x:v>
      </x:c>
      <x:c r="M7" s="89" t="n">
        <x:v>7536469.12</x:v>
      </x:c>
      <x:c r="N7" s="89" t="n">
        <x:v>33213003.72</x:v>
      </x:c>
      <x:c r="O7" s="89" t="n">
        <x:v>19115514.46</x:v>
      </x:c>
      <x:c r="P7" s="89" t="n">
        <x:v>1269059.56</x:v>
      </x:c>
      <x:c r="Q7" s="89" t="n">
        <x:v>-0.63</x:v>
      </x:c>
      <x:c r="R7" t="n">
        <x:v>0</x:v>
      </x:c>
    </x:row>
    <x:row r="8" spans="2:18" ht="12.75" customHeight="1" x14ac:dyDescent="0.2">
      <x:c r="D8" t="s">
        <x:v>81</x:v>
      </x:c>
      <x:c r="E8" t="n">
        <x:v>15816.77</x:v>
      </x:c>
      <x:c r="F8" t="n">
        <x:v>1163.38</x:v>
      </x:c>
      <x:c r="G8" t="n">
        <x:v>642.32</x:v>
      </x:c>
      <x:c r="H8" t="n">
        <x:v>341.55</x:v>
      </x:c>
      <x:c r="I8" t="n">
        <x:v>3027.69</x:v>
      </x:c>
      <x:c r="J8" t="n">
        <x:v>126.06</x:v>
      </x:c>
      <x:c r="K8" t="n">
        <x:v>0</x:v>
      </x:c>
      <x:c r="L8" t="n">
        <x:v>1110.61</x:v>
      </x:c>
      <x:c r="M8" t="n">
        <x:v>1054.19</x:v>
      </x:c>
      <x:c r="N8" t="n">
        <x:v>4963.73</x:v>
      </x:c>
      <x:c r="O8" t="n">
        <x:v>3181.55</x:v>
      </x:c>
      <x:c r="P8" t="n">
        <x:v>205.61</x:v>
      </x:c>
      <x:c r="Q8" t="n">
        <x:v>0.08</x:v>
      </x:c>
      <x:c r="R8" t="n">
        <x:v>0</x:v>
      </x:c>
    </x:row>
    <x:row r="9" spans="2:18" ht="12.75" customHeight="1" x14ac:dyDescent="0.2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8" s="286" customFormat="1" ht="12.75" customHeight="1" x14ac:dyDescent="0.2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8" ht="12.75" customHeight="1" x14ac:dyDescent="0.2">
      <x:c r="B11" s="142"/>
      <x:c r="D11" t="s">
        <x:v>72</x:v>
      </x:c>
      <x:c r="E11" s="142" t="n">
        <x:v>2066328.15</x:v>
      </x:c>
      <x:c r="F11" t="n">
        <x:v>95509.13</x:v>
      </x:c>
      <x:c r="G11" t="n">
        <x:v>53786.6</x:v>
      </x:c>
      <x:c r="H11" t="n">
        <x:v>25807.38</x:v>
      </x:c>
      <x:c r="I11" t="n">
        <x:v>498516.51</x:v>
      </x:c>
      <x:c r="J11" t="n">
        <x:v>14869.65</x:v>
      </x:c>
      <x:c r="K11" t="n">
        <x:v>0</x:v>
      </x:c>
      <x:c r="L11" t="n">
        <x:v>154839.34</x:v>
      </x:c>
      <x:c r="M11" t="n">
        <x:v>178346.64</x:v>
      </x:c>
      <x:c r="N11" t="n">
        <x:v>760377.7</x:v>
      </x:c>
      <x:c r="O11" t="n">
        <x:v>261105.9</x:v>
      </x:c>
      <x:c r="P11" t="n">
        <x:v>23181.14</x:v>
      </x:c>
      <x:c r="Q11" t="n">
        <x:v>-11.84</x:v>
      </x:c>
      <x:c r="R11" t="n">
        <x:v>0</x:v>
      </x:c>
    </x:row>
    <x:row r="12" spans="2:18" ht="12.75" customHeight="1" x14ac:dyDescent="0.2">
      <x:c r="B12" s="142"/>
      <x:c r="D12" t="s">
        <x:v>81</x:v>
      </x:c>
      <x:c r="E12" s="142" t="n">
        <x:v>53.09</x:v>
      </x:c>
      <x:c r="F12" t="n">
        <x:v>2.2</x:v>
      </x:c>
      <x:c r="G12" t="n">
        <x:v>1.21</x:v>
      </x:c>
      <x:c r="H12" t="n">
        <x:v>0.66</x:v>
      </x:c>
      <x:c r="I12" t="n">
        <x:v>13.81</x:v>
      </x:c>
      <x:c r="J12" t="n">
        <x:v>0.47</x:v>
      </x:c>
      <x:c r="K12" t="n">
        <x:v>0</x:v>
      </x:c>
      <x:c r="L12" t="n">
        <x:v>4.11</x:v>
      </x:c>
      <x:c r="M12" t="n">
        <x:v>4.2</x:v>
      </x:c>
      <x:c r="N12" t="n">
        <x:v>19.61</x:v>
      </x:c>
      <x:c r="O12" t="n">
        <x:v>6.05</x:v>
      </x:c>
      <x:c r="P12" t="n">
        <x:v>0.77</x:v>
      </x:c>
      <x:c r="Q12" t="n">
        <x:v>0</x:v>
      </x:c>
      <x:c r="R12" t="n">
        <x:v>0</x:v>
      </x:c>
    </x:row>
    <x:row r="13" spans="2:18" ht="12.75" customHeight="1" x14ac:dyDescent="0.2">
      <x:c r="B13" s="142"/>
      <x:c r="C13" t="s">
        <x:v>82</x:v>
      </x:c>
      <x:c r="D13" t="s">
        <x:v>70</x:v>
      </x:c>
      <x:c r="E13" s="142" t="n">
        <x:v>2066381.24</x:v>
      </x:c>
      <x:c r="F13" t="n">
        <x:v>95511.33</x:v>
      </x:c>
      <x:c r="G13" t="n">
        <x:v>53787.81</x:v>
      </x:c>
      <x:c r="H13" t="n">
        <x:v>25808.04</x:v>
      </x:c>
      <x:c r="I13" t="n">
        <x:v>498530.32</x:v>
      </x:c>
      <x:c r="J13" t="n">
        <x:v>14870.12</x:v>
      </x:c>
      <x:c r="K13" t="n">
        <x:v>0</x:v>
      </x:c>
      <x:c r="L13" t="n">
        <x:v>154843.45</x:v>
      </x:c>
      <x:c r="M13" t="n">
        <x:v>178350.84</x:v>
      </x:c>
      <x:c r="N13" t="n">
        <x:v>760397.31</x:v>
      </x:c>
      <x:c r="O13" t="n">
        <x:v>261111.95</x:v>
      </x:c>
      <x:c r="P13" t="n">
        <x:v>23181.91</x:v>
      </x:c>
      <x:c r="Q13" t="n">
        <x:v>-11.84</x:v>
      </x:c>
      <x:c r="R13" t="n">
        <x:v>0</x:v>
      </x:c>
    </x:row>
    <x:row r="14" spans="2:18" ht="12.75" customHeight="1" x14ac:dyDescent="0.2">
      <x:c r="B14" s="142"/>
      <x:c r="D14" t="s">
        <x:v>72</x:v>
      </x:c>
      <x:c r="E14" t="n">
        <x:v>1667705.29</x:v>
      </x:c>
      <x:c r="F14" t="n">
        <x:v>94831.21</x:v>
      </x:c>
      <x:c r="G14" t="n">
        <x:v>53653.37</x:v>
      </x:c>
      <x:c r="H14" t="n">
        <x:v>23974.41</x:v>
      </x:c>
      <x:c r="I14" t="n">
        <x:v>360931.98</x:v>
      </x:c>
      <x:c r="J14" t="n">
        <x:v>13656.23</x:v>
      </x:c>
      <x:c r="K14" t="n">
        <x:v>0</x:v>
      </x:c>
      <x:c r="L14" t="n">
        <x:v>118901.31</x:v>
      </x:c>
      <x:c r="M14" t="n">
        <x:v>135021.65</x:v>
      </x:c>
      <x:c r="N14" t="n">
        <x:v>589240.87</x:v>
      </x:c>
      <x:c r="O14" t="n">
        <x:v>258802.75</x:v>
      </x:c>
      <x:c r="P14" t="n">
        <x:v>18683.4</x:v>
      </x:c>
      <x:c r="Q14" t="n">
        <x:v>8.11</x:v>
      </x:c>
      <x:c r="R14" t="n">
        <x:v>0</x:v>
      </x:c>
    </x:row>
    <x:row r="15" spans="2:18" ht="12.75" customHeight="1" x14ac:dyDescent="0.2">
      <x:c r="B15" s="142"/>
      <x:c r="D15" t="s">
        <x:v>81</x:v>
      </x:c>
      <x:c r="E15" t="n">
        <x:v>534.46</x:v>
      </x:c>
      <x:c r="F15" t="n">
        <x:v>31.52</x:v>
      </x:c>
      <x:c r="G15" t="n">
        <x:v>17.83</x:v>
      </x:c>
      <x:c r="H15" t="n">
        <x:v>9.34</x:v>
      </x:c>
      <x:c r="I15" t="n">
        <x:v>118.64</x:v>
      </x:c>
      <x:c r="J15" t="n">
        <x:v>4.45</x:v>
      </x:c>
      <x:c r="K15" t="n">
        <x:v>0</x:v>
      </x:c>
      <x:c r="L15" t="n">
        <x:v>39.04</x:v>
      </x:c>
      <x:c r="M15" t="n">
        <x:v>38.33</x:v>
      </x:c>
      <x:c r="N15" t="n">
        <x:v>181.9</x:v>
      </x:c>
      <x:c r="O15" t="n">
        <x:v>86.11</x:v>
      </x:c>
      <x:c r="P15" t="n">
        <x:v>7.3</x:v>
      </x:c>
      <x:c r="Q15" t="n">
        <x:v>0</x:v>
      </x:c>
      <x:c r="R15" t="n">
        <x:v>0</x:v>
      </x:c>
    </x:row>
    <x:row r="16" spans="2:18" ht="12.75" customHeight="1" x14ac:dyDescent="0.2">
      <x:c r="B16" s="142"/>
      <x:c r="C16" t="s">
        <x:v>86</x:v>
      </x:c>
      <x:c r="D16" t="s">
        <x:v>70</x:v>
      </x:c>
      <x:c r="E16" s="142" t="n">
        <x:v>1668239.75</x:v>
      </x:c>
      <x:c r="F16" t="n">
        <x:v>94862.73</x:v>
      </x:c>
      <x:c r="G16" t="n">
        <x:v>53671.2</x:v>
      </x:c>
      <x:c r="H16" t="n">
        <x:v>23983.75</x:v>
      </x:c>
      <x:c r="I16" t="n">
        <x:v>361050.62</x:v>
      </x:c>
      <x:c r="J16" t="n">
        <x:v>13660.68</x:v>
      </x:c>
      <x:c r="K16" t="n">
        <x:v>0</x:v>
      </x:c>
      <x:c r="L16" t="n">
        <x:v>118940.35</x:v>
      </x:c>
      <x:c r="M16" t="n">
        <x:v>135059.98</x:v>
      </x:c>
      <x:c r="N16" t="n">
        <x:v>589422.77</x:v>
      </x:c>
      <x:c r="O16" t="n">
        <x:v>258888.86</x:v>
      </x:c>
      <x:c r="P16" t="n">
        <x:v>18690.7</x:v>
      </x:c>
      <x:c r="Q16" t="n">
        <x:v>8.11</x:v>
      </x:c>
      <x:c r="R16" t="n">
        <x:v>0</x:v>
      </x:c>
    </x:row>
    <x:row r="17" spans="1:18" ht="12.75" customHeight="1" x14ac:dyDescent="0.2">
      <x:c r="B17" s="142"/>
      <x:c r="D17" t="s">
        <x:v>72</x:v>
      </x:c>
      <x:c r="E17" s="142" t="n">
        <x:v>18251249.02</x:v>
      </x:c>
      <x:c r="F17" t="n">
        <x:v>2466979.3</x:v>
      </x:c>
      <x:c r="G17" t="n">
        <x:v>1389961.36</x:v>
      </x:c>
      <x:c r="H17" t="n">
        <x:v>841642.79</x:v>
      </x:c>
      <x:c r="I17" t="n">
        <x:v>1865966.03</x:v>
      </x:c>
      <x:c r="J17" t="n">
        <x:v>51082.32</x:v>
      </x:c>
      <x:c r="K17" t="n">
        <x:v>0</x:v>
      </x:c>
      <x:c r="L17" t="n">
        <x:v>482981.31</x:v>
      </x:c>
      <x:c r="M17" t="n">
        <x:v>671717.75</x:v>
      </x:c>
      <x:c r="N17" t="n">
        <x:v>3043351.32</x:v>
      </x:c>
      <x:c r="O17" t="n">
        <x:v>7354815.64</x:v>
      </x:c>
      <x:c r="P17" t="n">
        <x:v>82820.66</x:v>
      </x:c>
      <x:c r="Q17" t="n">
        <x:v>-69.46</x:v>
      </x:c>
      <x:c r="R17" t="n">
        <x:v>0</x:v>
      </x:c>
    </x:row>
    <x:row r="18" spans="1:18" ht="12.75" customHeight="1" x14ac:dyDescent="0.2">
      <x:c r="B18" s="142"/>
      <x:c r="D18" t="s">
        <x:v>81</x:v>
      </x:c>
      <x:c r="E18" s="142" t="n">
        <x:v>35670.7</x:v>
      </x:c>
      <x:c r="F18" t="n">
        <x:v>6587.48</x:v>
      </x:c>
      <x:c r="G18" t="n">
        <x:v>3721.93</x:v>
      </x:c>
      <x:c r="H18" t="n">
        <x:v>1963.44</x:v>
      </x:c>
      <x:c r="I18" t="n">
        <x:v>1660.15</x:v>
      </x:c>
      <x:c r="J18" t="n">
        <x:v>49.7</x:v>
      </x:c>
      <x:c r="K18" t="n">
        <x:v>0</x:v>
      </x:c>
      <x:c r="L18" t="n">
        <x:v>436.97</x:v>
      </x:c>
      <x:c r="M18" t="n">
        <x:v>541.21</x:v>
      </x:c>
      <x:c r="N18" t="n">
        <x:v>2526.1</x:v>
      </x:c>
      <x:c r="O18" t="n">
        <x:v>18102.54</x:v>
      </x:c>
      <x:c r="P18" t="n">
        <x:v>81.19</x:v>
      </x:c>
      <x:c r="Q18" t="n">
        <x:v>-0.01</x:v>
      </x:c>
      <x:c r="R18" t="n">
        <x:v>0</x:v>
      </x:c>
    </x:row>
    <x:row r="19" spans="1:18" ht="12.75" customHeight="1" x14ac:dyDescent="0.2">
      <x:c r="B19" s="142"/>
      <x:c r="C19" s="89" t="s">
        <x:v>87</x:v>
      </x:c>
      <x:c r="D19" s="89" t="s">
        <x:v>70</x:v>
      </x:c>
      <x:c r="E19" s="90" t="n">
        <x:v>18286919.72</x:v>
      </x:c>
      <x:c r="F19" s="90" t="n">
        <x:v>2473566.78</x:v>
      </x:c>
      <x:c r="G19" s="90" t="n">
        <x:v>1393683.29</x:v>
      </x:c>
      <x:c r="H19" s="90" t="n">
        <x:v>843606.23</x:v>
      </x:c>
      <x:c r="I19" s="90" t="n">
        <x:v>1867626.18</x:v>
      </x:c>
      <x:c r="J19" s="90" t="n">
        <x:v>51132.02</x:v>
      </x:c>
      <x:c r="K19" s="90" t="n">
        <x:v>0</x:v>
      </x:c>
      <x:c r="L19" s="90" t="n">
        <x:v>483418.28</x:v>
      </x:c>
      <x:c r="M19" s="90" t="n">
        <x:v>672258.96</x:v>
      </x:c>
      <x:c r="N19" s="90" t="n">
        <x:v>3045877.42</x:v>
      </x:c>
      <x:c r="O19" s="90" t="n">
        <x:v>7372918.18</x:v>
      </x:c>
      <x:c r="P19" s="90" t="n">
        <x:v>82901.85</x:v>
      </x:c>
      <x:c r="Q19" s="90" t="n">
        <x:v>-69.47</x:v>
      </x:c>
      <x:c r="R19" t="n">
        <x:v>0</x:v>
      </x:c>
    </x:row>
    <x:row r="20" spans="1:18" s="94" customFormat="1" ht="12.75" customHeight="1" x14ac:dyDescent="0.2">
      <x:c r="B20" s="101" t="s">
        <x:v>119</x:v>
      </x:c>
      <x:c r="C20" s="101" t="s">
        <x:v>70</x:v>
      </x:c>
      <x:c r="E20" s="93" t="n">
        <x:v>22021540.71</x:v>
      </x:c>
      <x:c r="F20" s="93" t="n">
        <x:v>2663940.84</x:v>
      </x:c>
      <x:c r="G20" s="93" t="n">
        <x:v>1501142.3</x:v>
      </x:c>
      <x:c r="H20" s="93" t="n">
        <x:v>893398.02</x:v>
      </x:c>
      <x:c r="I20" s="93" t="n">
        <x:v>2727207.12</x:v>
      </x:c>
      <x:c r="J20" s="93" t="n">
        <x:v>79662.82</x:v>
      </x:c>
      <x:c r="K20" s="93" t="n">
        <x:v>0</x:v>
      </x:c>
      <x:c r="L20" s="93" t="n">
        <x:v>757202.08</x:v>
      </x:c>
      <x:c r="M20" s="93" t="n">
        <x:v>985669.78</x:v>
      </x:c>
      <x:c r="N20" s="93" t="n">
        <x:v>4395697.5</x:v>
      </x:c>
      <x:c r="O20" s="93" t="n">
        <x:v>7892918.99</x:v>
      </x:c>
      <x:c r="P20" s="93" t="n">
        <x:v>124774.46</x:v>
      </x:c>
      <x:c r="Q20" s="93" t="n">
        <x:v>-73.2</x:v>
      </x:c>
      <x:c r="R20" s="94" t="n">
        <x:v>0</x:v>
      </x:c>
    </x:row>
    <x:row r="21" spans="1:18" s="226" customFormat="1" ht="12.75" customHeight="1" x14ac:dyDescent="0.2">
      <x:c r="A21" s="98" t="s">
        <x:v>78</x:v>
      </x:c>
      <x:c r="B21" s="98" t="s">
        <x:v>70</x:v>
      </x:c>
      <x:c r="E21" s="100" t="n">
        <x:v>126791992.42</x:v>
      </x:c>
      <x:c r="F21" s="100" t="n">
        <x:v>9640402.91</x:v>
      </x:c>
      <x:c r="G21" s="100" t="n">
        <x:v>5490662.73</x:v>
      </x:c>
      <x:c r="H21" s="100" t="n">
        <x:v>2785450.03</x:v>
      </x:c>
      <x:c r="I21" s="100" t="n">
        <x:v>24544067.87</x:v>
      </x:c>
      <x:c r="J21" s="100" t="n">
        <x:v>964886.66</x:v>
      </x:c>
      <x:c r="K21" s="100" t="n">
        <x:v>0</x:v>
      </x:c>
      <x:c r="L21" s="100" t="n">
        <x:v>8824083.3</x:v>
      </x:c>
      <x:c r="M21" s="100" t="n">
        <x:v>8523193.09</x:v>
      </x:c>
      <x:c r="N21" s="100" t="n">
        <x:v>37613664.95</x:v>
      </x:c>
      <x:c r="O21" s="100" t="n">
        <x:v>27011615</x:v>
      </x:c>
      <x:c r="P21" s="100" t="n">
        <x:v>1394039.63</x:v>
      </x:c>
      <x:c r="Q21" s="100" t="n">
        <x:v>-73.75</x:v>
      </x:c>
      <x:c r="R21" s="226" t="n">
        <x:v>0</x:v>
      </x:c>
    </x:row>
    <x:row r="22" spans="1:18" ht="12.75" customHeight="1" x14ac:dyDescent="0.2">
      <x:c r="D22" s="89" t="s">
        <x:v>73</x:v>
      </x:c>
      <x:c r="E22" s="371" t="n">
        <x:v>-7679309.19</x:v>
      </x:c>
      <x:c r="F22" s="90" t="n">
        <x:v>637875.65</x:v>
      </x:c>
      <x:c r="G22" s="90" t="n">
        <x:v>341985.27</x:v>
      </x:c>
      <x:c r="H22" s="90" t="n">
        <x:v>179997</x:v>
      </x:c>
      <x:c r="I22" s="90" t="n">
        <x:v>-2784147.34</x:v>
      </x:c>
      <x:c r="J22" s="90" t="n">
        <x:v>-136924.32</x:v>
      </x:c>
      <x:c r="K22" s="90" t="n">
        <x:v>0</x:v>
      </x:c>
      <x:c r="L22" s="90" t="n">
        <x:v>-1201987.13</x:v>
      </x:c>
      <x:c r="M22" s="90" t="n">
        <x:v>-1088414.75</x:v>
      </x:c>
      <x:c r="N22" s="90" t="n">
        <x:v>-5141699.01</x:v>
      </x:c>
      <x:c r="O22" s="90" t="n">
        <x:v>1734349.59</x:v>
      </x:c>
      <x:c r="P22" s="90" t="n">
        <x:v>-220344.15</x:v>
      </x:c>
      <x:c r="Q22" s="90" t="n">
        <x:v>0</x:v>
      </x:c>
      <x:c r="R22" t="n">
        <x:v>0</x:v>
      </x:c>
    </x:row>
    <x:row r="23" spans="1:18" ht="12.75" customHeight="1" x14ac:dyDescent="0.2">
      <x:c r="C23" s="89" t="s">
        <x:v>156</x:v>
      </x:c>
      <x:c r="D23" s="89" t="s">
        <x:v>70</x:v>
      </x:c>
      <x:c r="E23" s="90" t="n">
        <x:v>-7679309.19</x:v>
      </x:c>
      <x:c r="F23" s="90" t="n">
        <x:v>637875.65</x:v>
      </x:c>
      <x:c r="G23" s="90" t="n">
        <x:v>341985.27</x:v>
      </x:c>
      <x:c r="H23" s="90" t="n">
        <x:v>179997</x:v>
      </x:c>
      <x:c r="I23" s="90" t="n">
        <x:v>-2784147.34</x:v>
      </x:c>
      <x:c r="J23" s="90" t="n">
        <x:v>-136924.32</x:v>
      </x:c>
      <x:c r="K23" s="90" t="n">
        <x:v>0</x:v>
      </x:c>
      <x:c r="L23" s="90" t="n">
        <x:v>-1201987.13</x:v>
      </x:c>
      <x:c r="M23" s="90" t="n">
        <x:v>-1088414.75</x:v>
      </x:c>
      <x:c r="N23" s="90" t="n">
        <x:v>-5141699.01</x:v>
      </x:c>
      <x:c r="O23" s="90" t="n">
        <x:v>1734349.59</x:v>
      </x:c>
      <x:c r="P23" s="90" t="n">
        <x:v>-220344.15</x:v>
      </x:c>
      <x:c r="Q23" s="90" t="n">
        <x:v>0</x:v>
      </x:c>
      <x:c r="R23" t="n">
        <x:v>0</x:v>
      </x:c>
    </x:row>
    <x:row r="24" spans="1:18" s="286" customFormat="1" ht="12.75" customHeight="1" x14ac:dyDescent="0.2">
      <x:c r="B24" s="286" t="s">
        <x:v>155</x:v>
      </x:c>
      <x:c r="C24" s="286" t="s">
        <x:v>70</x:v>
      </x:c>
      <x:c r="E24" s="286" t="n">
        <x:v>-7679309.19</x:v>
      </x:c>
      <x:c r="F24" s="286" t="n">
        <x:v>637875.65</x:v>
      </x:c>
      <x:c r="G24" s="286" t="n">
        <x:v>341985.27</x:v>
      </x:c>
      <x:c r="H24" s="286" t="n">
        <x:v>179997</x:v>
      </x:c>
      <x:c r="I24" s="286" t="n">
        <x:v>-2784147.34</x:v>
      </x:c>
      <x:c r="J24" s="286" t="n">
        <x:v>-136924.32</x:v>
      </x:c>
      <x:c r="K24" s="286" t="n">
        <x:v>0</x:v>
      </x:c>
      <x:c r="L24" s="286" t="n">
        <x:v>-1201987.13</x:v>
      </x:c>
      <x:c r="M24" s="286" t="n">
        <x:v>-1088414.75</x:v>
      </x:c>
      <x:c r="N24" s="286" t="n">
        <x:v>-5141699.01</x:v>
      </x:c>
      <x:c r="O24" s="286" t="n">
        <x:v>1734349.59</x:v>
      </x:c>
      <x:c r="P24" s="286" t="n">
        <x:v>-220344.15</x:v>
      </x:c>
      <x:c r="Q24" s="286" t="n">
        <x:v>0</x:v>
      </x:c>
      <x:c r="R24" s="286" t="n">
        <x:v>0</x:v>
      </x:c>
    </x:row>
    <x:row r="25" spans="1:18" ht="12.75" customHeight="1" x14ac:dyDescent="0.2">
      <x:c r="D25" s="89" t="s">
        <x:v>73</x:v>
      </x:c>
      <x:c r="E25" s="371" t="n">
        <x:v>-50554.72</x:v>
      </x:c>
      <x:c r="F25" s="90" t="n">
        <x:v>4736.11</x:v>
      </x:c>
      <x:c r="G25" s="90" t="n">
        <x:v>2674.07</x:v>
      </x:c>
      <x:c r="H25" s="90" t="n">
        <x:v>345.4</x:v>
      </x:c>
      <x:c r="I25" s="90" t="n">
        <x:v>-23429.04</x:v>
      </x:c>
      <x:c r="J25" s="90" t="n">
        <x:v>-1776.06</x:v>
      </x:c>
      <x:c r="K25" s="90" t="n">
        <x:v>0</x:v>
      </x:c>
      <x:c r="L25" s="90" t="n">
        <x:v>-14634.19</x:v>
      </x:c>
      <x:c r="M25" s="90" t="n">
        <x:v>-5072.07</x:v>
      </x:c>
      <x:c r="N25" s="90" t="n">
        <x:v>-23919.85</x:v>
      </x:c>
      <x:c r="O25" s="90" t="n">
        <x:v>13249.96</x:v>
      </x:c>
      <x:c r="P25" s="90" t="n">
        <x:v>-2729.05</x:v>
      </x:c>
      <x:c r="Q25" s="90" t="n">
        <x:v>0</x:v>
      </x:c>
      <x:c r="R25" t="n">
        <x:v>0</x:v>
      </x:c>
    </x:row>
    <x:row r="26" spans="1:18" ht="12.75" customHeight="1" x14ac:dyDescent="0.2">
      <x:c r="C26" s="89" t="s">
        <x:v>82</x:v>
      </x:c>
      <x:c r="D26" s="89" t="s">
        <x:v>70</x:v>
      </x:c>
      <x:c r="E26" s="90" t="n">
        <x:v>-50554.72</x:v>
      </x:c>
      <x:c r="F26" s="90" t="n">
        <x:v>4736.11</x:v>
      </x:c>
      <x:c r="G26" s="90" t="n">
        <x:v>2674.07</x:v>
      </x:c>
      <x:c r="H26" s="90" t="n">
        <x:v>345.4</x:v>
      </x:c>
      <x:c r="I26" s="90" t="n">
        <x:v>-23429.04</x:v>
      </x:c>
      <x:c r="J26" s="90" t="n">
        <x:v>-1776.06</x:v>
      </x:c>
      <x:c r="K26" s="90" t="n">
        <x:v>0</x:v>
      </x:c>
      <x:c r="L26" s="90" t="n">
        <x:v>-14634.19</x:v>
      </x:c>
      <x:c r="M26" s="90" t="n">
        <x:v>-5072.07</x:v>
      </x:c>
      <x:c r="N26" s="90" t="n">
        <x:v>-23919.85</x:v>
      </x:c>
      <x:c r="O26" s="90" t="n">
        <x:v>13249.96</x:v>
      </x:c>
      <x:c r="P26" s="90" t="n">
        <x:v>-2729.05</x:v>
      </x:c>
      <x:c r="Q26" s="90" t="n">
        <x:v>0</x:v>
      </x:c>
      <x:c r="R26" t="n">
        <x:v>0</x:v>
      </x:c>
    </x:row>
    <x:row r="27" spans="1:18" ht="12.75" customHeight="1" x14ac:dyDescent="0.2">
      <x:c r="D27" s="89" t="s">
        <x:v>73</x:v>
      </x:c>
      <x:c r="E27" s="90" t="n">
        <x:v>-41372.31</x:v>
      </x:c>
      <x:c r="F27" s="90" t="n">
        <x:v>12793.71</x:v>
      </x:c>
      <x:c r="G27" s="90" t="n">
        <x:v>7223.37</x:v>
      </x:c>
      <x:c r="H27" s="90" t="n">
        <x:v>821.96</x:v>
      </x:c>
      <x:c r="I27" s="90" t="n">
        <x:v>-13378.5</x:v>
      </x:c>
      <x:c r="J27" s="90" t="n">
        <x:v>-1510.5</x:v>
      </x:c>
      <x:c r="K27" s="90" t="n">
        <x:v>0</x:v>
      </x:c>
      <x:c r="L27" s="90" t="n">
        <x:v>-12344.21</x:v>
      </x:c>
      <x:c r="M27" s="90" t="n">
        <x:v>-12400.64</x:v>
      </x:c>
      <x:c r="N27" s="90" t="n">
        <x:v>-55249.52</x:v>
      </x:c>
      <x:c r="O27" s="90" t="n">
        <x:v>35136.41</x:v>
      </x:c>
      <x:c r="P27" s="90" t="n">
        <x:v>-2464.39</x:v>
      </x:c>
      <x:c r="Q27" s="90" t="n">
        <x:v>0</x:v>
      </x:c>
      <x:c r="R27" t="n">
        <x:v>0</x:v>
      </x:c>
    </x:row>
    <x:row r="28" spans="1:18" ht="12.75" customHeight="1" x14ac:dyDescent="0.2">
      <x:c r="C28" s="89" t="s">
        <x:v>86</x:v>
      </x:c>
      <x:c r="D28" s="89" t="s">
        <x:v>70</x:v>
      </x:c>
      <x:c r="E28" s="90" t="n">
        <x:v>-41372.31</x:v>
      </x:c>
      <x:c r="F28" s="90" t="n">
        <x:v>12793.71</x:v>
      </x:c>
      <x:c r="G28" s="90" t="n">
        <x:v>7223.37</x:v>
      </x:c>
      <x:c r="H28" s="90" t="n">
        <x:v>821.96</x:v>
      </x:c>
      <x:c r="I28" s="90" t="n">
        <x:v>-13378.5</x:v>
      </x:c>
      <x:c r="J28" s="90" t="n">
        <x:v>-1510.5</x:v>
      </x:c>
      <x:c r="K28" s="90" t="n">
        <x:v>0</x:v>
      </x:c>
      <x:c r="L28" s="90" t="n">
        <x:v>-12344.21</x:v>
      </x:c>
      <x:c r="M28" s="90" t="n">
        <x:v>-12400.64</x:v>
      </x:c>
      <x:c r="N28" s="90" t="n">
        <x:v>-55249.52</x:v>
      </x:c>
      <x:c r="O28" s="90" t="n">
        <x:v>35136.41</x:v>
      </x:c>
      <x:c r="P28" s="90" t="n">
        <x:v>-2464.39</x:v>
      </x:c>
      <x:c r="Q28" s="90" t="n">
        <x:v>0</x:v>
      </x:c>
      <x:c r="R28" t="n">
        <x:v>0</x:v>
      </x:c>
    </x:row>
    <x:row r="29" spans="1:18" ht="12.75" customHeight="1" x14ac:dyDescent="0.2">
      <x:c r="D29" s="89" t="s">
        <x:v>73</x:v>
      </x:c>
      <x:c r="E29" s="90" t="n">
        <x:v>6927796.92</x:v>
      </x:c>
      <x:c r="F29" s="90" t="n">
        <x:v>1130170.65</x:v>
      </x:c>
      <x:c r="G29" s="90" t="n">
        <x:v>623361.6</x:v>
      </x:c>
      <x:c r="H29" s="90" t="n">
        <x:v>304609.91</x:v>
      </x:c>
      <x:c r="I29" s="90" t="n">
        <x:v>533203.52</x:v>
      </x:c>
      <x:c r="J29" s="90" t="n">
        <x:v>13692.34</x:v>
      </x:c>
      <x:c r="K29" s="90" t="n">
        <x:v>0</x:v>
      </x:c>
      <x:c r="L29" s="90" t="n">
        <x:v>126469.3</x:v>
      </x:c>
      <x:c r="M29" s="90" t="n">
        <x:v>172463.37</x:v>
      </x:c>
      <x:c r="N29" s="90" t="n">
        <x:v>810419.93</x:v>
      </x:c>
      <x:c r="O29" s="90" t="n">
        <x:v>3191349.94</x:v>
      </x:c>
      <x:c r="P29" s="90" t="n">
        <x:v>22056.36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87</x:v>
      </x:c>
      <x:c r="D30" s="89" t="s">
        <x:v>70</x:v>
      </x:c>
      <x:c r="E30" s="90" t="n">
        <x:v>6927796.92</x:v>
      </x:c>
      <x:c r="F30" s="90" t="n">
        <x:v>1130170.65</x:v>
      </x:c>
      <x:c r="G30" s="90" t="n">
        <x:v>623361.6</x:v>
      </x:c>
      <x:c r="H30" s="90" t="n">
        <x:v>304609.91</x:v>
      </x:c>
      <x:c r="I30" s="90" t="n">
        <x:v>533203.52</x:v>
      </x:c>
      <x:c r="J30" s="90" t="n">
        <x:v>13692.34</x:v>
      </x:c>
      <x:c r="K30" s="90" t="n">
        <x:v>0</x:v>
      </x:c>
      <x:c r="L30" s="90" t="n">
        <x:v>126469.3</x:v>
      </x:c>
      <x:c r="M30" s="90" t="n">
        <x:v>172463.37</x:v>
      </x:c>
      <x:c r="N30" s="90" t="n">
        <x:v>810419.93</x:v>
      </x:c>
      <x:c r="O30" s="90" t="n">
        <x:v>3191349.94</x:v>
      </x:c>
      <x:c r="P30" s="90" t="n">
        <x:v>22056.36</x:v>
      </x:c>
      <x:c r="Q30" s="90" t="n">
        <x:v>0</x:v>
      </x:c>
      <x:c r="R30" t="n">
        <x:v>0</x:v>
      </x:c>
    </x:row>
    <x:row r="31" spans="1:18" s="94" customFormat="1" ht="12.75" customHeight="1" x14ac:dyDescent="0.2">
      <x:c r="B31" s="101" t="s">
        <x:v>119</x:v>
      </x:c>
      <x:c r="C31" s="101" t="s">
        <x:v>70</x:v>
      </x:c>
      <x:c r="E31" s="93" t="n">
        <x:v>6835869.89</x:v>
      </x:c>
      <x:c r="F31" s="93" t="n">
        <x:v>1147700.47</x:v>
      </x:c>
      <x:c r="G31" s="93" t="n">
        <x:v>633259.04</x:v>
      </x:c>
      <x:c r="H31" s="93" t="n">
        <x:v>305777.27</x:v>
      </x:c>
      <x:c r="I31" s="93" t="n">
        <x:v>496395.98</x:v>
      </x:c>
      <x:c r="J31" s="93" t="n">
        <x:v>10405.78</x:v>
      </x:c>
      <x:c r="K31" s="93" t="n">
        <x:v>0</x:v>
      </x:c>
      <x:c r="L31" s="93" t="n">
        <x:v>99490.9</x:v>
      </x:c>
      <x:c r="M31" s="93" t="n">
        <x:v>154990.66</x:v>
      </x:c>
      <x:c r="N31" s="93" t="n">
        <x:v>731250.56</x:v>
      </x:c>
      <x:c r="O31" s="93" t="n">
        <x:v>3239736.31</x:v>
      </x:c>
      <x:c r="P31" s="93" t="n">
        <x:v>16862.92</x:v>
      </x:c>
      <x:c r="Q31" s="93" t="n">
        <x:v>0</x:v>
      </x:c>
      <x:c r="R31" s="94" t="n">
        <x:v>0</x:v>
      </x:c>
    </x:row>
    <x:row r="32" spans="1:18" s="226" customFormat="1" ht="12.75" customHeight="1" x14ac:dyDescent="0.2">
      <x:c r="A32" s="98" t="s">
        <x:v>79</x:v>
      </x:c>
      <x:c r="B32" s="98" t="s">
        <x:v>70</x:v>
      </x:c>
      <x:c r="E32" s="100" t="n">
        <x:v>-843439.3</x:v>
      </x:c>
      <x:c r="F32" s="100" t="n">
        <x:v>1785576.12</x:v>
      </x:c>
      <x:c r="G32" s="100" t="n">
        <x:v>975244.31</x:v>
      </x:c>
      <x:c r="H32" s="100" t="n">
        <x:v>485774.27</x:v>
      </x:c>
      <x:c r="I32" s="100" t="n">
        <x:v>-2287751.36</x:v>
      </x:c>
      <x:c r="J32" s="100" t="n">
        <x:v>-126518.54</x:v>
      </x:c>
      <x:c r="K32" s="100" t="n">
        <x:v>0</x:v>
      </x:c>
      <x:c r="L32" s="100" t="n">
        <x:v>-1102496.23</x:v>
      </x:c>
      <x:c r="M32" s="100" t="n">
        <x:v>-933424.09</x:v>
      </x:c>
      <x:c r="N32" s="100" t="n">
        <x:v>-4410448.45</x:v>
      </x:c>
      <x:c r="O32" s="100" t="n">
        <x:v>4974085.9</x:v>
      </x:c>
      <x:c r="P32" s="100" t="n">
        <x:v>-203481.23</x:v>
      </x:c>
      <x:c r="Q32" s="100" t="n">
        <x:v>0</x:v>
      </x:c>
      <x:c r="R32" s="226" t="n">
        <x:v>0</x:v>
      </x:c>
    </x:row>
    <x:row r="33" spans="1:19" ht="12.75" customHeight="1" x14ac:dyDescent="0.2">
      <x:c r="A33" s="89" t="s">
        <x:v>70</x:v>
      </x:c>
      <x:c r="E33" s="90" t="n">
        <x:v>125948553.12</x:v>
      </x:c>
      <x:c r="F33" s="90" t="n">
        <x:v>11425979.03</x:v>
      </x:c>
      <x:c r="G33" s="90" t="n">
        <x:v>6465907.04</x:v>
      </x:c>
      <x:c r="H33" s="90" t="n">
        <x:v>3271224.3</x:v>
      </x:c>
      <x:c r="I33" s="90" t="n">
        <x:v>22256316.51</x:v>
      </x:c>
      <x:c r="J33" s="90" t="n">
        <x:v>838368.12</x:v>
      </x:c>
      <x:c r="K33" s="90" t="n">
        <x:v>0</x:v>
      </x:c>
      <x:c r="L33" s="90" t="n">
        <x:v>7721587.07</x:v>
      </x:c>
      <x:c r="M33" s="90" t="n">
        <x:v>7589769</x:v>
      </x:c>
      <x:c r="N33" s="90" t="n">
        <x:v>33203216.5</x:v>
      </x:c>
      <x:c r="O33" s="90" t="n">
        <x:v>31985700.9</x:v>
      </x:c>
      <x:c r="P33" s="90" t="n">
        <x:v>1190558.4</x:v>
      </x:c>
      <x:c r="Q33" s="90" t="n">
        <x:v>-73.75</x:v>
      </x:c>
      <x:c r="R33" s="144" t="n">
        <x:v>0</x:v>
      </x:c>
    </x:row>
    <x:row r="34" spans="1:19" ht="12.75" customHeight="1" x14ac:dyDescent="0.2">
      <x:c r="A34" s="89"/>
      <x:c r="E34" s="90"/>
      <x:c r="F34" s="90"/>
      <x:c r="G34" s="90"/>
      <x:c r="H34" s="90"/>
      <x:c r="I34" s="90"/>
      <x:c r="J34" s="90"/>
      <x:c r="K34" s="90"/>
      <x:c r="L34" s="90"/>
      <x:c r="M34" s="90"/>
      <x:c r="N34" s="90"/>
      <x:c r="O34" s="90"/>
      <x:c r="P34" s="90"/>
      <x:c r="Q34" s="90"/>
    </x:row>
    <x:row r="35" spans="1:19" ht="12.75" customHeight="1" x14ac:dyDescent="0.2">
      <x:c r="A35" s="89"/>
      <x:c r="E35" s="90"/>
      <x:c r="F35" s="90"/>
      <x:c r="G35" s="90"/>
      <x:c r="H35" s="90"/>
      <x:c r="I35" s="90"/>
      <x:c r="J35" s="90"/>
      <x:c r="K35" s="90"/>
      <x:c r="L35" s="90"/>
      <x:c r="M35" s="90"/>
      <x:c r="N35" s="90"/>
      <x:c r="O35" s="90"/>
      <x:c r="P35" s="90"/>
      <x:c r="Q35" s="90"/>
    </x:row>
    <x:row r="36" spans="1:19" ht="12.75" hidden="1" customHeight="1" x14ac:dyDescent="0.2">
      <x:c r="A36" s="89"/>
      <x:c r="E36" s="90"/>
      <x:c r="F36" s="90"/>
      <x:c r="G36" s="90"/>
      <x:c r="H36" s="90"/>
      <x:c r="I36" s="90"/>
      <x:c r="J36" s="90"/>
      <x:c r="K36" s="90"/>
      <x:c r="L36" s="90"/>
      <x:c r="M36" s="90"/>
      <x:c r="N36" s="90"/>
      <x:c r="O36" s="90"/>
      <x:c r="P36" s="90"/>
      <x:c r="Q36" s="90"/>
    </x:row>
    <x:row r="37" spans="1:19" ht="12.75" hidden="1" customHeight="1" x14ac:dyDescent="0.2">
      <x:c r="A37" s="89"/>
      <x:c r="E37" s="90"/>
      <x:c r="F37" s="90"/>
      <x:c r="G37" s="90"/>
      <x:c r="H37" s="90"/>
      <x:c r="I37" s="90"/>
      <x:c r="J37" s="90"/>
      <x:c r="K37" s="90"/>
      <x:c r="L37" s="90"/>
      <x:c r="M37" s="90"/>
      <x:c r="N37" s="90"/>
      <x:c r="O37" s="90"/>
      <x:c r="P37" s="90"/>
      <x:c r="Q37" s="90"/>
    </x:row>
    <x:row r="38" spans="1:19" ht="12.75" hidden="1" customHeight="1" x14ac:dyDescent="0.2">
      <x:c r="A38" s="89"/>
      <x:c r="E38" s="90"/>
      <x:c r="F38" s="90"/>
      <x:c r="G38" s="90"/>
      <x:c r="H38" s="90"/>
      <x:c r="I38" s="90"/>
      <x:c r="J38" s="90"/>
      <x:c r="K38" s="90"/>
      <x:c r="L38" s="90"/>
      <x:c r="M38" s="90"/>
      <x:c r="N38" s="90"/>
      <x:c r="O38" s="90"/>
      <x:c r="P38" s="90"/>
      <x:c r="Q38" s="90"/>
    </x:row>
    <x:row r="39" spans="1:19" ht="12.75" hidden="1" customHeight="1" x14ac:dyDescent="0.2">
      <x:c r="A39" s="89"/>
      <x:c r="E39" s="90"/>
      <x:c r="F39" s="90"/>
      <x:c r="G39" s="90"/>
      <x:c r="H39" s="90"/>
      <x:c r="I39" s="90"/>
      <x:c r="J39" s="90"/>
      <x:c r="K39" s="90"/>
      <x:c r="L39" s="90"/>
      <x:c r="M39" s="90"/>
      <x:c r="N39" s="90"/>
      <x:c r="O39" s="90"/>
      <x:c r="P39" s="90"/>
      <x:c r="Q39" s="90"/>
    </x:row>
    <x:row r="40" spans="1:19" ht="12.75" hidden="1" customHeight="1" x14ac:dyDescent="0.2">
      <x:c r="A40" s="89"/>
      <x:c r="E40" s="90"/>
      <x:c r="F40" s="90"/>
      <x:c r="G40" s="90"/>
      <x:c r="H40" s="90"/>
      <x:c r="I40" s="90"/>
      <x:c r="J40" s="90"/>
      <x:c r="K40" s="90"/>
      <x:c r="L40" s="90"/>
      <x:c r="M40" s="90"/>
      <x:c r="N40" s="90"/>
      <x:c r="O40" s="90"/>
      <x:c r="P40" s="90"/>
      <x:c r="Q40" s="90"/>
    </x:row>
    <x:row r="41" spans="1:19" ht="12.75" hidden="1" customHeight="1" x14ac:dyDescent="0.2">
      <x:c r="A41" s="89"/>
      <x:c r="E41" s="90"/>
      <x:c r="F41" s="90"/>
      <x:c r="G41" s="90"/>
      <x:c r="H41" s="90"/>
      <x:c r="I41" s="90"/>
      <x:c r="J41" s="90"/>
      <x:c r="K41" s="90"/>
      <x:c r="L41" s="90"/>
      <x:c r="M41" s="90"/>
      <x:c r="N41" s="90"/>
      <x:c r="O41" s="90"/>
      <x:c r="P41" s="90"/>
      <x:c r="Q41" s="90"/>
    </x:row>
    <x:row r="42" spans="1:19" ht="12.75" hidden="1" customHeight="1" x14ac:dyDescent="0.2">
      <x:c r="A42" s="89"/>
      <x:c r="E42" s="90"/>
      <x:c r="F42" s="90"/>
      <x:c r="G42" s="90"/>
      <x:c r="H42" s="90"/>
      <x:c r="I42" s="90"/>
      <x:c r="J42" s="90"/>
      <x:c r="K42" s="90"/>
      <x:c r="L42" s="90"/>
      <x:c r="M42" s="90"/>
      <x:c r="N42" s="90"/>
      <x:c r="O42" s="90"/>
      <x:c r="P42" s="90"/>
      <x:c r="Q42" s="90"/>
    </x:row>
    <x:row r="43" spans="1:19" ht="12.75" hidden="1" customHeight="1" x14ac:dyDescent="0.2">
      <x:c r="A43" s="89"/>
      <x:c r="E43" s="90"/>
      <x:c r="F43" s="90"/>
      <x:c r="G43" s="90"/>
      <x:c r="H43" s="90"/>
      <x:c r="I43" s="90"/>
      <x:c r="J43" s="90"/>
      <x:c r="K43" s="90"/>
      <x:c r="L43" s="90"/>
      <x:c r="M43" s="90"/>
      <x:c r="N43" s="90"/>
      <x:c r="O43" s="90"/>
      <x:c r="P43" s="90"/>
      <x:c r="Q43" s="90"/>
    </x:row>
    <x:row r="44" spans="1:19" ht="12.75" hidden="1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customHeight="1" x14ac:dyDescent="0.2">
      <x:c r="B47" s="778" t="s">
        <x:v>2</x:v>
      </x:c>
      <x:c r="C47" s="775" t="s">
        <x:v>132</x:v>
      </x:c>
      <x:c r="D47" s="98" t="s">
        <x:v>70</x:v>
      </x:c>
      <x:c r="E47" s="100">
        <x:f>E21+E32-K21</x:f>
        <x:v>0</x:v>
      </x:c>
      <x:c r="F47" s="100">
        <x:f>F21</x:f>
        <x:v>0</x:v>
      </x:c>
      <x:c r="G47" s="100">
        <x:f t="shared" ref="G47:S47" si="0">G21</x:f>
        <x:v>0</x:v>
      </x:c>
      <x:c r="H47" s="100">
        <x:f t="shared" si="0"/>
        <x:v>0</x:v>
      </x:c>
      <x:c r="I47" s="100">
        <x:f t="shared" si="0"/>
        <x:v>0</x:v>
      </x:c>
      <x:c r="J47" s="100">
        <x:f t="shared" si="0"/>
        <x:v>0</x:v>
      </x:c>
      <x:c r="K47" s="100">
        <x:f t="shared" si="0"/>
        <x:v>0</x:v>
      </x:c>
      <x:c r="L47" s="100">
        <x:f t="shared" si="0"/>
        <x:v>0</x:v>
      </x:c>
      <x:c r="M47" s="100">
        <x:f t="shared" si="0"/>
        <x:v>0</x:v>
      </x:c>
      <x:c r="N47" s="100">
        <x:f t="shared" si="0"/>
        <x:v>0</x:v>
      </x:c>
      <x:c r="O47" s="100">
        <x:f t="shared" si="0"/>
        <x:v>0</x:v>
      </x:c>
      <x:c r="P47" s="100">
        <x:f t="shared" si="0"/>
        <x:v>0</x:v>
      </x:c>
      <x:c r="Q47" s="100">
        <x:f t="shared" si="0"/>
        <x:v>0</x:v>
      </x:c>
      <x:c r="R47" s="100">
        <x:f t="shared" si="0"/>
        <x:v>0</x:v>
      </x:c>
      <x:c r="S47" s="100">
        <x:f t="shared" si="0"/>
        <x:v>0</x:v>
      </x:c>
    </x:row>
    <x:row r="48" spans="1:19" ht="12.75" customHeight="1" x14ac:dyDescent="0.2">
      <x:c r="B48" s="778"/>
      <x:c r="C48" s="775"/>
      <x:c r="D48" s="98" t="s">
        <x:v>73</x:v>
      </x:c>
      <x:c r="E48" s="100">
        <x:f>E32</x:f>
        <x:v>0</x:v>
      </x:c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  <x:c r="R48" s="90"/>
      <x:c r="S48" s="90"/>
    </x:row>
    <x:row r="49" spans="1:19" ht="12.75" customHeight="1" x14ac:dyDescent="0.2">
      <x:c r="A49" s="89"/>
      <x:c r="B49" s="97"/>
      <x:c r="E49" s="371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  <x:c r="R49" s="90"/>
      <x:c r="S49" s="90"/>
    </x:row>
    <x:row r="50" spans="1:19" ht="12.75" customHeight="1" x14ac:dyDescent="0.2">
      <x:c r="B50" s="778" t="s">
        <x:v>160</x:v>
      </x:c>
      <x:c r="C50" s="775" t="s">
        <x:v>132</x:v>
      </x:c>
      <x:c r="D50" s="223" t="s">
        <x:v>70</x:v>
      </x:c>
      <x:c r="E50" s="225">
        <x:v>0</x:v>
      </x:c>
      <x:c r="F50" s="225">
        <x:v>0</x:v>
      </x:c>
      <x:c r="G50" s="225">
        <x:v>0</x:v>
      </x:c>
      <x:c r="H50" s="225">
        <x:v>0</x:v>
      </x:c>
      <x:c r="I50" s="225">
        <x:v>0</x:v>
      </x:c>
      <x:c r="J50" s="225">
        <x:v>0</x:v>
      </x:c>
      <x:c r="K50" s="225">
        <x:v>0</x:v>
      </x:c>
      <x:c r="L50" s="225">
        <x:v>0</x:v>
      </x:c>
      <x:c r="M50" s="225">
        <x:v>0</x:v>
      </x:c>
      <x:c r="N50" s="225">
        <x:v>0</x:v>
      </x:c>
      <x:c r="O50" s="225">
        <x:v>0</x:v>
      </x:c>
      <x:c r="P50" s="225">
        <x:v>0</x:v>
      </x:c>
      <x:c r="Q50" s="225">
        <x:v>0</x:v>
      </x:c>
      <x:c r="R50" s="225">
        <x:v>0</x:v>
      </x:c>
      <x:c r="S50" s="225">
        <x:v>0</x:v>
      </x:c>
    </x:row>
    <x:row r="51" spans="1:19" ht="12.75" customHeight="1" x14ac:dyDescent="0.2">
      <x:c r="B51" s="778"/>
      <x:c r="C51" s="775"/>
      <x:c r="D51" s="223" t="s">
        <x:v>73</x:v>
      </x:c>
      <x:c r="E51" s="225">
        <x:v>0</x:v>
      </x:c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  <x:c r="R51" s="90"/>
      <x:c r="S51" s="90"/>
    </x:row>
    <x:row r="52" spans="1:19" ht="12.75" customHeight="1" x14ac:dyDescent="0.2">
      <x:c r="A52" s="89"/>
      <x:c r="B52" s="97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  <x:c r="R52" s="90"/>
      <x:c r="S52" s="90"/>
    </x:row>
    <x:row r="53" spans="1:19" ht="12.75" customHeight="1" x14ac:dyDescent="0.2">
      <x:c r="B53" s="778" t="s">
        <x:v>155</x:v>
      </x:c>
      <x:c r="C53" s="775" t="s">
        <x:v>132</x:v>
      </x:c>
      <x:c r="D53" s="221" t="s">
        <x:v>70</x:v>
      </x:c>
      <x:c r="E53" s="222">
        <x:f>E24+E10+E6-K6-K10</x:f>
        <x:v>0</x:v>
      </x:c>
      <x:c r="F53" s="222">
        <x:f>F10+F6</x:f>
        <x:v>0</x:v>
      </x:c>
      <x:c r="G53" s="222">
        <x:f t="shared" ref="G53:S53" si="1">G10+G6</x:f>
        <x:v>0</x:v>
      </x:c>
      <x:c r="H53" s="222">
        <x:f t="shared" si="1"/>
        <x:v>0</x:v>
      </x:c>
      <x:c r="I53" s="222">
        <x:f t="shared" si="1"/>
        <x:v>0</x:v>
      </x:c>
      <x:c r="J53" s="222">
        <x:f t="shared" si="1"/>
        <x:v>0</x:v>
      </x:c>
      <x:c r="K53" s="222">
        <x:f t="shared" si="1"/>
        <x:v>0</x:v>
      </x:c>
      <x:c r="L53" s="222">
        <x:f t="shared" si="1"/>
        <x:v>0</x:v>
      </x:c>
      <x:c r="M53" s="222">
        <x:f t="shared" si="1"/>
        <x:v>0</x:v>
      </x:c>
      <x:c r="N53" s="222">
        <x:f t="shared" si="1"/>
        <x:v>0</x:v>
      </x:c>
      <x:c r="O53" s="222">
        <x:f t="shared" si="1"/>
        <x:v>0</x:v>
      </x:c>
      <x:c r="P53" s="222">
        <x:f t="shared" si="1"/>
        <x:v>0</x:v>
      </x:c>
      <x:c r="Q53" s="222">
        <x:f t="shared" si="1"/>
        <x:v>0</x:v>
      </x:c>
      <x:c r="R53" s="222">
        <x:f t="shared" si="1"/>
        <x:v>0</x:v>
      </x:c>
      <x:c r="S53" s="222">
        <x:f t="shared" si="1"/>
        <x:v>0</x:v>
      </x:c>
    </x:row>
    <x:row r="54" spans="1:19" ht="12.75" customHeight="1" x14ac:dyDescent="0.2">
      <x:c r="B54" s="778"/>
      <x:c r="C54" s="775"/>
      <x:c r="D54" s="221" t="s">
        <x:v>73</x:v>
      </x:c>
      <x:c r="E54" s="222">
        <x:f>E24</x:f>
        <x:v>0</x:v>
      </x:c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  <x:c r="R54" s="90"/>
      <x:c r="S54" s="90"/>
    </x:row>
    <x:row r="55" spans="1:19" ht="12.75" customHeight="1" x14ac:dyDescent="0.2">
      <x:c r="A55" s="89"/>
      <x:c r="B55" s="97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  <x:c r="R55" s="90"/>
      <x:c r="S55" s="90"/>
    </x:row>
    <x:row r="56" spans="1:19" ht="12.75" customHeight="1" x14ac:dyDescent="0.2">
      <x:c r="B56" s="776" t="s">
        <x:v>326</x:v>
      </x:c>
      <x:c r="C56" s="775" t="s">
        <x:v>132</x:v>
      </x:c>
      <x:c r="D56" s="373" t="s">
        <x:v>70</x:v>
      </x:c>
      <x:c r="E56" s="374">
        <x:v>0</x:v>
      </x:c>
      <x:c r="F56" s="374">
        <x:v>0</x:v>
      </x:c>
      <x:c r="G56" s="374">
        <x:v>0</x:v>
      </x:c>
      <x:c r="H56" s="374">
        <x:v>0</x:v>
      </x:c>
      <x:c r="I56" s="374">
        <x:v>0</x:v>
      </x:c>
      <x:c r="J56" s="374">
        <x:v>0</x:v>
      </x:c>
      <x:c r="K56" s="374">
        <x:v>0</x:v>
      </x:c>
      <x:c r="L56" s="374">
        <x:v>0</x:v>
      </x:c>
      <x:c r="M56" s="374">
        <x:v>0</x:v>
      </x:c>
      <x:c r="N56" s="374">
        <x:v>0</x:v>
      </x:c>
      <x:c r="O56" s="374">
        <x:v>0</x:v>
      </x:c>
      <x:c r="P56" s="374">
        <x:v>0</x:v>
      </x:c>
      <x:c r="Q56" s="374">
        <x:v>0</x:v>
      </x:c>
      <x:c r="R56" s="374">
        <x:v>0</x:v>
      </x:c>
    </x:row>
    <x:row r="57" spans="1:19" ht="12.75" customHeight="1" x14ac:dyDescent="0.2">
      <x:c r="B57" s="776"/>
      <x:c r="C57" s="775"/>
      <x:c r="D57" s="373" t="s">
        <x:v>73</x:v>
      </x:c>
      <x:c r="E57" s="374">
        <x:v>0</x:v>
      </x:c>
      <x:c r="F57" s="90"/>
      <x:c r="G57" s="90"/>
      <x:c r="H57" s="90"/>
      <x:c r="I57" s="90"/>
      <x:c r="J57" s="90"/>
      <x:c r="K57" s="90"/>
      <x:c r="L57" s="90"/>
      <x:c r="M57" s="90"/>
      <x:c r="N57" s="90"/>
      <x:c r="O57" s="90"/>
      <x:c r="P57" s="90"/>
      <x:c r="Q57" s="90"/>
      <x:c r="R57" s="90"/>
    </x:row>
    <x:row r="58" spans="1:19" ht="12.75" customHeight="1" x14ac:dyDescent="0.2">
      <x:c r="A58" s="89"/>
      <x:c r="B58" s="97"/>
      <x:c r="E58" s="90"/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B59" s="778" t="s">
        <x:v>119</x:v>
      </x:c>
      <x:c r="C59" s="775" t="s">
        <x:v>132</x:v>
      </x:c>
      <x:c r="D59" s="101" t="s">
        <x:v>70</x:v>
      </x:c>
      <x:c r="E59" s="93">
        <x:f>E20+E31-K20</x:f>
        <x:v>0</x:v>
      </x:c>
      <x:c r="F59" s="93">
        <x:f>F20</x:f>
        <x:v>0</x:v>
      </x:c>
      <x:c r="G59" s="93">
        <x:f t="shared" ref="G59:S59" si="2">G20</x:f>
        <x:v>0</x:v>
      </x:c>
      <x:c r="H59" s="93">
        <x:f t="shared" si="2"/>
        <x:v>0</x:v>
      </x:c>
      <x:c r="I59" s="93">
        <x:f t="shared" si="2"/>
        <x:v>0</x:v>
      </x:c>
      <x:c r="J59" s="93">
        <x:f t="shared" si="2"/>
        <x:v>0</x:v>
      </x:c>
      <x:c r="K59" s="93">
        <x:f t="shared" si="2"/>
        <x:v>0</x:v>
      </x:c>
      <x:c r="L59" s="93">
        <x:f t="shared" si="2"/>
        <x:v>0</x:v>
      </x:c>
      <x:c r="M59" s="93">
        <x:f t="shared" si="2"/>
        <x:v>0</x:v>
      </x:c>
      <x:c r="N59" s="93">
        <x:f t="shared" si="2"/>
        <x:v>0</x:v>
      </x:c>
      <x:c r="O59" s="93">
        <x:f t="shared" si="2"/>
        <x:v>0</x:v>
      </x:c>
      <x:c r="P59" s="93">
        <x:f t="shared" si="2"/>
        <x:v>0</x:v>
      </x:c>
      <x:c r="Q59" s="93">
        <x:f t="shared" si="2"/>
        <x:v>0</x:v>
      </x:c>
      <x:c r="R59" s="93">
        <x:f t="shared" si="2"/>
        <x:v>0</x:v>
      </x:c>
      <x:c r="S59" s="93">
        <x:f t="shared" si="2"/>
        <x:v>0</x:v>
      </x:c>
    </x:row>
    <x:row r="60" spans="1:19" ht="12.75" customHeight="1" x14ac:dyDescent="0.2">
      <x:c r="B60" s="778"/>
      <x:c r="C60" s="775"/>
      <x:c r="D60" s="101" t="s">
        <x:v>73</x:v>
      </x:c>
      <x:c r="E60" s="93">
        <x:f>E31</x:f>
        <x:v>0</x:v>
      </x:c>
      <x:c r="F60" s="90"/>
      <x:c r="G60" s="90"/>
      <x:c r="H60" s="90"/>
      <x:c r="I60" s="90"/>
      <x:c r="J60" s="90"/>
      <x:c r="K60" s="90"/>
      <x:c r="L60" s="90"/>
      <x:c r="M60" s="90"/>
      <x:c r="N60" s="90"/>
      <x:c r="O60" s="90"/>
      <x:c r="P60" s="90"/>
      <x:c r="Q60" s="90"/>
      <x:c r="R60" s="90"/>
      <x:c r="S60" s="90"/>
    </x:row>
    <x:row r="61" spans="1:19" ht="12.75" customHeight="1" x14ac:dyDescent="0.2">
      <x:c r="A61" s="89"/>
      <x:c r="B61" s="97"/>
      <x:c r="E61" s="90"/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B62" s="777" t="s">
        <x:v>161</x:v>
      </x:c>
      <x:c r="C62" s="775" t="s">
        <x:v>132</x:v>
      </x:c>
      <x:c r="D62" s="231" t="s">
        <x:v>70</x:v>
      </x:c>
      <x:c r="E62" s="232">
        <x:v>0</x:v>
      </x:c>
      <x:c r="F62" s="232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</x:row>
    <x:row r="63" spans="1:19" ht="12.75" customHeight="1" x14ac:dyDescent="0.2">
      <x:c r="B63" s="777"/>
      <x:c r="C63" s="775"/>
      <x:c r="D63" s="231" t="s">
        <x:v>73</x:v>
      </x:c>
      <x:c r="E63" s="232">
        <x:v>0</x:v>
      </x:c>
      <x:c r="F63" s="90"/>
      <x:c r="G63" s="90"/>
      <x:c r="H63" s="90"/>
      <x:c r="I63" s="90"/>
      <x:c r="J63" s="90"/>
      <x:c r="K63" s="90"/>
      <x:c r="L63" s="90"/>
      <x:c r="M63" s="90"/>
      <x:c r="N63" s="90"/>
      <x:c r="O63" s="90"/>
      <x:c r="P63" s="90"/>
      <x:c r="Q63" s="90"/>
      <x:c r="R63" s="90"/>
    </x:row>
    <x:row r="64" spans="1:19" s="238" customFormat="1" x14ac:dyDescent="0.2"/>
    <x:row r="65" spans="2:18" x14ac:dyDescent="0.2">
      <x:c r="B65" s="97" t="s">
        <x:v>75</x:v>
      </x:c>
    </x:row>
    <x:row r="66" spans="2:18" ht="12.75" customHeight="1" x14ac:dyDescent="0.2">
      <x:c r="E66" s="89" t="s">
        <x:v>70</x:v>
      </x:c>
      <x:c r="F66" s="89" t="s">
        <x:v>64</x:v>
      </x:c>
      <x:c r="G66" s="89" t="s">
        <x:v>65</x:v>
      </x:c>
      <x:c r="H66" s="219" t="s">
        <x:v>164</x:v>
      </x:c>
      <x:c r="I66" s="89" t="s">
        <x:v>69</x:v>
      </x:c>
      <x:c r="J66" s="89" t="s">
        <x:v>68</x:v>
      </x:c>
      <x:c r="K66" s="89" t="s">
        <x:v>83</x:v>
      </x:c>
      <x:c r="L66" s="89" t="s">
        <x:v>66</x:v>
      </x:c>
      <x:c r="M66" s="89" t="s">
        <x:v>63</x:v>
      </x:c>
      <x:c r="N66" s="89" t="s">
        <x:v>61</x:v>
      </x:c>
      <x:c r="O66" s="89" t="s">
        <x:v>62</x:v>
      </x:c>
      <x:c r="P66" s="89" t="s">
        <x:v>67</x:v>
      </x:c>
      <x:c r="Q66" s="89" t="s">
        <x:v>84</x:v>
      </x:c>
      <x:c r="R66" s="384" t="s">
        <x:v>225</x:v>
      </x:c>
    </x:row>
    <x:row r="67" spans="2:18" ht="12.75" customHeight="1" x14ac:dyDescent="0.2">
      <x:c r="D67" s="89" t="s">
        <x:v>72</x:v>
      </x:c>
      <x:c r="E67" s="371">
        <x:v>0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>
        <x:v>0</x:v>
      </x:c>
    </x:row>
    <x:row r="68" spans="2:18" ht="12.75" customHeight="1" x14ac:dyDescent="0.2">
      <x:c r="D68" t="s">
        <x:v>81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</x:row>
    <x:row r="69" spans="2:18" ht="12.75" customHeight="1" x14ac:dyDescent="0.2">
      <x:c r="C69" t="s">
        <x:v>332</x:v>
      </x:c>
      <x:c r="D69" s="89" t="s">
        <x:v>70</x:v>
      </x:c>
      <x:c r="E69" s="371">
        <x:v>0</x:v>
      </x:c>
      <x:c r="F69" s="90">
        <x:v>0</x:v>
      </x:c>
      <x:c r="G69" s="90">
        <x:v>0</x:v>
      </x:c>
      <x:c r="H69" s="90">
        <x:v>0</x:v>
      </x:c>
      <x:c r="I69" s="90">
        <x:v>0</x:v>
      </x:c>
      <x:c r="J69" s="90">
        <x:v>0</x:v>
      </x:c>
      <x:c r="K69" s="90">
        <x:v>0</x:v>
      </x:c>
      <x:c r="L69" s="90">
        <x:v>0</x:v>
      </x:c>
      <x:c r="M69" s="90">
        <x:v>0</x:v>
      </x:c>
      <x:c r="N69" s="90">
        <x:v>0</x:v>
      </x:c>
      <x:c r="O69" s="90">
        <x:v>0</x:v>
      </x:c>
      <x:c r="P69" s="90">
        <x:v>0</x:v>
      </x:c>
      <x:c r="Q69" s="90">
        <x:v>0</x:v>
      </x:c>
      <x:c r="R69">
        <x:v>0</x:v>
      </x:c>
    </x:row>
    <x:row r="70" spans="2:18" s="739" customFormat="1" ht="12.75" customHeight="1" x14ac:dyDescent="0.2">
      <x:c r="B70" s="739" t="s">
        <x:v>85</x:v>
      </x:c>
      <x:c r="C70" s="739" t="s">
        <x:v>70</x:v>
      </x:c>
      <x:c r="D70" s="231"/>
      <x:c r="E70" s="740">
        <x:v>0</x:v>
      </x:c>
      <x:c r="F70" s="232">
        <x:v>0</x:v>
      </x:c>
      <x:c r="G70" s="232">
        <x:v>0</x:v>
      </x:c>
      <x:c r="H70" s="232">
        <x:v>0</x:v>
      </x:c>
      <x:c r="I70" s="232">
        <x:v>0</x:v>
      </x:c>
      <x:c r="J70" s="232">
        <x:v>0</x:v>
      </x:c>
      <x:c r="K70" s="232">
        <x:v>0</x:v>
      </x:c>
      <x:c r="L70" s="232">
        <x:v>0</x:v>
      </x:c>
      <x:c r="M70" s="232">
        <x:v>0</x:v>
      </x:c>
      <x:c r="N70" s="232">
        <x:v>0</x:v>
      </x:c>
      <x:c r="O70" s="232">
        <x:v>0</x:v>
      </x:c>
      <x:c r="P70" s="232">
        <x:v>0</x:v>
      </x:c>
      <x:c r="Q70" s="232">
        <x:v>0</x:v>
      </x:c>
      <x:c r="R70" s="739">
        <x:v>0</x:v>
      </x:c>
    </x:row>
    <x:row r="71" spans="2:18" ht="12.75" customHeight="1" x14ac:dyDescent="0.2">
      <x:c r="B71" s="142"/>
      <x:c r="D71" s="89" t="s">
        <x:v>72</x:v>
      </x:c>
      <x:c r="E71" s="90" t="n">
        <x:v>71702408.71</x:v>
      </x:c>
      <x:c r="F71" s="90" t="n">
        <x:v>4119196.88</x:v>
      </x:c>
      <x:c r="G71" s="90" t="n">
        <x:v>2445784.34</x:v>
      </x:c>
      <x:c r="H71" s="90" t="n">
        <x:v>988499.28</x:v>
      </x:c>
      <x:c r="I71" s="90" t="n">
        <x:v>18958221.46</x:v>
      </x:c>
      <x:c r="J71" s="90" t="n">
        <x:v>632942.16</x:v>
      </x:c>
      <x:c r="K71" s="90" t="n">
        <x:v>0</x:v>
      </x:c>
      <x:c r="L71" s="90" t="n">
        <x:v>5923929.5</x:v>
      </x:c>
      <x:c r="M71" s="90" t="n">
        <x:v>5752498.05</x:v>
      </x:c>
      <x:c r="N71" s="90" t="n">
        <x:v>23264098.65</x:v>
      </x:c>
      <x:c r="O71" s="90" t="n">
        <x:v>8731555.56</x:v>
      </x:c>
      <x:c r="P71" s="90" t="n">
        <x:v>885560.39</x:v>
      </x:c>
      <x:c r="Q71" s="90" t="n">
        <x:v>122.44</x:v>
      </x:c>
      <x:c r="R71" t="n">
        <x:v>0</x:v>
      </x:c>
    </x:row>
    <x:row r="72" spans="2:18" ht="12.75" customHeight="1" x14ac:dyDescent="0.2">
      <x:c r="B72" s="142"/>
      <x:c r="D72" s="89" t="s">
        <x:v>81</x:v>
      </x:c>
      <x:c r="E72" s="90" t="n">
        <x:v>95038.85</x:v>
      </x:c>
      <x:c r="F72" s="90" t="n">
        <x:v>9024.33</x:v>
      </x:c>
      <x:c r="G72" s="90" t="n">
        <x:v>4730.41</x:v>
      </x:c>
      <x:c r="H72" s="90" t="n">
        <x:v>2571.82</x:v>
      </x:c>
      <x:c r="I72" s="90" t="n">
        <x:v>19131.48</x:v>
      </x:c>
      <x:c r="J72" s="90" t="n">
        <x:v>648.99</x:v>
      </x:c>
      <x:c r="K72" s="90" t="n">
        <x:v>0</x:v>
      </x:c>
      <x:c r="L72" s="90" t="n">
        <x:v>5659.74</x:v>
      </x:c>
      <x:c r="M72" s="90" t="n">
        <x:v>6117.92</x:v>
      </x:c>
      <x:c r="N72" s="90" t="n">
        <x:v>28047</x:v>
      </x:c>
      <x:c r="O72" s="90" t="n">
        <x:v>18026.08</x:v>
      </x:c>
      <x:c r="P72" s="90" t="n">
        <x:v>1059.27</x:v>
      </x:c>
      <x:c r="Q72" s="90" t="n">
        <x:v>21.81</x:v>
      </x:c>
      <x:c r="R72" t="n">
        <x:v>0</x:v>
      </x:c>
    </x:row>
    <x:row r="73" spans="2:18" ht="12.75" customHeight="1" x14ac:dyDescent="0.2">
      <x:c r="B73" s="142"/>
      <x:c r="C73" t="s">
        <x:v>156</x:v>
      </x:c>
      <x:c r="D73" s="89" t="s">
        <x:v>70</x:v>
      </x:c>
      <x:c r="E73" s="371" t="n">
        <x:v>71797447.56</x:v>
      </x:c>
      <x:c r="F73" s="90" t="n">
        <x:v>4128221.21</x:v>
      </x:c>
      <x:c r="G73" s="90" t="n">
        <x:v>2450514.75</x:v>
      </x:c>
      <x:c r="H73" s="90" t="n">
        <x:v>991071.1</x:v>
      </x:c>
      <x:c r="I73" s="90" t="n">
        <x:v>18977352.94</x:v>
      </x:c>
      <x:c r="J73" s="90" t="n">
        <x:v>633591.15</x:v>
      </x:c>
      <x:c r="K73" s="90" t="n">
        <x:v>0</x:v>
      </x:c>
      <x:c r="L73" s="90" t="n">
        <x:v>5929589.24</x:v>
      </x:c>
      <x:c r="M73" s="90" t="n">
        <x:v>5758615.97</x:v>
      </x:c>
      <x:c r="N73" s="90" t="n">
        <x:v>23292145.65</x:v>
      </x:c>
      <x:c r="O73" s="90" t="n">
        <x:v>8749581.64</x:v>
      </x:c>
      <x:c r="P73" s="90" t="n">
        <x:v>886619.66</x:v>
      </x:c>
      <x:c r="Q73" s="90" t="n">
        <x:v>144.25</x:v>
      </x:c>
      <x:c r="R73" t="n">
        <x:v>0</x:v>
      </x:c>
    </x:row>
    <x:row r="74" spans="2:18" s="286" customFormat="1" ht="12.75" customHeight="1" x14ac:dyDescent="0.2">
      <x:c r="B74" s="751" t="s">
        <x:v>155</x:v>
      </x:c>
      <x:c r="C74" s="286" t="s">
        <x:v>70</x:v>
      </x:c>
      <x:c r="D74" s="229"/>
      <x:c r="E74" s="752" t="n">
        <x:v>71797447.56</x:v>
      </x:c>
      <x:c r="F74" s="230" t="n">
        <x:v>4128221.21</x:v>
      </x:c>
      <x:c r="G74" s="230" t="n">
        <x:v>2450514.75</x:v>
      </x:c>
      <x:c r="H74" s="230" t="n">
        <x:v>991071.1</x:v>
      </x:c>
      <x:c r="I74" s="230" t="n">
        <x:v>18977352.94</x:v>
      </x:c>
      <x:c r="J74" s="230" t="n">
        <x:v>633591.15</x:v>
      </x:c>
      <x:c r="K74" s="230" t="n">
        <x:v>0</x:v>
      </x:c>
      <x:c r="L74" s="230" t="n">
        <x:v>5929589.24</x:v>
      </x:c>
      <x:c r="M74" s="230" t="n">
        <x:v>5758615.97</x:v>
      </x:c>
      <x:c r="N74" s="230" t="n">
        <x:v>23292145.65</x:v>
      </x:c>
      <x:c r="O74" s="230" t="n">
        <x:v>8749581.64</x:v>
      </x:c>
      <x:c r="P74" s="230" t="n">
        <x:v>886619.66</x:v>
      </x:c>
      <x:c r="Q74" s="230" t="n">
        <x:v>144.25</x:v>
      </x:c>
      <x:c r="R74" s="286" t="n">
        <x:v>0</x:v>
      </x:c>
    </x:row>
    <x:row r="75" spans="2:18" ht="12.6" customHeight="1" x14ac:dyDescent="0.2">
      <x:c r="B75" s="142"/>
      <x:c r="D75" s="89" t="s">
        <x:v>72</x:v>
      </x:c>
      <x:c r="E75" s="371" t="n">
        <x:v>22093258.93</x:v>
      </x:c>
      <x:c r="F75" s="90" t="n">
        <x:v>1421141.73</x:v>
      </x:c>
      <x:c r="G75" s="90" t="n">
        <x:v>778144.37</x:v>
      </x:c>
      <x:c r="H75" s="90" t="n">
        <x:v>342749</x:v>
      </x:c>
      <x:c r="I75" s="90" t="n">
        <x:v>6034872.34</x:v>
      </x:c>
      <x:c r="J75" s="90" t="n">
        <x:v>158457.39</x:v>
      </x:c>
      <x:c r="K75" s="90" t="n">
        <x:v>0</x:v>
      </x:c>
      <x:c r="L75" s="90" t="n">
        <x:v>1458906.22</x:v>
      </x:c>
      <x:c r="M75" s="90" t="n">
        <x:v>1770857.01</x:v>
      </x:c>
      <x:c r="N75" s="90" t="n">
        <x:v>5515356.04</x:v>
      </x:c>
      <x:c r="O75" s="90" t="n">
        <x:v>4418000.63</x:v>
      </x:c>
      <x:c r="P75" s="90" t="n">
        <x:v>194910.48</x:v>
      </x:c>
      <x:c r="Q75" s="90" t="n">
        <x:v>-136.28</x:v>
      </x:c>
      <x:c r="R75" t="n">
        <x:v>0</x:v>
      </x:c>
    </x:row>
    <x:row r="76" spans="2:18" ht="12.75" customHeight="1" x14ac:dyDescent="0.2">
      <x:c r="B76" s="142"/>
      <x:c r="D76" s="89" t="s">
        <x:v>81</x:v>
      </x:c>
      <x:c r="E76" s="371" t="n">
        <x:v>17021.45</x:v>
      </x:c>
      <x:c r="F76" s="90" t="n">
        <x:v>1413.33</x:v>
      </x:c>
      <x:c r="G76" s="90" t="n">
        <x:v>751.77</x:v>
      </x:c>
      <x:c r="H76" s="90" t="n">
        <x:v>431.98</x:v>
      </x:c>
      <x:c r="I76" s="90" t="n">
        <x:v>3886.9</x:v>
      </x:c>
      <x:c r="J76" s="90" t="n">
        <x:v>91.78</x:v>
      </x:c>
      <x:c r="K76" s="90" t="n">
        <x:v>0</x:v>
      </x:c>
      <x:c r="L76" s="90" t="n">
        <x:v>805.04</x:v>
      </x:c>
      <x:c r="M76" s="90" t="n">
        <x:v>1177.57</x:v>
      </x:c>
      <x:c r="N76" s="90" t="n">
        <x:v>5500.97</x:v>
      </x:c>
      <x:c r="O76" s="90" t="n">
        <x:v>2812.31</x:v>
      </x:c>
      <x:c r="P76" s="90" t="n">
        <x:v>149.78</x:v>
      </x:c>
      <x:c r="Q76" s="90" t="n">
        <x:v>0.02</x:v>
      </x:c>
      <x:c r="R76" t="n">
        <x:v>0</x:v>
      </x:c>
    </x:row>
    <x:row r="77" spans="2:18" ht="12.75" customHeight="1" x14ac:dyDescent="0.2">
      <x:c r="B77" s="142"/>
      <x:c r="C77" t="s">
        <x:v>115</x:v>
      </x:c>
      <x:c r="D77" s="89" t="s">
        <x:v>70</x:v>
      </x:c>
      <x:c r="E77" s="90" t="n">
        <x:v>22110280.38</x:v>
      </x:c>
      <x:c r="F77" s="90" t="n">
        <x:v>1422555.06</x:v>
      </x:c>
      <x:c r="G77" s="90" t="n">
        <x:v>778896.14</x:v>
      </x:c>
      <x:c r="H77" s="90" t="n">
        <x:v>343180.98</x:v>
      </x:c>
      <x:c r="I77" s="90" t="n">
        <x:v>6038759.24</x:v>
      </x:c>
      <x:c r="J77" s="90" t="n">
        <x:v>158549.17</x:v>
      </x:c>
      <x:c r="K77" s="90" t="n">
        <x:v>0</x:v>
      </x:c>
      <x:c r="L77" s="90" t="n">
        <x:v>1459711.26</x:v>
      </x:c>
      <x:c r="M77" s="90" t="n">
        <x:v>1772034.58</x:v>
      </x:c>
      <x:c r="N77" s="90" t="n">
        <x:v>5520857.01</x:v>
      </x:c>
      <x:c r="O77" s="90" t="n">
        <x:v>4420812.94</x:v>
      </x:c>
      <x:c r="P77" s="90" t="n">
        <x:v>195060.26</x:v>
      </x:c>
      <x:c r="Q77" s="90" t="n">
        <x:v>-136.26</x:v>
      </x:c>
      <x:c r="R77" t="n">
        <x:v>0</x:v>
      </x:c>
    </x:row>
    <x:row r="78" spans="2:18" ht="12.75" customHeight="1" x14ac:dyDescent="0.2">
      <x:c r="B78" s="142"/>
      <x:c r="C78" s="89"/>
      <x:c r="D78" s="89" t="s">
        <x:v>72</x:v>
      </x:c>
      <x:c r="E78" s="371" t="n">
        <x:v>1616173.63</x:v>
      </x:c>
      <x:c r="F78" s="90" t="n">
        <x:v>90529.5</x:v>
      </x:c>
      <x:c r="G78" s="90" t="n">
        <x:v>47826.83</x:v>
      </x:c>
      <x:c r="H78" s="90" t="n">
        <x:v>24108.87</x:v>
      </x:c>
      <x:c r="I78" s="90" t="n">
        <x:v>433611.64</x:v>
      </x:c>
      <x:c r="J78" s="90" t="n">
        <x:v>13309</x:v>
      </x:c>
      <x:c r="K78" s="90" t="n">
        <x:v>0</x:v>
      </x:c>
      <x:c r="L78" s="90" t="n">
        <x:v>100420.03</x:v>
      </x:c>
      <x:c r="M78" s="90" t="n">
        <x:v>121133.57</x:v>
      </x:c>
      <x:c r="N78" s="90" t="n">
        <x:v>423371.69</x:v>
      </x:c>
      <x:c r="O78" s="90" t="n">
        <x:v>346736.28</x:v>
      </x:c>
      <x:c r="P78" s="90" t="n">
        <x:v>15115.46</x:v>
      </x:c>
      <x:c r="Q78" s="90" t="n">
        <x:v>10.76</x:v>
      </x:c>
      <x:c r="R78" t="n">
        <x:v>0</x:v>
      </x:c>
    </x:row>
    <x:row r="79" spans="2:18" ht="12.75" customHeight="1" x14ac:dyDescent="0.2">
      <x:c r="B79" s="142"/>
      <x:c r="D79" s="89" t="s">
        <x:v>81</x:v>
      </x:c>
      <x:c r="E79" s="371" t="n">
        <x:v>406.42</x:v>
      </x:c>
      <x:c r="F79" s="90" t="n">
        <x:v>41.47</x:v>
      </x:c>
      <x:c r="G79" s="90" t="n">
        <x:v>21.23</x:v>
      </x:c>
      <x:c r="H79" s="90" t="n">
        <x:v>12.67</x:v>
      </x:c>
      <x:c r="I79" s="90" t="n">
        <x:v>83.96</x:v>
      </x:c>
      <x:c r="J79" s="90" t="n">
        <x:v>1.95</x:v>
      </x:c>
      <x:c r="K79" s="90" t="n">
        <x:v>0</x:v>
      </x:c>
      <x:c r="L79" s="90" t="n">
        <x:v>17.12</x:v>
      </x:c>
      <x:c r="M79" s="90" t="n">
        <x:v>25.02</x:v>
      </x:c>
      <x:c r="N79" s="90" t="n">
        <x:v>117.24</x:v>
      </x:c>
      <x:c r="O79" s="90" t="n">
        <x:v>82.58</x:v>
      </x:c>
      <x:c r="P79" s="90" t="n">
        <x:v>3.19</x:v>
      </x:c>
      <x:c r="Q79" s="90" t="n">
        <x:v>-0.01</x:v>
      </x:c>
      <x:c r="R79" t="n">
        <x:v>0</x:v>
      </x:c>
    </x:row>
    <x:row r="80" spans="2:18" ht="12.75" customHeight="1" x14ac:dyDescent="0.2">
      <x:c r="B80" s="142"/>
      <x:c r="C80" s="89" t="s">
        <x:v>116</x:v>
      </x:c>
      <x:c r="D80" s="89" t="s">
        <x:v>70</x:v>
      </x:c>
      <x:c r="E80" s="371" t="n">
        <x:v>1616580.05</x:v>
      </x:c>
      <x:c r="F80" s="90" t="n">
        <x:v>90570.97</x:v>
      </x:c>
      <x:c r="G80" s="90" t="n">
        <x:v>47848.06</x:v>
      </x:c>
      <x:c r="H80" s="90" t="n">
        <x:v>24121.54</x:v>
      </x:c>
      <x:c r="I80" s="90" t="n">
        <x:v>433695.6</x:v>
      </x:c>
      <x:c r="J80" s="90" t="n">
        <x:v>13310.95</x:v>
      </x:c>
      <x:c r="K80" s="90" t="n">
        <x:v>0</x:v>
      </x:c>
      <x:c r="L80" s="90" t="n">
        <x:v>100437.15</x:v>
      </x:c>
      <x:c r="M80" s="90" t="n">
        <x:v>121158.59</x:v>
      </x:c>
      <x:c r="N80" s="90" t="n">
        <x:v>423488.93</x:v>
      </x:c>
      <x:c r="O80" s="90" t="n">
        <x:v>346818.86</x:v>
      </x:c>
      <x:c r="P80" s="90" t="n">
        <x:v>15118.65</x:v>
      </x:c>
      <x:c r="Q80" s="90" t="n">
        <x:v>10.75</x:v>
      </x:c>
      <x:c r="R80" t="n">
        <x:v>0</x:v>
      </x:c>
    </x:row>
    <x:row r="81" spans="2:18" ht="12.75" customHeight="1" x14ac:dyDescent="0.2">
      <x:c r="B81" s="142"/>
      <x:c r="C81" s="89"/>
      <x:c r="D81" s="89" t="s">
        <x:v>72</x:v>
      </x:c>
      <x:c r="E81" s="371">
        <x:v>0</x:v>
      </x:c>
      <x:c r="F81" s="90">
        <x:v>0</x:v>
      </x:c>
      <x:c r="G81" s="90">
        <x:v>0</x:v>
      </x:c>
      <x:c r="H81" s="90">
        <x:v>0</x:v>
      </x:c>
      <x:c r="I81" s="90">
        <x:v>0</x:v>
      </x:c>
      <x:c r="J81" s="90">
        <x:v>0</x:v>
      </x:c>
      <x:c r="K81" s="90">
        <x:v>0</x:v>
      </x:c>
      <x:c r="L81" s="90">
        <x:v>0</x:v>
      </x:c>
      <x:c r="M81" s="90">
        <x:v>0</x:v>
      </x:c>
      <x:c r="N81" s="90">
        <x:v>0</x:v>
      </x:c>
      <x:c r="O81" s="90">
        <x:v>0</x:v>
      </x:c>
      <x:c r="P81" s="90">
        <x:v>0</x:v>
      </x:c>
      <x:c r="Q81" s="90">
        <x:v>0</x:v>
      </x:c>
      <x:c r="R81">
        <x:v>0</x:v>
      </x:c>
    </x:row>
    <x:row r="82" spans="2:18" ht="12.75" customHeight="1" x14ac:dyDescent="0.2">
      <x:c r="B82" s="142"/>
      <x:c r="C82" s="89"/>
      <x:c r="D82" s="89" t="s">
        <x:v>81</x:v>
      </x:c>
      <x:c r="E82" s="371">
        <x:v>0</x:v>
      </x:c>
      <x:c r="F82" s="90">
        <x:v>0</x:v>
      </x:c>
      <x:c r="G82" s="90">
        <x:v>0</x:v>
      </x:c>
      <x:c r="H82" s="90">
        <x:v>0</x:v>
      </x:c>
      <x:c r="I82" s="90">
        <x:v>0</x:v>
      </x:c>
      <x:c r="J82" s="90">
        <x:v>0</x:v>
      </x:c>
      <x:c r="K82" s="90">
        <x:v>0</x:v>
      </x:c>
      <x:c r="L82" s="90">
        <x:v>0</x:v>
      </x:c>
      <x:c r="M82" s="90">
        <x:v>0</x:v>
      </x:c>
      <x:c r="N82" s="90">
        <x:v>0</x:v>
      </x:c>
      <x:c r="O82" s="90">
        <x:v>0</x:v>
      </x:c>
      <x:c r="P82" s="90">
        <x:v>0</x:v>
      </x:c>
      <x:c r="Q82" s="90">
        <x:v>0</x:v>
      </x:c>
      <x:c r="R82">
        <x:v>0</x:v>
      </x:c>
    </x:row>
    <x:row r="83" spans="2:18" ht="12.75" customHeight="1" x14ac:dyDescent="0.2">
      <x:c r="B83" s="142"/>
      <x:c r="C83" s="773">
        <x:v>3</x:v>
      </x:c>
      <x:c r="D83" s="89" t="s">
        <x:v>70</x:v>
      </x:c>
      <x:c r="E83" s="371">
        <x:v>0</x:v>
      </x:c>
      <x:c r="F83" s="90">
        <x:v>0</x:v>
      </x:c>
      <x:c r="G83" s="90">
        <x:v>0</x:v>
      </x:c>
      <x:c r="H83" s="90">
        <x:v>0</x:v>
      </x:c>
      <x:c r="I83" s="90">
        <x:v>0</x:v>
      </x:c>
      <x:c r="J83" s="90">
        <x:v>0</x:v>
      </x:c>
      <x:c r="K83" s="90">
        <x:v>0</x:v>
      </x:c>
      <x:c r="L83" s="90">
        <x:v>0</x:v>
      </x:c>
      <x:c r="M83" s="90">
        <x:v>0</x:v>
      </x:c>
      <x:c r="N83" s="90">
        <x:v>0</x:v>
      </x:c>
      <x:c r="O83" s="90">
        <x:v>0</x:v>
      </x:c>
      <x:c r="P83" s="90">
        <x:v>0</x:v>
      </x:c>
      <x:c r="Q83" s="90">
        <x:v>0</x:v>
      </x:c>
      <x:c r="R83">
        <x:v>0</x:v>
      </x:c>
    </x:row>
    <x:row r="84" spans="2:18" ht="12.75" customHeight="1" x14ac:dyDescent="0.2">
      <x:c r="B84" s="142"/>
      <x:c r="C84" s="89"/>
      <x:c r="D84" s="89" t="s">
        <x:v>72</x:v>
      </x:c>
      <x:c r="E84" s="371" t="n">
        <x:v>27690465.37</x:v>
      </x:c>
      <x:c r="F84" s="90" t="n">
        <x:v>1701572.26</x:v>
      </x:c>
      <x:c r="G84" s="90" t="n">
        <x:v>971553.65</x:v>
      </x:c>
      <x:c r="H84" s="90" t="n">
        <x:v>405189.21</x:v>
      </x:c>
      <x:c r="I84" s="90" t="n">
        <x:v>7839404.57</x:v>
      </x:c>
      <x:c r="J84" s="90" t="n">
        <x:v>234550.49</x:v>
      </x:c>
      <x:c r="K84" s="90" t="n">
        <x:v>0</x:v>
      </x:c>
      <x:c r="L84" s="90" t="n">
        <x:v>2072653.22</x:v>
      </x:c>
      <x:c r="M84" s="90" t="n">
        <x:v>2236559.98</x:v>
      </x:c>
      <x:c r="N84" s="90" t="n">
        <x:v>8259845.44</x:v>
      </x:c>
      <x:c r="O84" s="90" t="n">
        <x:v>3677240.61</x:v>
      </x:c>
      <x:c r="P84" s="90" t="n">
        <x:v>291796.3</x:v>
      </x:c>
      <x:c r="Q84" s="90" t="n">
        <x:v>99.64</x:v>
      </x:c>
      <x:c r="R84" t="n">
        <x:v>0</x:v>
      </x:c>
    </x:row>
    <x:row r="85" spans="2:18" ht="12.75" customHeight="1" x14ac:dyDescent="0.2">
      <x:c r="B85" s="142"/>
      <x:c r="C85" s="89"/>
      <x:c r="D85" s="89" t="s">
        <x:v>81</x:v>
      </x:c>
      <x:c r="E85" s="371" t="n">
        <x:v>220606.32</x:v>
      </x:c>
      <x:c r="F85" s="90" t="n">
        <x:v>2079.3</x:v>
      </x:c>
      <x:c r="G85" s="90" t="n">
        <x:v>1101.6</x:v>
      </x:c>
      <x:c r="H85" s="90" t="n">
        <x:v>634.08</x:v>
      </x:c>
      <x:c r="I85" s="90" t="n">
        <x:v>4056.19</x:v>
      </x:c>
      <x:c r="J85" s="90" t="n">
        <x:v>100.05</x:v>
      </x:c>
      <x:c r="K85" s="90" t="n">
        <x:v>0</x:v>
      </x:c>
      <x:c r="L85" s="90" t="n">
        <x:v>31497.06</x:v>
      </x:c>
      <x:c r="M85" s="90" t="n">
        <x:v>39422.95</x:v>
      </x:c>
      <x:c r="N85" s="90" t="n">
        <x:v>118658.47</x:v>
      </x:c>
      <x:c r="O85" s="90" t="n">
        <x:v>22893.4</x:v>
      </x:c>
      <x:c r="P85" s="90" t="n">
        <x:v>163.27</x:v>
      </x:c>
      <x:c r="Q85" s="90" t="n">
        <x:v>-0.05</x:v>
      </x:c>
      <x:c r="R85" t="n">
        <x:v>0</x:v>
      </x:c>
    </x:row>
    <x:row r="86" spans="2:18" ht="12.75" customHeight="1" x14ac:dyDescent="0.2">
      <x:c r="B86" s="142"/>
      <x:c r="C86" s="89" t="s">
        <x:v>118</x:v>
      </x:c>
      <x:c r="D86" s="89" t="s">
        <x:v>70</x:v>
      </x:c>
      <x:c r="E86" s="371" t="n">
        <x:v>27911071.69</x:v>
      </x:c>
      <x:c r="F86" s="90" t="n">
        <x:v>1703651.56</x:v>
      </x:c>
      <x:c r="G86" s="90" t="n">
        <x:v>972655.25</x:v>
      </x:c>
      <x:c r="H86" s="90" t="n">
        <x:v>405823.29</x:v>
      </x:c>
      <x:c r="I86" s="90" t="n">
        <x:v>7843460.76</x:v>
      </x:c>
      <x:c r="J86" s="90" t="n">
        <x:v>234650.54</x:v>
      </x:c>
      <x:c r="K86" s="90" t="n">
        <x:v>0</x:v>
      </x:c>
      <x:c r="L86" s="90" t="n">
        <x:v>2104150.28</x:v>
      </x:c>
      <x:c r="M86" s="90" t="n">
        <x:v>2275982.93</x:v>
      </x:c>
      <x:c r="N86" s="90" t="n">
        <x:v>8378503.91</x:v>
      </x:c>
      <x:c r="O86" s="90" t="n">
        <x:v>3700134.01</x:v>
      </x:c>
      <x:c r="P86" s="90" t="n">
        <x:v>291959.57</x:v>
      </x:c>
      <x:c r="Q86" s="90" t="n">
        <x:v>99.59</x:v>
      </x:c>
      <x:c r="R86" t="n">
        <x:v>0</x:v>
      </x:c>
    </x:row>
    <x:row r="87" spans="2:18" ht="12.75" customHeight="1" x14ac:dyDescent="0.2">
      <x:c r="B87" s="142"/>
      <x:c r="C87" s="89"/>
      <x:c r="D87" s="89" t="s">
        <x:v>72</x:v>
      </x:c>
      <x:c r="E87" s="371" t="n">
        <x:v>831919.29</x:v>
      </x:c>
      <x:c r="F87" s="90" t="n">
        <x:v>0</x:v>
      </x:c>
      <x:c r="G87" s="90" t="n">
        <x:v>0</x:v>
      </x:c>
      <x:c r="H87" s="90" t="n">
        <x:v>0</x:v>
      </x:c>
      <x:c r="I87" s="90" t="n">
        <x:v>0</x:v>
      </x:c>
      <x:c r="J87" s="90" t="n">
        <x:v>0</x:v>
      </x:c>
      <x:c r="K87" s="90" t="n">
        <x:v>0</x:v>
      </x:c>
      <x:c r="L87" s="90" t="n">
        <x:v>4321.14</x:v>
      </x:c>
      <x:c r="M87" s="90" t="n">
        <x:v>6126.52</x:v>
      </x:c>
      <x:c r="N87" s="90" t="n">
        <x:v>6629.52</x:v>
      </x:c>
      <x:c r="O87" s="90" t="n">
        <x:v>814845.14</x:v>
      </x:c>
      <x:c r="P87" s="90" t="n">
        <x:v>0</x:v>
      </x:c>
      <x:c r="Q87" s="90" t="n">
        <x:v>-3.03</x:v>
      </x:c>
      <x:c r="R87" t="n">
        <x:v>0</x:v>
      </x:c>
    </x:row>
    <x:row r="88" spans="2:18" ht="12.75" customHeight="1" x14ac:dyDescent="0.2">
      <x:c r="B88" s="142"/>
      <x:c r="C88" s="89"/>
      <x:c r="D88" s="89" t="s">
        <x:v>81</x:v>
      </x:c>
      <x:c r="E88" s="371">
        <x:v>0</x:v>
      </x:c>
      <x:c r="F88" s="90">
        <x:v>0</x:v>
      </x:c>
      <x:c r="G88" s="90">
        <x:v>0</x:v>
      </x:c>
      <x:c r="H88" s="90">
        <x:v>0</x:v>
      </x:c>
      <x:c r="I88" s="90">
        <x:v>0</x:v>
      </x:c>
      <x:c r="J88" s="90">
        <x:v>0</x:v>
      </x:c>
      <x:c r="K88" s="90">
        <x:v>0</x:v>
      </x:c>
      <x:c r="L88" s="90">
        <x:v>0</x:v>
      </x:c>
      <x:c r="M88" s="90">
        <x:v>0</x:v>
      </x:c>
      <x:c r="N88" s="90">
        <x:v>0</x:v>
      </x:c>
      <x:c r="O88" s="90">
        <x:v>0</x:v>
      </x:c>
      <x:c r="P88" s="90">
        <x:v>0</x:v>
      </x:c>
      <x:c r="Q88" s="90">
        <x:v>0</x:v>
      </x:c>
      <x:c r="R88">
        <x:v>0</x:v>
      </x:c>
    </x:row>
    <x:row r="89" spans="2:18" ht="12.75" customHeight="1" x14ac:dyDescent="0.2">
      <x:c r="B89" s="142"/>
      <x:c r="C89" s="773">
        <x:v>9</x:v>
      </x:c>
      <x:c r="D89" s="89" t="s">
        <x:v>70</x:v>
      </x:c>
      <x:c r="E89" s="371" t="n">
        <x:v>831919.29</x:v>
      </x:c>
      <x:c r="F89" s="90" t="n">
        <x:v>0</x:v>
      </x:c>
      <x:c r="G89" s="90" t="n">
        <x:v>0</x:v>
      </x:c>
      <x:c r="H89" s="90" t="n">
        <x:v>0</x:v>
      </x:c>
      <x:c r="I89" s="90" t="n">
        <x:v>0</x:v>
      </x:c>
      <x:c r="J89" s="90" t="n">
        <x:v>0</x:v>
      </x:c>
      <x:c r="K89" s="90" t="n">
        <x:v>0</x:v>
      </x:c>
      <x:c r="L89" s="90" t="n">
        <x:v>4321.14</x:v>
      </x:c>
      <x:c r="M89" s="90" t="n">
        <x:v>6126.52</x:v>
      </x:c>
      <x:c r="N89" s="90" t="n">
        <x:v>6629.52</x:v>
      </x:c>
      <x:c r="O89" s="90" t="n">
        <x:v>814845.14</x:v>
      </x:c>
      <x:c r="P89" s="90" t="n">
        <x:v>0</x:v>
      </x:c>
      <x:c r="Q89" s="90" t="n">
        <x:v>-3.03</x:v>
      </x:c>
      <x:c r="R89" t="n">
        <x:v>0</x:v>
      </x:c>
    </x:row>
    <x:row r="90" spans="2:18" s="224" customFormat="1" ht="12.75" customHeight="1" x14ac:dyDescent="0.2">
      <x:c r="B90" s="224" t="s">
        <x:v>120</x:v>
      </x:c>
      <x:c r="C90" s="224" t="s">
        <x:v>70</x:v>
      </x:c>
      <x:c r="E90" s="224" t="n">
        <x:v>52469851.41</x:v>
      </x:c>
      <x:c r="F90" s="224" t="n">
        <x:v>3216777.59</x:v>
      </x:c>
      <x:c r="G90" s="224" t="n">
        <x:v>1799399.45</x:v>
      </x:c>
      <x:c r="H90" s="224" t="n">
        <x:v>773125.81</x:v>
      </x:c>
      <x:c r="I90" s="224" t="n">
        <x:v>14315915.6</x:v>
      </x:c>
      <x:c r="J90" s="224" t="n">
        <x:v>406510.66</x:v>
      </x:c>
      <x:c r="K90" s="224" t="n">
        <x:v>0</x:v>
      </x:c>
      <x:c r="L90" s="224" t="n">
        <x:v>3668619.83</x:v>
      </x:c>
      <x:c r="M90" s="224" t="n">
        <x:v>4175302.62</x:v>
      </x:c>
      <x:c r="N90" s="224" t="n">
        <x:v>14329479.37</x:v>
      </x:c>
      <x:c r="O90" s="224" t="n">
        <x:v>9282610.95</x:v>
      </x:c>
      <x:c r="P90" s="224" t="n">
        <x:v>502138.48</x:v>
      </x:c>
      <x:c r="Q90" s="224" t="n">
        <x:v>-28.95</x:v>
      </x:c>
      <x:c r="R90" s="224" t="n">
        <x:v>0</x:v>
      </x:c>
    </x:row>
    <x:row r="91" spans="2:18" ht="12.75" customHeight="1" x14ac:dyDescent="0.2">
      <x:c r="D91" t="s">
        <x:v>72</x:v>
      </x:c>
      <x:c r="E91" s="142" t="n">
        <x:v>11075334.51</x:v>
      </x:c>
      <x:c r="F91" t="n">
        <x:v>821378.55</x:v>
      </x:c>
      <x:c r="G91" t="n">
        <x:v>465927.35</x:v>
      </x:c>
      <x:c r="H91" t="n">
        <x:v>215214.87</x:v>
      </x:c>
      <x:c r="I91" t="n">
        <x:v>2963943.27</x:v>
      </x:c>
      <x:c r="J91" t="n">
        <x:v>82515.34</x:v>
      </x:c>
      <x:c r="K91" t="n">
        <x:v>0</x:v>
      </x:c>
      <x:c r="L91" t="n">
        <x:v>658290.51</x:v>
      </x:c>
      <x:c r="M91" t="n">
        <x:v>834824.5</x:v>
      </x:c>
      <x:c r="N91" t="n">
        <x:v>3348380.91</x:v>
      </x:c>
      <x:c r="O91" t="n">
        <x:v>1591238.38</x:v>
      </x:c>
      <x:c r="P91" t="n">
        <x:v>93600.37</x:v>
      </x:c>
      <x:c r="Q91" t="n">
        <x:v>20.46</x:v>
      </x:c>
      <x:c r="R91" t="n">
        <x:v>0</x:v>
      </x:c>
    </x:row>
    <x:row r="92" spans="2:18" ht="12.75" customHeight="1" x14ac:dyDescent="0.2">
      <x:c r="D92" t="s">
        <x:v>81</x:v>
      </x:c>
      <x:c r="E92" s="142" t="n">
        <x:v>20136.06</x:v>
      </x:c>
      <x:c r="F92" t="n">
        <x:v>2455.33</x:v>
      </x:c>
      <x:c r="G92" t="n">
        <x:v>1132.97</x:v>
      </x:c>
      <x:c r="H92" t="n">
        <x:v>675.49</x:v>
      </x:c>
      <x:c r="I92" t="n">
        <x:v>3924.78</x:v>
      </x:c>
      <x:c r="J92" t="n">
        <x:v>92.44</x:v>
      </x:c>
      <x:c r="K92" t="n">
        <x:v>0</x:v>
      </x:c>
      <x:c r="L92" t="n">
        <x:v>810.75</x:v>
      </x:c>
      <x:c r="M92" t="n">
        <x:v>1058.05</x:v>
      </x:c>
      <x:c r="N92" t="n">
        <x:v>4906.98</x:v>
      </x:c>
      <x:c r="O92" t="n">
        <x:v>4928.45</x:v>
      </x:c>
      <x:c r="P92" t="n">
        <x:v>150.8</x:v>
      </x:c>
      <x:c r="Q92" t="n">
        <x:v>0.02</x:v>
      </x:c>
      <x:c r="R92" t="n">
        <x:v>0</x:v>
      </x:c>
    </x:row>
    <x:row r="93" spans="2:18" ht="12.75" customHeight="1" x14ac:dyDescent="0.2">
      <x:c r="C93" t="s">
        <x:v>82</x:v>
      </x:c>
      <x:c r="D93" t="s">
        <x:v>70</x:v>
      </x:c>
      <x:c r="E93" s="142" t="n">
        <x:v>11095470.57</x:v>
      </x:c>
      <x:c r="F93" t="n">
        <x:v>823833.88</x:v>
      </x:c>
      <x:c r="G93" t="n">
        <x:v>467060.32</x:v>
      </x:c>
      <x:c r="H93" t="n">
        <x:v>215890.36</x:v>
      </x:c>
      <x:c r="I93" t="n">
        <x:v>2967868.05</x:v>
      </x:c>
      <x:c r="J93" t="n">
        <x:v>82607.78</x:v>
      </x:c>
      <x:c r="K93" t="n">
        <x:v>0</x:v>
      </x:c>
      <x:c r="L93" t="n">
        <x:v>659101.26</x:v>
      </x:c>
      <x:c r="M93" t="n">
        <x:v>835882.55</x:v>
      </x:c>
      <x:c r="N93" t="n">
        <x:v>3353287.89</x:v>
      </x:c>
      <x:c r="O93" t="n">
        <x:v>1596166.83</x:v>
      </x:c>
      <x:c r="P93" t="n">
        <x:v>93751.17</x:v>
      </x:c>
      <x:c r="Q93" t="n">
        <x:v>20.48</x:v>
      </x:c>
      <x:c r="R93" t="n">
        <x:v>0</x:v>
      </x:c>
    </x:row>
    <x:row r="94" spans="2:18" ht="12.75" customHeight="1" x14ac:dyDescent="0.2">
      <x:c r="D94" t="s">
        <x:v>72</x:v>
      </x:c>
      <x:c r="E94" s="142" t="n">
        <x:v>38346937.41</x:v>
      </x:c>
      <x:c r="F94" t="n">
        <x:v>3218428.18</x:v>
      </x:c>
      <x:c r="G94" t="n">
        <x:v>1802927.88</x:v>
      </x:c>
      <x:c r="H94" t="n">
        <x:v>864947.8</x:v>
      </x:c>
      <x:c r="I94" t="n">
        <x:v>8956303.58</x:v>
      </x:c>
      <x:c r="J94" t="n">
        <x:v>272835.85</x:v>
      </x:c>
      <x:c r="K94" t="n">
        <x:v>0</x:v>
      </x:c>
      <x:c r="L94" t="n">
        <x:v>2439524.55</x:v>
      </x:c>
      <x:c r="M94" t="n">
        <x:v>2783253.06</x:v>
      </x:c>
      <x:c r="N94" t="n">
        <x:v>10966064.28</x:v>
      </x:c>
      <x:c r="O94" t="n">
        <x:v>6668396.54</x:v>
      </x:c>
      <x:c r="P94" t="n">
        <x:v>374240.28</x:v>
      </x:c>
      <x:c r="Q94" t="n">
        <x:v>15.41</x:v>
      </x:c>
      <x:c r="R94" t="n">
        <x:v>0</x:v>
      </x:c>
    </x:row>
    <x:row r="95" spans="2:18" ht="12.75" customHeight="1" x14ac:dyDescent="0.2">
      <x:c r="D95" t="s">
        <x:v>81</x:v>
      </x:c>
      <x:c r="E95" s="142" t="n">
        <x:v>435116.55</x:v>
      </x:c>
      <x:c r="F95" t="n">
        <x:v>47759.13</x:v>
      </x:c>
      <x:c r="G95" t="n">
        <x:v>22622.8</x:v>
      </x:c>
      <x:c r="H95" t="n">
        <x:v>11464.99</x:v>
      </x:c>
      <x:c r="I95" t="n">
        <x:v>86745.59</x:v>
      </x:c>
      <x:c r="J95" t="n">
        <x:v>2665.2</x:v>
      </x:c>
      <x:c r="K95" t="n">
        <x:v>0</x:v>
      </x:c>
      <x:c r="L95" t="n">
        <x:v>22811.78</x:v>
      </x:c>
      <x:c r="M95" t="n">
        <x:v>28601.42</x:v>
      </x:c>
      <x:c r="N95" t="n">
        <x:v>113175.65</x:v>
      </x:c>
      <x:c r="O95" t="n">
        <x:v>94916.98</x:v>
      </x:c>
      <x:c r="P95" t="n">
        <x:v>4352.25</x:v>
      </x:c>
      <x:c r="Q95" t="n">
        <x:v>0.76</x:v>
      </x:c>
      <x:c r="R95" t="n">
        <x:v>0</x:v>
      </x:c>
    </x:row>
    <x:row r="96" spans="2:18" ht="12.75" customHeight="1" x14ac:dyDescent="0.2">
      <x:c r="C96" t="s">
        <x:v>86</x:v>
      </x:c>
      <x:c r="D96" t="s">
        <x:v>70</x:v>
      </x:c>
      <x:c r="E96" t="n">
        <x:v>38782053.96</x:v>
      </x:c>
      <x:c r="F96" t="n">
        <x:v>3266187.31</x:v>
      </x:c>
      <x:c r="G96" t="n">
        <x:v>1825550.68</x:v>
      </x:c>
      <x:c r="H96" t="n">
        <x:v>876412.79</x:v>
      </x:c>
      <x:c r="I96" t="n">
        <x:v>9043049.17</x:v>
      </x:c>
      <x:c r="J96" t="n">
        <x:v>275501.05</x:v>
      </x:c>
      <x:c r="K96" t="n">
        <x:v>0</x:v>
      </x:c>
      <x:c r="L96" t="n">
        <x:v>2462336.33</x:v>
      </x:c>
      <x:c r="M96" t="n">
        <x:v>2811854.48</x:v>
      </x:c>
      <x:c r="N96" t="n">
        <x:v>11079239.93</x:v>
      </x:c>
      <x:c r="O96" t="n">
        <x:v>6763313.52</x:v>
      </x:c>
      <x:c r="P96" t="n">
        <x:v>378592.53</x:v>
      </x:c>
      <x:c r="Q96" t="n">
        <x:v>16.17</x:v>
      </x:c>
      <x:c r="R96" t="n">
        <x:v>0</x:v>
      </x:c>
    </x:row>
    <x:row r="97" spans="1:18" ht="12.75" customHeight="1" x14ac:dyDescent="0.2">
      <x:c r="D97" t="s">
        <x:v>72</x:v>
      </x:c>
      <x:c r="E97" t="n">
        <x:v>42498048.93</x:v>
      </x:c>
      <x:c r="F97" t="n">
        <x:v>5756619.93</x:v>
      </x:c>
      <x:c r="G97" t="n">
        <x:v>3216233.52</x:v>
      </x:c>
      <x:c r="H97" t="n">
        <x:v>1817946.33</x:v>
      </x:c>
      <x:c r="I97" t="n">
        <x:v>1910670.24</x:v>
      </x:c>
      <x:c r="J97" t="n">
        <x:v>53108.69</x:v>
      </x:c>
      <x:c r="K97" t="n">
        <x:v>0</x:v>
      </x:c>
      <x:c r="L97" t="n">
        <x:v>473073.31</x:v>
      </x:c>
      <x:c r="M97" t="n">
        <x:v>611269.16</x:v>
      </x:c>
      <x:c r="N97" t="n">
        <x:v>2270384.89</x:v>
      </x:c>
      <x:c r="O97" t="n">
        <x:v>26329366.12</x:v>
      </x:c>
      <x:c r="P97" t="n">
        <x:v>59347.07</x:v>
      </x:c>
      <x:c r="Q97" t="n">
        <x:v>29.67</x:v>
      </x:c>
      <x:c r="R97" t="n">
        <x:v>0</x:v>
      </x:c>
    </x:row>
    <x:row r="98" spans="1:18" ht="12.75" customHeight="1" x14ac:dyDescent="0.2">
      <x:c r="D98" t="s">
        <x:v>81</x:v>
      </x:c>
      <x:c r="E98" s="142" t="n">
        <x:v>9526.39</x:v>
      </x:c>
      <x:c r="F98" t="n">
        <x:v>1485.4</x:v>
      </x:c>
      <x:c r="G98" t="n">
        <x:v>831.8</x:v>
      </x:c>
      <x:c r="H98" t="n">
        <x:v>440.06</x:v>
      </x:c>
      <x:c r="I98" t="n">
        <x:v>1225.21</x:v>
      </x:c>
      <x:c r="J98" t="n">
        <x:v>39.88</x:v>
      </x:c>
      <x:c r="K98" t="n">
        <x:v>0</x:v>
      </x:c>
      <x:c r="L98" t="n">
        <x:v>349.95</x:v>
      </x:c>
      <x:c r="M98" t="n">
        <x:v>378.78</x:v>
      </x:c>
      <x:c r="N98" t="n">
        <x:v>1754.01</x:v>
      </x:c>
      <x:c r="O98" t="n">
        <x:v>2956.22</x:v>
      </x:c>
      <x:c r="P98" t="n">
        <x:v>65.09</x:v>
      </x:c>
      <x:c r="Q98" t="n">
        <x:v>-0.01</x:v>
      </x:c>
      <x:c r="R98" t="n">
        <x:v>0</x:v>
      </x:c>
    </x:row>
    <x:row r="99" spans="1:18" ht="12.75" customHeight="1" x14ac:dyDescent="0.2">
      <x:c r="C99" s="89" t="s">
        <x:v>87</x:v>
      </x:c>
      <x:c r="D99" s="89" t="s">
        <x:v>70</x:v>
      </x:c>
      <x:c r="E99" s="90" t="n">
        <x:v>42507575.32</x:v>
      </x:c>
      <x:c r="F99" s="90" t="n">
        <x:v>5758105.33</x:v>
      </x:c>
      <x:c r="G99" s="90" t="n">
        <x:v>3217065.32</x:v>
      </x:c>
      <x:c r="H99" s="90" t="n">
        <x:v>1818386.39</x:v>
      </x:c>
      <x:c r="I99" s="90" t="n">
        <x:v>1911895.45</x:v>
      </x:c>
      <x:c r="J99" s="90" t="n">
        <x:v>53148.57</x:v>
      </x:c>
      <x:c r="K99" s="90" t="n">
        <x:v>0</x:v>
      </x:c>
      <x:c r="L99" s="90" t="n">
        <x:v>473423.26</x:v>
      </x:c>
      <x:c r="M99" s="90" t="n">
        <x:v>611647.94</x:v>
      </x:c>
      <x:c r="N99" s="90" t="n">
        <x:v>2272138.9</x:v>
      </x:c>
      <x:c r="O99" s="90" t="n">
        <x:v>26332322.34</x:v>
      </x:c>
      <x:c r="P99" s="90" t="n">
        <x:v>59412.16</x:v>
      </x:c>
      <x:c r="Q99" s="90" t="n">
        <x:v>29.66</x:v>
      </x:c>
      <x:c r="R99" t="n">
        <x:v>0</x:v>
      </x:c>
    </x:row>
    <x:row r="100" spans="1:18" s="94" customFormat="1" ht="12.75" customHeight="1" x14ac:dyDescent="0.2">
      <x:c r="B100" s="94" t="s">
        <x:v>119</x:v>
      </x:c>
      <x:c r="C100" s="101" t="s">
        <x:v>70</x:v>
      </x:c>
      <x:c r="D100" s="101"/>
      <x:c r="E100" s="93" t="n">
        <x:v>92385099.85</x:v>
      </x:c>
      <x:c r="F100" s="93" t="n">
        <x:v>9848126.52</x:v>
      </x:c>
      <x:c r="G100" s="93" t="n">
        <x:v>5509676.32</x:v>
      </x:c>
      <x:c r="H100" s="93" t="n">
        <x:v>2910689.54</x:v>
      </x:c>
      <x:c r="I100" s="93" t="n">
        <x:v>13922812.67</x:v>
      </x:c>
      <x:c r="J100" s="93" t="n">
        <x:v>411257.4</x:v>
      </x:c>
      <x:c r="K100" s="93" t="n">
        <x:v>0</x:v>
      </x:c>
      <x:c r="L100" s="93" t="n">
        <x:v>3594860.85</x:v>
      </x:c>
      <x:c r="M100" s="93" t="n">
        <x:v>4259384.97</x:v>
      </x:c>
      <x:c r="N100" s="93" t="n">
        <x:v>16704666.72</x:v>
      </x:c>
      <x:c r="O100" s="93" t="n">
        <x:v>34691802.69</x:v>
      </x:c>
      <x:c r="P100" s="93" t="n">
        <x:v>531755.86</x:v>
      </x:c>
      <x:c r="Q100" s="93" t="n">
        <x:v>66.31</x:v>
      </x:c>
      <x:c r="R100" s="94" t="n">
        <x:v>0</x:v>
      </x:c>
    </x:row>
    <x:row r="101" spans="1:18" s="226" customFormat="1" ht="12.75" customHeight="1" x14ac:dyDescent="0.2">
      <x:c r="A101" s="98" t="s">
        <x:v>78</x:v>
      </x:c>
      <x:c r="B101" s="98" t="s">
        <x:v>70</x:v>
      </x:c>
      <x:c r="E101" s="100" t="n">
        <x:v>216652398.82</x:v>
      </x:c>
      <x:c r="F101" s="100" t="n">
        <x:v>17193125.32</x:v>
      </x:c>
      <x:c r="G101" s="100" t="n">
        <x:v>9759590.52</x:v>
      </x:c>
      <x:c r="H101" s="100" t="n">
        <x:v>4674886.45</x:v>
      </x:c>
      <x:c r="I101" s="100" t="n">
        <x:v>47216081.21</x:v>
      </x:c>
      <x:c r="J101" s="100" t="n">
        <x:v>1451359.21</x:v>
      </x:c>
      <x:c r="K101" s="100" t="n">
        <x:v>0</x:v>
      </x:c>
      <x:c r="L101" s="100" t="n">
        <x:v>13193069.92</x:v>
      </x:c>
      <x:c r="M101" s="100" t="n">
        <x:v>14193303.56</x:v>
      </x:c>
      <x:c r="N101" s="100" t="n">
        <x:v>54326291.74</x:v>
      </x:c>
      <x:c r="O101" s="100" t="n">
        <x:v>52723995.28</x:v>
      </x:c>
      <x:c r="P101" s="100" t="n">
        <x:v>1920514</x:v>
      </x:c>
      <x:c r="Q101" s="100" t="n">
        <x:v>181.61</x:v>
      </x:c>
      <x:c r="R101" s="226" t="n">
        <x:v>0</x:v>
      </x:c>
    </x:row>
    <x:row r="102" spans="1:18" ht="12.75" customHeight="1" x14ac:dyDescent="0.2">
      <x:c r="C102" s="89"/>
      <x:c r="D102" s="89" t="s">
        <x:v>73</x:v>
      </x:c>
      <x:c r="E102" s="90" t="n">
        <x:v>-16121294.86</x:v>
      </x:c>
      <x:c r="F102" s="90" t="n">
        <x:v>-535197.19</x:v>
      </x:c>
      <x:c r="G102" s="90" t="n">
        <x:v>-315094.83</x:v>
      </x:c>
      <x:c r="H102" s="90" t="n">
        <x:v>-189104.93</x:v>
      </x:c>
      <x:c r="I102" s="90" t="n">
        <x:v>-4617623.13</x:v>
      </x:c>
      <x:c r="J102" s="90" t="n">
        <x:v>-160785.5</x:v>
      </x:c>
      <x:c r="K102" s="90" t="n">
        <x:v>0</x:v>
      </x:c>
      <x:c r="L102" s="90" t="n">
        <x:v>-1360058.01</x:v>
      </x:c>
      <x:c r="M102" s="90" t="n">
        <x:v>-1315487.91</x:v>
      </x:c>
      <x:c r="N102" s="90" t="n">
        <x:v>-6434917.69</x:v>
      </x:c>
      <x:c r="O102" s="90" t="n">
        <x:v>-931826.69</x:v>
      </x:c>
      <x:c r="P102" s="90" t="n">
        <x:v>-261198.98</x:v>
      </x:c>
      <x:c r="Q102" s="90" t="n">
        <x:v>0</x:v>
      </x:c>
      <x:c r="R102" t="n">
        <x:v>0</x:v>
      </x:c>
    </x:row>
    <x:row r="103" spans="1:18" ht="12.75" customHeight="1" x14ac:dyDescent="0.2">
      <x:c r="C103" s="89" t="s">
        <x:v>156</x:v>
      </x:c>
      <x:c r="D103" s="89" t="s">
        <x:v>70</x:v>
      </x:c>
      <x:c r="E103" s="371" t="n">
        <x:v>-16121294.86</x:v>
      </x:c>
      <x:c r="F103" s="90" t="n">
        <x:v>-535197.19</x:v>
      </x:c>
      <x:c r="G103" s="90" t="n">
        <x:v>-315094.83</x:v>
      </x:c>
      <x:c r="H103" s="90" t="n">
        <x:v>-189104.93</x:v>
      </x:c>
      <x:c r="I103" s="90" t="n">
        <x:v>-4617623.13</x:v>
      </x:c>
      <x:c r="J103" s="90" t="n">
        <x:v>-160785.5</x:v>
      </x:c>
      <x:c r="K103" s="90" t="n">
        <x:v>0</x:v>
      </x:c>
      <x:c r="L103" s="90" t="n">
        <x:v>-1360058.01</x:v>
      </x:c>
      <x:c r="M103" s="90" t="n">
        <x:v>-1315487.91</x:v>
      </x:c>
      <x:c r="N103" s="90" t="n">
        <x:v>-6434917.69</x:v>
      </x:c>
      <x:c r="O103" s="90" t="n">
        <x:v>-931826.69</x:v>
      </x:c>
      <x:c r="P103" s="90" t="n">
        <x:v>-261198.98</x:v>
      </x:c>
      <x:c r="Q103" s="90" t="n">
        <x:v>0</x:v>
      </x:c>
      <x:c r="R103" t="n">
        <x:v>0</x:v>
      </x:c>
    </x:row>
    <x:row r="104" spans="1:18" s="286" customFormat="1" ht="12.75" customHeight="1" x14ac:dyDescent="0.2">
      <x:c r="B104" s="286" t="s">
        <x:v>155</x:v>
      </x:c>
      <x:c r="C104" s="229" t="s">
        <x:v>70</x:v>
      </x:c>
      <x:c r="D104" s="229"/>
      <x:c r="E104" s="752" t="n">
        <x:v>-16121294.86</x:v>
      </x:c>
      <x:c r="F104" s="230" t="n">
        <x:v>-535197.19</x:v>
      </x:c>
      <x:c r="G104" s="230" t="n">
        <x:v>-315094.83</x:v>
      </x:c>
      <x:c r="H104" s="230" t="n">
        <x:v>-189104.93</x:v>
      </x:c>
      <x:c r="I104" s="230" t="n">
        <x:v>-4617623.13</x:v>
      </x:c>
      <x:c r="J104" s="230" t="n">
        <x:v>-160785.5</x:v>
      </x:c>
      <x:c r="K104" s="230" t="n">
        <x:v>0</x:v>
      </x:c>
      <x:c r="L104" s="230" t="n">
        <x:v>-1360058.01</x:v>
      </x:c>
      <x:c r="M104" s="230" t="n">
        <x:v>-1315487.91</x:v>
      </x:c>
      <x:c r="N104" s="230" t="n">
        <x:v>-6434917.69</x:v>
      </x:c>
      <x:c r="O104" s="230" t="n">
        <x:v>-931826.69</x:v>
      </x:c>
      <x:c r="P104" s="230" t="n">
        <x:v>-261198.98</x:v>
      </x:c>
      <x:c r="Q104" s="230" t="n">
        <x:v>0</x:v>
      </x:c>
      <x:c r="R104" s="286" t="n">
        <x:v>0</x:v>
      </x:c>
    </x:row>
    <x:row r="105" spans="1:18" ht="12.75" customHeight="1" x14ac:dyDescent="0.2">
      <x:c r="C105" s="89"/>
      <x:c r="D105" s="89" t="s">
        <x:v>73</x:v>
      </x:c>
      <x:c r="E105" s="371" t="n">
        <x:v>-7006158.79</x:v>
      </x:c>
      <x:c r="F105" s="90" t="n">
        <x:v>-282130</x:v>
      </x:c>
      <x:c r="G105" s="90" t="n">
        <x:v>-165135.7</x:v>
      </x:c>
      <x:c r="H105" s="90" t="n">
        <x:v>-90452.73</x:v>
      </x:c>
      <x:c r="I105" s="90" t="n">
        <x:v>-1975334.97</x:v>
      </x:c>
      <x:c r="J105" s="90" t="n">
        <x:v>-54298.01</x:v>
      </x:c>
      <x:c r="K105" s="90" t="n">
        <x:v>0</x:v>
      </x:c>
      <x:c r="L105" s="90" t="n">
        <x:v>-461440.15</x:v>
      </x:c>
      <x:c r="M105" s="90" t="n">
        <x:v>-581546.05</x:v>
      </x:c>
      <x:c r="N105" s="90" t="n">
        <x:v>-2784117.01</x:v>
      </x:c>
      <x:c r="O105" s="90" t="n">
        <x:v>-524106.95</x:v>
      </x:c>
      <x:c r="P105" s="90" t="n">
        <x:v>-87597.22</x:v>
      </x:c>
      <x:c r="Q105" s="90" t="n">
        <x:v>0</x:v>
      </x:c>
      <x:c r="R105" t="n">
        <x:v>0</x:v>
      </x:c>
    </x:row>
    <x:row r="106" spans="1:18" ht="12.75" customHeight="1" x14ac:dyDescent="0.2">
      <x:c r="C106" s="89" t="s">
        <x:v>115</x:v>
      </x:c>
      <x:c r="D106" s="89" t="s">
        <x:v>70</x:v>
      </x:c>
      <x:c r="E106" s="90" t="n">
        <x:v>-7006158.79</x:v>
      </x:c>
      <x:c r="F106" s="90" t="n">
        <x:v>-282130</x:v>
      </x:c>
      <x:c r="G106" s="90" t="n">
        <x:v>-165135.7</x:v>
      </x:c>
      <x:c r="H106" s="90" t="n">
        <x:v>-90452.73</x:v>
      </x:c>
      <x:c r="I106" s="90" t="n">
        <x:v>-1975334.97</x:v>
      </x:c>
      <x:c r="J106" s="90" t="n">
        <x:v>-54298.01</x:v>
      </x:c>
      <x:c r="K106" s="90" t="n">
        <x:v>0</x:v>
      </x:c>
      <x:c r="L106" s="90" t="n">
        <x:v>-461440.15</x:v>
      </x:c>
      <x:c r="M106" s="90" t="n">
        <x:v>-581546.05</x:v>
      </x:c>
      <x:c r="N106" s="90" t="n">
        <x:v>-2784117.01</x:v>
      </x:c>
      <x:c r="O106" s="90" t="n">
        <x:v>-524106.95</x:v>
      </x:c>
      <x:c r="P106" s="90" t="n">
        <x:v>-87597.22</x:v>
      </x:c>
      <x:c r="Q106" s="90" t="n">
        <x:v>0</x:v>
      </x:c>
      <x:c r="R106" t="n">
        <x:v>0</x:v>
      </x:c>
    </x:row>
    <x:row r="107" spans="1:18" ht="12.75" customHeight="1" x14ac:dyDescent="0.2">
      <x:c r="C107" s="89"/>
      <x:c r="D107" s="89" t="s">
        <x:v>73</x:v>
      </x:c>
      <x:c r="E107" s="371" t="n">
        <x:v>-413701.38</x:v>
      </x:c>
      <x:c r="F107" s="90" t="n">
        <x:v>-13440.26</x:v>
      </x:c>
      <x:c r="G107" s="90" t="n">
        <x:v>-10533.25</x:v>
      </x:c>
      <x:c r="H107" s="90" t="n">
        <x:v>-5516.47</x:v>
      </x:c>
      <x:c r="I107" s="90" t="n">
        <x:v>-126463.9</x:v>
      </x:c>
      <x:c r="J107" s="90" t="n">
        <x:v>-3757.16</x:v>
      </x:c>
      <x:c r="K107" s="90" t="n">
        <x:v>0</x:v>
      </x:c>
      <x:c r="L107" s="90" t="n">
        <x:v>-30796.66</x:v>
      </x:c>
      <x:c r="M107" s="90" t="n">
        <x:v>-32644.48</x:v>
      </x:c>
      <x:c r="N107" s="90" t="n">
        <x:v>-158503.21</x:v>
      </x:c>
      <x:c r="O107" s="90" t="n">
        <x:v>-25915.95</x:v>
      </x:c>
      <x:c r="P107" s="90" t="n">
        <x:v>-6130.04</x:v>
      </x:c>
      <x:c r="Q107" s="90" t="n">
        <x:v>0</x:v>
      </x:c>
      <x:c r="R107" t="n">
        <x:v>0</x:v>
      </x:c>
    </x:row>
    <x:row r="108" spans="1:18" ht="12.75" customHeight="1" x14ac:dyDescent="0.2">
      <x:c r="C108" s="89" t="s">
        <x:v>116</x:v>
      </x:c>
      <x:c r="D108" s="89" t="s">
        <x:v>70</x:v>
      </x:c>
      <x:c r="E108" s="90" t="n">
        <x:v>-413701.38</x:v>
      </x:c>
      <x:c r="F108" s="90" t="n">
        <x:v>-13440.26</x:v>
      </x:c>
      <x:c r="G108" s="90" t="n">
        <x:v>-10533.25</x:v>
      </x:c>
      <x:c r="H108" s="90" t="n">
        <x:v>-5516.47</x:v>
      </x:c>
      <x:c r="I108" s="90" t="n">
        <x:v>-126463.9</x:v>
      </x:c>
      <x:c r="J108" s="90" t="n">
        <x:v>-3757.16</x:v>
      </x:c>
      <x:c r="K108" s="90" t="n">
        <x:v>0</x:v>
      </x:c>
      <x:c r="L108" s="90" t="n">
        <x:v>-30796.66</x:v>
      </x:c>
      <x:c r="M108" s="90" t="n">
        <x:v>-32644.48</x:v>
      </x:c>
      <x:c r="N108" s="90" t="n">
        <x:v>-158503.21</x:v>
      </x:c>
      <x:c r="O108" s="90" t="n">
        <x:v>-25915.95</x:v>
      </x:c>
      <x:c r="P108" s="90" t="n">
        <x:v>-6130.04</x:v>
      </x:c>
      <x:c r="Q108" s="90" t="n">
        <x:v>0</x:v>
      </x:c>
      <x:c r="R108" t="n">
        <x:v>0</x:v>
      </x:c>
    </x:row>
    <x:row r="109" spans="1:18" ht="12.75" customHeight="1" x14ac:dyDescent="0.2">
      <x:c r="C109" s="89"/>
      <x:c r="D109" s="89" t="s">
        <x:v>73</x:v>
      </x:c>
      <x:c r="E109" s="371">
        <x:v>0</x:v>
      </x:c>
      <x:c r="F109" s="90">
        <x:v>0</x:v>
      </x:c>
      <x:c r="G109" s="90">
        <x:v>0</x:v>
      </x:c>
      <x:c r="H109" s="90">
        <x:v>0</x:v>
      </x:c>
      <x:c r="I109" s="90">
        <x:v>0</x:v>
      </x:c>
      <x:c r="J109" s="90">
        <x:v>0</x:v>
      </x:c>
      <x:c r="K109" s="90">
        <x:v>0</x:v>
      </x:c>
      <x:c r="L109" s="90">
        <x:v>0</x:v>
      </x:c>
      <x:c r="M109" s="90">
        <x:v>0</x:v>
      </x:c>
      <x:c r="N109" s="90">
        <x:v>0</x:v>
      </x:c>
      <x:c r="O109" s="90">
        <x:v>0</x:v>
      </x:c>
      <x:c r="P109" s="90">
        <x:v>0</x:v>
      </x:c>
      <x:c r="Q109" s="90">
        <x:v>0</x:v>
      </x:c>
      <x:c r="R109">
        <x:v>0</x:v>
      </x:c>
    </x:row>
    <x:row r="110" spans="1:18" ht="12.75" customHeight="1" x14ac:dyDescent="0.2">
      <x:c r="C110" s="773">
        <x:v>3</x:v>
      </x:c>
      <x:c r="D110" s="89" t="s">
        <x:v>70</x:v>
      </x:c>
      <x:c r="E110" s="90">
        <x:v>0</x:v>
      </x:c>
      <x:c r="F110" s="90">
        <x:v>0</x:v>
      </x:c>
      <x:c r="G110" s="90">
        <x:v>0</x:v>
      </x:c>
      <x:c r="H110" s="90">
        <x:v>0</x:v>
      </x:c>
      <x:c r="I110" s="90">
        <x:v>0</x:v>
      </x:c>
      <x:c r="J110" s="90">
        <x:v>0</x:v>
      </x:c>
      <x:c r="K110" s="90">
        <x:v>0</x:v>
      </x:c>
      <x:c r="L110" s="90">
        <x:v>0</x:v>
      </x:c>
      <x:c r="M110" s="90">
        <x:v>0</x:v>
      </x:c>
      <x:c r="N110" s="90">
        <x:v>0</x:v>
      </x:c>
      <x:c r="O110" s="90">
        <x:v>0</x:v>
      </x:c>
      <x:c r="P110" s="90">
        <x:v>0</x:v>
      </x:c>
      <x:c r="Q110" s="90">
        <x:v>0</x:v>
      </x:c>
      <x:c r="R110">
        <x:v>0</x:v>
      </x:c>
    </x:row>
    <x:row r="111" spans="1:18" ht="12.75" customHeight="1" x14ac:dyDescent="0.2">
      <x:c r="C111" s="89"/>
      <x:c r="D111" s="89" t="s">
        <x:v>73</x:v>
      </x:c>
      <x:c r="E111" s="371" t="n">
        <x:v>-9635661.95</x:v>
      </x:c>
      <x:c r="F111" s="90" t="n">
        <x:v>-380166.3</x:v>
      </x:c>
      <x:c r="G111" s="90" t="n">
        <x:v>-217737.2</x:v>
      </x:c>
      <x:c r="H111" s="90" t="n">
        <x:v>-115469.42</x:v>
      </x:c>
      <x:c r="I111" s="90" t="n">
        <x:v>-2737350.45</x:v>
      </x:c>
      <x:c r="J111" s="90" t="n">
        <x:v>-82659.66</x:v>
      </x:c>
      <x:c r="K111" s="90" t="n">
        <x:v>0</x:v>
      </x:c>
      <x:c r="L111" s="90" t="n">
        <x:v>-722316.87</x:v>
      </x:c>
      <x:c r="M111" s="90" t="n">
        <x:v>-795775.12</x:v>
      </x:c>
      <x:c r="N111" s="90" t="n">
        <x:v>-3736800.42</x:v>
      </x:c>
      <x:c r="O111" s="90" t="n">
        <x:v>-713130.36</x:v>
      </x:c>
      <x:c r="P111" s="90" t="n">
        <x:v>-134256.15</x:v>
      </x:c>
      <x:c r="Q111" s="90" t="n">
        <x:v>0</x:v>
      </x:c>
      <x:c r="R111" t="n">
        <x:v>0</x:v>
      </x:c>
    </x:row>
    <x:row r="112" spans="1:18" ht="12.75" customHeight="1" x14ac:dyDescent="0.2">
      <x:c r="C112" s="89" t="s">
        <x:v>118</x:v>
      </x:c>
      <x:c r="D112" s="89" t="s">
        <x:v>70</x:v>
      </x:c>
      <x:c r="E112" s="371" t="n">
        <x:v>-9635661.95</x:v>
      </x:c>
      <x:c r="F112" s="90" t="n">
        <x:v>-380166.3</x:v>
      </x:c>
      <x:c r="G112" s="90" t="n">
        <x:v>-217737.2</x:v>
      </x:c>
      <x:c r="H112" s="90" t="n">
        <x:v>-115469.42</x:v>
      </x:c>
      <x:c r="I112" s="90" t="n">
        <x:v>-2737350.45</x:v>
      </x:c>
      <x:c r="J112" s="90" t="n">
        <x:v>-82659.66</x:v>
      </x:c>
      <x:c r="K112" s="90" t="n">
        <x:v>0</x:v>
      </x:c>
      <x:c r="L112" s="90" t="n">
        <x:v>-722316.87</x:v>
      </x:c>
      <x:c r="M112" s="90" t="n">
        <x:v>-795775.12</x:v>
      </x:c>
      <x:c r="N112" s="90" t="n">
        <x:v>-3736800.42</x:v>
      </x:c>
      <x:c r="O112" s="90" t="n">
        <x:v>-713130.36</x:v>
      </x:c>
      <x:c r="P112" s="90" t="n">
        <x:v>-134256.15</x:v>
      </x:c>
      <x:c r="Q112" s="90" t="n">
        <x:v>0</x:v>
      </x:c>
      <x:c r="R112" t="n">
        <x:v>0</x:v>
      </x:c>
    </x:row>
    <x:row r="113" spans="1:19" ht="12.75" customHeight="1" x14ac:dyDescent="0.2">
      <x:c r="C113" s="89"/>
      <x:c r="D113" s="89" t="s">
        <x:v>73</x:v>
      </x:c>
      <x:c r="E113" s="371">
        <x:v>0</x:v>
      </x:c>
      <x:c r="F113" s="90">
        <x:v>0</x:v>
      </x:c>
      <x:c r="G113" s="90">
        <x:v>0</x:v>
      </x:c>
      <x:c r="H113" s="90">
        <x:v>0</x:v>
      </x:c>
      <x:c r="I113" s="90">
        <x:v>0</x:v>
      </x:c>
      <x:c r="J113" s="90">
        <x:v>0</x:v>
      </x:c>
      <x:c r="K113" s="90">
        <x:v>0</x:v>
      </x:c>
      <x:c r="L113" s="90">
        <x:v>0</x:v>
      </x:c>
      <x:c r="M113" s="90">
        <x:v>0</x:v>
      </x:c>
      <x:c r="N113" s="90">
        <x:v>0</x:v>
      </x:c>
      <x:c r="O113" s="90">
        <x:v>0</x:v>
      </x:c>
      <x:c r="P113" s="90">
        <x:v>0</x:v>
      </x:c>
      <x:c r="Q113" s="90">
        <x:v>0</x:v>
      </x:c>
      <x:c r="R113">
        <x:v>0</x:v>
      </x:c>
    </x:row>
    <x:row r="114" spans="1:19" ht="12.75" customHeight="1" x14ac:dyDescent="0.2">
      <x:c r="C114" s="773">
        <x:v>9</x:v>
      </x:c>
      <x:c r="D114" s="89" t="s">
        <x:v>70</x:v>
      </x:c>
      <x:c r="E114" s="371">
        <x:v>0</x:v>
      </x:c>
      <x:c r="F114" s="90">
        <x:v>0</x:v>
      </x:c>
      <x:c r="G114" s="90">
        <x:v>0</x:v>
      </x:c>
      <x:c r="H114" s="90">
        <x:v>0</x:v>
      </x:c>
      <x:c r="I114" s="90">
        <x:v>0</x:v>
      </x:c>
      <x:c r="J114" s="90">
        <x:v>0</x:v>
      </x:c>
      <x:c r="K114" s="90">
        <x:v>0</x:v>
      </x:c>
      <x:c r="L114" s="90">
        <x:v>0</x:v>
      </x:c>
      <x:c r="M114" s="90">
        <x:v>0</x:v>
      </x:c>
      <x:c r="N114" s="90">
        <x:v>0</x:v>
      </x:c>
      <x:c r="O114" s="90">
        <x:v>0</x:v>
      </x:c>
      <x:c r="P114" s="90">
        <x:v>0</x:v>
      </x:c>
      <x:c r="Q114" s="90">
        <x:v>0</x:v>
      </x:c>
      <x:c r="R114">
        <x:v>0</x:v>
      </x:c>
    </x:row>
    <x:row r="115" spans="1:19" s="224" customFormat="1" ht="12.75" customHeight="1" x14ac:dyDescent="0.2">
      <x:c r="B115" s="223" t="s">
        <x:v>120</x:v>
      </x:c>
      <x:c r="C115" s="223" t="s">
        <x:v>70</x:v>
      </x:c>
      <x:c r="E115" s="225" t="n">
        <x:v>-17055522.12</x:v>
      </x:c>
      <x:c r="F115" s="225" t="n">
        <x:v>-675736.56</x:v>
      </x:c>
      <x:c r="G115" s="225" t="n">
        <x:v>-393406.15</x:v>
      </x:c>
      <x:c r="H115" s="225" t="n">
        <x:v>-211438.62</x:v>
      </x:c>
      <x:c r="I115" s="225" t="n">
        <x:v>-4839149.32</x:v>
      </x:c>
      <x:c r="J115" s="225" t="n">
        <x:v>-140714.83</x:v>
      </x:c>
      <x:c r="K115" s="225" t="n">
        <x:v>0</x:v>
      </x:c>
      <x:c r="L115" s="225" t="n">
        <x:v>-1214553.68</x:v>
      </x:c>
      <x:c r="M115" s="225" t="n">
        <x:v>-1409965.65</x:v>
      </x:c>
      <x:c r="N115" s="225" t="n">
        <x:v>-6679420.64</x:v>
      </x:c>
      <x:c r="O115" s="225" t="n">
        <x:v>-1263153.26</x:v>
      </x:c>
      <x:c r="P115" s="225" t="n">
        <x:v>-227983.41</x:v>
      </x:c>
      <x:c r="Q115" s="225" t="n">
        <x:v>0</x:v>
      </x:c>
      <x:c r="R115" s="224" t="n">
        <x:v>0</x:v>
      </x:c>
    </x:row>
    <x:row r="116" spans="1:19" ht="12.75" customHeight="1" x14ac:dyDescent="0.2">
      <x:c r="D116" s="89" t="s">
        <x:v>73</x:v>
      </x:c>
      <x:c r="E116" s="371" t="n">
        <x:v>-2195603.12</x:v>
      </x:c>
      <x:c r="F116" s="90" t="n">
        <x:v>-15588.17</x:v>
      </x:c>
      <x:c r="G116" s="90" t="n">
        <x:v>-50720.73</x:v>
      </x:c>
      <x:c r="H116" s="90" t="n">
        <x:v>1774.73</x:v>
      </x:c>
      <x:c r="I116" s="90" t="n">
        <x:v>-677747.58</x:v>
      </x:c>
      <x:c r="J116" s="90" t="n">
        <x:v>-19775.44</x:v>
      </x:c>
      <x:c r="K116" s="90" t="n">
        <x:v>0</x:v>
      </x:c>
      <x:c r="L116" s="90" t="n">
        <x:v>-165236.81</x:v>
      </x:c>
      <x:c r="M116" s="90" t="n">
        <x:v>-211413.62</x:v>
      </x:c>
      <x:c r="N116" s="90" t="n">
        <x:v>-1031747.22</x:v>
      </x:c>
      <x:c r="O116" s="90" t="n">
        <x:v>5802.43</x:v>
      </x:c>
      <x:c r="P116" s="90" t="n">
        <x:v>-30950.71</x:v>
      </x:c>
      <x:c r="Q116" s="90" t="n">
        <x:v>0</x:v>
      </x:c>
      <x:c r="R116" t="n">
        <x:v>0</x:v>
      </x:c>
    </x:row>
    <x:row r="117" spans="1:19" ht="12.75" customHeight="1" x14ac:dyDescent="0.2">
      <x:c r="C117" t="s">
        <x:v>82</x:v>
      </x:c>
      <x:c r="D117" s="89" t="s">
        <x:v>70</x:v>
      </x:c>
      <x:c r="E117" s="371" t="n">
        <x:v>-2195603.12</x:v>
      </x:c>
      <x:c r="F117" s="90" t="n">
        <x:v>-15588.17</x:v>
      </x:c>
      <x:c r="G117" s="90" t="n">
        <x:v>-50720.73</x:v>
      </x:c>
      <x:c r="H117" s="90" t="n">
        <x:v>1774.73</x:v>
      </x:c>
      <x:c r="I117" s="90" t="n">
        <x:v>-677747.58</x:v>
      </x:c>
      <x:c r="J117" s="90" t="n">
        <x:v>-19775.44</x:v>
      </x:c>
      <x:c r="K117" s="90" t="n">
        <x:v>0</x:v>
      </x:c>
      <x:c r="L117" s="90" t="n">
        <x:v>-165236.81</x:v>
      </x:c>
      <x:c r="M117" s="90" t="n">
        <x:v>-211413.62</x:v>
      </x:c>
      <x:c r="N117" s="90" t="n">
        <x:v>-1031747.22</x:v>
      </x:c>
      <x:c r="O117" s="90" t="n">
        <x:v>5802.43</x:v>
      </x:c>
      <x:c r="P117" s="90" t="n">
        <x:v>-30950.71</x:v>
      </x:c>
      <x:c r="Q117" s="90" t="n">
        <x:v>0</x:v>
      </x:c>
      <x:c r="R117" t="n">
        <x:v>0</x:v>
      </x:c>
    </x:row>
    <x:row r="118" spans="1:19" ht="12.75" customHeight="1" x14ac:dyDescent="0.2">
      <x:c r="D118" s="89" t="s">
        <x:v>73</x:v>
      </x:c>
      <x:c r="E118" s="371" t="n">
        <x:v>-3983459.54</x:v>
      </x:c>
      <x:c r="F118" s="90" t="n">
        <x:v>385104.44</x:v>
      </x:c>
      <x:c r="G118" s="90" t="n">
        <x:v>177913.53</x:v>
      </x:c>
      <x:c r="H118" s="90" t="n">
        <x:v>79365.09</x:v>
      </x:c>
      <x:c r="I118" s="90" t="n">
        <x:v>-1770775.18</x:v>
      </x:c>
      <x:c r="J118" s="90" t="n">
        <x:v>-54327.37</x:v>
      </x:c>
      <x:c r="K118" s="90" t="n">
        <x:v>0</x:v>
      </x:c>
      <x:c r="L118" s="90" t="n">
        <x:v>-463238.89</x:v>
      </x:c>
      <x:c r="M118" s="90" t="n">
        <x:v>-534634.66</x:v>
      </x:c>
      <x:c r="N118" s="90" t="n">
        <x:v>-2522494.73</x:v>
      </x:c>
      <x:c r="O118" s="90" t="n">
        <x:v>806737.08</x:v>
      </x:c>
      <x:c r="P118" s="90" t="n">
        <x:v>-87108.85</x:v>
      </x:c>
      <x:c r="Q118" s="90" t="n">
        <x:v>0</x:v>
      </x:c>
      <x:c r="R118" t="n">
        <x:v>0</x:v>
      </x:c>
    </x:row>
    <x:row r="119" spans="1:19" ht="12.75" customHeight="1" x14ac:dyDescent="0.2">
      <x:c r="C119" t="s">
        <x:v>86</x:v>
      </x:c>
      <x:c r="D119" s="89" t="s">
        <x:v>70</x:v>
      </x:c>
      <x:c r="E119" s="371" t="n">
        <x:v>-3983459.54</x:v>
      </x:c>
      <x:c r="F119" s="90" t="n">
        <x:v>385104.44</x:v>
      </x:c>
      <x:c r="G119" s="90" t="n">
        <x:v>177913.53</x:v>
      </x:c>
      <x:c r="H119" s="90" t="n">
        <x:v>79365.09</x:v>
      </x:c>
      <x:c r="I119" s="90" t="n">
        <x:v>-1770775.18</x:v>
      </x:c>
      <x:c r="J119" s="90" t="n">
        <x:v>-54327.37</x:v>
      </x:c>
      <x:c r="K119" s="90" t="n">
        <x:v>0</x:v>
      </x:c>
      <x:c r="L119" s="90" t="n">
        <x:v>-463238.89</x:v>
      </x:c>
      <x:c r="M119" s="90" t="n">
        <x:v>-534634.66</x:v>
      </x:c>
      <x:c r="N119" s="90" t="n">
        <x:v>-2522494.73</x:v>
      </x:c>
      <x:c r="O119" s="90" t="n">
        <x:v>806737.08</x:v>
      </x:c>
      <x:c r="P119" s="90" t="n">
        <x:v>-87108.85</x:v>
      </x:c>
      <x:c r="Q119" s="90" t="n">
        <x:v>0</x:v>
      </x:c>
      <x:c r="R119" t="n">
        <x:v>0</x:v>
      </x:c>
    </x:row>
    <x:row r="120" spans="1:19" ht="12.75" customHeight="1" x14ac:dyDescent="0.2">
      <x:c r="D120" s="89" t="s">
        <x:v>73</x:v>
      </x:c>
      <x:c r="E120" s="371" t="n">
        <x:v>1242572.98</x:v>
      </x:c>
      <x:c r="F120" s="90" t="n">
        <x:v>343686.51</x:v>
      </x:c>
      <x:c r="G120" s="90" t="n">
        <x:v>192507.93</x:v>
      </x:c>
      <x:c r="H120" s="90" t="n">
        <x:v>97880.49</x:v>
      </x:c>
      <x:c r="I120" s="90" t="n">
        <x:v>-39549.62</x:v>
      </x:c>
      <x:c r="J120" s="90" t="n">
        <x:v>-1348.98</x:v>
      </x:c>
      <x:c r="K120" s="90" t="n">
        <x:v>0</x:v>
      </x:c>
      <x:c r="L120" s="90" t="n">
        <x:v>-4691</x:v>
      </x:c>
      <x:c r="M120" s="90" t="n">
        <x:v>-3711.96</x:v>
      </x:c>
      <x:c r="N120" s="90" t="n">
        <x:v>-23147.87</x:v>
      </x:c>
      <x:c r="O120" s="90" t="n">
        <x:v>682556.78</x:v>
      </x:c>
      <x:c r="P120" s="90" t="n">
        <x:v>-1609.3</x:v>
      </x:c>
      <x:c r="Q120" s="90" t="n">
        <x:v>0</x:v>
      </x:c>
      <x:c r="R120" t="n">
        <x:v>0</x:v>
      </x:c>
    </x:row>
    <x:row r="121" spans="1:19" ht="12.75" customHeight="1" x14ac:dyDescent="0.2">
      <x:c r="C121" t="s">
        <x:v>87</x:v>
      </x:c>
      <x:c r="D121" s="89" t="s">
        <x:v>70</x:v>
      </x:c>
      <x:c r="E121" s="90" t="n">
        <x:v>1242572.98</x:v>
      </x:c>
      <x:c r="F121" s="90" t="n">
        <x:v>343686.51</x:v>
      </x:c>
      <x:c r="G121" s="90" t="n">
        <x:v>192507.93</x:v>
      </x:c>
      <x:c r="H121" s="90" t="n">
        <x:v>97880.49</x:v>
      </x:c>
      <x:c r="I121" s="90" t="n">
        <x:v>-39549.62</x:v>
      </x:c>
      <x:c r="J121" s="90" t="n">
        <x:v>-1348.98</x:v>
      </x:c>
      <x:c r="K121" s="90" t="n">
        <x:v>0</x:v>
      </x:c>
      <x:c r="L121" s="90" t="n">
        <x:v>-4691</x:v>
      </x:c>
      <x:c r="M121" s="90" t="n">
        <x:v>-3711.96</x:v>
      </x:c>
      <x:c r="N121" s="90" t="n">
        <x:v>-23147.87</x:v>
      </x:c>
      <x:c r="O121" s="90" t="n">
        <x:v>682556.78</x:v>
      </x:c>
      <x:c r="P121" s="90" t="n">
        <x:v>-1609.3</x:v>
      </x:c>
      <x:c r="Q121" s="90" t="n">
        <x:v>0</x:v>
      </x:c>
      <x:c r="R121" t="n">
        <x:v>0</x:v>
      </x:c>
    </x:row>
    <x:row r="122" spans="1:19" s="94" customFormat="1" ht="12.75" customHeight="1" x14ac:dyDescent="0.2">
      <x:c r="B122" s="101" t="s">
        <x:v>119</x:v>
      </x:c>
      <x:c r="C122" s="101" t="s">
        <x:v>70</x:v>
      </x:c>
      <x:c r="E122" s="93" t="n">
        <x:v>-4936489.68</x:v>
      </x:c>
      <x:c r="F122" s="93" t="n">
        <x:v>713202.78</x:v>
      </x:c>
      <x:c r="G122" s="93" t="n">
        <x:v>319700.73</x:v>
      </x:c>
      <x:c r="H122" s="93" t="n">
        <x:v>179020.31</x:v>
      </x:c>
      <x:c r="I122" s="93" t="n">
        <x:v>-2488072.38</x:v>
      </x:c>
      <x:c r="J122" s="93" t="n">
        <x:v>-75451.79</x:v>
      </x:c>
      <x:c r="K122" s="93" t="n">
        <x:v>0</x:v>
      </x:c>
      <x:c r="L122" s="93" t="n">
        <x:v>-633166.7</x:v>
      </x:c>
      <x:c r="M122" s="93" t="n">
        <x:v>-749760.24</x:v>
      </x:c>
      <x:c r="N122" s="93" t="n">
        <x:v>-3577389.82</x:v>
      </x:c>
      <x:c r="O122" s="93" t="n">
        <x:v>1495096.29</x:v>
      </x:c>
      <x:c r="P122" s="93" t="n">
        <x:v>-119668.86</x:v>
      </x:c>
      <x:c r="Q122" s="93" t="n">
        <x:v>0</x:v>
      </x:c>
      <x:c r="R122" s="94" t="n">
        <x:v>0</x:v>
      </x:c>
    </x:row>
    <x:row r="123" spans="1:19" s="226" customFormat="1" ht="12.75" customHeight="1" x14ac:dyDescent="0.2">
      <x:c r="A123" s="98" t="s">
        <x:v>79</x:v>
      </x:c>
      <x:c r="B123" s="98" t="s">
        <x:v>70</x:v>
      </x:c>
      <x:c r="E123" s="100" t="n">
        <x:v>-38113306.66</x:v>
      </x:c>
      <x:c r="F123" s="100" t="n">
        <x:v>-497730.97</x:v>
      </x:c>
      <x:c r="G123" s="100" t="n">
        <x:v>-388800.25</x:v>
      </x:c>
      <x:c r="H123" s="100" t="n">
        <x:v>-221523.24</x:v>
      </x:c>
      <x:c r="I123" s="100" t="n">
        <x:v>-11944844.83</x:v>
      </x:c>
      <x:c r="J123" s="100" t="n">
        <x:v>-376952.12</x:v>
      </x:c>
      <x:c r="K123" s="100" t="n">
        <x:v>0</x:v>
      </x:c>
      <x:c r="L123" s="100" t="n">
        <x:v>-3207778.39</x:v>
      </x:c>
      <x:c r="M123" s="100" t="n">
        <x:v>-3475213.8</x:v>
      </x:c>
      <x:c r="N123" s="100" t="n">
        <x:v>-16691728.15</x:v>
      </x:c>
      <x:c r="O123" s="100" t="n">
        <x:v>-699883.66</x:v>
      </x:c>
      <x:c r="P123" s="100" t="n">
        <x:v>-608851.25</x:v>
      </x:c>
      <x:c r="Q123" s="100" t="n">
        <x:v>0</x:v>
      </x:c>
      <x:c r="R123" s="226" t="n">
        <x:v>0</x:v>
      </x:c>
    </x:row>
    <x:row r="124" spans="1:19" ht="12.75" customHeight="1" x14ac:dyDescent="0.2">
      <x:c r="A124" s="89" t="s">
        <x:v>70</x:v>
      </x:c>
      <x:c r="E124" s="90" t="n">
        <x:v>178539092.16</x:v>
      </x:c>
      <x:c r="F124" s="90" t="n">
        <x:v>16695394.35</x:v>
      </x:c>
      <x:c r="G124" s="90" t="n">
        <x:v>9370790.27</x:v>
      </x:c>
      <x:c r="H124" s="90" t="n">
        <x:v>4453363.21</x:v>
      </x:c>
      <x:c r="I124" s="90" t="n">
        <x:v>35271236.38</x:v>
      </x:c>
      <x:c r="J124" s="90" t="n">
        <x:v>1074407.09</x:v>
      </x:c>
      <x:c r="K124" s="90" t="n">
        <x:v>0</x:v>
      </x:c>
      <x:c r="L124" s="90" t="n">
        <x:v>9985291.53</x:v>
      </x:c>
      <x:c r="M124" s="90" t="n">
        <x:v>10718089.76</x:v>
      </x:c>
      <x:c r="N124" s="90" t="n">
        <x:v>37634563.59</x:v>
      </x:c>
      <x:c r="O124" s="90" t="n">
        <x:v>52024111.62</x:v>
      </x:c>
      <x:c r="P124" s="90" t="n">
        <x:v>1311662.75</x:v>
      </x:c>
      <x:c r="Q124" s="90" t="n">
        <x:v>181.61</x:v>
      </x:c>
      <x:c r="R124" t="n">
        <x:v>0</x:v>
      </x:c>
    </x:row>
    <x:row r="125" spans="1:19" ht="12.75" customHeight="1" x14ac:dyDescent="0.2">
      <x:c r="A125" s="89"/>
      <x:c r="E125" s="90"/>
      <x:c r="F125" s="90"/>
      <x:c r="G125" s="90"/>
      <x:c r="H125" s="90"/>
      <x:c r="I125" s="90"/>
      <x:c r="J125" s="90"/>
      <x:c r="K125" s="90"/>
      <x:c r="L125" s="90"/>
      <x:c r="M125" s="90"/>
      <x:c r="N125" s="90"/>
      <x:c r="O125" s="90"/>
      <x:c r="P125" s="90"/>
      <x:c r="Q125" s="90"/>
      <x:c r="R125" s="90"/>
      <x:c r="S125" s="90"/>
    </x:row>
    <x:row r="126" spans="1:19" ht="12.75" hidden="1" customHeight="1" x14ac:dyDescent="0.2">
      <x:c r="A126" s="89"/>
      <x:c r="E126" s="90"/>
      <x:c r="F126" s="90"/>
      <x:c r="G126" s="90"/>
      <x:c r="H126" s="90"/>
      <x:c r="I126" s="90"/>
      <x:c r="J126" s="90"/>
      <x:c r="K126" s="90"/>
      <x:c r="L126" s="90"/>
      <x:c r="M126" s="90"/>
      <x:c r="N126" s="90"/>
      <x:c r="O126" s="90"/>
      <x:c r="P126" s="90"/>
      <x:c r="Q126" s="90"/>
      <x:c r="R126" s="90"/>
      <x:c r="S126" s="90"/>
    </x:row>
    <x:row r="127" spans="1:19" ht="12.75" hidden="1" customHeight="1" x14ac:dyDescent="0.2">
      <x:c r="A127" s="89"/>
      <x:c r="E127" s="90"/>
      <x:c r="F127" s="90"/>
      <x:c r="G127" s="90"/>
      <x:c r="H127" s="90"/>
      <x:c r="I127" s="90"/>
      <x:c r="J127" s="90"/>
      <x:c r="K127" s="90"/>
      <x:c r="L127" s="90"/>
      <x:c r="M127" s="90"/>
      <x:c r="N127" s="90"/>
      <x:c r="O127" s="90"/>
      <x:c r="P127" s="90"/>
      <x:c r="Q127" s="90"/>
      <x:c r="R127" s="90"/>
      <x:c r="S127" s="90"/>
    </x:row>
    <x:row r="128" spans="1:19" ht="12.75" hidden="1" customHeight="1" x14ac:dyDescent="0.2">
      <x:c r="A128" s="89"/>
      <x:c r="E128" s="90"/>
      <x:c r="F128" s="90"/>
      <x:c r="G128" s="90"/>
      <x:c r="H128" s="90"/>
      <x:c r="I128" s="90"/>
      <x:c r="J128" s="90"/>
      <x:c r="K128" s="90"/>
      <x:c r="L128" s="90"/>
      <x:c r="M128" s="90"/>
      <x:c r="N128" s="90"/>
      <x:c r="O128" s="90"/>
      <x:c r="P128" s="90"/>
      <x:c r="Q128" s="90"/>
      <x:c r="R128" s="90"/>
      <x:c r="S128" s="90"/>
    </x:row>
    <x:row r="129" spans="1:19" ht="12.75" hidden="1" customHeight="1" x14ac:dyDescent="0.2">
      <x:c r="A129" s="89"/>
      <x:c r="E129" s="90"/>
      <x:c r="F129" s="90"/>
      <x:c r="G129" s="90"/>
      <x:c r="H129" s="90"/>
      <x:c r="I129" s="90"/>
      <x:c r="J129" s="90"/>
      <x:c r="K129" s="90"/>
      <x:c r="L129" s="90"/>
      <x:c r="M129" s="90"/>
      <x:c r="N129" s="90"/>
      <x:c r="O129" s="90"/>
      <x:c r="P129" s="90"/>
      <x:c r="Q129" s="90"/>
      <x:c r="R129" s="90"/>
      <x:c r="S129" s="90"/>
    </x:row>
    <x:row r="130" spans="1:19" ht="12.75" hidden="1" customHeight="1" x14ac:dyDescent="0.2">
      <x:c r="A130" s="89"/>
      <x:c r="E130" s="90"/>
      <x:c r="F130" s="90"/>
      <x:c r="G130" s="90"/>
      <x:c r="H130" s="90"/>
      <x:c r="I130" s="90"/>
      <x:c r="J130" s="90"/>
      <x:c r="K130" s="90"/>
      <x:c r="L130" s="90"/>
      <x:c r="M130" s="90"/>
      <x:c r="N130" s="90"/>
      <x:c r="O130" s="90"/>
      <x:c r="P130" s="90"/>
      <x:c r="Q130" s="90"/>
      <x:c r="R130" s="90"/>
      <x:c r="S130" s="90"/>
    </x:row>
    <x:row r="131" spans="1:19" ht="12.75" hidden="1" customHeight="1" x14ac:dyDescent="0.2">
      <x:c r="A131" s="89"/>
      <x:c r="E131" s="90"/>
      <x:c r="F131" s="90"/>
      <x:c r="G131" s="90"/>
      <x:c r="H131" s="90"/>
      <x:c r="I131" s="90"/>
      <x:c r="J131" s="90"/>
      <x:c r="K131" s="90"/>
      <x:c r="L131" s="90"/>
      <x:c r="M131" s="90"/>
      <x:c r="N131" s="90"/>
      <x:c r="O131" s="90"/>
      <x:c r="P131" s="90"/>
      <x:c r="Q131" s="90"/>
      <x:c r="R131" s="90"/>
      <x:c r="S131" s="90"/>
    </x:row>
    <x:row r="132" spans="1:19" ht="12.75" hidden="1" customHeight="1" x14ac:dyDescent="0.2">
      <x:c r="A132" s="89"/>
      <x:c r="E132" s="90"/>
      <x:c r="F132" s="90"/>
      <x:c r="G132" s="90"/>
      <x:c r="H132" s="90"/>
      <x:c r="I132" s="90"/>
      <x:c r="J132" s="90"/>
      <x:c r="K132" s="90"/>
      <x:c r="L132" s="90"/>
      <x:c r="M132" s="90"/>
      <x:c r="N132" s="90"/>
      <x:c r="O132" s="90"/>
      <x:c r="P132" s="90"/>
      <x:c r="Q132" s="90"/>
      <x:c r="R132" s="90"/>
      <x:c r="S132" s="90"/>
    </x:row>
    <x:row r="133" spans="1:19" ht="12.75" hidden="1" customHeight="1" x14ac:dyDescent="0.2">
      <x:c r="A133" s="89"/>
      <x:c r="E133" s="90"/>
      <x:c r="F133" s="90"/>
      <x:c r="G133" s="90"/>
      <x:c r="H133" s="90"/>
      <x:c r="I133" s="90"/>
      <x:c r="J133" s="90"/>
      <x:c r="K133" s="90"/>
      <x:c r="L133" s="90"/>
      <x:c r="M133" s="90"/>
      <x:c r="N133" s="90"/>
      <x:c r="O133" s="90"/>
      <x:c r="P133" s="90"/>
      <x:c r="Q133" s="90"/>
      <x:c r="R133" s="90"/>
      <x:c r="S133" s="90"/>
    </x:row>
    <x:row r="134" spans="1:19" ht="12.75" hidden="1" customHeight="1" x14ac:dyDescent="0.2">
      <x:c r="A134" s="89"/>
      <x:c r="E134" s="90"/>
      <x:c r="F134" s="90"/>
      <x:c r="G134" s="90"/>
      <x:c r="H134" s="90"/>
      <x:c r="I134" s="90"/>
      <x:c r="J134" s="90"/>
      <x:c r="K134" s="90"/>
      <x:c r="L134" s="90"/>
      <x:c r="M134" s="90"/>
      <x:c r="N134" s="90"/>
      <x:c r="O134" s="90"/>
      <x:c r="P134" s="90"/>
      <x:c r="Q134" s="90"/>
      <x:c r="R134" s="90"/>
      <x:c r="S134" s="90"/>
    </x:row>
    <x:row r="135" spans="1:19" ht="12.75" hidden="1" customHeight="1" x14ac:dyDescent="0.2">
      <x:c r="A135" s="89"/>
      <x:c r="E135" s="90"/>
      <x:c r="F135" s="90"/>
      <x:c r="G135" s="90"/>
      <x:c r="H135" s="90"/>
      <x:c r="I135" s="90"/>
      <x:c r="J135" s="90"/>
      <x:c r="K135" s="90"/>
      <x:c r="L135" s="90"/>
      <x:c r="M135" s="90"/>
      <x:c r="N135" s="90"/>
      <x:c r="O135" s="90"/>
      <x:c r="P135" s="90"/>
      <x:c r="Q135" s="90"/>
      <x:c r="R135" s="90"/>
      <x:c r="S135" s="90"/>
    </x:row>
    <x:row r="136" spans="1:19" ht="12.75" hidden="1" customHeight="1" x14ac:dyDescent="0.2">
      <x:c r="A136" s="89"/>
      <x:c r="E136" s="90"/>
      <x:c r="F136" s="90"/>
      <x:c r="G136" s="90"/>
      <x:c r="H136" s="90"/>
      <x:c r="I136" s="90"/>
      <x:c r="J136" s="90"/>
      <x:c r="K136" s="90"/>
      <x:c r="L136" s="90"/>
      <x:c r="M136" s="90"/>
      <x:c r="N136" s="90"/>
      <x:c r="O136" s="90"/>
      <x:c r="P136" s="90"/>
      <x:c r="Q136" s="90"/>
      <x:c r="R136" s="90"/>
      <x:c r="S136" s="90"/>
    </x:row>
    <x:row r="137" spans="1:19" ht="12.75" hidden="1" customHeight="1" x14ac:dyDescent="0.2">
      <x:c r="A137" s="89"/>
      <x:c r="E137" s="90"/>
      <x:c r="F137" s="90"/>
      <x:c r="G137" s="90"/>
      <x:c r="H137" s="90"/>
      <x:c r="I137" s="90"/>
      <x:c r="J137" s="90"/>
      <x:c r="K137" s="90"/>
      <x:c r="L137" s="90"/>
      <x:c r="M137" s="90"/>
      <x:c r="N137" s="90"/>
      <x:c r="O137" s="90"/>
      <x:c r="P137" s="90"/>
      <x:c r="Q137" s="90"/>
      <x:c r="R137" s="90"/>
      <x:c r="S137" s="90"/>
    </x:row>
    <x:row r="138" spans="1:19" ht="12.75" hidden="1" customHeight="1" x14ac:dyDescent="0.2">
      <x:c r="A138" s="89"/>
      <x:c r="E138" s="90"/>
      <x:c r="F138" s="90"/>
      <x:c r="G138" s="90"/>
      <x:c r="H138" s="90"/>
      <x:c r="I138" s="90"/>
      <x:c r="J138" s="90"/>
      <x:c r="K138" s="90"/>
      <x:c r="L138" s="90"/>
      <x:c r="M138" s="90"/>
      <x:c r="N138" s="90"/>
      <x:c r="O138" s="90"/>
      <x:c r="P138" s="90"/>
      <x:c r="Q138" s="90"/>
      <x:c r="R138" s="90"/>
      <x:c r="S138" s="90"/>
    </x:row>
    <x:row r="139" spans="1:19" ht="12.75" hidden="1" customHeight="1" x14ac:dyDescent="0.2">
      <x:c r="A139" s="89"/>
      <x:c r="E139" s="90"/>
      <x:c r="F139" s="90"/>
      <x:c r="G139" s="90"/>
      <x:c r="H139" s="90"/>
      <x:c r="I139" s="90"/>
      <x:c r="J139" s="90"/>
      <x:c r="K139" s="90"/>
      <x:c r="L139" s="90"/>
      <x:c r="M139" s="90"/>
      <x:c r="N139" s="90"/>
      <x:c r="O139" s="90"/>
      <x:c r="P139" s="90"/>
      <x:c r="Q139" s="90"/>
      <x:c r="R139" s="90"/>
      <x:c r="S139" s="90"/>
    </x:row>
    <x:row r="140" spans="1:19" ht="12.75" hidden="1" customHeight="1" x14ac:dyDescent="0.2">
      <x:c r="A140" s="89"/>
      <x:c r="E140" s="90"/>
      <x:c r="F140" s="90"/>
      <x:c r="G140" s="90"/>
      <x:c r="H140" s="90"/>
      <x:c r="I140" s="90"/>
      <x:c r="J140" s="90"/>
      <x:c r="K140" s="90"/>
      <x:c r="L140" s="90"/>
      <x:c r="M140" s="90"/>
      <x:c r="N140" s="90"/>
      <x:c r="O140" s="90"/>
      <x:c r="P140" s="90"/>
      <x:c r="Q140" s="90"/>
      <x:c r="R140" s="90"/>
      <x:c r="S140" s="90"/>
    </x:row>
    <x:row r="141" spans="1:19" ht="12.75" hidden="1" customHeight="1" x14ac:dyDescent="0.2">
      <x:c r="A141" s="89"/>
      <x:c r="E141" s="90"/>
      <x:c r="F141" s="90"/>
      <x:c r="G141" s="90"/>
      <x:c r="H141" s="90"/>
      <x:c r="I141" s="90"/>
      <x:c r="J141" s="90"/>
      <x:c r="K141" s="90"/>
      <x:c r="L141" s="90"/>
      <x:c r="M141" s="90"/>
      <x:c r="N141" s="90"/>
      <x:c r="O141" s="90"/>
      <x:c r="P141" s="90"/>
      <x:c r="Q141" s="90"/>
      <x:c r="R141" s="90"/>
      <x:c r="S141" s="90"/>
    </x:row>
    <x:row r="142" spans="1:19" ht="12.75" hidden="1" customHeight="1" x14ac:dyDescent="0.2">
      <x:c r="A142" s="89"/>
      <x:c r="E142" s="90"/>
      <x:c r="F142" s="90"/>
      <x:c r="G142" s="90"/>
      <x:c r="H142" s="90"/>
      <x:c r="I142" s="90"/>
      <x:c r="J142" s="90"/>
      <x:c r="K142" s="90"/>
      <x:c r="L142" s="90"/>
      <x:c r="M142" s="90"/>
      <x:c r="N142" s="90"/>
      <x:c r="O142" s="90"/>
      <x:c r="P142" s="90"/>
      <x:c r="Q142" s="90"/>
      <x:c r="R142" s="90"/>
      <x:c r="S142" s="90"/>
    </x:row>
    <x:row r="143" spans="1:19" ht="12.75" hidden="1" customHeight="1" x14ac:dyDescent="0.2">
      <x:c r="A143" s="89"/>
      <x:c r="E143" s="90"/>
      <x:c r="F143" s="90"/>
      <x:c r="G143" s="90"/>
      <x:c r="H143" s="90"/>
      <x:c r="I143" s="90"/>
      <x:c r="J143" s="90"/>
      <x:c r="K143" s="90"/>
      <x:c r="L143" s="90"/>
      <x:c r="M143" s="90"/>
      <x:c r="N143" s="90"/>
      <x:c r="O143" s="90"/>
      <x:c r="P143" s="90"/>
      <x:c r="Q143" s="90"/>
      <x:c r="R143" s="90"/>
      <x:c r="S143" s="90"/>
    </x:row>
    <x:row r="144" spans="1:19" ht="12.75" hidden="1" customHeight="1" x14ac:dyDescent="0.2">
      <x:c r="A144" s="89"/>
      <x:c r="E144" s="90"/>
      <x:c r="F144" s="90"/>
      <x:c r="G144" s="90"/>
      <x:c r="H144" s="90"/>
      <x:c r="I144" s="90"/>
      <x:c r="J144" s="90"/>
      <x:c r="K144" s="90"/>
      <x:c r="L144" s="90"/>
      <x:c r="M144" s="90"/>
      <x:c r="N144" s="90"/>
      <x:c r="O144" s="90"/>
      <x:c r="P144" s="90"/>
      <x:c r="Q144" s="90"/>
      <x:c r="R144" s="90"/>
      <x:c r="S144" s="90"/>
    </x:row>
    <x:row r="145" spans="1:19" ht="12.75" hidden="1" customHeight="1" x14ac:dyDescent="0.2">
      <x:c r="A145" s="89"/>
      <x:c r="E145" s="90"/>
      <x:c r="F145" s="90"/>
      <x:c r="G145" s="90"/>
      <x:c r="H145" s="90"/>
      <x:c r="I145" s="90"/>
      <x:c r="J145" s="90"/>
      <x:c r="K145" s="90"/>
      <x:c r="L145" s="90"/>
      <x:c r="M145" s="90"/>
      <x:c r="N145" s="90"/>
      <x:c r="O145" s="90"/>
      <x:c r="P145" s="90"/>
      <x:c r="Q145" s="90"/>
      <x:c r="R145" s="90"/>
      <x:c r="S145" s="90"/>
    </x:row>
    <x:row r="146" spans="1:19" ht="12.75" hidden="1" customHeight="1" x14ac:dyDescent="0.2">
      <x:c r="A146" s="89"/>
      <x:c r="E146" s="90"/>
      <x:c r="F146" s="90"/>
      <x:c r="G146" s="90"/>
      <x:c r="H146" s="90"/>
      <x:c r="I146" s="90"/>
      <x:c r="J146" s="90"/>
      <x:c r="K146" s="90"/>
      <x:c r="L146" s="90"/>
      <x:c r="M146" s="90"/>
      <x:c r="N146" s="90"/>
      <x:c r="O146" s="90"/>
      <x:c r="P146" s="90"/>
      <x:c r="Q146" s="90"/>
      <x:c r="R146" s="90"/>
      <x:c r="S146" s="90"/>
    </x:row>
    <x:row r="147" spans="1:19" ht="12.75" hidden="1" customHeight="1" x14ac:dyDescent="0.2">
      <x:c r="A147" s="89"/>
      <x:c r="E147" s="90"/>
      <x:c r="F147" s="90"/>
      <x:c r="G147" s="90"/>
      <x:c r="H147" s="90"/>
      <x:c r="I147" s="90"/>
      <x:c r="J147" s="90"/>
      <x:c r="K147" s="90"/>
      <x:c r="L147" s="90"/>
      <x:c r="M147" s="90"/>
      <x:c r="N147" s="90"/>
      <x:c r="O147" s="90"/>
      <x:c r="P147" s="90"/>
      <x:c r="Q147" s="90"/>
      <x:c r="R147" s="90"/>
      <x:c r="S147" s="90"/>
    </x:row>
    <x:row r="148" spans="1:19" ht="12.75" hidden="1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customHeight="1" x14ac:dyDescent="0.2">
      <x:c r="B155" s="778" t="s">
        <x:v>2</x:v>
      </x:c>
      <x:c r="C155" s="775" t="s">
        <x:v>132</x:v>
      </x:c>
      <x:c r="D155" s="98" t="s">
        <x:v>70</x:v>
      </x:c>
      <x:c r="E155" s="100">
        <x:f>E101+E123-K101</x:f>
        <x:v>0</x:v>
      </x:c>
      <x:c r="F155" s="100">
        <x:f t="shared" ref="F155:R155" si="3">F101</x:f>
        <x:v>0</x:v>
      </x:c>
      <x:c r="G155" s="100">
        <x:f t="shared" si="3"/>
        <x:v>0</x:v>
      </x:c>
      <x:c r="H155" s="100">
        <x:f t="shared" si="3"/>
        <x:v>0</x:v>
      </x:c>
      <x:c r="I155" s="100">
        <x:f t="shared" si="3"/>
        <x:v>0</x:v>
      </x:c>
      <x:c r="J155" s="100">
        <x:f t="shared" si="3"/>
        <x:v>0</x:v>
      </x:c>
      <x:c r="K155" s="100">
        <x:f t="shared" si="3"/>
        <x:v>0</x:v>
      </x:c>
      <x:c r="L155" s="100">
        <x:f t="shared" si="3"/>
        <x:v>0</x:v>
      </x:c>
      <x:c r="M155" s="100">
        <x:f t="shared" si="3"/>
        <x:v>0</x:v>
      </x:c>
      <x:c r="N155" s="100">
        <x:f t="shared" si="3"/>
        <x:v>0</x:v>
      </x:c>
      <x:c r="O155" s="100">
        <x:f t="shared" si="3"/>
        <x:v>0</x:v>
      </x:c>
      <x:c r="P155" s="100">
        <x:f t="shared" si="3"/>
        <x:v>0</x:v>
      </x:c>
      <x:c r="Q155" s="100">
        <x:f t="shared" si="3"/>
        <x:v>0</x:v>
      </x:c>
      <x:c r="R155" s="100">
        <x:f t="shared" si="3"/>
        <x:v>0</x:v>
      </x:c>
    </x:row>
    <x:row r="156" spans="1:19" ht="12.75" customHeight="1" x14ac:dyDescent="0.2">
      <x:c r="B156" s="778"/>
      <x:c r="C156" s="775"/>
      <x:c r="D156" s="98" t="s">
        <x:v>73</x:v>
      </x:c>
      <x:c r="E156" s="100">
        <x:f>E123</x:f>
        <x:v>0</x:v>
      </x:c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</x:row>
    <x:row r="157" spans="1:19" ht="12.75" customHeight="1" x14ac:dyDescent="0.2">
      <x:c r="A157" s="89"/>
      <x:c r="B157" s="97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</x:row>
    <x:row r="158" spans="1:19" ht="12.75" customHeight="1" x14ac:dyDescent="0.2">
      <x:c r="B158" s="778" t="s">
        <x:v>160</x:v>
      </x:c>
      <x:c r="C158" s="775" t="s">
        <x:v>132</x:v>
      </x:c>
      <x:c r="D158" s="223" t="s">
        <x:v>70</x:v>
      </x:c>
      <x:c r="E158" s="225">
        <x:f>E115+E90+E70-K70-K90</x:f>
        <x:v>0</x:v>
      </x:c>
      <x:c r="F158" s="225">
        <x:f>F90+F70</x:f>
        <x:v>0</x:v>
      </x:c>
      <x:c r="G158" s="225">
        <x:f t="shared" ref="G158:R158" si="4">G90+G70</x:f>
        <x:v>0</x:v>
      </x:c>
      <x:c r="H158" s="225">
        <x:f t="shared" si="4"/>
        <x:v>0</x:v>
      </x:c>
      <x:c r="I158" s="225">
        <x:f t="shared" si="4"/>
        <x:v>0</x:v>
      </x:c>
      <x:c r="J158" s="225">
        <x:f t="shared" si="4"/>
        <x:v>0</x:v>
      </x:c>
      <x:c r="K158" s="225">
        <x:f t="shared" si="4"/>
        <x:v>0</x:v>
      </x:c>
      <x:c r="L158" s="225">
        <x:f t="shared" si="4"/>
        <x:v>0</x:v>
      </x:c>
      <x:c r="M158" s="225">
        <x:f t="shared" si="4"/>
        <x:v>0</x:v>
      </x:c>
      <x:c r="N158" s="225">
        <x:f t="shared" si="4"/>
        <x:v>0</x:v>
      </x:c>
      <x:c r="O158" s="225">
        <x:f t="shared" si="4"/>
        <x:v>0</x:v>
      </x:c>
      <x:c r="P158" s="225">
        <x:f t="shared" si="4"/>
        <x:v>0</x:v>
      </x:c>
      <x:c r="Q158" s="225">
        <x:f t="shared" si="4"/>
        <x:v>0</x:v>
      </x:c>
      <x:c r="R158" s="225">
        <x:f t="shared" si="4"/>
        <x:v>0</x:v>
      </x:c>
    </x:row>
    <x:row r="159" spans="1:19" ht="12.75" customHeight="1" x14ac:dyDescent="0.2">
      <x:c r="B159" s="778"/>
      <x:c r="C159" s="775"/>
      <x:c r="D159" s="223" t="s">
        <x:v>73</x:v>
      </x:c>
      <x:c r="E159" s="225">
        <x:f>E115</x:f>
        <x:v>0</x:v>
      </x:c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</x:row>
    <x:row r="160" spans="1:19" ht="12.6" customHeight="1" x14ac:dyDescent="0.2">
      <x:c r="A160" s="89"/>
      <x:c r="B160" s="97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</x:row>
    <x:row r="161" spans="1:18" ht="12.75" customHeight="1" x14ac:dyDescent="0.2">
      <x:c r="B161" s="778" t="s">
        <x:v>155</x:v>
      </x:c>
      <x:c r="C161" s="775" t="s">
        <x:v>132</x:v>
      </x:c>
      <x:c r="D161" s="221" t="s">
        <x:v>70</x:v>
      </x:c>
      <x:c r="E161" s="222">
        <x:f>E104+E74-K74</x:f>
        <x:v>0</x:v>
      </x:c>
      <x:c r="F161" s="222">
        <x:f t="shared" ref="F161:R161" si="5">F74</x:f>
        <x:v>0</x:v>
      </x:c>
      <x:c r="G161" s="222">
        <x:f t="shared" si="5"/>
        <x:v>0</x:v>
      </x:c>
      <x:c r="H161" s="222">
        <x:f t="shared" si="5"/>
        <x:v>0</x:v>
      </x:c>
      <x:c r="I161" s="222">
        <x:f t="shared" si="5"/>
        <x:v>0</x:v>
      </x:c>
      <x:c r="J161" s="222">
        <x:f t="shared" si="5"/>
        <x:v>0</x:v>
      </x:c>
      <x:c r="K161" s="222">
        <x:f t="shared" si="5"/>
        <x:v>0</x:v>
      </x:c>
      <x:c r="L161" s="222">
        <x:f t="shared" si="5"/>
        <x:v>0</x:v>
      </x:c>
      <x:c r="M161" s="222">
        <x:f t="shared" si="5"/>
        <x:v>0</x:v>
      </x:c>
      <x:c r="N161" s="222">
        <x:f t="shared" si="5"/>
        <x:v>0</x:v>
      </x:c>
      <x:c r="O161" s="222">
        <x:f t="shared" si="5"/>
        <x:v>0</x:v>
      </x:c>
      <x:c r="P161" s="222">
        <x:f t="shared" si="5"/>
        <x:v>0</x:v>
      </x:c>
      <x:c r="Q161" s="222">
        <x:f t="shared" si="5"/>
        <x:v>0</x:v>
      </x:c>
      <x:c r="R161" s="222">
        <x:f t="shared" si="5"/>
        <x:v>0</x:v>
      </x:c>
    </x:row>
    <x:row r="162" spans="1:18" ht="12.75" customHeight="1" x14ac:dyDescent="0.2">
      <x:c r="B162" s="778"/>
      <x:c r="C162" s="775"/>
      <x:c r="D162" s="221" t="s">
        <x:v>73</x:v>
      </x:c>
      <x:c r="E162" s="222">
        <x:f>E104</x:f>
        <x:v>0</x:v>
      </x:c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</x:row>
    <x:row r="163" spans="1:18" ht="12.75" customHeight="1" x14ac:dyDescent="0.2">
      <x:c r="A163" s="89"/>
      <x:c r="B163" s="97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</x:row>
    <x:row r="164" spans="1:18" ht="12.75" customHeight="1" x14ac:dyDescent="0.2">
      <x:c r="B164" s="776" t="s">
        <x:v>326</x:v>
      </x:c>
      <x:c r="C164" s="775" t="s">
        <x:v>132</x:v>
      </x:c>
      <x:c r="D164" s="373" t="s">
        <x:v>70</x:v>
      </x:c>
      <x:c r="E164" s="374">
        <x:v>0</x:v>
      </x:c>
      <x:c r="F164" s="374">
        <x:v>0</x:v>
      </x:c>
      <x:c r="G164" s="374">
        <x:v>0</x:v>
      </x:c>
      <x:c r="H164" s="374">
        <x:v>0</x:v>
      </x:c>
      <x:c r="I164" s="374">
        <x:v>0</x:v>
      </x:c>
      <x:c r="J164" s="374">
        <x:v>0</x:v>
      </x:c>
      <x:c r="K164" s="374">
        <x:v>0</x:v>
      </x:c>
      <x:c r="L164" s="374">
        <x:v>0</x:v>
      </x:c>
      <x:c r="M164" s="374">
        <x:v>0</x:v>
      </x:c>
      <x:c r="N164" s="374">
        <x:v>0</x:v>
      </x:c>
      <x:c r="O164" s="374">
        <x:v>0</x:v>
      </x:c>
      <x:c r="P164" s="374">
        <x:v>0</x:v>
      </x:c>
      <x:c r="Q164" s="374">
        <x:v>0</x:v>
      </x:c>
      <x:c r="R164" s="374">
        <x:v>0</x:v>
      </x:c>
    </x:row>
    <x:row r="165" spans="1:18" ht="12.75" customHeight="1" x14ac:dyDescent="0.2">
      <x:c r="B165" s="776"/>
      <x:c r="C165" s="775"/>
      <x:c r="D165" s="373" t="s">
        <x:v>73</x:v>
      </x:c>
      <x:c r="E165" s="374">
        <x:v>0</x:v>
      </x:c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</x:row>
    <x:row r="166" spans="1:18" ht="12.75" customHeight="1" x14ac:dyDescent="0.2">
      <x:c r="A166" s="89"/>
      <x:c r="B166" s="97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</x:row>
    <x:row r="167" spans="1:18" ht="12.75" customHeight="1" x14ac:dyDescent="0.2">
      <x:c r="B167" s="778" t="s">
        <x:v>119</x:v>
      </x:c>
      <x:c r="C167" s="775" t="s">
        <x:v>132</x:v>
      </x:c>
      <x:c r="D167" s="101" t="s">
        <x:v>70</x:v>
      </x:c>
      <x:c r="E167" s="93">
        <x:f>E100+E122-K100</x:f>
        <x:v>0</x:v>
      </x:c>
      <x:c r="F167" s="93">
        <x:f t="shared" ref="F167:R167" si="6">F100</x:f>
        <x:v>0</x:v>
      </x:c>
      <x:c r="G167" s="93">
        <x:f t="shared" si="6"/>
        <x:v>0</x:v>
      </x:c>
      <x:c r="H167" s="93">
        <x:f t="shared" si="6"/>
        <x:v>0</x:v>
      </x:c>
      <x:c r="I167" s="93">
        <x:f t="shared" si="6"/>
        <x:v>0</x:v>
      </x:c>
      <x:c r="J167" s="93">
        <x:f t="shared" si="6"/>
        <x:v>0</x:v>
      </x:c>
      <x:c r="K167" s="93">
        <x:f t="shared" si="6"/>
        <x:v>0</x:v>
      </x:c>
      <x:c r="L167" s="93">
        <x:f t="shared" si="6"/>
        <x:v>0</x:v>
      </x:c>
      <x:c r="M167" s="93">
        <x:f t="shared" si="6"/>
        <x:v>0</x:v>
      </x:c>
      <x:c r="N167" s="93">
        <x:f t="shared" si="6"/>
        <x:v>0</x:v>
      </x:c>
      <x:c r="O167" s="93">
        <x:f t="shared" si="6"/>
        <x:v>0</x:v>
      </x:c>
      <x:c r="P167" s="93">
        <x:f t="shared" si="6"/>
        <x:v>0</x:v>
      </x:c>
      <x:c r="Q167" s="93">
        <x:f t="shared" si="6"/>
        <x:v>0</x:v>
      </x:c>
      <x:c r="R167" s="93">
        <x:f t="shared" si="6"/>
        <x:v>0</x:v>
      </x:c>
    </x:row>
    <x:row r="168" spans="1:18" ht="12.75" customHeight="1" x14ac:dyDescent="0.2">
      <x:c r="B168" s="778"/>
      <x:c r="C168" s="775"/>
      <x:c r="D168" s="101" t="s">
        <x:v>73</x:v>
      </x:c>
      <x:c r="E168" s="93">
        <x:f>E122</x:f>
        <x:v>0</x:v>
      </x:c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</x:row>
    <x:row r="169" spans="1:18" ht="12.75" customHeight="1" x14ac:dyDescent="0.2">
      <x:c r="A169" s="89"/>
      <x:c r="B169" s="97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</x:row>
    <x:row r="170" spans="1:18" ht="12.75" customHeight="1" x14ac:dyDescent="0.2">
      <x:c r="B170" s="777" t="s">
        <x:v>161</x:v>
      </x:c>
      <x:c r="C170" s="775" t="s">
        <x:v>132</x:v>
      </x:c>
      <x:c r="D170" s="231" t="s">
        <x:v>70</x:v>
      </x:c>
      <x:c r="E170" s="232">
        <x:v>0</x:v>
      </x:c>
      <x:c r="F170" s="232">
        <x:v>0</x:v>
      </x:c>
      <x:c r="G170" s="232">
        <x:v>0</x:v>
      </x:c>
      <x:c r="H170" s="232">
        <x:v>0</x:v>
      </x:c>
      <x:c r="I170" s="232">
        <x:v>0</x:v>
      </x:c>
      <x:c r="J170" s="232">
        <x:v>0</x:v>
      </x:c>
      <x:c r="K170" s="232">
        <x:v>0</x:v>
      </x:c>
      <x:c r="L170" s="232">
        <x:v>0</x:v>
      </x:c>
      <x:c r="M170" s="232">
        <x:v>0</x:v>
      </x:c>
      <x:c r="N170" s="232">
        <x:v>0</x:v>
      </x:c>
      <x:c r="O170" s="232">
        <x:v>0</x:v>
      </x:c>
      <x:c r="P170" s="232">
        <x:v>0</x:v>
      </x:c>
      <x:c r="Q170" s="232">
        <x:v>0</x:v>
      </x:c>
      <x:c r="R170" s="232">
        <x:v>0</x:v>
      </x:c>
    </x:row>
    <x:row r="171" spans="1:18" ht="12.75" customHeight="1" x14ac:dyDescent="0.2">
      <x:c r="B171" s="777"/>
      <x:c r="C171" s="775"/>
      <x:c r="D171" s="231" t="s">
        <x:v>73</x:v>
      </x:c>
      <x:c r="E171" s="232">
        <x:v>0</x:v>
      </x:c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</x:row>
    <x:row r="172" spans="1:18" s="238" customFormat="1" x14ac:dyDescent="0.2"/>
    <x:row r="173" spans="1:18" x14ac:dyDescent="0.2">
      <x:c r="B173" s="97" t="s">
        <x:v>76</x:v>
      </x:c>
    </x:row>
    <x:row r="174" spans="1:18" ht="12.6" customHeight="1" x14ac:dyDescent="0.2">
      <x:c r="E174" s="89" t="s">
        <x:v>70</x:v>
      </x:c>
      <x:c r="F174" s="89" t="s">
        <x:v>64</x:v>
      </x:c>
      <x:c r="G174" s="89" t="s">
        <x:v>65</x:v>
      </x:c>
      <x:c r="H174" s="219" t="s">
        <x:v>164</x:v>
      </x:c>
      <x:c r="I174" s="89" t="s">
        <x:v>69</x:v>
      </x:c>
      <x:c r="J174" s="89" t="s">
        <x:v>68</x:v>
      </x:c>
      <x:c r="K174" s="89" t="s">
        <x:v>83</x:v>
      </x:c>
      <x:c r="L174" s="89" t="s">
        <x:v>66</x:v>
      </x:c>
      <x:c r="M174" s="89" t="s">
        <x:v>63</x:v>
      </x:c>
      <x:c r="N174" s="89" t="s">
        <x:v>61</x:v>
      </x:c>
      <x:c r="O174" s="89" t="s">
        <x:v>62</x:v>
      </x:c>
      <x:c r="P174" s="89" t="s">
        <x:v>67</x:v>
      </x:c>
      <x:c r="Q174" s="89" t="s">
        <x:v>84</x:v>
      </x:c>
      <x:c r="R174" s="384" t="s">
        <x:v>225</x:v>
      </x:c>
    </x:row>
    <x:row r="175" spans="1:18" ht="12.75" customHeight="1" x14ac:dyDescent="0.2">
      <x:c r="D175" s="89" t="s">
        <x:v>72</x:v>
      </x:c>
      <x:c r="E175" s="371" t="n">
        <x:v>73523.1</x:v>
      </x:c>
      <x:c r="F175" s="90" t="n">
        <x:v>9264.07</x:v>
      </x:c>
      <x:c r="G175" s="90" t="n">
        <x:v>5230.51</x:v>
      </x:c>
      <x:c r="H175" s="90" t="n">
        <x:v>2745.35</x:v>
      </x:c>
      <x:c r="I175" s="90" t="n">
        <x:v>13953.55</x:v>
      </x:c>
      <x:c r="J175" s="90" t="n">
        <x:v>241.72</x:v>
      </x:c>
      <x:c r="K175" s="90" t="n">
        <x:v>0</x:v>
      </x:c>
      <x:c r="L175" s="90" t="n">
        <x:v>2120.39</x:v>
      </x:c>
      <x:c r="M175" s="90" t="n">
        <x:v>3083.67</x:v>
      </x:c>
      <x:c r="N175" s="90" t="n">
        <x:v>14598.9</x:v>
      </x:c>
      <x:c r="O175" s="90" t="n">
        <x:v>21890.54</x:v>
      </x:c>
      <x:c r="P175" s="90" t="n">
        <x:v>394.4</x:v>
      </x:c>
      <x:c r="Q175" s="90" t="n">
        <x:v>0</x:v>
      </x:c>
      <x:c r="R175" t="n">
        <x:v>0</x:v>
      </x:c>
    </x:row>
    <x:row r="176" spans="1:18" ht="12.75" customHeight="1" x14ac:dyDescent="0.2">
      <x:c r="D176" t="s">
        <x:v>81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</x:row>
    <x:row r="177" spans="1:18" ht="12.75" customHeight="1" x14ac:dyDescent="0.2">
      <x:c r="C177" t="s">
        <x:v>332</x:v>
      </x:c>
      <x:c r="D177" s="89" t="s">
        <x:v>70</x:v>
      </x:c>
      <x:c r="E177" s="371" t="n">
        <x:v>73523.1</x:v>
      </x:c>
      <x:c r="F177" s="90" t="n">
        <x:v>9264.07</x:v>
      </x:c>
      <x:c r="G177" s="90" t="n">
        <x:v>5230.51</x:v>
      </x:c>
      <x:c r="H177" s="90" t="n">
        <x:v>2745.35</x:v>
      </x:c>
      <x:c r="I177" s="90" t="n">
        <x:v>13953.55</x:v>
      </x:c>
      <x:c r="J177" s="90" t="n">
        <x:v>241.72</x:v>
      </x:c>
      <x:c r="K177" s="90" t="n">
        <x:v>0</x:v>
      </x:c>
      <x:c r="L177" s="90" t="n">
        <x:v>2120.39</x:v>
      </x:c>
      <x:c r="M177" s="90" t="n">
        <x:v>3083.67</x:v>
      </x:c>
      <x:c r="N177" s="90" t="n">
        <x:v>14598.9</x:v>
      </x:c>
      <x:c r="O177" s="90" t="n">
        <x:v>21890.54</x:v>
      </x:c>
      <x:c r="P177" s="90" t="n">
        <x:v>394.4</x:v>
      </x:c>
      <x:c r="Q177" s="90" t="n">
        <x:v>0</x:v>
      </x:c>
      <x:c r="R177" t="n">
        <x:v>0</x:v>
      </x:c>
    </x:row>
    <x:row r="178" spans="1:18" s="739" customFormat="1" ht="12.75" customHeight="1" x14ac:dyDescent="0.2">
      <x:c r="B178" s="739" t="s">
        <x:v>85</x:v>
      </x:c>
      <x:c r="C178" s="739" t="s">
        <x:v>70</x:v>
      </x:c>
      <x:c r="D178" s="231"/>
      <x:c r="E178" s="740" t="n">
        <x:v>73523.1</x:v>
      </x:c>
      <x:c r="F178" s="232" t="n">
        <x:v>9264.07</x:v>
      </x:c>
      <x:c r="G178" s="232" t="n">
        <x:v>5230.51</x:v>
      </x:c>
      <x:c r="H178" s="232" t="n">
        <x:v>2745.35</x:v>
      </x:c>
      <x:c r="I178" s="232" t="n">
        <x:v>13953.55</x:v>
      </x:c>
      <x:c r="J178" s="232" t="n">
        <x:v>241.72</x:v>
      </x:c>
      <x:c r="K178" s="232" t="n">
        <x:v>0</x:v>
      </x:c>
      <x:c r="L178" s="232" t="n">
        <x:v>2120.39</x:v>
      </x:c>
      <x:c r="M178" s="232" t="n">
        <x:v>3083.67</x:v>
      </x:c>
      <x:c r="N178" s="232" t="n">
        <x:v>14598.9</x:v>
      </x:c>
      <x:c r="O178" s="232" t="n">
        <x:v>21890.54</x:v>
      </x:c>
      <x:c r="P178" s="232" t="n">
        <x:v>394.4</x:v>
      </x:c>
      <x:c r="Q178" s="232" t="n">
        <x:v>0</x:v>
      </x:c>
      <x:c r="R178" s="739" t="n">
        <x:v>0</x:v>
      </x:c>
    </x:row>
    <x:row r="179" spans="1:18" ht="12.6" customHeight="1" x14ac:dyDescent="0.2">
      <x:c r="D179" t="s">
        <x:v>72</x:v>
      </x:c>
      <x:c r="E179" t="n">
        <x:v>10207291.73</x:v>
      </x:c>
      <x:c r="F179" t="n">
        <x:v>691727.66</x:v>
      </x:c>
      <x:c r="G179" t="n">
        <x:v>397192.92</x:v>
      </x:c>
      <x:c r="H179" t="n">
        <x:v>197980.04</x:v>
      </x:c>
      <x:c r="I179" t="n">
        <x:v>2063996.04</x:v>
      </x:c>
      <x:c r="J179" t="n">
        <x:v>75420.05</x:v>
      </x:c>
      <x:c r="K179" t="n">
        <x:v>22742.37</x:v>
      </x:c>
      <x:c r="L179" t="n">
        <x:v>669158.8</x:v>
      </x:c>
      <x:c r="M179" t="n">
        <x:v>682630.8</x:v>
      </x:c>
      <x:c r="N179" t="n">
        <x:v>3576274.42</x:v>
      </x:c>
      <x:c r="O179" t="n">
        <x:v>1725169.95</x:v>
      </x:c>
      <x:c r="P179" t="n">
        <x:v>104984.24</x:v>
      </x:c>
      <x:c r="Q179" t="n">
        <x:v>14.44</x:v>
      </x:c>
      <x:c r="R179" t="n">
        <x:v>0</x:v>
      </x:c>
    </x:row>
    <x:row r="180" spans="1:18" ht="12.75" customHeight="1" x14ac:dyDescent="0.2">
      <x:c r="D180" t="s">
        <x:v>81</x:v>
      </x:c>
      <x:c r="E180" t="n">
        <x:v>10777.75</x:v>
      </x:c>
      <x:c r="F180" t="n">
        <x:v>739.4</x:v>
      </x:c>
      <x:c r="G180" t="n">
        <x:v>426.95</x:v>
      </x:c>
      <x:c r="H180" t="n">
        <x:v>220.46</x:v>
      </x:c>
      <x:c r="I180" t="n">
        <x:v>2409.24</x:v>
      </x:c>
      <x:c r="J180" t="n">
        <x:v>88.57</x:v>
      </x:c>
      <x:c r="K180" t="n">
        <x:v>0</x:v>
      </x:c>
      <x:c r="L180" t="n">
        <x:v>743.28</x:v>
      </x:c>
      <x:c r="M180" t="n">
        <x:v>730.41</x:v>
      </x:c>
      <x:c r="N180" t="n">
        <x:v>3555.68</x:v>
      </x:c>
      <x:c r="O180" t="n">
        <x:v>1718.33</x:v>
      </x:c>
      <x:c r="P180" t="n">
        <x:v>145.3</x:v>
      </x:c>
      <x:c r="Q180" t="n">
        <x:v>0.13</x:v>
      </x:c>
      <x:c r="R180" t="n">
        <x:v>0</x:v>
      </x:c>
    </x:row>
    <x:row r="181" spans="1:18" ht="12.75" customHeight="1" x14ac:dyDescent="0.2">
      <x:c r="C181" t="s">
        <x:v>156</x:v>
      </x:c>
      <x:c r="D181" s="89" t="s">
        <x:v>70</x:v>
      </x:c>
      <x:c r="E181" s="371" t="n">
        <x:v>10218069.48</x:v>
      </x:c>
      <x:c r="F181" s="90" t="n">
        <x:v>692467.06</x:v>
      </x:c>
      <x:c r="G181" s="90" t="n">
        <x:v>397619.87</x:v>
      </x:c>
      <x:c r="H181" s="90" t="n">
        <x:v>198200.5</x:v>
      </x:c>
      <x:c r="I181" s="90" t="n">
        <x:v>2066405.28</x:v>
      </x:c>
      <x:c r="J181" s="90" t="n">
        <x:v>75508.62</x:v>
      </x:c>
      <x:c r="K181" s="90" t="n">
        <x:v>22742.37</x:v>
      </x:c>
      <x:c r="L181" s="90" t="n">
        <x:v>669902.08</x:v>
      </x:c>
      <x:c r="M181" s="90" t="n">
        <x:v>683361.21</x:v>
      </x:c>
      <x:c r="N181" s="90" t="n">
        <x:v>3579830.1</x:v>
      </x:c>
      <x:c r="O181" s="90" t="n">
        <x:v>1726888.28</x:v>
      </x:c>
      <x:c r="P181" s="90" t="n">
        <x:v>105129.54</x:v>
      </x:c>
      <x:c r="Q181" s="90" t="n">
        <x:v>14.57</x:v>
      </x:c>
      <x:c r="R181" t="n">
        <x:v>0</x:v>
      </x:c>
    </x:row>
    <x:row r="182" spans="1:18" s="656" customFormat="1" ht="12.75" customHeight="1" x14ac:dyDescent="0.2">
      <x:c r="B182" s="656" t="s">
        <x:v>155</x:v>
      </x:c>
      <x:c r="C182" s="656" t="s">
        <x:v>70</x:v>
      </x:c>
      <x:c r="E182" s="741" t="n">
        <x:v>10218069.48</x:v>
      </x:c>
      <x:c r="F182" s="656" t="n">
        <x:v>692467.06</x:v>
      </x:c>
      <x:c r="G182" s="656" t="n">
        <x:v>397619.87</x:v>
      </x:c>
      <x:c r="H182" s="656" t="n">
        <x:v>198200.5</x:v>
      </x:c>
      <x:c r="I182" s="656" t="n">
        <x:v>2066405.28</x:v>
      </x:c>
      <x:c r="J182" s="656" t="n">
        <x:v>75508.62</x:v>
      </x:c>
      <x:c r="K182" s="656" t="n">
        <x:v>22742.37</x:v>
      </x:c>
      <x:c r="L182" s="656" t="n">
        <x:v>669902.08</x:v>
      </x:c>
      <x:c r="M182" s="656" t="n">
        <x:v>683361.21</x:v>
      </x:c>
      <x:c r="N182" s="656" t="n">
        <x:v>3579830.1</x:v>
      </x:c>
      <x:c r="O182" s="656" t="n">
        <x:v>1726888.28</x:v>
      </x:c>
      <x:c r="P182" s="656" t="n">
        <x:v>105129.54</x:v>
      </x:c>
      <x:c r="Q182" s="656" t="n">
        <x:v>14.57</x:v>
      </x:c>
      <x:c r="R182" s="656" t="n">
        <x:v>0</x:v>
      </x:c>
    </x:row>
    <x:row r="183" spans="1:18" ht="12.75" customHeight="1" x14ac:dyDescent="0.2">
      <x:c r="D183" t="s">
        <x:v>72</x:v>
      </x:c>
      <x:c r="E183" s="142" t="n">
        <x:v>1272712.91</x:v>
      </x:c>
      <x:c r="F183" t="n">
        <x:v>67036.89</x:v>
      </x:c>
      <x:c r="G183" t="n">
        <x:v>39501.06</x:v>
      </x:c>
      <x:c r="H183" t="n">
        <x:v>23477.74</x:v>
      </x:c>
      <x:c r="I183" t="n">
        <x:v>289895.21</x:v>
      </x:c>
      <x:c r="J183" t="n">
        <x:v>8195.05</x:v>
      </x:c>
      <x:c r="K183" t="n">
        <x:v>0</x:v>
      </x:c>
      <x:c r="L183" t="n">
        <x:v>74764.14</x:v>
      </x:c>
      <x:c r="M183" t="n">
        <x:v>110184.35</x:v>
      </x:c>
      <x:c r="N183" t="n">
        <x:v>481645.44</x:v>
      </x:c>
      <x:c r="O183" t="n">
        <x:v>163596.31</x:v>
      </x:c>
      <x:c r="P183" t="n">
        <x:v>14405.04</x:v>
      </x:c>
      <x:c r="Q183" t="n">
        <x:v>11.68</x:v>
      </x:c>
      <x:c r="R183" t="n">
        <x:v>0</x:v>
      </x:c>
    </x:row>
    <x:row r="184" spans="1:18" ht="12.75" customHeight="1" x14ac:dyDescent="0.2">
      <x:c r="D184" t="s">
        <x:v>81</x:v>
      </x:c>
      <x:c r="E184" s="142" t="n">
        <x:v>12.81</x:v>
      </x:c>
      <x:c r="F184" t="n">
        <x:v>0.52</x:v>
      </x:c>
      <x:c r="G184" t="n">
        <x:v>0.29</x:v>
      </x:c>
      <x:c r="H184" t="n">
        <x:v>0.15</x:v>
      </x:c>
      <x:c r="I184" t="n">
        <x:v>3.5</x:v>
      </x:c>
      <x:c r="J184" t="n">
        <x:v>0.08</x:v>
      </x:c>
      <x:c r="K184" t="n">
        <x:v>0</x:v>
      </x:c>
      <x:c r="L184" t="n">
        <x:v>0.73</x:v>
      </x:c>
      <x:c r="M184" t="n">
        <x:v>1.08</x:v>
      </x:c>
      <x:c r="N184" t="n">
        <x:v>5.11</x:v>
      </x:c>
      <x:c r="O184" t="n">
        <x:v>1.21</x:v>
      </x:c>
      <x:c r="P184" t="n">
        <x:v>0.14</x:v>
      </x:c>
      <x:c r="Q184" t="n">
        <x:v>0</x:v>
      </x:c>
      <x:c r="R184" t="n">
        <x:v>0</x:v>
      </x:c>
    </x:row>
    <x:row r="185" spans="1:18" ht="12.75" customHeight="1" x14ac:dyDescent="0.2">
      <x:c r="C185" t="s">
        <x:v>82</x:v>
      </x:c>
      <x:c r="D185" t="s">
        <x:v>70</x:v>
      </x:c>
      <x:c r="E185" s="142" t="n">
        <x:v>1272725.72</x:v>
      </x:c>
      <x:c r="F185" t="n">
        <x:v>67037.41</x:v>
      </x:c>
      <x:c r="G185" t="n">
        <x:v>39501.35</x:v>
      </x:c>
      <x:c r="H185" t="n">
        <x:v>23477.89</x:v>
      </x:c>
      <x:c r="I185" t="n">
        <x:v>289898.71</x:v>
      </x:c>
      <x:c r="J185" t="n">
        <x:v>8195.13</x:v>
      </x:c>
      <x:c r="K185" t="n">
        <x:v>0</x:v>
      </x:c>
      <x:c r="L185" t="n">
        <x:v>74764.87</x:v>
      </x:c>
      <x:c r="M185" t="n">
        <x:v>110185.43</x:v>
      </x:c>
      <x:c r="N185" t="n">
        <x:v>481650.55</x:v>
      </x:c>
      <x:c r="O185" t="n">
        <x:v>163597.52</x:v>
      </x:c>
      <x:c r="P185" t="n">
        <x:v>14405.18</x:v>
      </x:c>
      <x:c r="Q185" t="n">
        <x:v>11.68</x:v>
      </x:c>
      <x:c r="R185" t="n">
        <x:v>0</x:v>
      </x:c>
    </x:row>
    <x:row r="186" spans="1:18" ht="12.75" customHeight="1" x14ac:dyDescent="0.2">
      <x:c r="D186" t="s">
        <x:v>72</x:v>
      </x:c>
      <x:c r="E186" s="142" t="n">
        <x:v>983440.41</x:v>
      </x:c>
      <x:c r="F186" t="n">
        <x:v>68653.41</x:v>
      </x:c>
      <x:c r="G186" t="n">
        <x:v>38553.57</x:v>
      </x:c>
      <x:c r="H186" t="n">
        <x:v>20740.34</x:v>
      </x:c>
      <x:c r="I186" t="n">
        <x:v>220594.68</x:v>
      </x:c>
      <x:c r="J186" t="n">
        <x:v>4977.48</x:v>
      </x:c>
      <x:c r="K186" t="n">
        <x:v>0</x:v>
      </x:c>
      <x:c r="L186" t="n">
        <x:v>53236.89</x:v>
      </x:c>
      <x:c r="M186" t="n">
        <x:v>65079.83</x:v>
      </x:c>
      <x:c r="N186" t="n">
        <x:v>340285.14</x:v>
      </x:c>
      <x:c r="O186" t="n">
        <x:v>162040.31</x:v>
      </x:c>
      <x:c r="P186" t="n">
        <x:v>9295.93</x:v>
      </x:c>
      <x:c r="Q186" t="n">
        <x:v>-17.17</x:v>
      </x:c>
      <x:c r="R186" t="n">
        <x:v>0</x:v>
      </x:c>
    </x:row>
    <x:row r="187" spans="1:18" ht="12.75" customHeight="1" x14ac:dyDescent="0.2">
      <x:c r="D187" t="s">
        <x:v>81</x:v>
      </x:c>
      <x:c r="E187" s="142" t="n">
        <x:v>593.62</x:v>
      </x:c>
      <x:c r="F187" t="n">
        <x:v>4.2</x:v>
      </x:c>
      <x:c r="G187" t="n">
        <x:v>2.37</x:v>
      </x:c>
      <x:c r="H187" t="n">
        <x:v>1.25</x:v>
      </x:c>
      <x:c r="I187" t="n">
        <x:v>0</x:v>
      </x:c>
      <x:c r="J187" t="n">
        <x:v>9.54</x:v>
      </x:c>
      <x:c r="K187" t="n">
        <x:v>0</x:v>
      </x:c>
      <x:c r="L187" t="n">
        <x:v>83.75</x:v>
      </x:c>
      <x:c r="M187" t="n">
        <x:v>82.2</x:v>
      </x:c>
      <x:c r="N187" t="n">
        <x:v>385.01</x:v>
      </x:c>
      <x:c r="O187" t="n">
        <x:v>9.75</x:v>
      </x:c>
      <x:c r="P187" t="n">
        <x:v>15.58</x:v>
      </x:c>
      <x:c r="Q187" t="n">
        <x:v>-0.03</x:v>
      </x:c>
      <x:c r="R187" t="n">
        <x:v>0</x:v>
      </x:c>
    </x:row>
    <x:row r="188" spans="1:18" ht="12.75" customHeight="1" x14ac:dyDescent="0.2">
      <x:c r="C188" t="s">
        <x:v>86</x:v>
      </x:c>
      <x:c r="D188" t="s">
        <x:v>70</x:v>
      </x:c>
      <x:c r="E188" s="142" t="n">
        <x:v>984034.03</x:v>
      </x:c>
      <x:c r="F188" t="n">
        <x:v>68657.61</x:v>
      </x:c>
      <x:c r="G188" t="n">
        <x:v>38555.94</x:v>
      </x:c>
      <x:c r="H188" t="n">
        <x:v>20741.59</x:v>
      </x:c>
      <x:c r="I188" t="n">
        <x:v>220594.68</x:v>
      </x:c>
      <x:c r="J188" t="n">
        <x:v>4987.02</x:v>
      </x:c>
      <x:c r="K188" t="n">
        <x:v>0</x:v>
      </x:c>
      <x:c r="L188" t="n">
        <x:v>53320.64</x:v>
      </x:c>
      <x:c r="M188" t="n">
        <x:v>65162.03</x:v>
      </x:c>
      <x:c r="N188" t="n">
        <x:v>340670.15</x:v>
      </x:c>
      <x:c r="O188" t="n">
        <x:v>162050.06</x:v>
      </x:c>
      <x:c r="P188" t="n">
        <x:v>9311.51</x:v>
      </x:c>
      <x:c r="Q188" t="n">
        <x:v>-17.2</x:v>
      </x:c>
      <x:c r="R188" t="n">
        <x:v>0</x:v>
      </x:c>
    </x:row>
    <x:row r="189" spans="1:18" ht="12.75" customHeight="1" x14ac:dyDescent="0.2">
      <x:c r="D189" t="s">
        <x:v>72</x:v>
      </x:c>
      <x:c r="E189" s="142" t="n">
        <x:v>10889834.8</x:v>
      </x:c>
      <x:c r="F189" t="n">
        <x:v>1776974.67</x:v>
      </x:c>
      <x:c r="G189" t="n">
        <x:v>603192.45</x:v>
      </x:c>
      <x:c r="H189" t="n">
        <x:v>505061.73</x:v>
      </x:c>
      <x:c r="I189" t="n">
        <x:v>1046769.67</x:v>
      </x:c>
      <x:c r="J189" t="n">
        <x:v>28744.59</x:v>
      </x:c>
      <x:c r="K189" t="n">
        <x:v>0</x:v>
      </x:c>
      <x:c r="L189" t="n">
        <x:v>266799.07</x:v>
      </x:c>
      <x:c r="M189" t="n">
        <x:v>384022.27</x:v>
      </x:c>
      <x:c r="N189" t="n">
        <x:v>1863093.08</x:v>
      </x:c>
      <x:c r="O189" t="n">
        <x:v>4364983.13</x:v>
      </x:c>
      <x:c r="P189" t="n">
        <x:v>50156.58</x:v>
      </x:c>
      <x:c r="Q189" t="n">
        <x:v>37.56</x:v>
      </x:c>
      <x:c r="R189" t="n">
        <x:v>0</x:v>
      </x:c>
    </x:row>
    <x:row r="190" spans="1:18" ht="12.75" customHeight="1" x14ac:dyDescent="0.2">
      <x:c r="D190" t="s">
        <x:v>81</x:v>
      </x:c>
      <x:c r="E190" s="142" t="n">
        <x:v>269071.07</x:v>
      </x:c>
      <x:c r="F190" t="n">
        <x:v>55015.17</x:v>
      </x:c>
      <x:c r="G190" t="n">
        <x:v>31018.76</x:v>
      </x:c>
      <x:c r="H190" t="n">
        <x:v>16363.81</x:v>
      </x:c>
      <x:c r="I190" t="n">
        <x:v>12244.44</x:v>
      </x:c>
      <x:c r="J190" t="n">
        <x:v>300.42</x:v>
      </x:c>
      <x:c r="K190" t="n">
        <x:v>0</x:v>
      </x:c>
      <x:c r="L190" t="n">
        <x:v>2679.67</x:v>
      </x:c>
      <x:c r="M190" t="n">
        <x:v>3831.33</x:v>
      </x:c>
      <x:c r="N190" t="n">
        <x:v>17411.71</x:v>
      </x:c>
      <x:c r="O190" t="n">
        <x:v>129718.24</x:v>
      </x:c>
      <x:c r="P190" t="n">
        <x:v>487.91</x:v>
      </x:c>
      <x:c r="Q190" t="n">
        <x:v>-0.39</x:v>
      </x:c>
      <x:c r="R190" t="n">
        <x:v>0</x:v>
      </x:c>
    </x:row>
    <x:row r="191" spans="1:18" ht="12.75" customHeight="1" x14ac:dyDescent="0.2">
      <x:c r="A191" s="89"/>
      <x:c r="B191" s="89"/>
      <x:c r="C191" t="s">
        <x:v>87</x:v>
      </x:c>
      <x:c r="D191" t="s">
        <x:v>70</x:v>
      </x:c>
      <x:c r="E191" s="90" t="n">
        <x:v>11158905.87</x:v>
      </x:c>
      <x:c r="F191" s="90" t="n">
        <x:v>1831989.84</x:v>
      </x:c>
      <x:c r="G191" s="90" t="n">
        <x:v>634211.21</x:v>
      </x:c>
      <x:c r="H191" s="90" t="n">
        <x:v>521425.54</x:v>
      </x:c>
      <x:c r="I191" s="90" t="n">
        <x:v>1059014.11</x:v>
      </x:c>
      <x:c r="J191" s="90" t="n">
        <x:v>29045.01</x:v>
      </x:c>
      <x:c r="K191" s="90" t="n">
        <x:v>0</x:v>
      </x:c>
      <x:c r="L191" s="90" t="n">
        <x:v>269478.74</x:v>
      </x:c>
      <x:c r="M191" s="90" t="n">
        <x:v>387853.6</x:v>
      </x:c>
      <x:c r="N191" s="90" t="n">
        <x:v>1880504.79</x:v>
      </x:c>
      <x:c r="O191" s="90" t="n">
        <x:v>4494701.37</x:v>
      </x:c>
      <x:c r="P191" s="90" t="n">
        <x:v>50644.49</x:v>
      </x:c>
      <x:c r="Q191" s="90" t="n">
        <x:v>37.17</x:v>
      </x:c>
      <x:c r="R191" t="n">
        <x:v>0</x:v>
      </x:c>
    </x:row>
    <x:row r="192" spans="1:18" s="94" customFormat="1" ht="12.75" customHeight="1" x14ac:dyDescent="0.2">
      <x:c r="A192" s="101"/>
      <x:c r="B192" s="101" t="s">
        <x:v>119</x:v>
      </x:c>
      <x:c r="C192" s="94" t="s">
        <x:v>70</x:v>
      </x:c>
      <x:c r="E192" s="93" t="n">
        <x:v>13415665.62</x:v>
      </x:c>
      <x:c r="F192" s="93" t="n">
        <x:v>1967684.86</x:v>
      </x:c>
      <x:c r="G192" s="93" t="n">
        <x:v>712268.5</x:v>
      </x:c>
      <x:c r="H192" s="93" t="n">
        <x:v>565645.02</x:v>
      </x:c>
      <x:c r="I192" s="93" t="n">
        <x:v>1569507.5</x:v>
      </x:c>
      <x:c r="J192" s="93" t="n">
        <x:v>42227.16</x:v>
      </x:c>
      <x:c r="K192" s="93" t="n">
        <x:v>0</x:v>
      </x:c>
      <x:c r="L192" s="93" t="n">
        <x:v>397564.25</x:v>
      </x:c>
      <x:c r="M192" s="93" t="n">
        <x:v>563201.06</x:v>
      </x:c>
      <x:c r="N192" s="93" t="n">
        <x:v>2702825.49</x:v>
      </x:c>
      <x:c r="O192" s="93" t="n">
        <x:v>4820348.95</x:v>
      </x:c>
      <x:c r="P192" s="93" t="n">
        <x:v>74361.18</x:v>
      </x:c>
      <x:c r="Q192" s="93" t="n">
        <x:v>31.65</x:v>
      </x:c>
      <x:c r="R192" s="94" t="n">
        <x:v>0</x:v>
      </x:c>
    </x:row>
    <x:row r="193" spans="1:18" s="226" customFormat="1" ht="12.75" customHeight="1" x14ac:dyDescent="0.2">
      <x:c r="A193" s="226" t="s">
        <x:v>78</x:v>
      </x:c>
      <x:c r="B193" s="226" t="s">
        <x:v>70</x:v>
      </x:c>
      <x:c r="D193" s="98"/>
      <x:c r="E193" s="100" t="n">
        <x:v>23707258.2</x:v>
      </x:c>
      <x:c r="F193" s="100" t="n">
        <x:v>2669415.99</x:v>
      </x:c>
      <x:c r="G193" s="100" t="n">
        <x:v>1115118.88</x:v>
      </x:c>
      <x:c r="H193" s="100" t="n">
        <x:v>766590.87</x:v>
      </x:c>
      <x:c r="I193" s="100" t="n">
        <x:v>3649866.33</x:v>
      </x:c>
      <x:c r="J193" s="100" t="n">
        <x:v>117977.5</x:v>
      </x:c>
      <x:c r="K193" s="100" t="n">
        <x:v>22742.37</x:v>
      </x:c>
      <x:c r="L193" s="100" t="n">
        <x:v>1069586.72</x:v>
      </x:c>
      <x:c r="M193" s="100" t="n">
        <x:v>1249645.94</x:v>
      </x:c>
      <x:c r="N193" s="100" t="n">
        <x:v>6297254.49</x:v>
      </x:c>
      <x:c r="O193" s="100" t="n">
        <x:v>6569127.77</x:v>
      </x:c>
      <x:c r="P193" s="100" t="n">
        <x:v>179885.12</x:v>
      </x:c>
      <x:c r="Q193" s="100" t="n">
        <x:v>46.22</x:v>
      </x:c>
      <x:c r="R193" s="226" t="n">
        <x:v>0</x:v>
      </x:c>
    </x:row>
    <x:row r="194" spans="1:18" ht="12.75" customHeight="1" x14ac:dyDescent="0.2">
      <x:c r="C194" s="89"/>
      <x:c r="D194" s="89" t="s">
        <x:v>73</x:v>
      </x:c>
      <x:c r="E194" s="371" t="n">
        <x:v>-235930.54</x:v>
      </x:c>
      <x:c r="F194" s="90" t="n">
        <x:v>179509.93</x:v>
      </x:c>
      <x:c r="G194" s="90" t="n">
        <x:v>97518.46</x:v>
      </x:c>
      <x:c r="H194" s="90" t="n">
        <x:v>31515.45</x:v>
      </x:c>
      <x:c r="I194" s="90" t="n">
        <x:v>-494732.77</x:v>
      </x:c>
      <x:c r="J194" s="90" t="n">
        <x:v>-10768.31</x:v>
      </x:c>
      <x:c r="K194" s="90" t="n">
        <x:v>0</x:v>
      </x:c>
      <x:c r="L194" s="90" t="n">
        <x:v>-79292.72</x:v>
      </x:c>
      <x:c r="M194" s="90" t="n">
        <x:v>-76908.97</x:v>
      </x:c>
      <x:c r="N194" s="90" t="n">
        <x:v>-361796.09</x:v>
      </x:c>
      <x:c r="O194" s="90" t="n">
        <x:v>496533.67</x:v>
      </x:c>
      <x:c r="P194" s="90" t="n">
        <x:v>-17509.19</x:v>
      </x:c>
      <x:c r="Q194" s="90" t="n">
        <x:v>0</x:v>
      </x:c>
      <x:c r="R194" t="n">
        <x:v>0</x:v>
      </x:c>
    </x:row>
    <x:row r="195" spans="1:18" ht="12.75" customHeight="1" x14ac:dyDescent="0.2">
      <x:c r="C195" s="89" t="s">
        <x:v>156</x:v>
      </x:c>
      <x:c r="D195" s="89" t="s">
        <x:v>70</x:v>
      </x:c>
      <x:c r="E195" s="371" t="n">
        <x:v>-235930.54</x:v>
      </x:c>
      <x:c r="F195" s="90" t="n">
        <x:v>179509.93</x:v>
      </x:c>
      <x:c r="G195" s="90" t="n">
        <x:v>97518.46</x:v>
      </x:c>
      <x:c r="H195" s="90" t="n">
        <x:v>31515.45</x:v>
      </x:c>
      <x:c r="I195" s="90" t="n">
        <x:v>-494732.77</x:v>
      </x:c>
      <x:c r="J195" s="90" t="n">
        <x:v>-10768.31</x:v>
      </x:c>
      <x:c r="K195" s="90" t="n">
        <x:v>0</x:v>
      </x:c>
      <x:c r="L195" s="90" t="n">
        <x:v>-79292.72</x:v>
      </x:c>
      <x:c r="M195" s="90" t="n">
        <x:v>-76908.97</x:v>
      </x:c>
      <x:c r="N195" s="90" t="n">
        <x:v>-361796.09</x:v>
      </x:c>
      <x:c r="O195" s="90" t="n">
        <x:v>496533.67</x:v>
      </x:c>
      <x:c r="P195" s="90" t="n">
        <x:v>-17509.19</x:v>
      </x:c>
      <x:c r="Q195" s="90" t="n">
        <x:v>0</x:v>
      </x:c>
      <x:c r="R195" t="n">
        <x:v>0</x:v>
      </x:c>
    </x:row>
    <x:row r="196" spans="1:18" s="237" customFormat="1" ht="12.75" customHeight="1" x14ac:dyDescent="0.2">
      <x:c r="B196" s="237" t="s">
        <x:v>155</x:v>
      </x:c>
      <x:c r="C196" s="221" t="s">
        <x:v>70</x:v>
      </x:c>
      <x:c r="D196" s="221"/>
      <x:c r="E196" s="566" t="n">
        <x:v>-235930.54</x:v>
      </x:c>
      <x:c r="F196" s="222" t="n">
        <x:v>179509.93</x:v>
      </x:c>
      <x:c r="G196" s="222" t="n">
        <x:v>97518.46</x:v>
      </x:c>
      <x:c r="H196" s="222" t="n">
        <x:v>31515.45</x:v>
      </x:c>
      <x:c r="I196" s="222" t="n">
        <x:v>-494732.77</x:v>
      </x:c>
      <x:c r="J196" s="222" t="n">
        <x:v>-10768.31</x:v>
      </x:c>
      <x:c r="K196" s="222" t="n">
        <x:v>0</x:v>
      </x:c>
      <x:c r="L196" s="222" t="n">
        <x:v>-79292.72</x:v>
      </x:c>
      <x:c r="M196" s="222" t="n">
        <x:v>-76908.97</x:v>
      </x:c>
      <x:c r="N196" s="222" t="n">
        <x:v>-361796.09</x:v>
      </x:c>
      <x:c r="O196" s="222" t="n">
        <x:v>496533.67</x:v>
      </x:c>
      <x:c r="P196" s="222" t="n">
        <x:v>-17509.19</x:v>
      </x:c>
      <x:c r="Q196" s="222" t="n">
        <x:v>0</x:v>
      </x:c>
      <x:c r="R196" s="237" t="n">
        <x:v>0</x:v>
      </x:c>
    </x:row>
    <x:row r="197" spans="1:18" ht="12.75" customHeight="1" x14ac:dyDescent="0.2">
      <x:c r="C197" s="89"/>
      <x:c r="D197" s="89" t="s">
        <x:v>73</x:v>
      </x:c>
      <x:c r="E197" s="371" t="n">
        <x:v>64033.1</x:v>
      </x:c>
      <x:c r="F197" s="90" t="n">
        <x:v>7214.71</x:v>
      </x:c>
      <x:c r="G197" s="90" t="n">
        <x:v>4104.6</x:v>
      </x:c>
      <x:c r="H197" s="90" t="n">
        <x:v>2011.77</x:v>
      </x:c>
      <x:c r="I197" s="90" t="n">
        <x:v>10666.45</x:v>
      </x:c>
      <x:c r="J197" s="90" t="n">
        <x:v>222.72</x:v>
      </x:c>
      <x:c r="K197" s="90" t="n">
        <x:v>0</x:v>
      </x:c>
      <x:c r="L197" s="90" t="n">
        <x:v>1953.71</x:v>
      </x:c>
      <x:c r="M197" s="90" t="n">
        <x:v>3521.83</x:v>
      </x:c>
      <x:c r="N197" s="90" t="n">
        <x:v>16901.91</x:v>
      </x:c>
      <x:c r="O197" s="90" t="n">
        <x:v>17071.92</x:v>
      </x:c>
      <x:c r="P197" s="90" t="n">
        <x:v>363.48</x:v>
      </x:c>
      <x:c r="Q197" s="90" t="n">
        <x:v>0</x:v>
      </x:c>
      <x:c r="R197" t="n">
        <x:v>0</x:v>
      </x:c>
    </x:row>
    <x:row r="198" spans="1:18" ht="12.75" customHeight="1" x14ac:dyDescent="0.2">
      <x:c r="C198" t="s">
        <x:v>82</x:v>
      </x:c>
      <x:c r="D198" t="s">
        <x:v>70</x:v>
      </x:c>
      <x:c r="E198" t="n">
        <x:v>64033.1</x:v>
      </x:c>
      <x:c r="F198" t="n">
        <x:v>7214.71</x:v>
      </x:c>
      <x:c r="G198" t="n">
        <x:v>4104.6</x:v>
      </x:c>
      <x:c r="H198" t="n">
        <x:v>2011.77</x:v>
      </x:c>
      <x:c r="I198" t="n">
        <x:v>10666.45</x:v>
      </x:c>
      <x:c r="J198" t="n">
        <x:v>222.72</x:v>
      </x:c>
      <x:c r="K198" t="n">
        <x:v>0</x:v>
      </x:c>
      <x:c r="L198" t="n">
        <x:v>1953.71</x:v>
      </x:c>
      <x:c r="M198" t="n">
        <x:v>3521.83</x:v>
      </x:c>
      <x:c r="N198" t="n">
        <x:v>16901.91</x:v>
      </x:c>
      <x:c r="O198" t="n">
        <x:v>17071.92</x:v>
      </x:c>
      <x:c r="P198" t="n">
        <x:v>363.48</x:v>
      </x:c>
      <x:c r="Q198" t="n">
        <x:v>0</x:v>
      </x:c>
      <x:c r="R198" t="n">
        <x:v>0</x:v>
      </x:c>
    </x:row>
    <x:row r="199" spans="1:18" ht="12.75" customHeight="1" x14ac:dyDescent="0.2">
      <x:c r="D199" t="s">
        <x:v>73</x:v>
      </x:c>
      <x:c r="E199" t="n">
        <x:v>143391.71</x:v>
      </x:c>
      <x:c r="F199" t="n">
        <x:v>17683.3</x:v>
      </x:c>
      <x:c r="G199" t="n">
        <x:v>9483.69</x:v>
      </x:c>
      <x:c r="H199" t="n">
        <x:v>4051.59</x:v>
      </x:c>
      <x:c r="I199" t="n">
        <x:v>19388.95</x:v>
      </x:c>
      <x:c r="J199" t="n">
        <x:v>458.99</x:v>
      </x:c>
      <x:c r="K199" t="n">
        <x:v>0</x:v>
      </x:c>
      <x:c r="L199" t="n">
        <x:v>4524.54</x:v>
      </x:c>
      <x:c r="M199" t="n">
        <x:v>8575.41</x:v>
      </x:c>
      <x:c r="N199" t="n">
        <x:v>33527.4</x:v>
      </x:c>
      <x:c r="O199" t="n">
        <x:v>44872.41</x:v>
      </x:c>
      <x:c r="P199" t="n">
        <x:v>825.43</x:v>
      </x:c>
      <x:c r="Q199" t="n">
        <x:v>0</x:v>
      </x:c>
      <x:c r="R199" t="n">
        <x:v>0</x:v>
      </x:c>
    </x:row>
    <x:row r="200" spans="1:18" ht="12.75" customHeight="1" x14ac:dyDescent="0.2">
      <x:c r="C200" t="s">
        <x:v>86</x:v>
      </x:c>
      <x:c r="D200" t="s">
        <x:v>70</x:v>
      </x:c>
      <x:c r="E200" t="n">
        <x:v>143391.71</x:v>
      </x:c>
      <x:c r="F200" t="n">
        <x:v>17683.3</x:v>
      </x:c>
      <x:c r="G200" t="n">
        <x:v>9483.69</x:v>
      </x:c>
      <x:c r="H200" t="n">
        <x:v>4051.59</x:v>
      </x:c>
      <x:c r="I200" t="n">
        <x:v>19388.95</x:v>
      </x:c>
      <x:c r="J200" t="n">
        <x:v>458.99</x:v>
      </x:c>
      <x:c r="K200" t="n">
        <x:v>0</x:v>
      </x:c>
      <x:c r="L200" t="n">
        <x:v>4524.54</x:v>
      </x:c>
      <x:c r="M200" t="n">
        <x:v>8575.41</x:v>
      </x:c>
      <x:c r="N200" t="n">
        <x:v>33527.4</x:v>
      </x:c>
      <x:c r="O200" t="n">
        <x:v>44872.41</x:v>
      </x:c>
      <x:c r="P200" t="n">
        <x:v>825.43</x:v>
      </x:c>
      <x:c r="Q200" t="n">
        <x:v>0</x:v>
      </x:c>
      <x:c r="R200" t="n">
        <x:v>0</x:v>
      </x:c>
    </x:row>
    <x:row r="201" spans="1:18" ht="12.75" customHeight="1" x14ac:dyDescent="0.2">
      <x:c r="D201" s="89" t="s">
        <x:v>73</x:v>
      </x:c>
      <x:c r="E201" s="90" t="n">
        <x:v>2930318.19</x:v>
      </x:c>
      <x:c r="F201" s="90" t="n">
        <x:v>567936.48</x:v>
      </x:c>
      <x:c r="G201" s="90" t="n">
        <x:v>316279.55</x:v>
      </x:c>
      <x:c r="H201" s="90" t="n">
        <x:v>167772.67</x:v>
      </x:c>
      <x:c r="I201" s="90" t="n">
        <x:v>74829.75</x:v>
      </x:c>
      <x:c r="J201" s="90" t="n">
        <x:v>1886.12</x:v>
      </x:c>
      <x:c r="K201" s="90" t="n">
        <x:v>0</x:v>
      </x:c>
      <x:c r="L201" s="90" t="n">
        <x:v>25238.91</x:v>
      </x:c>
      <x:c r="M201" s="90" t="n">
        <x:v>37822.78</x:v>
      </x:c>
      <x:c r="N201" s="90" t="n">
        <x:v>177754.7</x:v>
      </x:c>
      <x:c r="O201" s="90" t="n">
        <x:v>1557167.31</x:v>
      </x:c>
      <x:c r="P201" s="90" t="n">
        <x:v>3629.92</x:v>
      </x:c>
      <x:c r="Q201" s="90" t="n">
        <x:v>0</x:v>
      </x:c>
      <x:c r="R201" t="n">
        <x:v>0</x:v>
      </x:c>
    </x:row>
    <x:row r="202" spans="1:18" ht="12.75" customHeight="1" x14ac:dyDescent="0.2">
      <x:c r="C202" t="s">
        <x:v>87</x:v>
      </x:c>
      <x:c r="D202" s="89" t="s">
        <x:v>70</x:v>
      </x:c>
      <x:c r="E202" s="90" t="n">
        <x:v>2930318.19</x:v>
      </x:c>
      <x:c r="F202" s="90" t="n">
        <x:v>567936.48</x:v>
      </x:c>
      <x:c r="G202" s="90" t="n">
        <x:v>316279.55</x:v>
      </x:c>
      <x:c r="H202" s="90" t="n">
        <x:v>167772.67</x:v>
      </x:c>
      <x:c r="I202" s="90" t="n">
        <x:v>74829.75</x:v>
      </x:c>
      <x:c r="J202" s="90" t="n">
        <x:v>1886.12</x:v>
      </x:c>
      <x:c r="K202" s="90" t="n">
        <x:v>0</x:v>
      </x:c>
      <x:c r="L202" s="90" t="n">
        <x:v>25238.91</x:v>
      </x:c>
      <x:c r="M202" s="90" t="n">
        <x:v>37822.78</x:v>
      </x:c>
      <x:c r="N202" s="90" t="n">
        <x:v>177754.7</x:v>
      </x:c>
      <x:c r="O202" s="90" t="n">
        <x:v>1557167.31</x:v>
      </x:c>
      <x:c r="P202" s="90" t="n">
        <x:v>3629.92</x:v>
      </x:c>
      <x:c r="Q202" s="90" t="n">
        <x:v>0</x:v>
      </x:c>
      <x:c r="R202" t="n">
        <x:v>0</x:v>
      </x:c>
    </x:row>
    <x:row r="203" spans="1:18" s="94" customFormat="1" ht="12.75" customHeight="1" x14ac:dyDescent="0.2">
      <x:c r="B203" s="101" t="s">
        <x:v>119</x:v>
      </x:c>
      <x:c r="C203" s="101" t="s">
        <x:v>70</x:v>
      </x:c>
      <x:c r="E203" s="93" t="n">
        <x:v>3137743</x:v>
      </x:c>
      <x:c r="F203" s="93" t="n">
        <x:v>592834.49</x:v>
      </x:c>
      <x:c r="G203" s="93" t="n">
        <x:v>329867.84</x:v>
      </x:c>
      <x:c r="H203" s="93" t="n">
        <x:v>173836.03</x:v>
      </x:c>
      <x:c r="I203" s="93" t="n">
        <x:v>104885.15</x:v>
      </x:c>
      <x:c r="J203" s="93" t="n">
        <x:v>2567.83</x:v>
      </x:c>
      <x:c r="K203" s="93" t="n">
        <x:v>0</x:v>
      </x:c>
      <x:c r="L203" s="93" t="n">
        <x:v>31717.16</x:v>
      </x:c>
      <x:c r="M203" s="93" t="n">
        <x:v>49920.02</x:v>
      </x:c>
      <x:c r="N203" s="93" t="n">
        <x:v>228184.01</x:v>
      </x:c>
      <x:c r="O203" s="93" t="n">
        <x:v>1619111.64</x:v>
      </x:c>
      <x:c r="P203" s="93" t="n">
        <x:v>4818.83</x:v>
      </x:c>
      <x:c r="Q203" s="93" t="n">
        <x:v>0</x:v>
      </x:c>
      <x:c r="R203" s="94" t="n">
        <x:v>0</x:v>
      </x:c>
    </x:row>
    <x:row r="204" spans="1:18" s="226" customFormat="1" ht="12.75" customHeight="1" x14ac:dyDescent="0.2">
      <x:c r="A204" s="98" t="s">
        <x:v>79</x:v>
      </x:c>
      <x:c r="B204" s="98" t="s">
        <x:v>70</x:v>
      </x:c>
      <x:c r="E204" s="100" t="n">
        <x:v>2901812.46</x:v>
      </x:c>
      <x:c r="F204" s="100" t="n">
        <x:v>772344.42</x:v>
      </x:c>
      <x:c r="G204" s="100" t="n">
        <x:v>427386.3</x:v>
      </x:c>
      <x:c r="H204" s="100" t="n">
        <x:v>205351.48</x:v>
      </x:c>
      <x:c r="I204" s="100" t="n">
        <x:v>-389847.62</x:v>
      </x:c>
      <x:c r="J204" s="100" t="n">
        <x:v>-8200.48</x:v>
      </x:c>
      <x:c r="K204" s="100" t="n">
        <x:v>0</x:v>
      </x:c>
      <x:c r="L204" s="100" t="n">
        <x:v>-47575.56</x:v>
      </x:c>
      <x:c r="M204" s="100" t="n">
        <x:v>-26988.95</x:v>
      </x:c>
      <x:c r="N204" s="100" t="n">
        <x:v>-133612.08</x:v>
      </x:c>
      <x:c r="O204" s="100" t="n">
        <x:v>2115645.31</x:v>
      </x:c>
      <x:c r="P204" s="100" t="n">
        <x:v>-12690.36</x:v>
      </x:c>
      <x:c r="Q204" s="100" t="n">
        <x:v>0</x:v>
      </x:c>
      <x:c r="R204" s="226" t="n">
        <x:v>0</x:v>
      </x:c>
    </x:row>
    <x:row r="205" spans="1:18" ht="12.75" customHeight="1" x14ac:dyDescent="0.2">
      <x:c r="A205" s="89" t="s">
        <x:v>70</x:v>
      </x:c>
      <x:c r="E205" s="90" t="n">
        <x:v>26609070.66</x:v>
      </x:c>
      <x:c r="F205" s="90" t="n">
        <x:v>3441760.41</x:v>
      </x:c>
      <x:c r="G205" s="90" t="n">
        <x:v>1542505.18</x:v>
      </x:c>
      <x:c r="H205" s="90" t="n">
        <x:v>971942.35</x:v>
      </x:c>
      <x:c r="I205" s="90" t="n">
        <x:v>3260018.71</x:v>
      </x:c>
      <x:c r="J205" s="90" t="n">
        <x:v>109777.02</x:v>
      </x:c>
      <x:c r="K205" s="90" t="n">
        <x:v>22742.37</x:v>
      </x:c>
      <x:c r="L205" s="90" t="n">
        <x:v>1022011.16</x:v>
      </x:c>
      <x:c r="M205" s="90" t="n">
        <x:v>1222656.99</x:v>
      </x:c>
      <x:c r="N205" s="90" t="n">
        <x:v>6163642.41</x:v>
      </x:c>
      <x:c r="O205" s="90" t="n">
        <x:v>8684773.08</x:v>
      </x:c>
      <x:c r="P205" s="90" t="n">
        <x:v>167194.76</x:v>
      </x:c>
      <x:c r="Q205" s="90" t="n">
        <x:v>46.22</x:v>
      </x:c>
      <x:c r="R205" t="n">
        <x:v>0</x:v>
      </x:c>
    </x:row>
    <x:row r="206" spans="1:18" ht="12.75" customHeight="1" x14ac:dyDescent="0.2">
      <x:c r="A206" s="89"/>
      <x:c r="E206" s="90"/>
      <x:c r="F206" s="90"/>
      <x:c r="G206" s="90"/>
      <x:c r="H206" s="90"/>
      <x:c r="I206" s="90"/>
      <x:c r="J206" s="90"/>
      <x:c r="K206" s="90"/>
      <x:c r="L206" s="90"/>
      <x:c r="M206" s="90"/>
      <x:c r="N206" s="90"/>
      <x:c r="O206" s="90"/>
      <x:c r="P206" s="90"/>
      <x:c r="Q206" s="90"/>
    </x:row>
    <x:row r="207" spans="1:18" ht="12.75" hidden="1" customHeight="1" x14ac:dyDescent="0.2">
      <x:c r="A207" s="89"/>
      <x:c r="E207" s="90"/>
      <x:c r="F207" s="90"/>
      <x:c r="G207" s="90"/>
      <x:c r="H207" s="90"/>
      <x:c r="I207" s="90"/>
      <x:c r="J207" s="90"/>
      <x:c r="K207" s="90"/>
      <x:c r="L207" s="90"/>
      <x:c r="M207" s="90"/>
      <x:c r="N207" s="90"/>
      <x:c r="O207" s="90"/>
      <x:c r="P207" s="90"/>
      <x:c r="Q207" s="90"/>
    </x:row>
    <x:row r="208" spans="1:18" ht="12.75" hidden="1" customHeight="1" x14ac:dyDescent="0.2">
      <x:c r="A208" s="89"/>
      <x:c r="E208" s="90"/>
      <x:c r="F208" s="90"/>
      <x:c r="G208" s="90"/>
      <x:c r="H208" s="90"/>
      <x:c r="I208" s="90"/>
      <x:c r="J208" s="90"/>
      <x:c r="K208" s="90"/>
      <x:c r="L208" s="90"/>
      <x:c r="M208" s="90"/>
      <x:c r="N208" s="90"/>
      <x:c r="O208" s="90"/>
      <x:c r="P208" s="90"/>
      <x:c r="Q208" s="90"/>
    </x:row>
    <x:row r="209" spans="1:17" ht="12.75" hidden="1" customHeight="1" x14ac:dyDescent="0.2">
      <x:c r="A209" s="89"/>
      <x:c r="E209" s="90"/>
      <x:c r="F209" s="90"/>
      <x:c r="G209" s="90"/>
      <x:c r="H209" s="90"/>
      <x:c r="I209" s="90"/>
      <x:c r="J209" s="90"/>
      <x:c r="K209" s="90"/>
      <x:c r="L209" s="90"/>
      <x:c r="M209" s="90"/>
      <x:c r="N209" s="90"/>
      <x:c r="O209" s="90"/>
      <x:c r="P209" s="90"/>
      <x:c r="Q209" s="90"/>
    </x:row>
    <x:row r="210" spans="1:17" ht="12.75" hidden="1" customHeight="1" x14ac:dyDescent="0.2">
      <x:c r="A210" s="89"/>
      <x:c r="E210" s="90"/>
      <x:c r="F210" s="90"/>
      <x:c r="G210" s="90"/>
      <x:c r="H210" s="90"/>
      <x:c r="I210" s="90"/>
      <x:c r="J210" s="90"/>
      <x:c r="K210" s="90"/>
      <x:c r="L210" s="90"/>
      <x:c r="M210" s="90"/>
      <x:c r="N210" s="90"/>
      <x:c r="O210" s="90"/>
      <x:c r="P210" s="90"/>
      <x:c r="Q210" s="90"/>
    </x:row>
    <x:row r="211" spans="1:17" ht="12.75" hidden="1" customHeight="1" x14ac:dyDescent="0.2">
      <x:c r="A211" s="89"/>
      <x:c r="E211" s="90"/>
      <x:c r="F211" s="90"/>
      <x:c r="G211" s="90"/>
      <x:c r="H211" s="90"/>
      <x:c r="I211" s="90"/>
      <x:c r="J211" s="90"/>
      <x:c r="K211" s="90"/>
      <x:c r="L211" s="90"/>
      <x:c r="M211" s="90"/>
      <x:c r="N211" s="90"/>
      <x:c r="O211" s="90"/>
      <x:c r="P211" s="90"/>
      <x:c r="Q211" s="90"/>
    </x:row>
    <x:row r="212" spans="1:17" ht="12.75" hidden="1" customHeight="1" x14ac:dyDescent="0.2">
      <x:c r="A212" s="89"/>
      <x:c r="E212" s="90"/>
      <x:c r="F212" s="90"/>
      <x:c r="G212" s="90"/>
      <x:c r="H212" s="90"/>
      <x:c r="I212" s="90"/>
      <x:c r="J212" s="90"/>
      <x:c r="K212" s="90"/>
      <x:c r="L212" s="90"/>
      <x:c r="M212" s="90"/>
      <x:c r="N212" s="90"/>
      <x:c r="O212" s="90"/>
      <x:c r="P212" s="90"/>
      <x:c r="Q212" s="90"/>
    </x:row>
    <x:row r="213" spans="1:17" ht="12.75" hidden="1" customHeight="1" x14ac:dyDescent="0.2">
      <x:c r="A213" s="89"/>
      <x:c r="E213" s="90"/>
      <x:c r="F213" s="90"/>
      <x:c r="G213" s="90"/>
      <x:c r="H213" s="90"/>
      <x:c r="I213" s="90"/>
      <x:c r="J213" s="90"/>
      <x:c r="K213" s="90"/>
      <x:c r="L213" s="90"/>
      <x:c r="M213" s="90"/>
      <x:c r="N213" s="90"/>
      <x:c r="O213" s="90"/>
      <x:c r="P213" s="90"/>
      <x:c r="Q213" s="90"/>
    </x:row>
    <x:row r="214" spans="1:17" ht="12.75" hidden="1" customHeight="1" x14ac:dyDescent="0.2">
      <x:c r="A214" s="89"/>
      <x:c r="E214" s="90"/>
      <x:c r="F214" s="90"/>
      <x:c r="G214" s="90"/>
      <x:c r="H214" s="90"/>
      <x:c r="I214" s="90"/>
      <x:c r="J214" s="90"/>
      <x:c r="K214" s="90"/>
      <x:c r="L214" s="90"/>
      <x:c r="M214" s="90"/>
      <x:c r="N214" s="90"/>
      <x:c r="O214" s="90"/>
      <x:c r="P214" s="90"/>
      <x:c r="Q214" s="90"/>
    </x:row>
    <x:row r="215" spans="1:17" ht="12.75" hidden="1" customHeight="1" x14ac:dyDescent="0.2">
      <x:c r="A215" s="89"/>
      <x:c r="E215" s="90"/>
      <x:c r="F215" s="90"/>
      <x:c r="G215" s="90"/>
      <x:c r="H215" s="90"/>
      <x:c r="I215" s="90"/>
      <x:c r="J215" s="90"/>
      <x:c r="K215" s="90"/>
      <x:c r="L215" s="90"/>
      <x:c r="M215" s="90"/>
      <x:c r="N215" s="90"/>
      <x:c r="O215" s="90"/>
      <x:c r="P215" s="90"/>
      <x:c r="Q215" s="90"/>
    </x:row>
    <x:row r="216" spans="1:17" ht="12.75" hidden="1" customHeight="1" x14ac:dyDescent="0.2">
      <x:c r="A216" s="89"/>
      <x:c r="E216" s="90"/>
      <x:c r="F216" s="90"/>
      <x:c r="G216" s="90"/>
      <x:c r="H216" s="90"/>
      <x:c r="I216" s="90"/>
      <x:c r="J216" s="90"/>
      <x:c r="K216" s="90"/>
      <x:c r="L216" s="90"/>
      <x:c r="M216" s="90"/>
      <x:c r="N216" s="90"/>
      <x:c r="O216" s="90"/>
      <x:c r="P216" s="90"/>
      <x:c r="Q216" s="90"/>
    </x:row>
    <x:row r="217" spans="1:17" ht="12.75" hidden="1" customHeight="1" x14ac:dyDescent="0.2">
      <x:c r="A217" s="89"/>
      <x:c r="E217" s="90"/>
      <x:c r="F217" s="90"/>
      <x:c r="G217" s="90"/>
      <x:c r="H217" s="90"/>
      <x:c r="I217" s="90"/>
      <x:c r="J217" s="90"/>
      <x:c r="K217" s="90"/>
      <x:c r="L217" s="90"/>
      <x:c r="M217" s="90"/>
      <x:c r="N217" s="90"/>
      <x:c r="O217" s="90"/>
      <x:c r="P217" s="90"/>
      <x:c r="Q217" s="90"/>
    </x:row>
    <x:row r="218" spans="1:17" ht="12.75" hidden="1" customHeight="1" x14ac:dyDescent="0.2">
      <x:c r="A218" s="89"/>
      <x:c r="E218" s="90"/>
      <x:c r="F218" s="90"/>
      <x:c r="G218" s="90"/>
      <x:c r="H218" s="90"/>
      <x:c r="I218" s="90"/>
      <x:c r="J218" s="90"/>
      <x:c r="K218" s="90"/>
      <x:c r="L218" s="90"/>
      <x:c r="M218" s="90"/>
      <x:c r="N218" s="90"/>
      <x:c r="O218" s="90"/>
      <x:c r="P218" s="90"/>
      <x:c r="Q218" s="90"/>
    </x:row>
    <x:row r="219" spans="1:17" ht="12.75" hidden="1" customHeight="1" x14ac:dyDescent="0.2">
      <x:c r="A219" s="89"/>
      <x:c r="E219" s="90"/>
      <x:c r="F219" s="90"/>
      <x:c r="G219" s="90"/>
      <x:c r="H219" s="90"/>
      <x:c r="I219" s="90"/>
      <x:c r="J219" s="90"/>
      <x:c r="K219" s="90"/>
      <x:c r="L219" s="90"/>
      <x:c r="M219" s="90"/>
      <x:c r="N219" s="90"/>
      <x:c r="O219" s="90"/>
      <x:c r="P219" s="90"/>
      <x:c r="Q219" s="90"/>
    </x:row>
    <x:row r="220" spans="1:17" ht="12.75" hidden="1" customHeight="1" x14ac:dyDescent="0.2">
      <x:c r="A220" s="89"/>
      <x:c r="E220" s="90"/>
      <x:c r="F220" s="90"/>
      <x:c r="G220" s="90"/>
      <x:c r="H220" s="90"/>
      <x:c r="I220" s="90"/>
      <x:c r="J220" s="90"/>
      <x:c r="K220" s="90"/>
      <x:c r="L220" s="90"/>
      <x:c r="M220" s="90"/>
      <x:c r="N220" s="90"/>
      <x:c r="O220" s="90"/>
      <x:c r="P220" s="90"/>
      <x:c r="Q220" s="90"/>
    </x:row>
    <x:row r="221" spans="1:17" ht="12.75" hidden="1" customHeight="1" x14ac:dyDescent="0.2">
      <x:c r="A221" s="89"/>
      <x:c r="E221" s="90"/>
      <x:c r="F221" s="90"/>
      <x:c r="G221" s="90"/>
      <x:c r="H221" s="90"/>
      <x:c r="I221" s="90"/>
      <x:c r="J221" s="90"/>
      <x:c r="K221" s="90"/>
      <x:c r="L221" s="90"/>
      <x:c r="M221" s="90"/>
      <x:c r="N221" s="90"/>
      <x:c r="O221" s="90"/>
      <x:c r="P221" s="90"/>
      <x:c r="Q221" s="90"/>
    </x:row>
    <x:row r="222" spans="1:17" ht="12.75" hidden="1" customHeight="1" x14ac:dyDescent="0.2">
      <x:c r="A222" s="89"/>
      <x:c r="E222" s="90"/>
      <x:c r="F222" s="90"/>
      <x:c r="G222" s="90"/>
      <x:c r="H222" s="90"/>
      <x:c r="I222" s="90"/>
      <x:c r="J222" s="90"/>
      <x:c r="K222" s="90"/>
      <x:c r="L222" s="90"/>
      <x:c r="M222" s="90"/>
      <x:c r="N222" s="90"/>
      <x:c r="O222" s="90"/>
      <x:c r="P222" s="90"/>
      <x:c r="Q222" s="90"/>
    </x:row>
    <x:row r="223" spans="1:17" ht="12.75" hidden="1" customHeight="1" x14ac:dyDescent="0.2">
      <x:c r="A223" s="89"/>
      <x:c r="E223" s="90"/>
      <x:c r="F223" s="90"/>
      <x:c r="G223" s="90"/>
      <x:c r="H223" s="90"/>
      <x:c r="I223" s="90"/>
      <x:c r="J223" s="90"/>
      <x:c r="K223" s="90"/>
      <x:c r="L223" s="90"/>
      <x:c r="M223" s="90"/>
      <x:c r="N223" s="90"/>
      <x:c r="O223" s="90"/>
      <x:c r="P223" s="90"/>
      <x:c r="Q223" s="90"/>
    </x:row>
    <x:row r="224" spans="1:17" ht="12.75" hidden="1" customHeight="1" x14ac:dyDescent="0.2">
      <x:c r="A224" s="89"/>
      <x:c r="E224" s="90"/>
      <x:c r="F224" s="90"/>
      <x:c r="G224" s="90"/>
      <x:c r="H224" s="90"/>
      <x:c r="I224" s="90"/>
      <x:c r="J224" s="90"/>
      <x:c r="K224" s="90"/>
      <x:c r="L224" s="90"/>
      <x:c r="M224" s="90"/>
      <x:c r="N224" s="90"/>
      <x:c r="O224" s="90"/>
      <x:c r="P224" s="90"/>
      <x:c r="Q224" s="90"/>
    </x:row>
    <x:row r="225" spans="1:18" ht="12.75" hidden="1" customHeight="1" x14ac:dyDescent="0.2">
      <x:c r="A225" s="89"/>
      <x:c r="E225" s="90"/>
      <x:c r="F225" s="90"/>
      <x:c r="G225" s="90"/>
      <x:c r="H225" s="90"/>
      <x:c r="I225" s="90"/>
      <x:c r="J225" s="90"/>
      <x:c r="K225" s="90"/>
      <x:c r="L225" s="90"/>
      <x:c r="M225" s="90"/>
      <x:c r="N225" s="90"/>
      <x:c r="O225" s="90"/>
      <x:c r="P225" s="90"/>
      <x:c r="Q225" s="90"/>
    </x:row>
    <x:row r="226" spans="1:18" ht="12.75" hidden="1" customHeight="1" x14ac:dyDescent="0.2">
      <x:c r="A226" s="89"/>
      <x:c r="E226" s="90"/>
      <x:c r="F226" s="90"/>
      <x:c r="G226" s="90"/>
      <x:c r="H226" s="90"/>
      <x:c r="I226" s="90"/>
      <x:c r="J226" s="90"/>
      <x:c r="K226" s="90"/>
      <x:c r="L226" s="90"/>
      <x:c r="M226" s="90"/>
      <x:c r="N226" s="90"/>
      <x:c r="O226" s="90"/>
      <x:c r="P226" s="90"/>
      <x:c r="Q226" s="90"/>
    </x:row>
    <x:row r="227" spans="1:18" ht="12.75" hidden="1" customHeight="1" x14ac:dyDescent="0.2">
      <x:c r="A227" s="89"/>
      <x:c r="E227" s="90"/>
      <x:c r="F227" s="90"/>
      <x:c r="G227" s="90"/>
      <x:c r="H227" s="90"/>
      <x:c r="I227" s="90"/>
      <x:c r="J227" s="90"/>
      <x:c r="K227" s="90"/>
      <x:c r="L227" s="90"/>
      <x:c r="M227" s="90"/>
      <x:c r="N227" s="90"/>
      <x:c r="O227" s="90"/>
      <x:c r="P227" s="90"/>
      <x:c r="Q227" s="90"/>
    </x:row>
    <x:row r="228" spans="1:18" ht="12.75" hidden="1" customHeight="1" x14ac:dyDescent="0.2">
      <x:c r="A228" s="89"/>
      <x:c r="E228" s="90"/>
      <x:c r="F228" s="90"/>
      <x:c r="G228" s="90"/>
      <x:c r="H228" s="90"/>
      <x:c r="I228" s="90"/>
      <x:c r="J228" s="90"/>
      <x:c r="K228" s="90"/>
      <x:c r="L228" s="90"/>
      <x:c r="M228" s="90"/>
      <x:c r="N228" s="90"/>
      <x:c r="O228" s="90"/>
      <x:c r="P228" s="90"/>
      <x:c r="Q228" s="90"/>
    </x:row>
    <x:row r="229" spans="1:18" ht="12.75" hidden="1" customHeight="1" x14ac:dyDescent="0.2">
      <x:c r="A229" s="89"/>
      <x:c r="E229" s="90"/>
      <x:c r="F229" s="90"/>
      <x:c r="G229" s="90"/>
      <x:c r="H229" s="90"/>
      <x:c r="I229" s="90"/>
      <x:c r="J229" s="90"/>
      <x:c r="K229" s="90"/>
      <x:c r="L229" s="90"/>
      <x:c r="M229" s="90"/>
      <x:c r="N229" s="90"/>
      <x:c r="O229" s="90"/>
      <x:c r="P229" s="90"/>
      <x:c r="Q229" s="90"/>
    </x:row>
    <x:row r="230" spans="1:18" ht="12.75" hidden="1" customHeight="1" x14ac:dyDescent="0.2">
      <x:c r="A230" s="89"/>
      <x:c r="E230" s="90"/>
      <x:c r="F230" s="90"/>
      <x:c r="G230" s="90"/>
      <x:c r="H230" s="90"/>
      <x:c r="I230" s="90"/>
      <x:c r="J230" s="90"/>
      <x:c r="K230" s="90"/>
      <x:c r="L230" s="90"/>
      <x:c r="M230" s="90"/>
      <x:c r="N230" s="90"/>
      <x:c r="O230" s="90"/>
      <x:c r="P230" s="90"/>
      <x:c r="Q230" s="90"/>
    </x:row>
    <x:row r="231" spans="1:18" ht="12.75" hidden="1" customHeight="1" x14ac:dyDescent="0.2">
      <x:c r="A231" s="89"/>
      <x:c r="E231" s="90"/>
      <x:c r="F231" s="90"/>
      <x:c r="G231" s="90"/>
      <x:c r="H231" s="90"/>
      <x:c r="I231" s="90"/>
      <x:c r="J231" s="90"/>
      <x:c r="K231" s="90"/>
      <x:c r="L231" s="90"/>
      <x:c r="M231" s="90"/>
      <x:c r="N231" s="90"/>
      <x:c r="O231" s="90"/>
      <x:c r="P231" s="90"/>
      <x:c r="Q231" s="90"/>
    </x:row>
    <x:row r="232" spans="1:18" ht="12.75" hidden="1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customHeight="1" x14ac:dyDescent="0.2">
      <x:c r="C237" s="89"/>
      <x:c r="D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  <x:c r="R237" s="90"/>
    </x:row>
    <x:row r="238" spans="1:18" ht="12.75" hidden="1" customHeight="1" x14ac:dyDescent="0.2">
      <x:c r="D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  <x:c r="R238" s="90"/>
    </x:row>
    <x:row r="239" spans="1:18" ht="12.75" hidden="1" customHeight="1" x14ac:dyDescent="0.2">
      <x:c r="C239" s="89"/>
      <x:c r="D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  <x:c r="R239" s="90"/>
    </x:row>
    <x:row r="240" spans="1:18" ht="12.75" hidden="1" customHeight="1" x14ac:dyDescent="0.2">
      <x:c r="D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  <x:c r="R240" s="90"/>
    </x:row>
    <x:row r="241" spans="1:18" ht="12.75" hidden="1" customHeight="1" x14ac:dyDescent="0.2">
      <x:c r="C241" s="89"/>
      <x:c r="D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  <x:c r="R241" s="90"/>
    </x:row>
    <x:row r="242" spans="1:18" ht="12.75" hidden="1" customHeight="1" x14ac:dyDescent="0.2">
      <x:c r="B242" s="89"/>
      <x:c r="C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  <x:c r="R242" s="90"/>
    </x:row>
    <x:row r="243" spans="1:18" ht="12.75" hidden="1" customHeight="1" x14ac:dyDescent="0.2">
      <x:c r="A243" s="89"/>
      <x:c r="B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  <x:c r="R243" s="90"/>
    </x:row>
    <x:row r="244" spans="1:18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  <x:c r="R244" s="90"/>
    </x:row>
    <x:row r="245" spans="1:18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8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8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8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8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8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8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8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8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8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8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8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7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7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7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7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7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7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7" ht="12.75" hidden="1" customHeight="1" x14ac:dyDescent="0.2">
      <x:c r="A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</x:row>
    <x:row r="264" spans="1:17" ht="12.75" hidden="1" customHeight="1" x14ac:dyDescent="0.2">
      <x:c r="A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</x:row>
    <x:row r="265" spans="1:17" ht="12.75" hidden="1" customHeight="1" x14ac:dyDescent="0.2">
      <x:c r="A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</x:row>
    <x:row r="266" spans="1:17" ht="12.75" hidden="1" customHeight="1" x14ac:dyDescent="0.2">
      <x:c r="A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</x:row>
    <x:row r="267" spans="1:17" ht="12.75" hidden="1" customHeight="1" x14ac:dyDescent="0.2">
      <x:c r="A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</x:row>
    <x:row r="268" spans="1:17" ht="12.75" hidden="1" customHeight="1" x14ac:dyDescent="0.2">
      <x:c r="A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</x:row>
    <x:row r="269" spans="1:17" ht="12.75" hidden="1" customHeight="1" x14ac:dyDescent="0.2">
      <x:c r="A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</x:row>
    <x:row r="270" spans="1:17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</x:row>
    <x:row r="271" spans="1:17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7" ht="12.75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8" ht="12.75" customHeight="1" x14ac:dyDescent="0.2">
      <x:c r="B273" s="778" t="s">
        <x:v>2</x:v>
      </x:c>
      <x:c r="C273" s="775" t="s">
        <x:v>132</x:v>
      </x:c>
      <x:c r="D273" s="98" t="s">
        <x:v>70</x:v>
      </x:c>
      <x:c r="E273" s="100">
        <x:f>E193+E204-K193</x:f>
        <x:v>0</x:v>
      </x:c>
      <x:c r="F273" s="100">
        <x:f>F193</x:f>
        <x:v>0</x:v>
      </x:c>
      <x:c r="G273" s="100">
        <x:f t="shared" ref="G273:R273" si="7">G193</x:f>
        <x:v>0</x:v>
      </x:c>
      <x:c r="H273" s="100">
        <x:f t="shared" si="7"/>
        <x:v>0</x:v>
      </x:c>
      <x:c r="I273" s="100">
        <x:f t="shared" si="7"/>
        <x:v>0</x:v>
      </x:c>
      <x:c r="J273" s="100">
        <x:f t="shared" si="7"/>
        <x:v>0</x:v>
      </x:c>
      <x:c r="K273" s="100">
        <x:f t="shared" si="7"/>
        <x:v>0</x:v>
      </x:c>
      <x:c r="L273" s="100">
        <x:f t="shared" si="7"/>
        <x:v>0</x:v>
      </x:c>
      <x:c r="M273" s="100">
        <x:f t="shared" si="7"/>
        <x:v>0</x:v>
      </x:c>
      <x:c r="N273" s="100">
        <x:f t="shared" si="7"/>
        <x:v>0</x:v>
      </x:c>
      <x:c r="O273" s="100">
        <x:f t="shared" si="7"/>
        <x:v>0</x:v>
      </x:c>
      <x:c r="P273" s="100">
        <x:f t="shared" si="7"/>
        <x:v>0</x:v>
      </x:c>
      <x:c r="Q273" s="100">
        <x:f t="shared" si="7"/>
        <x:v>0</x:v>
      </x:c>
      <x:c r="R273" s="100">
        <x:f t="shared" si="7"/>
        <x:v>0</x:v>
      </x:c>
    </x:row>
    <x:row r="274" spans="1:18" ht="12.75" customHeight="1" x14ac:dyDescent="0.2">
      <x:c r="B274" s="778"/>
      <x:c r="C274" s="775"/>
      <x:c r="D274" s="98" t="s">
        <x:v>73</x:v>
      </x:c>
      <x:c r="E274" s="100">
        <x:f>E204</x:f>
        <x:v>0</x:v>
      </x:c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  <x:c r="R274" s="90"/>
    </x:row>
    <x:row r="275" spans="1:18" ht="12.75" customHeight="1" x14ac:dyDescent="0.2">
      <x:c r="A275" s="89"/>
      <x:c r="B275" s="97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  <x:c r="R275" s="90"/>
    </x:row>
    <x:row r="276" spans="1:18" ht="12.75" customHeight="1" x14ac:dyDescent="0.2">
      <x:c r="B276" s="778" t="s">
        <x:v>160</x:v>
      </x:c>
      <x:c r="C276" s="775" t="s">
        <x:v>132</x:v>
      </x:c>
      <x:c r="D276" s="223" t="s">
        <x:v>70</x:v>
      </x:c>
      <x:c r="E276" s="225">
        <x:v>0</x:v>
      </x:c>
      <x:c r="F276" s="225">
        <x:v>0</x:v>
      </x:c>
      <x:c r="G276" s="225">
        <x:v>0</x:v>
      </x:c>
      <x:c r="H276" s="225">
        <x:v>0</x:v>
      </x:c>
      <x:c r="I276" s="225">
        <x:v>0</x:v>
      </x:c>
      <x:c r="J276" s="225">
        <x:v>0</x:v>
      </x:c>
      <x:c r="K276" s="225">
        <x:v>0</x:v>
      </x:c>
      <x:c r="L276" s="225">
        <x:v>0</x:v>
      </x:c>
      <x:c r="M276" s="225">
        <x:v>0</x:v>
      </x:c>
      <x:c r="N276" s="225">
        <x:v>0</x:v>
      </x:c>
      <x:c r="O276" s="225">
        <x:v>0</x:v>
      </x:c>
      <x:c r="P276" s="225">
        <x:v>0</x:v>
      </x:c>
      <x:c r="Q276" s="225">
        <x:v>0</x:v>
      </x:c>
      <x:c r="R276" s="225">
        <x:v>0</x:v>
      </x:c>
    </x:row>
    <x:row r="277" spans="1:18" ht="12.75" customHeight="1" x14ac:dyDescent="0.2">
      <x:c r="B277" s="778"/>
      <x:c r="C277" s="775"/>
      <x:c r="D277" s="223" t="s">
        <x:v>73</x:v>
      </x:c>
      <x:c r="E277" s="225">
        <x:v>0</x:v>
      </x:c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  <x:c r="R277" s="90"/>
    </x:row>
    <x:row r="278" spans="1:18" ht="12.75" customHeight="1" x14ac:dyDescent="0.2">
      <x:c r="A278" s="89"/>
      <x:c r="B278" s="97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  <x:c r="R278" s="90"/>
    </x:row>
    <x:row r="279" spans="1:18" ht="12.75" customHeight="1" x14ac:dyDescent="0.2">
      <x:c r="B279" s="778" t="s">
        <x:v>155</x:v>
      </x:c>
      <x:c r="C279" s="775" t="s">
        <x:v>132</x:v>
      </x:c>
      <x:c r="D279" s="221" t="s">
        <x:v>70</x:v>
      </x:c>
      <x:c r="E279" s="222">
        <x:f>E196+E182+E178-K182-K178</x:f>
        <x:v>0</x:v>
      </x:c>
      <x:c r="F279" s="222">
        <x:f>F178+F182</x:f>
        <x:v>0</x:v>
      </x:c>
      <x:c r="G279" s="222">
        <x:f t="shared" ref="G279:R279" si="8">G178+G182</x:f>
        <x:v>0</x:v>
      </x:c>
      <x:c r="H279" s="222">
        <x:f t="shared" si="8"/>
        <x:v>0</x:v>
      </x:c>
      <x:c r="I279" s="222">
        <x:f t="shared" si="8"/>
        <x:v>0</x:v>
      </x:c>
      <x:c r="J279" s="222">
        <x:f t="shared" si="8"/>
        <x:v>0</x:v>
      </x:c>
      <x:c r="K279" s="222">
        <x:f t="shared" si="8"/>
        <x:v>0</x:v>
      </x:c>
      <x:c r="L279" s="222">
        <x:f t="shared" si="8"/>
        <x:v>0</x:v>
      </x:c>
      <x:c r="M279" s="222">
        <x:f t="shared" si="8"/>
        <x:v>0</x:v>
      </x:c>
      <x:c r="N279" s="222">
        <x:f t="shared" si="8"/>
        <x:v>0</x:v>
      </x:c>
      <x:c r="O279" s="222">
        <x:f t="shared" si="8"/>
        <x:v>0</x:v>
      </x:c>
      <x:c r="P279" s="222">
        <x:f t="shared" si="8"/>
        <x:v>0</x:v>
      </x:c>
      <x:c r="Q279" s="222">
        <x:f t="shared" si="8"/>
        <x:v>0</x:v>
      </x:c>
      <x:c r="R279" s="222">
        <x:f t="shared" si="8"/>
        <x:v>0</x:v>
      </x:c>
    </x:row>
    <x:row r="280" spans="1:18" ht="12.75" customHeight="1" x14ac:dyDescent="0.2">
      <x:c r="B280" s="778"/>
      <x:c r="C280" s="775"/>
      <x:c r="D280" s="221" t="s">
        <x:v>73</x:v>
      </x:c>
      <x:c r="E280" s="222">
        <x:f>E196</x:f>
        <x:v>0</x:v>
      </x:c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</x:row>
    <x:row r="281" spans="1:18" ht="12.75" customHeight="1" x14ac:dyDescent="0.2">
      <x:c r="B281" s="719"/>
      <x:c r="C281" s="220"/>
      <x:c r="D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</x:row>
    <x:row r="282" spans="1:18" ht="12.75" customHeight="1" x14ac:dyDescent="0.2">
      <x:c r="B282" s="776" t="s">
        <x:v>326</x:v>
      </x:c>
      <x:c r="C282" s="775" t="s">
        <x:v>132</x:v>
      </x:c>
      <x:c r="D282" s="373" t="s">
        <x:v>70</x:v>
      </x:c>
      <x:c r="E282" s="374">
        <x:v>0</x:v>
      </x:c>
      <x:c r="F282" s="374">
        <x:v>0</x:v>
      </x:c>
      <x:c r="G282" s="374">
        <x:v>0</x:v>
      </x:c>
      <x:c r="H282" s="374">
        <x:v>0</x:v>
      </x:c>
      <x:c r="I282" s="374">
        <x:v>0</x:v>
      </x:c>
      <x:c r="J282" s="374">
        <x:v>0</x:v>
      </x:c>
      <x:c r="K282" s="374">
        <x:v>0</x:v>
      </x:c>
      <x:c r="L282" s="374">
        <x:v>0</x:v>
      </x:c>
      <x:c r="M282" s="374">
        <x:v>0</x:v>
      </x:c>
      <x:c r="N282" s="374">
        <x:v>0</x:v>
      </x:c>
      <x:c r="O282" s="374">
        <x:v>0</x:v>
      </x:c>
      <x:c r="P282" s="374">
        <x:v>0</x:v>
      </x:c>
      <x:c r="Q282" s="374">
        <x:v>0</x:v>
      </x:c>
      <x:c r="R282" s="374">
        <x:v>0</x:v>
      </x:c>
    </x:row>
    <x:row r="283" spans="1:18" ht="12.75" customHeight="1" x14ac:dyDescent="0.2">
      <x:c r="B283" s="776"/>
      <x:c r="C283" s="775"/>
      <x:c r="D283" s="373" t="s">
        <x:v>73</x:v>
      </x:c>
      <x:c r="E283" s="374">
        <x:v>0</x:v>
      </x:c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</x:row>
    <x:row r="284" spans="1:18" ht="12.75" customHeight="1" x14ac:dyDescent="0.2">
      <x:c r="B284" s="719"/>
      <x:c r="C284" s="220"/>
      <x:c r="D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</x:row>
    <x:row r="285" spans="1:18" ht="12.75" customHeight="1" x14ac:dyDescent="0.2">
      <x:c r="B285" s="778" t="s">
        <x:v>119</x:v>
      </x:c>
      <x:c r="C285" s="775" t="s">
        <x:v>132</x:v>
      </x:c>
      <x:c r="D285" s="101" t="s">
        <x:v>70</x:v>
      </x:c>
      <x:c r="E285" s="93">
        <x:f>E192+E203-K192</x:f>
        <x:v>0</x:v>
      </x:c>
      <x:c r="F285" s="93">
        <x:f>F192</x:f>
        <x:v>0</x:v>
      </x:c>
      <x:c r="G285" s="93">
        <x:f t="shared" ref="G285:R285" si="9">G192</x:f>
        <x:v>0</x:v>
      </x:c>
      <x:c r="H285" s="93">
        <x:f t="shared" si="9"/>
        <x:v>0</x:v>
      </x:c>
      <x:c r="I285" s="93">
        <x:f t="shared" si="9"/>
        <x:v>0</x:v>
      </x:c>
      <x:c r="J285" s="93">
        <x:f t="shared" si="9"/>
        <x:v>0</x:v>
      </x:c>
      <x:c r="K285" s="93">
        <x:f t="shared" si="9"/>
        <x:v>0</x:v>
      </x:c>
      <x:c r="L285" s="93">
        <x:f t="shared" si="9"/>
        <x:v>0</x:v>
      </x:c>
      <x:c r="M285" s="93">
        <x:f t="shared" si="9"/>
        <x:v>0</x:v>
      </x:c>
      <x:c r="N285" s="93">
        <x:f t="shared" si="9"/>
        <x:v>0</x:v>
      </x:c>
      <x:c r="O285" s="93">
        <x:f t="shared" si="9"/>
        <x:v>0</x:v>
      </x:c>
      <x:c r="P285" s="93">
        <x:f t="shared" si="9"/>
        <x:v>0</x:v>
      </x:c>
      <x:c r="Q285" s="93">
        <x:f t="shared" si="9"/>
        <x:v>0</x:v>
      </x:c>
      <x:c r="R285" s="93">
        <x:f t="shared" si="9"/>
        <x:v>0</x:v>
      </x:c>
    </x:row>
    <x:row r="286" spans="1:18" ht="12.75" customHeight="1" x14ac:dyDescent="0.2">
      <x:c r="B286" s="778"/>
      <x:c r="C286" s="775"/>
      <x:c r="D286" s="101" t="s">
        <x:v>73</x:v>
      </x:c>
      <x:c r="E286" s="93">
        <x:f>E203</x:f>
        <x:v>0</x:v>
      </x:c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</x:row>
    <x:row r="287" spans="1:18" ht="12.75" customHeight="1" x14ac:dyDescent="0.2">
      <x:c r="A287" s="89"/>
      <x:c r="B287" s="97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</x:row>
    <x:row r="288" spans="1:18" ht="12.75" customHeight="1" x14ac:dyDescent="0.2">
      <x:c r="B288" s="777" t="s">
        <x:v>161</x:v>
      </x:c>
      <x:c r="C288" s="775" t="s">
        <x:v>132</x:v>
      </x:c>
      <x:c r="D288" s="231" t="s">
        <x:v>70</x:v>
      </x:c>
      <x:c r="E288" s="232">
        <x:v>0</x:v>
      </x:c>
      <x:c r="F288" s="232">
        <x:v>0</x:v>
      </x:c>
      <x:c r="G288" s="232">
        <x:v>0</x:v>
      </x:c>
      <x:c r="H288" s="232">
        <x:v>0</x:v>
      </x:c>
      <x:c r="I288" s="232">
        <x:v>0</x:v>
      </x:c>
      <x:c r="J288" s="232">
        <x:v>0</x:v>
      </x:c>
      <x:c r="K288" s="232">
        <x:v>0</x:v>
      </x:c>
      <x:c r="L288" s="232">
        <x:v>0</x:v>
      </x:c>
      <x:c r="M288" s="232">
        <x:v>0</x:v>
      </x:c>
      <x:c r="N288" s="232">
        <x:v>0</x:v>
      </x:c>
      <x:c r="O288" s="232">
        <x:v>0</x:v>
      </x:c>
      <x:c r="P288" s="232">
        <x:v>0</x:v>
      </x:c>
      <x:c r="Q288" s="232">
        <x:v>0</x:v>
      </x:c>
      <x:c r="R288" s="232">
        <x:v>0</x:v>
      </x:c>
    </x:row>
    <x:row r="289" spans="2:18" ht="12.75" customHeight="1" x14ac:dyDescent="0.2">
      <x:c r="B289" s="777"/>
      <x:c r="C289" s="775"/>
      <x:c r="D289" s="231" t="s">
        <x:v>73</x:v>
      </x:c>
      <x:c r="E289" s="232">
        <x:v>0</x:v>
      </x:c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</x:row>
    <x:row r="290" spans="2:18" s="238" customFormat="1" x14ac:dyDescent="0.2"/>
    <x:row r="291" spans="2:18" ht="15" customHeight="1" x14ac:dyDescent="0.2">
      <x:c r="B291" s="97" t="s">
        <x:v>88</x:v>
      </x:c>
    </x:row>
    <x:row r="292" spans="2:18" ht="11.45" customHeight="1" x14ac:dyDescent="0.2">
      <x:c r="E292" s="89" t="s">
        <x:v>70</x:v>
      </x:c>
      <x:c r="F292" s="89" t="s">
        <x:v>64</x:v>
      </x:c>
      <x:c r="G292" s="89" t="s">
        <x:v>65</x:v>
      </x:c>
      <x:c r="H292" s="219" t="s">
        <x:v>164</x:v>
      </x:c>
      <x:c r="I292" s="89" t="s">
        <x:v>69</x:v>
      </x:c>
      <x:c r="J292" s="89" t="s">
        <x:v>68</x:v>
      </x:c>
      <x:c r="K292" s="89" t="s">
        <x:v>83</x:v>
      </x:c>
      <x:c r="L292" s="89" t="s">
        <x:v>66</x:v>
      </x:c>
      <x:c r="M292" s="89" t="s">
        <x:v>63</x:v>
      </x:c>
      <x:c r="N292" s="89" t="s">
        <x:v>61</x:v>
      </x:c>
      <x:c r="O292" s="89" t="s">
        <x:v>62</x:v>
      </x:c>
      <x:c r="P292" s="89" t="s">
        <x:v>67</x:v>
      </x:c>
      <x:c r="Q292" s="89" t="s">
        <x:v>84</x:v>
      </x:c>
      <x:c r="R292" s="384" t="s">
        <x:v>225</x:v>
      </x:c>
    </x:row>
    <x:row r="293" spans="2:18" ht="11.45" customHeight="1" x14ac:dyDescent="0.2">
      <x:c r="D293" t="s">
        <x:v>72</x:v>
      </x:c>
      <x:c r="E293" s="89">
        <x:v>0</x:v>
      </x:c>
      <x:c r="F293" s="89">
        <x:v>0</x:v>
      </x:c>
      <x:c r="G293" s="89">
        <x:v>0</x:v>
      </x:c>
      <x:c r="H293" s="384">
        <x:v>0</x:v>
      </x:c>
      <x:c r="I293" s="89">
        <x:v>0</x:v>
      </x:c>
      <x:c r="J293" s="89">
        <x:v>0</x:v>
      </x:c>
      <x:c r="K293" s="89">
        <x:v>0</x:v>
      </x:c>
      <x:c r="L293" s="89">
        <x:v>0</x:v>
      </x:c>
      <x:c r="M293" s="89">
        <x:v>0</x:v>
      </x:c>
      <x:c r="N293" s="89">
        <x:v>0</x:v>
      </x:c>
      <x:c r="O293" s="89">
        <x:v>0</x:v>
      </x:c>
      <x:c r="P293" s="89">
        <x:v>0</x:v>
      </x:c>
      <x:c r="Q293" s="89">
        <x:v>0</x:v>
      </x:c>
      <x:c r="R293" s="384">
        <x:v>0</x:v>
      </x:c>
    </x:row>
    <x:row r="294" spans="2:18" ht="12.75" customHeight="1" x14ac:dyDescent="0.2">
      <x:c r="D294" t="s">
        <x:v>81</x:v>
      </x:c>
      <x:c r="E294" s="384">
        <x:v>0</x:v>
      </x:c>
      <x:c r="F294" s="89">
        <x:v>0</x:v>
      </x:c>
      <x:c r="G294" s="89">
        <x:v>0</x:v>
      </x:c>
      <x:c r="H294" s="384">
        <x:v>0</x:v>
      </x:c>
      <x:c r="I294" s="89">
        <x:v>0</x:v>
      </x:c>
      <x:c r="J294" s="89">
        <x:v>0</x:v>
      </x:c>
      <x:c r="K294" s="89">
        <x:v>0</x:v>
      </x:c>
      <x:c r="L294" s="89">
        <x:v>0</x:v>
      </x:c>
      <x:c r="M294" s="89">
        <x:v>0</x:v>
      </x:c>
      <x:c r="N294" s="89">
        <x:v>0</x:v>
      </x:c>
      <x:c r="O294" s="89">
        <x:v>0</x:v>
      </x:c>
      <x:c r="P294" s="89">
        <x:v>0</x:v>
      </x:c>
      <x:c r="Q294" s="89">
        <x:v>0</x:v>
      </x:c>
      <x:c r="R294" s="384">
        <x:v>0</x:v>
      </x:c>
    </x:row>
    <x:row r="295" spans="2:18" ht="11.45" customHeight="1" x14ac:dyDescent="0.2">
      <x:c r="C295" t="s">
        <x:v>332</x:v>
      </x:c>
      <x:c r="D295" t="s">
        <x:v>70</x:v>
      </x:c>
      <x:c r="E295" s="384">
        <x:v>0</x:v>
      </x:c>
      <x:c r="F295" s="89">
        <x:v>0</x:v>
      </x:c>
      <x:c r="G295" s="89">
        <x:v>0</x:v>
      </x:c>
      <x:c r="H295" s="384">
        <x:v>0</x:v>
      </x:c>
      <x:c r="I295" s="89">
        <x:v>0</x:v>
      </x:c>
      <x:c r="J295" s="89">
        <x:v>0</x:v>
      </x:c>
      <x:c r="K295" s="89">
        <x:v>0</x:v>
      </x:c>
      <x:c r="L295" s="89">
        <x:v>0</x:v>
      </x:c>
      <x:c r="M295" s="89">
        <x:v>0</x:v>
      </x:c>
      <x:c r="N295" s="89">
        <x:v>0</x:v>
      </x:c>
      <x:c r="O295" s="89">
        <x:v>0</x:v>
      </x:c>
      <x:c r="P295" s="89">
        <x:v>0</x:v>
      </x:c>
      <x:c r="Q295" s="89">
        <x:v>0</x:v>
      </x:c>
      <x:c r="R295" s="384">
        <x:v>0</x:v>
      </x:c>
    </x:row>
    <x:row r="296" spans="2:18" s="739" customFormat="1" ht="11.45" customHeight="1" x14ac:dyDescent="0.2">
      <x:c r="B296" s="739" t="s">
        <x:v>85</x:v>
      </x:c>
      <x:c r="C296" s="739" t="s">
        <x:v>70</x:v>
      </x:c>
      <x:c r="E296" s="769">
        <x:v>0</x:v>
      </x:c>
      <x:c r="F296" s="231">
        <x:v>0</x:v>
      </x:c>
      <x:c r="G296" s="231">
        <x:v>0</x:v>
      </x:c>
      <x:c r="H296" s="769">
        <x:v>0</x:v>
      </x:c>
      <x:c r="I296" s="231">
        <x:v>0</x:v>
      </x:c>
      <x:c r="J296" s="231">
        <x:v>0</x:v>
      </x:c>
      <x:c r="K296" s="231">
        <x:v>0</x:v>
      </x:c>
      <x:c r="L296" s="231">
        <x:v>0</x:v>
      </x:c>
      <x:c r="M296" s="231">
        <x:v>0</x:v>
      </x:c>
      <x:c r="N296" s="231">
        <x:v>0</x:v>
      </x:c>
      <x:c r="O296" s="231">
        <x:v>0</x:v>
      </x:c>
      <x:c r="P296" s="231">
        <x:v>0</x:v>
      </x:c>
      <x:c r="Q296" s="231">
        <x:v>0</x:v>
      </x:c>
      <x:c r="R296" s="769">
        <x:v>0</x:v>
      </x:c>
    </x:row>
    <x:row r="297" spans="2:18" ht="11.45" customHeight="1" x14ac:dyDescent="0.2">
      <x:c r="D297" t="s">
        <x:v>72</x:v>
      </x:c>
      <x:c r="E297" s="384" t="n">
        <x:v>76457865.81</x:v>
      </x:c>
      <x:c r="F297" s="89" t="n">
        <x:v>3641666.89</x:v>
      </x:c>
      <x:c r="G297" s="89" t="n">
        <x:v>2133608.73</x:v>
      </x:c>
      <x:c r="H297" s="384" t="n">
        <x:v>921850.4</x:v>
      </x:c>
      <x:c r="I297" s="89" t="n">
        <x:v>19097451.01</x:v>
      </x:c>
      <x:c r="J297" s="89" t="n">
        <x:v>695259.51</x:v>
      </x:c>
      <x:c r="K297" s="89" t="n">
        <x:v>0</x:v>
      </x:c>
      <x:c r="L297" s="89" t="n">
        <x:v>6005916.76</x:v>
      </x:c>
      <x:c r="M297" s="89" t="n">
        <x:v>5940381.52</x:v>
      </x:c>
      <x:c r="N297" s="89" t="n">
        <x:v>26946237.78</x:v>
      </x:c>
      <x:c r="O297" s="89" t="n">
        <x:v>9968241.84</x:v>
      </x:c>
      <x:c r="P297" s="89" t="n">
        <x:v>1107336.69</x:v>
      </x:c>
      <x:c r="Q297" s="89" t="n">
        <x:v>-85.32</x:v>
      </x:c>
      <x:c r="R297" s="384" t="n">
        <x:v>0</x:v>
      </x:c>
    </x:row>
    <x:row r="298" spans="2:18" ht="12.75" customHeight="1" x14ac:dyDescent="0.2">
      <x:c r="D298" t="s">
        <x:v>81</x:v>
      </x:c>
      <x:c r="E298" s="384" t="n">
        <x:v>-546491.49</x:v>
      </x:c>
      <x:c r="F298" s="89" t="n">
        <x:v>1918.82</x:v>
      </x:c>
      <x:c r="G298" s="89" t="n">
        <x:v>919.78</x:v>
      </x:c>
      <x:c r="H298" s="384" t="n">
        <x:v>476.91</x:v>
      </x:c>
      <x:c r="I298" s="89" t="n">
        <x:v>3849.93</x:v>
      </x:c>
      <x:c r="J298" s="89" t="n">
        <x:v>129.94</x:v>
      </x:c>
      <x:c r="K298" s="89" t="n">
        <x:v>0</x:v>
      </x:c>
      <x:c r="L298" s="89" t="n">
        <x:v>1057.79</x:v>
      </x:c>
      <x:c r="M298" s="89" t="n">
        <x:v>1241.12</x:v>
      </x:c>
      <x:c r="N298" s="89" t="n">
        <x:v>-561414.15</x:v>
      </x:c>
      <x:c r="O298" s="89" t="n">
        <x:v>5114.92</x:v>
      </x:c>
      <x:c r="P298" s="89" t="n">
        <x:v>213.4</x:v>
      </x:c>
      <x:c r="Q298" s="89" t="n">
        <x:v>0.05</x:v>
      </x:c>
      <x:c r="R298" s="384" t="n">
        <x:v>0</x:v>
      </x:c>
    </x:row>
    <x:row r="299" spans="2:18" ht="12.75" customHeight="1" x14ac:dyDescent="0.2">
      <x:c r="C299" t="s">
        <x:v>156</x:v>
      </x:c>
      <x:c r="D299" t="s">
        <x:v>70</x:v>
      </x:c>
      <x:c r="E299" s="384" t="n">
        <x:v>75911374.32</x:v>
      </x:c>
      <x:c r="F299" s="89" t="n">
        <x:v>3643585.71</x:v>
      </x:c>
      <x:c r="G299" s="89" t="n">
        <x:v>2134528.51</x:v>
      </x:c>
      <x:c r="H299" s="384" t="n">
        <x:v>922327.31</x:v>
      </x:c>
      <x:c r="I299" s="89" t="n">
        <x:v>19101300.94</x:v>
      </x:c>
      <x:c r="J299" s="89" t="n">
        <x:v>695389.45</x:v>
      </x:c>
      <x:c r="K299" s="89" t="n">
        <x:v>0</x:v>
      </x:c>
      <x:c r="L299" s="89" t="n">
        <x:v>6006974.55</x:v>
      </x:c>
      <x:c r="M299" s="89" t="n">
        <x:v>5941622.64</x:v>
      </x:c>
      <x:c r="N299" s="89" t="n">
        <x:v>26384823.63</x:v>
      </x:c>
      <x:c r="O299" s="89" t="n">
        <x:v>9973356.76</x:v>
      </x:c>
      <x:c r="P299" s="89" t="n">
        <x:v>1107550.09</x:v>
      </x:c>
      <x:c r="Q299" s="89" t="n">
        <x:v>-85.27</x:v>
      </x:c>
      <x:c r="R299" t="n">
        <x:v>0</x:v>
      </x:c>
    </x:row>
    <x:row r="300" spans="2:18" s="286" customFormat="1" ht="12.75" customHeight="1" x14ac:dyDescent="0.2">
      <x:c r="B300" s="286" t="s">
        <x:v>155</x:v>
      </x:c>
      <x:c r="C300" s="286" t="s">
        <x:v>70</x:v>
      </x:c>
      <x:c r="E300" s="753" t="n">
        <x:v>75911374.32</x:v>
      </x:c>
      <x:c r="F300" s="229" t="n">
        <x:v>3643585.71</x:v>
      </x:c>
      <x:c r="G300" s="229" t="n">
        <x:v>2134528.51</x:v>
      </x:c>
      <x:c r="H300" s="753" t="n">
        <x:v>922327.31</x:v>
      </x:c>
      <x:c r="I300" s="229" t="n">
        <x:v>19101300.94</x:v>
      </x:c>
      <x:c r="J300" s="229" t="n">
        <x:v>695389.45</x:v>
      </x:c>
      <x:c r="K300" s="229" t="n">
        <x:v>0</x:v>
      </x:c>
      <x:c r="L300" s="229" t="n">
        <x:v>6006974.55</x:v>
      </x:c>
      <x:c r="M300" s="229" t="n">
        <x:v>5941622.64</x:v>
      </x:c>
      <x:c r="N300" s="229" t="n">
        <x:v>26384823.63</x:v>
      </x:c>
      <x:c r="O300" s="229" t="n">
        <x:v>9973356.76</x:v>
      </x:c>
      <x:c r="P300" s="229" t="n">
        <x:v>1107550.09</x:v>
      </x:c>
      <x:c r="Q300" s="229" t="n">
        <x:v>-85.27</x:v>
      </x:c>
      <x:c r="R300" s="286" t="n">
        <x:v>0</x:v>
      </x:c>
    </x:row>
    <x:row r="301" spans="2:18" ht="12.75" customHeight="1" x14ac:dyDescent="0.2">
      <x:c r="D301" t="s">
        <x:v>72</x:v>
      </x:c>
      <x:c r="E301" s="384" t="n">
        <x:v>18002757.07</x:v>
      </x:c>
      <x:c r="F301" s="89" t="n">
        <x:v>1980153.06</x:v>
      </x:c>
      <x:c r="G301" s="89" t="n">
        <x:v>1079854.53</x:v>
      </x:c>
      <x:c r="H301" s="384" t="n">
        <x:v>147100.27</x:v>
      </x:c>
      <x:c r="I301" s="89" t="n">
        <x:v>3091993.19</x:v>
      </x:c>
      <x:c r="J301" s="89" t="n">
        <x:v>84501.79</x:v>
      </x:c>
      <x:c r="K301" s="89" t="n">
        <x:v>0</x:v>
      </x:c>
      <x:c r="L301" s="89" t="n">
        <x:v>825464.85</x:v>
      </x:c>
      <x:c r="M301" s="89" t="n">
        <x:v>929998.07</x:v>
      </x:c>
      <x:c r="N301" s="89" t="n">
        <x:v>4347249.14</x:v>
      </x:c>
      <x:c r="O301" s="89" t="n">
        <x:v>5394420.52</x:v>
      </x:c>
      <x:c r="P301" s="89" t="n">
        <x:v>121980.8</x:v>
      </x:c>
      <x:c r="Q301" s="89" t="n">
        <x:v>40.85</x:v>
      </x:c>
      <x:c r="R301" t="n">
        <x:v>0</x:v>
      </x:c>
    </x:row>
    <x:row r="302" spans="2:18" ht="12.75" customHeight="1" x14ac:dyDescent="0.2">
      <x:c r="D302" t="s">
        <x:v>81</x:v>
      </x:c>
      <x:c r="E302" s="384" t="n">
        <x:v>-51796.34</x:v>
      </x:c>
      <x:c r="F302" s="89" t="n">
        <x:v>3.25</x:v>
      </x:c>
      <x:c r="G302" s="89" t="n">
        <x:v>1.82</x:v>
      </x:c>
      <x:c r="H302" s="384" t="n">
        <x:v>1.49</x:v>
      </x:c>
      <x:c r="I302" s="89" t="n">
        <x:v>15.8</x:v>
      </x:c>
      <x:c r="J302" s="89" t="n">
        <x:v>0.87</x:v>
      </x:c>
      <x:c r="K302" s="89" t="n">
        <x:v>0</x:v>
      </x:c>
      <x:c r="L302" s="89" t="n">
        <x:v>4.9</x:v>
      </x:c>
      <x:c r="M302" s="89" t="n">
        <x:v>4.89</x:v>
      </x:c>
      <x:c r="N302" s="89" t="n">
        <x:v>-51839.46</x:v>
      </x:c>
      <x:c r="O302" s="89" t="n">
        <x:v>8.66</x:v>
      </x:c>
      <x:c r="P302" s="89" t="n">
        <x:v>1.44</x:v>
      </x:c>
      <x:c r="Q302" s="89" t="n">
        <x:v>0</x:v>
      </x:c>
      <x:c r="R302" t="n">
        <x:v>0</x:v>
      </x:c>
    </x:row>
    <x:row r="303" spans="2:18" ht="12.75" customHeight="1" x14ac:dyDescent="0.2">
      <x:c r="C303" t="s">
        <x:v>115</x:v>
      </x:c>
      <x:c r="D303" t="s">
        <x:v>70</x:v>
      </x:c>
      <x:c r="E303" s="384" t="n">
        <x:v>17950960.73</x:v>
      </x:c>
      <x:c r="F303" s="89" t="n">
        <x:v>1980156.31</x:v>
      </x:c>
      <x:c r="G303" s="89" t="n">
        <x:v>1079856.35</x:v>
      </x:c>
      <x:c r="H303" s="384" t="n">
        <x:v>147101.76</x:v>
      </x:c>
      <x:c r="I303" s="89" t="n">
        <x:v>3092008.99</x:v>
      </x:c>
      <x:c r="J303" s="89" t="n">
        <x:v>84502.66</x:v>
      </x:c>
      <x:c r="K303" s="89" t="n">
        <x:v>0</x:v>
      </x:c>
      <x:c r="L303" s="89" t="n">
        <x:v>825469.75</x:v>
      </x:c>
      <x:c r="M303" s="89" t="n">
        <x:v>930002.96</x:v>
      </x:c>
      <x:c r="N303" s="89" t="n">
        <x:v>4295409.68</x:v>
      </x:c>
      <x:c r="O303" s="89" t="n">
        <x:v>5394429.18</x:v>
      </x:c>
      <x:c r="P303" s="89" t="n">
        <x:v>121982.24</x:v>
      </x:c>
      <x:c r="Q303" s="89" t="n">
        <x:v>40.85</x:v>
      </x:c>
      <x:c r="R303" t="n">
        <x:v>0</x:v>
      </x:c>
    </x:row>
    <x:row r="304" spans="2:18" ht="12.75" customHeight="1" x14ac:dyDescent="0.2">
      <x:c r="D304" t="s">
        <x:v>72</x:v>
      </x:c>
      <x:c r="E304" s="384" t="n">
        <x:v>6669914.11</x:v>
      </x:c>
      <x:c r="F304" s="89" t="n">
        <x:v>1324974.27</x:v>
      </x:c>
      <x:c r="G304" s="89" t="n">
        <x:v>751701.9</x:v>
      </x:c>
      <x:c r="H304" s="384" t="n">
        <x:v>74006.93</x:v>
      </x:c>
      <x:c r="I304" s="89" t="n">
        <x:v>332831.09</x:v>
      </x:c>
      <x:c r="J304" s="89" t="n">
        <x:v>10219.22</x:v>
      </x:c>
      <x:c r="K304" s="89" t="n">
        <x:v>0</x:v>
      </x:c>
      <x:c r="L304" s="89" t="n">
        <x:v>73839.36</x:v>
      </x:c>
      <x:c r="M304" s="89" t="n">
        <x:v>81220.13</x:v>
      </x:c>
      <x:c r="N304" s="89" t="n">
        <x:v>435049.09</x:v>
      </x:c>
      <x:c r="O304" s="89" t="n">
        <x:v>3571186.75</x:v>
      </x:c>
      <x:c r="P304" s="89" t="n">
        <x:v>14889.6</x:v>
      </x:c>
      <x:c r="Q304" s="89" t="n">
        <x:v>-4.23</x:v>
      </x:c>
      <x:c r="R304" t="n">
        <x:v>0</x:v>
      </x:c>
    </x:row>
    <x:row r="305" spans="2:18" ht="12.75" customHeight="1" x14ac:dyDescent="0.2">
      <x:c r="D305" t="s">
        <x:v>81</x:v>
      </x:c>
      <x:c r="E305" s="384" t="n">
        <x:v>-8785.59</x:v>
      </x:c>
      <x:c r="F305" s="89" t="n">
        <x:v>0</x:v>
      </x:c>
      <x:c r="G305" s="89" t="n">
        <x:v>0</x:v>
      </x:c>
      <x:c r="H305" s="384" t="n">
        <x:v>0</x:v>
      </x:c>
      <x:c r="I305" s="89" t="n">
        <x:v>0</x:v>
      </x:c>
      <x:c r="J305" s="89" t="n">
        <x:v>0</x:v>
      </x:c>
      <x:c r="K305" s="89" t="n">
        <x:v>0</x:v>
      </x:c>
      <x:c r="L305" s="89" t="n">
        <x:v>0</x:v>
      </x:c>
      <x:c r="M305" s="89" t="n">
        <x:v>0</x:v>
      </x:c>
      <x:c r="N305" s="89" t="n">
        <x:v>-8785.59</x:v>
      </x:c>
      <x:c r="O305" s="89" t="n">
        <x:v>0</x:v>
      </x:c>
      <x:c r="P305" s="89" t="n">
        <x:v>0</x:v>
      </x:c>
      <x:c r="Q305" s="89" t="n">
        <x:v>0</x:v>
      </x:c>
      <x:c r="R305" t="n">
        <x:v>0</x:v>
      </x:c>
    </x:row>
    <x:row r="306" spans="2:18" ht="12.75" customHeight="1" x14ac:dyDescent="0.2">
      <x:c r="C306" t="s">
        <x:v>116</x:v>
      </x:c>
      <x:c r="D306" t="s">
        <x:v>70</x:v>
      </x:c>
      <x:c r="E306" s="384" t="n">
        <x:v>6661128.52</x:v>
      </x:c>
      <x:c r="F306" s="89" t="n">
        <x:v>1324974.27</x:v>
      </x:c>
      <x:c r="G306" s="89" t="n">
        <x:v>751701.9</x:v>
      </x:c>
      <x:c r="H306" s="384" t="n">
        <x:v>74006.93</x:v>
      </x:c>
      <x:c r="I306" s="89" t="n">
        <x:v>332831.09</x:v>
      </x:c>
      <x:c r="J306" s="89" t="n">
        <x:v>10219.22</x:v>
      </x:c>
      <x:c r="K306" s="89" t="n">
        <x:v>0</x:v>
      </x:c>
      <x:c r="L306" s="89" t="n">
        <x:v>73839.36</x:v>
      </x:c>
      <x:c r="M306" s="89" t="n">
        <x:v>81220.13</x:v>
      </x:c>
      <x:c r="N306" s="89" t="n">
        <x:v>426263.5</x:v>
      </x:c>
      <x:c r="O306" s="89" t="n">
        <x:v>3571186.75</x:v>
      </x:c>
      <x:c r="P306" s="89" t="n">
        <x:v>14889.6</x:v>
      </x:c>
      <x:c r="Q306" s="89" t="n">
        <x:v>-4.23</x:v>
      </x:c>
      <x:c r="R306" t="n">
        <x:v>0</x:v>
      </x:c>
    </x:row>
    <x:row r="307" spans="2:18" ht="12.75" customHeight="1" x14ac:dyDescent="0.2">
      <x:c r="D307" t="s">
        <x:v>72</x:v>
      </x:c>
      <x:c r="E307" s="384">
        <x:v>0</x:v>
      </x:c>
      <x:c r="F307" s="89">
        <x:v>0</x:v>
      </x:c>
      <x:c r="G307" s="89">
        <x:v>0</x:v>
      </x:c>
      <x:c r="H307" s="384">
        <x:v>0</x:v>
      </x:c>
      <x:c r="I307" s="89">
        <x:v>0</x:v>
      </x:c>
      <x:c r="J307" s="89">
        <x:v>0</x:v>
      </x:c>
      <x:c r="K307" s="89">
        <x:v>0</x:v>
      </x:c>
      <x:c r="L307" s="89">
        <x:v>0</x:v>
      </x:c>
      <x:c r="M307" s="89">
        <x:v>0</x:v>
      </x:c>
      <x:c r="N307" s="89">
        <x:v>0</x:v>
      </x:c>
      <x:c r="O307" s="89">
        <x:v>0</x:v>
      </x:c>
      <x:c r="P307" s="89">
        <x:v>0</x:v>
      </x:c>
      <x:c r="Q307" s="89">
        <x:v>0</x:v>
      </x:c>
      <x:c r="R307">
        <x:v>0</x:v>
      </x:c>
    </x:row>
    <x:row r="308" spans="2:18" ht="12.75" customHeight="1" x14ac:dyDescent="0.2">
      <x:c r="D308" t="s">
        <x:v>81</x:v>
      </x:c>
      <x:c r="E308" s="384">
        <x:v>0</x:v>
      </x:c>
      <x:c r="F308" s="89">
        <x:v>0</x:v>
      </x:c>
      <x:c r="G308" s="89">
        <x:v>0</x:v>
      </x:c>
      <x:c r="H308" s="384">
        <x:v>0</x:v>
      </x:c>
      <x:c r="I308" s="89">
        <x:v>0</x:v>
      </x:c>
      <x:c r="J308" s="89">
        <x:v>0</x:v>
      </x:c>
      <x:c r="K308" s="89">
        <x:v>0</x:v>
      </x:c>
      <x:c r="L308" s="89">
        <x:v>0</x:v>
      </x:c>
      <x:c r="M308" s="89">
        <x:v>0</x:v>
      </x:c>
      <x:c r="N308" s="89">
        <x:v>0</x:v>
      </x:c>
      <x:c r="O308" s="89">
        <x:v>0</x:v>
      </x:c>
      <x:c r="P308" s="89">
        <x:v>0</x:v>
      </x:c>
      <x:c r="Q308" s="89">
        <x:v>0</x:v>
      </x:c>
      <x:c r="R308">
        <x:v>0</x:v>
      </x:c>
    </x:row>
    <x:row r="309" spans="2:18" ht="12.75" customHeight="1" x14ac:dyDescent="0.2">
      <x:c r="C309" s="772">
        <x:v>3</x:v>
      </x:c>
      <x:c r="D309" t="s">
        <x:v>70</x:v>
      </x:c>
      <x:c r="E309" s="384">
        <x:v>0</x:v>
      </x:c>
      <x:c r="F309" s="89">
        <x:v>0</x:v>
      </x:c>
      <x:c r="G309" s="89">
        <x:v>0</x:v>
      </x:c>
      <x:c r="H309" s="384">
        <x:v>0</x:v>
      </x:c>
      <x:c r="I309" s="89">
        <x:v>0</x:v>
      </x:c>
      <x:c r="J309" s="89">
        <x:v>0</x:v>
      </x:c>
      <x:c r="K309" s="89">
        <x:v>0</x:v>
      </x:c>
      <x:c r="L309" s="89">
        <x:v>0</x:v>
      </x:c>
      <x:c r="M309" s="89">
        <x:v>0</x:v>
      </x:c>
      <x:c r="N309" s="89">
        <x:v>0</x:v>
      </x:c>
      <x:c r="O309" s="89">
        <x:v>0</x:v>
      </x:c>
      <x:c r="P309" s="89">
        <x:v>0</x:v>
      </x:c>
      <x:c r="Q309" s="89">
        <x:v>0</x:v>
      </x:c>
      <x:c r="R309">
        <x:v>0</x:v>
      </x:c>
    </x:row>
    <x:row r="310" spans="2:18" ht="12.75" customHeight="1" x14ac:dyDescent="0.2">
      <x:c r="B310" s="89"/>
      <x:c r="C310" s="89"/>
      <x:c r="D310" t="s">
        <x:v>72</x:v>
      </x:c>
      <x:c r="E310" s="371" t="n">
        <x:v>18793865.45</x:v>
      </x:c>
      <x:c r="F310" s="90" t="n">
        <x:v>1178975.76</x:v>
      </x:c>
      <x:c r="G310" s="90" t="n">
        <x:v>662155.76</x:v>
      </x:c>
      <x:c r="H310" s="90" t="n">
        <x:v>252823.43</x:v>
      </x:c>
      <x:c r="I310" s="90" t="n">
        <x:v>4498808.16</x:v>
      </x:c>
      <x:c r="J310" s="90" t="n">
        <x:v>134388.49</x:v>
      </x:c>
      <x:c r="K310" s="90" t="n">
        <x:v>0</x:v>
      </x:c>
      <x:c r="L310" s="90" t="n">
        <x:v>1287740.81</x:v>
      </x:c>
      <x:c r="M310" s="90" t="n">
        <x:v>1382529.63</x:v>
      </x:c>
      <x:c r="N310" s="90" t="n">
        <x:v>5942810.05</x:v>
      </x:c>
      <x:c r="O310" s="90" t="n">
        <x:v>3255861.06</x:v>
      </x:c>
      <x:c r="P310" s="90" t="n">
        <x:v>197723.5</x:v>
      </x:c>
      <x:c r="Q310" s="90" t="n">
        <x:v>48.8</x:v>
      </x:c>
      <x:c r="R310" t="n">
        <x:v>0</x:v>
      </x:c>
    </x:row>
    <x:row r="311" spans="2:18" ht="12.75" customHeight="1" x14ac:dyDescent="0.2">
      <x:c r="B311" s="89"/>
      <x:c r="C311" s="89"/>
      <x:c r="D311" t="s">
        <x:v>81</x:v>
      </x:c>
      <x:c r="E311" s="371" t="n">
        <x:v>-95398.53</x:v>
      </x:c>
      <x:c r="F311" s="90" t="n">
        <x:v>34.9</x:v>
      </x:c>
      <x:c r="G311" s="90" t="n">
        <x:v>18.75</x:v>
      </x:c>
      <x:c r="H311" s="90" t="n">
        <x:v>10.18</x:v>
      </x:c>
      <x:c r="I311" s="90" t="n">
        <x:v>106.03</x:v>
      </x:c>
      <x:c r="J311" s="90" t="n">
        <x:v>3.53</x:v>
      </x:c>
      <x:c r="K311" s="90" t="n">
        <x:v>0</x:v>
      </x:c>
      <x:c r="L311" s="90" t="n">
        <x:v>31</x:v>
      </x:c>
      <x:c r="M311" s="90" t="n">
        <x:v>32.71</x:v>
      </x:c>
      <x:c r="N311" s="90" t="n">
        <x:v>-95734.22</x:v>
      </x:c>
      <x:c r="O311" s="90" t="n">
        <x:v>92.81</x:v>
      </x:c>
      <x:c r="P311" s="90" t="n">
        <x:v>5.78</x:v>
      </x:c>
      <x:c r="Q311" s="90" t="n">
        <x:v>0</x:v>
      </x:c>
      <x:c r="R311" t="n">
        <x:v>0</x:v>
      </x:c>
    </x:row>
    <x:row r="312" spans="2:18" ht="12.75" customHeight="1" x14ac:dyDescent="0.2">
      <x:c r="B312" s="89"/>
      <x:c r="C312" s="89" t="s">
        <x:v>118</x:v>
      </x:c>
      <x:c r="D312" t="s">
        <x:v>70</x:v>
      </x:c>
      <x:c r="E312" s="371" t="n">
        <x:v>18698466.92</x:v>
      </x:c>
      <x:c r="F312" s="90" t="n">
        <x:v>1179010.66</x:v>
      </x:c>
      <x:c r="G312" s="90" t="n">
        <x:v>662174.51</x:v>
      </x:c>
      <x:c r="H312" s="90" t="n">
        <x:v>252833.61</x:v>
      </x:c>
      <x:c r="I312" s="90" t="n">
        <x:v>4498914.19</x:v>
      </x:c>
      <x:c r="J312" s="90" t="n">
        <x:v>134392.02</x:v>
      </x:c>
      <x:c r="K312" s="90" t="n">
        <x:v>0</x:v>
      </x:c>
      <x:c r="L312" s="90" t="n">
        <x:v>1287771.81</x:v>
      </x:c>
      <x:c r="M312" s="90" t="n">
        <x:v>1382562.34</x:v>
      </x:c>
      <x:c r="N312" s="90" t="n">
        <x:v>5847075.83</x:v>
      </x:c>
      <x:c r="O312" s="90" t="n">
        <x:v>3255953.87</x:v>
      </x:c>
      <x:c r="P312" s="90" t="n">
        <x:v>197729.28</x:v>
      </x:c>
      <x:c r="Q312" s="90" t="n">
        <x:v>48.8</x:v>
      </x:c>
      <x:c r="R312" t="n">
        <x:v>0</x:v>
      </x:c>
    </x:row>
    <x:row r="313" spans="2:18" ht="12.75" customHeight="1" x14ac:dyDescent="0.2">
      <x:c r="B313" s="89"/>
      <x:c r="C313" s="89"/>
      <x:c r="D313" t="s">
        <x:v>72</x:v>
      </x:c>
      <x:c r="E313" s="371" t="n">
        <x:v>20152773.11</x:v>
      </x:c>
      <x:c r="F313" s="90" t="n">
        <x:v>4557090.02</x:v>
      </x:c>
      <x:c r="G313" s="90" t="n">
        <x:v>2578655.79</x:v>
      </x:c>
      <x:c r="H313" s="90" t="n">
        <x:v>537655.12</x:v>
      </x:c>
      <x:c r="I313" s="90" t="n">
        <x:v>59605.89</x:v>
      </x:c>
      <x:c r="J313" s="90" t="n">
        <x:v>1466.04</x:v>
      </x:c>
      <x:c r="K313" s="90" t="n">
        <x:v>0</x:v>
      </x:c>
      <x:c r="L313" s="90" t="n">
        <x:v>12859.98</x:v>
      </x:c>
      <x:c r="M313" s="90" t="n">
        <x:v>18847.08</x:v>
      </x:c>
      <x:c r="N313" s="90" t="n">
        <x:v>93515.82</x:v>
      </x:c>
      <x:c r="O313" s="90" t="n">
        <x:v>12290686.24</x:v>
      </x:c>
      <x:c r="P313" s="90" t="n">
        <x:v>2391.99</x:v>
      </x:c>
      <x:c r="Q313" s="90" t="n">
        <x:v>-0.86</x:v>
      </x:c>
      <x:c r="R313" t="n">
        <x:v>0</x:v>
      </x:c>
    </x:row>
    <x:row r="314" spans="2:18" ht="12.75" customHeight="1" x14ac:dyDescent="0.2">
      <x:c r="B314" s="89"/>
      <x:c r="C314" s="89"/>
      <x:c r="D314" t="s">
        <x:v>81</x:v>
      </x:c>
      <x:c r="E314" s="371" t="n">
        <x:v>-2377.86</x:v>
      </x:c>
      <x:c r="F314" s="90" t="n">
        <x:v>0</x:v>
      </x:c>
      <x:c r="G314" s="90" t="n">
        <x:v>0</x:v>
      </x:c>
      <x:c r="H314" s="90" t="n">
        <x:v>0</x:v>
      </x:c>
      <x:c r="I314" s="90" t="n">
        <x:v>0</x:v>
      </x:c>
      <x:c r="J314" s="90" t="n">
        <x:v>0</x:v>
      </x:c>
      <x:c r="K314" s="90" t="n">
        <x:v>0</x:v>
      </x:c>
      <x:c r="L314" s="90" t="n">
        <x:v>0</x:v>
      </x:c>
      <x:c r="M314" s="90" t="n">
        <x:v>0</x:v>
      </x:c>
      <x:c r="N314" s="90" t="n">
        <x:v>-2377.86</x:v>
      </x:c>
      <x:c r="O314" s="90" t="n">
        <x:v>0</x:v>
      </x:c>
      <x:c r="P314" s="90" t="n">
        <x:v>0</x:v>
      </x:c>
      <x:c r="Q314" s="90" t="n">
        <x:v>0</x:v>
      </x:c>
      <x:c r="R314" t="n">
        <x:v>0</x:v>
      </x:c>
    </x:row>
    <x:row r="315" spans="2:18" ht="12.75" customHeight="1" x14ac:dyDescent="0.2">
      <x:c r="B315" s="89"/>
      <x:c r="C315" s="773">
        <x:v>9</x:v>
      </x:c>
      <x:c r="D315" t="s">
        <x:v>70</x:v>
      </x:c>
      <x:c r="E315" s="371" t="n">
        <x:v>20150395.25</x:v>
      </x:c>
      <x:c r="F315" s="90" t="n">
        <x:v>4557090.02</x:v>
      </x:c>
      <x:c r="G315" s="90" t="n">
        <x:v>2578655.79</x:v>
      </x:c>
      <x:c r="H315" s="90" t="n">
        <x:v>537655.12</x:v>
      </x:c>
      <x:c r="I315" s="90" t="n">
        <x:v>59605.89</x:v>
      </x:c>
      <x:c r="J315" s="90" t="n">
        <x:v>1466.04</x:v>
      </x:c>
      <x:c r="K315" s="90" t="n">
        <x:v>0</x:v>
      </x:c>
      <x:c r="L315" s="90" t="n">
        <x:v>12859.98</x:v>
      </x:c>
      <x:c r="M315" s="90" t="n">
        <x:v>18847.08</x:v>
      </x:c>
      <x:c r="N315" s="90" t="n">
        <x:v>91137.96</x:v>
      </x:c>
      <x:c r="O315" s="90" t="n">
        <x:v>12290686.24</x:v>
      </x:c>
      <x:c r="P315" s="90" t="n">
        <x:v>2391.99</x:v>
      </x:c>
      <x:c r="Q315" s="90" t="n">
        <x:v>-0.86</x:v>
      </x:c>
      <x:c r="R315" t="n">
        <x:v>0</x:v>
      </x:c>
    </x:row>
    <x:row r="316" spans="2:18" s="224" customFormat="1" ht="12.75" customHeight="1" x14ac:dyDescent="0.2">
      <x:c r="B316" s="224" t="s">
        <x:v>120</x:v>
      </x:c>
      <x:c r="C316" s="223" t="s">
        <x:v>70</x:v>
      </x:c>
      <x:c r="D316" s="223"/>
      <x:c r="E316" s="225" t="n">
        <x:v>63460951.42</x:v>
      </x:c>
      <x:c r="F316" s="225" t="n">
        <x:v>9041231.26</x:v>
      </x:c>
      <x:c r="G316" s="225" t="n">
        <x:v>5072388.55</x:v>
      </x:c>
      <x:c r="H316" s="225" t="n">
        <x:v>1011597.42</x:v>
      </x:c>
      <x:c r="I316" s="225" t="n">
        <x:v>7983360.16</x:v>
      </x:c>
      <x:c r="J316" s="225" t="n">
        <x:v>230579.94</x:v>
      </x:c>
      <x:c r="K316" s="225" t="n">
        <x:v>0</x:v>
      </x:c>
      <x:c r="L316" s="225" t="n">
        <x:v>2199940.9</x:v>
      </x:c>
      <x:c r="M316" s="225" t="n">
        <x:v>2412632.51</x:v>
      </x:c>
      <x:c r="N316" s="225" t="n">
        <x:v>10659886.97</x:v>
      </x:c>
      <x:c r="O316" s="225" t="n">
        <x:v>24512256.04</x:v>
      </x:c>
      <x:c r="P316" s="225" t="n">
        <x:v>336993.11</x:v>
      </x:c>
      <x:c r="Q316" s="225" t="n">
        <x:v>84.56</x:v>
      </x:c>
      <x:c r="R316" s="224" t="n">
        <x:v>0</x:v>
      </x:c>
    </x:row>
    <x:row r="317" spans="2:18" ht="12.75" customHeight="1" x14ac:dyDescent="0.2">
      <x:c r="C317" s="89"/>
      <x:c r="D317" s="89" t="s">
        <x:v>72</x:v>
      </x:c>
      <x:c r="E317" s="371" t="n">
        <x:v>2277123.28</x:v>
      </x:c>
      <x:c r="F317" s="90" t="n">
        <x:v>152739.62</x:v>
      </x:c>
      <x:c r="G317" s="90" t="n">
        <x:v>87677.85</x:v>
      </x:c>
      <x:c r="H317" s="90" t="n">
        <x:v>38295.05</x:v>
      </x:c>
      <x:c r="I317" s="90" t="n">
        <x:v>554007.76</x:v>
      </x:c>
      <x:c r="J317" s="90" t="n">
        <x:v>14388.41</x:v>
      </x:c>
      <x:c r="K317" s="90" t="n">
        <x:v>0</x:v>
      </x:c>
      <x:c r="L317" s="90" t="n">
        <x:v>147147.27</x:v>
      </x:c>
      <x:c r="M317" s="90" t="n">
        <x:v>179783.34</x:v>
      </x:c>
      <x:c r="N317" s="90" t="n">
        <x:v>665128.14</x:v>
      </x:c>
      <x:c r="O317" s="90" t="n">
        <x:v>417327.57</x:v>
      </x:c>
      <x:c r="P317" s="90" t="n">
        <x:v>20628.34</x:v>
      </x:c>
      <x:c r="Q317" s="90" t="n">
        <x:v>-0.07</x:v>
      </x:c>
      <x:c r="R317" t="n">
        <x:v>0</x:v>
      </x:c>
    </x:row>
    <x:row r="318" spans="2:18" ht="12.75" customHeight="1" x14ac:dyDescent="0.2">
      <x:c r="C318" s="89"/>
      <x:c r="D318" s="89" t="s">
        <x:v>81</x:v>
      </x:c>
      <x:c r="E318" s="371" t="n">
        <x:v>-10387.44</x:v>
      </x:c>
      <x:c r="F318" s="90" t="n">
        <x:v>1.9</x:v>
      </x:c>
      <x:c r="G318" s="90" t="n">
        <x:v>1.07</x:v>
      </x:c>
      <x:c r="H318" s="90" t="n">
        <x:v>0.57</x:v>
      </x:c>
      <x:c r="I318" s="90" t="n">
        <x:v>4.54</x:v>
      </x:c>
      <x:c r="J318" s="90" t="n">
        <x:v>0.19</x:v>
      </x:c>
      <x:c r="K318" s="90" t="n">
        <x:v>0</x:v>
      </x:c>
      <x:c r="L318" s="90" t="n">
        <x:v>1.71</x:v>
      </x:c>
      <x:c r="M318" s="90" t="n">
        <x:v>1.68</x:v>
      </x:c>
      <x:c r="N318" s="90" t="n">
        <x:v>-10404.47</x:v>
      </x:c>
      <x:c r="O318" s="90" t="n">
        <x:v>5.05</x:v>
      </x:c>
      <x:c r="P318" s="90" t="n">
        <x:v>0.32</x:v>
      </x:c>
      <x:c r="Q318" s="90" t="n">
        <x:v>0</x:v>
      </x:c>
      <x:c r="R318" t="n">
        <x:v>0</x:v>
      </x:c>
    </x:row>
    <x:row r="319" spans="2:18" ht="12.75" customHeight="1" x14ac:dyDescent="0.2">
      <x:c r="C319" s="89" t="s">
        <x:v>82</x:v>
      </x:c>
      <x:c r="D319" s="89" t="s">
        <x:v>70</x:v>
      </x:c>
      <x:c r="E319" s="371" t="n">
        <x:v>2266735.84</x:v>
      </x:c>
      <x:c r="F319" s="90" t="n">
        <x:v>152741.52</x:v>
      </x:c>
      <x:c r="G319" s="90" t="n">
        <x:v>87678.92</x:v>
      </x:c>
      <x:c r="H319" s="90" t="n">
        <x:v>38295.62</x:v>
      </x:c>
      <x:c r="I319" s="90" t="n">
        <x:v>554012.3</x:v>
      </x:c>
      <x:c r="J319" s="90" t="n">
        <x:v>14388.6</x:v>
      </x:c>
      <x:c r="K319" s="90" t="n">
        <x:v>0</x:v>
      </x:c>
      <x:c r="L319" s="90" t="n">
        <x:v>147148.98</x:v>
      </x:c>
      <x:c r="M319" s="90" t="n">
        <x:v>179785.02</x:v>
      </x:c>
      <x:c r="N319" s="90" t="n">
        <x:v>654723.67</x:v>
      </x:c>
      <x:c r="O319" s="90" t="n">
        <x:v>417332.62</x:v>
      </x:c>
      <x:c r="P319" s="90" t="n">
        <x:v>20628.66</x:v>
      </x:c>
      <x:c r="Q319" s="90" t="n">
        <x:v>-0.07</x:v>
      </x:c>
      <x:c r="R319" t="n">
        <x:v>0</x:v>
      </x:c>
    </x:row>
    <x:row r="320" spans="2:18" ht="12.75" customHeight="1" x14ac:dyDescent="0.2">
      <x:c r="C320" s="89"/>
      <x:c r="D320" s="89" t="s">
        <x:v>72</x:v>
      </x:c>
      <x:c r="E320" s="371" t="n">
        <x:v>17823216.4</x:v>
      </x:c>
      <x:c r="F320" s="90" t="n">
        <x:v>1523087.01</x:v>
      </x:c>
      <x:c r="G320" s="90" t="n">
        <x:v>848548.71</x:v>
      </x:c>
      <x:c r="H320" s="90" t="n">
        <x:v>462824.84</x:v>
      </x:c>
      <x:c r="I320" s="90" t="n">
        <x:v>2992961.48</x:v>
      </x:c>
      <x:c r="J320" s="90" t="n">
        <x:v>133872.67</x:v>
      </x:c>
      <x:c r="K320" s="90" t="n">
        <x:v>0</x:v>
      </x:c>
      <x:c r="L320" s="90" t="n">
        <x:v>965569.75</x:v>
      </x:c>
      <x:c r="M320" s="90" t="n">
        <x:v>960588.18</x:v>
      </x:c>
      <x:c r="N320" s="90" t="n">
        <x:v>5618487.4</x:v>
      </x:c>
      <x:c r="O320" s="90" t="n">
        <x:v>4104888.6</x:v>
      </x:c>
      <x:c r="P320" s="90" t="n">
        <x:v>212352.11</x:v>
      </x:c>
      <x:c r="Q320" s="90" t="n">
        <x:v>35.65</x:v>
      </x:c>
      <x:c r="R320" t="n">
        <x:v>0</x:v>
      </x:c>
    </x:row>
    <x:row r="321" spans="1:18" ht="12.75" customHeight="1" x14ac:dyDescent="0.2">
      <x:c r="C321" s="89"/>
      <x:c r="D321" s="89" t="s">
        <x:v>81</x:v>
      </x:c>
      <x:c r="E321" s="371" t="n">
        <x:v>-46587.5</x:v>
      </x:c>
      <x:c r="F321" s="90" t="n">
        <x:v>1483</x:v>
      </x:c>
      <x:c r="G321" s="90" t="n">
        <x:v>717.39</x:v>
      </x:c>
      <x:c r="H321" s="90" t="n">
        <x:v>339.69</x:v>
      </x:c>
      <x:c r="I321" s="90" t="n">
        <x:v>5293.47</x:v>
      </x:c>
      <x:c r="J321" s="90" t="n">
        <x:v>169.6</x:v>
      </x:c>
      <x:c r="K321" s="90" t="n">
        <x:v>0</x:v>
      </x:c>
      <x:c r="L321" s="90" t="n">
        <x:v>1488.2</x:v>
      </x:c>
      <x:c r="M321" s="90" t="n">
        <x:v>1776.19</x:v>
      </x:c>
      <x:c r="N321" s="90" t="n">
        <x:v>-62026.43</x:v>
      </x:c>
      <x:c r="O321" s="90" t="n">
        <x:v>3894.77</x:v>
      </x:c>
      <x:c r="P321" s="90" t="n">
        <x:v>276.56</x:v>
      </x:c>
      <x:c r="Q321" s="90" t="n">
        <x:v>0.06</x:v>
      </x:c>
      <x:c r="R321" t="n">
        <x:v>0</x:v>
      </x:c>
    </x:row>
    <x:row r="322" spans="1:18" ht="12.75" customHeight="1" x14ac:dyDescent="0.2">
      <x:c r="C322" s="89" t="s">
        <x:v>86</x:v>
      </x:c>
      <x:c r="D322" s="89" t="s">
        <x:v>70</x:v>
      </x:c>
      <x:c r="E322" s="371" t="n">
        <x:v>17776628.9</x:v>
      </x:c>
      <x:c r="F322" s="90" t="n">
        <x:v>1524570.01</x:v>
      </x:c>
      <x:c r="G322" s="90" t="n">
        <x:v>849266.1</x:v>
      </x:c>
      <x:c r="H322" s="90" t="n">
        <x:v>463164.53</x:v>
      </x:c>
      <x:c r="I322" s="90" t="n">
        <x:v>2998254.95</x:v>
      </x:c>
      <x:c r="J322" s="90" t="n">
        <x:v>134042.27</x:v>
      </x:c>
      <x:c r="K322" s="90" t="n">
        <x:v>0</x:v>
      </x:c>
      <x:c r="L322" s="90" t="n">
        <x:v>967057.95</x:v>
      </x:c>
      <x:c r="M322" s="90" t="n">
        <x:v>962364.37</x:v>
      </x:c>
      <x:c r="N322" s="90" t="n">
        <x:v>5556460.97</x:v>
      </x:c>
      <x:c r="O322" s="90" t="n">
        <x:v>4108783.37</x:v>
      </x:c>
      <x:c r="P322" s="90" t="n">
        <x:v>212628.67</x:v>
      </x:c>
      <x:c r="Q322" s="90" t="n">
        <x:v>35.71</x:v>
      </x:c>
      <x:c r="R322" t="n">
        <x:v>0</x:v>
      </x:c>
    </x:row>
    <x:row r="323" spans="1:18" ht="12.75" customHeight="1" x14ac:dyDescent="0.2">
      <x:c r="C323" s="89"/>
      <x:c r="D323" s="89" t="s">
        <x:v>72</x:v>
      </x:c>
      <x:c r="E323" s="371" t="n">
        <x:v>13787623.17</x:v>
      </x:c>
      <x:c r="F323" s="90" t="n">
        <x:v>1736916.2</x:v>
      </x:c>
      <x:c r="G323" s="90" t="n">
        <x:v>917147.14</x:v>
      </x:c>
      <x:c r="H323" s="90" t="n">
        <x:v>417543.06</x:v>
      </x:c>
      <x:c r="I323" s="90" t="n">
        <x:v>1703135.96</x:v>
      </x:c>
      <x:c r="J323" s="90" t="n">
        <x:v>49848.3</x:v>
      </x:c>
      <x:c r="K323" s="90" t="n">
        <x:v>0</x:v>
      </x:c>
      <x:c r="L323" s="90" t="n">
        <x:v>466832.57</x:v>
      </x:c>
      <x:c r="M323" s="90" t="n">
        <x:v>613137.32</x:v>
      </x:c>
      <x:c r="N323" s="90" t="n">
        <x:v>3103461.76</x:v>
      </x:c>
      <x:c r="O323" s="90" t="n">
        <x:v>4698151.27</x:v>
      </x:c>
      <x:c r="P323" s="90" t="n">
        <x:v>81479.96</x:v>
      </x:c>
      <x:c r="Q323" s="90" t="n">
        <x:v>-30.37</x:v>
      </x:c>
      <x:c r="R323" t="n">
        <x:v>0</x:v>
      </x:c>
    </x:row>
    <x:row r="324" spans="1:18" ht="12.75" customHeight="1" x14ac:dyDescent="0.2">
      <x:c r="C324" s="89"/>
      <x:c r="D324" s="89" t="s">
        <x:v>81</x:v>
      </x:c>
      <x:c r="E324" s="371" t="n">
        <x:v>-32280.94</x:v>
      </x:c>
      <x:c r="F324" s="90" t="n">
        <x:v>60.61</x:v>
      </x:c>
      <x:c r="G324" s="90" t="n">
        <x:v>33.97</x:v>
      </x:c>
      <x:c r="H324" s="90" t="n">
        <x:v>18.12</x:v>
      </x:c>
      <x:c r="I324" s="90" t="n">
        <x:v>181.51</x:v>
      </x:c>
      <x:c r="J324" s="90" t="n">
        <x:v>4.47</x:v>
      </x:c>
      <x:c r="K324" s="90" t="n">
        <x:v>0</x:v>
      </x:c>
      <x:c r="L324" s="90" t="n">
        <x:v>38.98</x:v>
      </x:c>
      <x:c r="M324" s="90" t="n">
        <x:v>56.44</x:v>
      </x:c>
      <x:c r="N324" s="90" t="n">
        <x:v>-32843.92</x:v>
      </x:c>
      <x:c r="O324" s="90" t="n">
        <x:v>161.6</x:v>
      </x:c>
      <x:c r="P324" s="90" t="n">
        <x:v>7.28</x:v>
      </x:c>
      <x:c r="Q324" s="90" t="n">
        <x:v>0</x:v>
      </x:c>
      <x:c r="R324" t="n">
        <x:v>0</x:v>
      </x:c>
    </x:row>
    <x:row r="325" spans="1:18" ht="12.75" customHeight="1" x14ac:dyDescent="0.2">
      <x:c r="A325" s="89"/>
      <x:c r="B325" s="89"/>
      <x:c r="C325" t="s">
        <x:v>87</x:v>
      </x:c>
      <x:c r="D325" t="s">
        <x:v>70</x:v>
      </x:c>
      <x:c r="E325" s="90" t="n">
        <x:v>13755342.23</x:v>
      </x:c>
      <x:c r="F325" s="90" t="n">
        <x:v>1736976.81</x:v>
      </x:c>
      <x:c r="G325" s="90" t="n">
        <x:v>917181.11</x:v>
      </x:c>
      <x:c r="H325" s="90" t="n">
        <x:v>417561.18</x:v>
      </x:c>
      <x:c r="I325" s="90" t="n">
        <x:v>1703317.47</x:v>
      </x:c>
      <x:c r="J325" s="90" t="n">
        <x:v>49852.77</x:v>
      </x:c>
      <x:c r="K325" s="90" t="n">
        <x:v>0</x:v>
      </x:c>
      <x:c r="L325" s="90" t="n">
        <x:v>466871.55</x:v>
      </x:c>
      <x:c r="M325" s="90" t="n">
        <x:v>613193.76</x:v>
      </x:c>
      <x:c r="N325" s="90" t="n">
        <x:v>3070617.84</x:v>
      </x:c>
      <x:c r="O325" s="90" t="n">
        <x:v>4698312.87</x:v>
      </x:c>
      <x:c r="P325" s="90" t="n">
        <x:v>81487.24</x:v>
      </x:c>
      <x:c r="Q325" s="90" t="n">
        <x:v>-30.37</x:v>
      </x:c>
      <x:c r="R325" t="n">
        <x:v>0</x:v>
      </x:c>
    </x:row>
    <x:row r="326" spans="1:18" s="94" customFormat="1" ht="12.75" customHeight="1" x14ac:dyDescent="0.2">
      <x:c r="B326" s="101" t="s">
        <x:v>119</x:v>
      </x:c>
      <x:c r="C326" s="101" t="s">
        <x:v>70</x:v>
      </x:c>
      <x:c r="E326" s="93" t="n">
        <x:v>33798706.97</x:v>
      </x:c>
      <x:c r="F326" s="93" t="n">
        <x:v>3414288.34</x:v>
      </x:c>
      <x:c r="G326" s="93" t="n">
        <x:v>1854126.13</x:v>
      </x:c>
      <x:c r="H326" s="93" t="n">
        <x:v>919021.33</x:v>
      </x:c>
      <x:c r="I326" s="93" t="n">
        <x:v>5255584.72</x:v>
      </x:c>
      <x:c r="J326" s="93" t="n">
        <x:v>198283.64</x:v>
      </x:c>
      <x:c r="K326" s="93" t="n">
        <x:v>0</x:v>
      </x:c>
      <x:c r="L326" s="93" t="n">
        <x:v>1581078.48</x:v>
      </x:c>
      <x:c r="M326" s="93" t="n">
        <x:v>1755343.15</x:v>
      </x:c>
      <x:c r="N326" s="93" t="n">
        <x:v>9281802.48</x:v>
      </x:c>
      <x:c r="O326" s="93" t="n">
        <x:v>9224428.86</x:v>
      </x:c>
      <x:c r="P326" s="93" t="n">
        <x:v>314744.57</x:v>
      </x:c>
      <x:c r="Q326" s="93" t="n">
        <x:v>5.27</x:v>
      </x:c>
      <x:c r="R326" s="94" t="n">
        <x:v>0</x:v>
      </x:c>
    </x:row>
    <x:row r="327" spans="1:18" s="226" customFormat="1" ht="12.75" customHeight="1" x14ac:dyDescent="0.2">
      <x:c r="A327" s="98" t="s">
        <x:v>78</x:v>
      </x:c>
      <x:c r="B327" s="98" t="s">
        <x:v>70</x:v>
      </x:c>
      <x:c r="E327" s="100" t="n">
        <x:v>173171032.71</x:v>
      </x:c>
      <x:c r="F327" s="100" t="n">
        <x:v>16099105.31</x:v>
      </x:c>
      <x:c r="G327" s="100" t="n">
        <x:v>9061043.19</x:v>
      </x:c>
      <x:c r="H327" s="100" t="n">
        <x:v>2852946.06</x:v>
      </x:c>
      <x:c r="I327" s="100" t="n">
        <x:v>32340245.82</x:v>
      </x:c>
      <x:c r="J327" s="100" t="n">
        <x:v>1124253.03</x:v>
      </x:c>
      <x:c r="K327" s="100" t="n">
        <x:v>0</x:v>
      </x:c>
      <x:c r="L327" s="100" t="n">
        <x:v>9787993.93</x:v>
      </x:c>
      <x:c r="M327" s="100" t="n">
        <x:v>10109598.3</x:v>
      </x:c>
      <x:c r="N327" s="100" t="n">
        <x:v>46326513.08</x:v>
      </x:c>
      <x:c r="O327" s="100" t="n">
        <x:v>43710041.66</x:v>
      </x:c>
      <x:c r="P327" s="100" t="n">
        <x:v>1759287.77</x:v>
      </x:c>
      <x:c r="Q327" s="100" t="n">
        <x:v>4.56</x:v>
      </x:c>
      <x:c r="R327" s="226" t="n">
        <x:v>0</x:v>
      </x:c>
    </x:row>
    <x:row r="328" spans="1:18" ht="12.75" customHeight="1" x14ac:dyDescent="0.2">
      <x:c r="B328" s="89"/>
      <x:c r="C328" s="89"/>
      <x:c r="D328" t="s">
        <x:v>73</x:v>
      </x:c>
      <x:c r="E328" s="371" t="n">
        <x:v>-15136443.21</x:v>
      </x:c>
      <x:c r="F328" s="90" t="n">
        <x:v>-369511.1</x:v>
      </x:c>
      <x:c r="G328" s="90" t="n">
        <x:v>-227710.81</x:v>
      </x:c>
      <x:c r="H328" s="90" t="n">
        <x:v>-126803.1</x:v>
      </x:c>
      <x:c r="I328" s="90" t="n">
        <x:v>-4033648.5</x:v>
      </x:c>
      <x:c r="J328" s="90" t="n">
        <x:v>-147379.69</x:v>
      </x:c>
      <x:c r="K328" s="90" t="n">
        <x:v>0</x:v>
      </x:c>
      <x:c r="L328" s="90" t="n">
        <x:v>-1289953.2</x:v>
      </x:c>
      <x:c r="M328" s="90" t="n">
        <x:v>-1256717.02</x:v>
      </x:c>
      <x:c r="N328" s="90" t="n">
        <x:v>-6507002.75</x:v>
      </x:c>
      <x:c r="O328" s="90" t="n">
        <x:v>-933290.3</x:v>
      </x:c>
      <x:c r="P328" s="90" t="n">
        <x:v>-244426.74</x:v>
      </x:c>
      <x:c r="Q328" s="90" t="n">
        <x:v>0</x:v>
      </x:c>
      <x:c r="R328" t="n">
        <x:v>0</x:v>
      </x:c>
    </x:row>
    <x:row r="329" spans="1:18" ht="12.75" customHeight="1" x14ac:dyDescent="0.2">
      <x:c r="B329" s="89"/>
      <x:c r="C329" s="89" t="s">
        <x:v>156</x:v>
      </x:c>
      <x:c r="D329" t="s">
        <x:v>70</x:v>
      </x:c>
      <x:c r="E329" s="371" t="n">
        <x:v>-15136443.21</x:v>
      </x:c>
      <x:c r="F329" s="90" t="n">
        <x:v>-369511.1</x:v>
      </x:c>
      <x:c r="G329" s="90" t="n">
        <x:v>-227710.81</x:v>
      </x:c>
      <x:c r="H329" s="90" t="n">
        <x:v>-126803.1</x:v>
      </x:c>
      <x:c r="I329" s="90" t="n">
        <x:v>-4033648.5</x:v>
      </x:c>
      <x:c r="J329" s="90" t="n">
        <x:v>-147379.69</x:v>
      </x:c>
      <x:c r="K329" s="90" t="n">
        <x:v>0</x:v>
      </x:c>
      <x:c r="L329" s="90" t="n">
        <x:v>-1289953.2</x:v>
      </x:c>
      <x:c r="M329" s="90" t="n">
        <x:v>-1256717.02</x:v>
      </x:c>
      <x:c r="N329" s="90" t="n">
        <x:v>-6507002.75</x:v>
      </x:c>
      <x:c r="O329" s="90" t="n">
        <x:v>-933290.3</x:v>
      </x:c>
      <x:c r="P329" s="90" t="n">
        <x:v>-244426.74</x:v>
      </x:c>
      <x:c r="Q329" s="90" t="n">
        <x:v>0</x:v>
      </x:c>
      <x:c r="R329" t="n">
        <x:v>0</x:v>
      </x:c>
    </x:row>
    <x:row r="330" spans="1:18" s="286" customFormat="1" ht="12.75" customHeight="1" x14ac:dyDescent="0.2">
      <x:c r="B330" s="229" t="s">
        <x:v>155</x:v>
      </x:c>
      <x:c r="C330" s="229" t="s">
        <x:v>70</x:v>
      </x:c>
      <x:c r="E330" s="752" t="n">
        <x:v>-15136443.21</x:v>
      </x:c>
      <x:c r="F330" s="230" t="n">
        <x:v>-369511.1</x:v>
      </x:c>
      <x:c r="G330" s="230" t="n">
        <x:v>-227710.81</x:v>
      </x:c>
      <x:c r="H330" s="230" t="n">
        <x:v>-126803.1</x:v>
      </x:c>
      <x:c r="I330" s="230" t="n">
        <x:v>-4033648.5</x:v>
      </x:c>
      <x:c r="J330" s="230" t="n">
        <x:v>-147379.69</x:v>
      </x:c>
      <x:c r="K330" s="230" t="n">
        <x:v>0</x:v>
      </x:c>
      <x:c r="L330" s="230" t="n">
        <x:v>-1289953.2</x:v>
      </x:c>
      <x:c r="M330" s="230" t="n">
        <x:v>-1256717.02</x:v>
      </x:c>
      <x:c r="N330" s="230" t="n">
        <x:v>-6507002.75</x:v>
      </x:c>
      <x:c r="O330" s="230" t="n">
        <x:v>-933290.3</x:v>
      </x:c>
      <x:c r="P330" s="230" t="n">
        <x:v>-244426.74</x:v>
      </x:c>
      <x:c r="Q330" s="230" t="n">
        <x:v>0</x:v>
      </x:c>
      <x:c r="R330" s="286" t="n">
        <x:v>0</x:v>
      </x:c>
    </x:row>
    <x:row r="331" spans="1:18" ht="12.75" customHeight="1" x14ac:dyDescent="0.2">
      <x:c r="B331" s="89"/>
      <x:c r="C331" s="89"/>
      <x:c r="D331" t="s">
        <x:v>73</x:v>
      </x:c>
      <x:c r="E331" s="371" t="n">
        <x:v>-1043741.98</x:v>
      </x:c>
      <x:c r="F331" s="90" t="n">
        <x:v>-14192.02</x:v>
      </x:c>
      <x:c r="G331" s="90" t="n">
        <x:v>-10774.43</x:v>
      </x:c>
      <x:c r="H331" s="90" t="n">
        <x:v>-10859.18</x:v>
      </x:c>
      <x:c r="I331" s="90" t="n">
        <x:v>-330949.89</x:v>
      </x:c>
      <x:c r="J331" s="90" t="n">
        <x:v>-7903.04</x:v>
      </x:c>
      <x:c r="K331" s="90" t="n">
        <x:v>0</x:v>
      </x:c>
      <x:c r="L331" s="90" t="n">
        <x:v>-70303.88</x:v>
      </x:c>
      <x:c r="M331" s="90" t="n">
        <x:v>-94909.58</x:v>
      </x:c>
      <x:c r="N331" s="90" t="n">
        <x:v>-462724.97</x:v>
      </x:c>
      <x:c r="O331" s="90" t="n">
        <x:v>-28052.96</x:v>
      </x:c>
      <x:c r="P331" s="90" t="n">
        <x:v>-13072.03</x:v>
      </x:c>
      <x:c r="Q331" s="90" t="n">
        <x:v>0</x:v>
      </x:c>
      <x:c r="R331" t="n">
        <x:v>0</x:v>
      </x:c>
    </x:row>
    <x:row r="332" spans="1:18" ht="12.75" customHeight="1" x14ac:dyDescent="0.2">
      <x:c r="B332" s="89"/>
      <x:c r="C332" s="89" t="s">
        <x:v>115</x:v>
      </x:c>
      <x:c r="D332" t="s">
        <x:v>70</x:v>
      </x:c>
      <x:c r="E332" s="371" t="n">
        <x:v>-1043741.98</x:v>
      </x:c>
      <x:c r="F332" s="90" t="n">
        <x:v>-14192.02</x:v>
      </x:c>
      <x:c r="G332" s="90" t="n">
        <x:v>-10774.43</x:v>
      </x:c>
      <x:c r="H332" s="90" t="n">
        <x:v>-10859.18</x:v>
      </x:c>
      <x:c r="I332" s="90" t="n">
        <x:v>-330949.89</x:v>
      </x:c>
      <x:c r="J332" s="90" t="n">
        <x:v>-7903.04</x:v>
      </x:c>
      <x:c r="K332" s="90" t="n">
        <x:v>0</x:v>
      </x:c>
      <x:c r="L332" s="90" t="n">
        <x:v>-70303.88</x:v>
      </x:c>
      <x:c r="M332" s="90" t="n">
        <x:v>-94909.58</x:v>
      </x:c>
      <x:c r="N332" s="90" t="n">
        <x:v>-462724.97</x:v>
      </x:c>
      <x:c r="O332" s="90" t="n">
        <x:v>-28052.96</x:v>
      </x:c>
      <x:c r="P332" s="90" t="n">
        <x:v>-13072.03</x:v>
      </x:c>
      <x:c r="Q332" s="90" t="n">
        <x:v>0</x:v>
      </x:c>
      <x:c r="R332" t="n">
        <x:v>0</x:v>
      </x:c>
    </x:row>
    <x:row r="333" spans="1:18" ht="12.75" customHeight="1" x14ac:dyDescent="0.2">
      <x:c r="B333" s="89"/>
      <x:c r="C333" s="89"/>
      <x:c r="D333" t="s">
        <x:v>73</x:v>
      </x:c>
      <x:c r="E333" s="371" t="n">
        <x:v>409790.29</x:v>
      </x:c>
      <x:c r="F333" s="90" t="n">
        <x:v>71510.58</x:v>
      </x:c>
      <x:c r="G333" s="90" t="n">
        <x:v>40399.27</x:v>
      </x:c>
      <x:c r="H333" s="90" t="n">
        <x:v>20582.1</x:v>
      </x:c>
      <x:c r="I333" s="90" t="n">
        <x:v>26016.28</x:v>
      </x:c>
      <x:c r="J333" s="90" t="n">
        <x:v>512.45</x:v>
      </x:c>
      <x:c r="K333" s="90" t="n">
        <x:v>0</x:v>
      </x:c>
      <x:c r="L333" s="90" t="n">
        <x:v>4821.18</x:v>
      </x:c>
      <x:c r="M333" s="90" t="n">
        <x:v>7956.37</x:v>
      </x:c>
      <x:c r="N333" s="90" t="n">
        <x:v>47274.38</x:v>
      </x:c>
      <x:c r="O333" s="90" t="n">
        <x:v>190253.72</x:v>
      </x:c>
      <x:c r="P333" s="90" t="n">
        <x:v>463.96</x:v>
      </x:c>
      <x:c r="Q333" s="90" t="n">
        <x:v>0</x:v>
      </x:c>
      <x:c r="R333" t="n">
        <x:v>0</x:v>
      </x:c>
    </x:row>
    <x:row r="334" spans="1:18" ht="12.75" customHeight="1" x14ac:dyDescent="0.2">
      <x:c r="B334" s="89"/>
      <x:c r="C334" s="89" t="s">
        <x:v>116</x:v>
      </x:c>
      <x:c r="D334" t="s">
        <x:v>70</x:v>
      </x:c>
      <x:c r="E334" s="371" t="n">
        <x:v>409790.29</x:v>
      </x:c>
      <x:c r="F334" s="90" t="n">
        <x:v>71510.58</x:v>
      </x:c>
      <x:c r="G334" s="90" t="n">
        <x:v>40399.27</x:v>
      </x:c>
      <x:c r="H334" s="90" t="n">
        <x:v>20582.1</x:v>
      </x:c>
      <x:c r="I334" s="90" t="n">
        <x:v>26016.28</x:v>
      </x:c>
      <x:c r="J334" s="90" t="n">
        <x:v>512.45</x:v>
      </x:c>
      <x:c r="K334" s="90" t="n">
        <x:v>0</x:v>
      </x:c>
      <x:c r="L334" s="90" t="n">
        <x:v>4821.18</x:v>
      </x:c>
      <x:c r="M334" s="90" t="n">
        <x:v>7956.37</x:v>
      </x:c>
      <x:c r="N334" s="90" t="n">
        <x:v>47274.38</x:v>
      </x:c>
      <x:c r="O334" s="90" t="n">
        <x:v>190253.72</x:v>
      </x:c>
      <x:c r="P334" s="90" t="n">
        <x:v>463.96</x:v>
      </x:c>
      <x:c r="Q334" s="90" t="n">
        <x:v>0</x:v>
      </x:c>
      <x:c r="R334" t="n">
        <x:v>0</x:v>
      </x:c>
    </x:row>
    <x:row r="335" spans="1:18" ht="12.75" customHeight="1" x14ac:dyDescent="0.2">
      <x:c r="B335" s="89"/>
      <x:c r="C335" s="89"/>
      <x:c r="D335" t="s">
        <x:v>73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1:18" ht="12.75" customHeight="1" x14ac:dyDescent="0.2">
      <x:c r="B336" s="89"/>
      <x:c r="C336" s="773">
        <x:v>3</x:v>
      </x:c>
      <x:c r="D336" t="s">
        <x:v>70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1:18" ht="12.75" customHeight="1" x14ac:dyDescent="0.2">
      <x:c r="B337" s="89"/>
      <x:c r="C337" s="89"/>
      <x:c r="D337" t="s">
        <x:v>73</x:v>
      </x:c>
      <x:c r="E337" s="371" t="n">
        <x:v>-1982195.66</x:v>
      </x:c>
      <x:c r="F337" s="90" t="n">
        <x:v>-22977.42</x:v>
      </x:c>
      <x:c r="G337" s="90" t="n">
        <x:v>-17204.09</x:v>
      </x:c>
      <x:c r="H337" s="90" t="n">
        <x:v>-9704.72</x:v>
      </x:c>
      <x:c r="I337" s="90" t="n">
        <x:v>-625614.14</x:v>
      </x:c>
      <x:c r="J337" s="90" t="n">
        <x:v>-19604.24</x:v>
      </x:c>
      <x:c r="K337" s="90" t="n">
        <x:v>0</x:v>
      </x:c>
      <x:c r="L337" s="90" t="n">
        <x:v>-164286.15</x:v>
      </x:c>
      <x:c r="M337" s="90" t="n">
        <x:v>-182986.96</x:v>
      </x:c>
      <x:c r="N337" s="90" t="n">
        <x:v>-899171.51</x:v>
      </x:c>
      <x:c r="O337" s="90" t="n">
        <x:v>-7932.64</x:v>
      </x:c>
      <x:c r="P337" s="90" t="n">
        <x:v>-32713.79</x:v>
      </x:c>
      <x:c r="Q337" s="90" t="n">
        <x:v>0</x:v>
      </x:c>
      <x:c r="R337" t="n">
        <x:v>0</x:v>
      </x:c>
    </x:row>
    <x:row r="338" spans="1:18" ht="12.75" customHeight="1" x14ac:dyDescent="0.2">
      <x:c r="B338" s="89"/>
      <x:c r="C338" s="89" t="s">
        <x:v>118</x:v>
      </x:c>
      <x:c r="D338" t="s">
        <x:v>70</x:v>
      </x:c>
      <x:c r="E338" s="371" t="n">
        <x:v>-1982195.66</x:v>
      </x:c>
      <x:c r="F338" s="90" t="n">
        <x:v>-22977.42</x:v>
      </x:c>
      <x:c r="G338" s="90" t="n">
        <x:v>-17204.09</x:v>
      </x:c>
      <x:c r="H338" s="90" t="n">
        <x:v>-9704.72</x:v>
      </x:c>
      <x:c r="I338" s="90" t="n">
        <x:v>-625614.14</x:v>
      </x:c>
      <x:c r="J338" s="90" t="n">
        <x:v>-19604.24</x:v>
      </x:c>
      <x:c r="K338" s="90" t="n">
        <x:v>0</x:v>
      </x:c>
      <x:c r="L338" s="90" t="n">
        <x:v>-164286.15</x:v>
      </x:c>
      <x:c r="M338" s="90" t="n">
        <x:v>-182986.96</x:v>
      </x:c>
      <x:c r="N338" s="90" t="n">
        <x:v>-899171.51</x:v>
      </x:c>
      <x:c r="O338" s="90" t="n">
        <x:v>-7932.64</x:v>
      </x:c>
      <x:c r="P338" s="90" t="n">
        <x:v>-32713.79</x:v>
      </x:c>
      <x:c r="Q338" s="90" t="n">
        <x:v>0</x:v>
      </x:c>
      <x:c r="R338" t="n">
        <x:v>0</x:v>
      </x:c>
    </x:row>
    <x:row r="339" spans="1:18" ht="12.75" customHeight="1" x14ac:dyDescent="0.2">
      <x:c r="B339" s="89"/>
      <x:c r="C339" s="89"/>
      <x:c r="D339" t="s">
        <x:v>73</x:v>
      </x:c>
      <x:c r="E339" s="371" t="n">
        <x:v>5663564.75</x:v>
      </x:c>
      <x:c r="F339" s="90" t="n">
        <x:v>1321214.35</x:v>
      </x:c>
      <x:c r="G339" s="90" t="n">
        <x:v>747616.79</x:v>
      </x:c>
      <x:c r="H339" s="90" t="n">
        <x:v>398940.3</x:v>
      </x:c>
      <x:c r="I339" s="90" t="n">
        <x:v>17881.76</x:v>
      </x:c>
      <x:c r="J339" s="90" t="n">
        <x:v>439.81</x:v>
      </x:c>
      <x:c r="K339" s="90" t="n">
        <x:v>0</x:v>
      </x:c>
      <x:c r="L339" s="90" t="n">
        <x:v>3857.99</x:v>
      </x:c>
      <x:c r="M339" s="90" t="n">
        <x:v>5654.13</x:v>
      </x:c>
      <x:c r="N339" s="90" t="n">
        <x:v>28054.76</x:v>
      </x:c>
      <x:c r="O339" s="90" t="n">
        <x:v>3139187.26</x:v>
      </x:c>
      <x:c r="P339" s="90" t="n">
        <x:v>717.6</x:v>
      </x:c>
      <x:c r="Q339" s="90" t="n">
        <x:v>0</x:v>
      </x:c>
      <x:c r="R339" t="n">
        <x:v>0</x:v>
      </x:c>
    </x:row>
    <x:row r="340" spans="1:18" ht="12.75" customHeight="1" x14ac:dyDescent="0.2">
      <x:c r="B340" s="89"/>
      <x:c r="C340" s="773">
        <x:v>9</x:v>
      </x:c>
      <x:c r="D340" t="s">
        <x:v>70</x:v>
      </x:c>
      <x:c r="E340" s="371" t="n">
        <x:v>5663564.75</x:v>
      </x:c>
      <x:c r="F340" s="90" t="n">
        <x:v>1321214.35</x:v>
      </x:c>
      <x:c r="G340" s="90" t="n">
        <x:v>747616.79</x:v>
      </x:c>
      <x:c r="H340" s="90" t="n">
        <x:v>398940.3</x:v>
      </x:c>
      <x:c r="I340" s="90" t="n">
        <x:v>17881.76</x:v>
      </x:c>
      <x:c r="J340" s="90" t="n">
        <x:v>439.81</x:v>
      </x:c>
      <x:c r="K340" s="90" t="n">
        <x:v>0</x:v>
      </x:c>
      <x:c r="L340" s="90" t="n">
        <x:v>3857.99</x:v>
      </x:c>
      <x:c r="M340" s="90" t="n">
        <x:v>5654.13</x:v>
      </x:c>
      <x:c r="N340" s="90" t="n">
        <x:v>28054.76</x:v>
      </x:c>
      <x:c r="O340" s="90" t="n">
        <x:v>3139187.26</x:v>
      </x:c>
      <x:c r="P340" s="90" t="n">
        <x:v>717.6</x:v>
      </x:c>
      <x:c r="Q340" s="90" t="n">
        <x:v>0</x:v>
      </x:c>
      <x:c r="R340" t="n">
        <x:v>0</x:v>
      </x:c>
    </x:row>
    <x:row r="341" spans="1:18" s="224" customFormat="1" ht="12.75" customHeight="1" x14ac:dyDescent="0.2">
      <x:c r="B341" s="224" t="s">
        <x:v>120</x:v>
      </x:c>
      <x:c r="C341" s="224" t="s">
        <x:v>70</x:v>
      </x:c>
      <x:c r="D341" s="223"/>
      <x:c r="E341" s="225" t="n">
        <x:v>3047417.4</x:v>
      </x:c>
      <x:c r="F341" s="225" t="n">
        <x:v>1355555.49</x:v>
      </x:c>
      <x:c r="G341" s="225" t="n">
        <x:v>760037.54</x:v>
      </x:c>
      <x:c r="H341" s="225" t="n">
        <x:v>398958.5</x:v>
      </x:c>
      <x:c r="I341" s="225" t="n">
        <x:v>-912665.99</x:v>
      </x:c>
      <x:c r="J341" s="225" t="n">
        <x:v>-26555.02</x:v>
      </x:c>
      <x:c r="K341" s="225" t="n">
        <x:v>0</x:v>
      </x:c>
      <x:c r="L341" s="225" t="n">
        <x:v>-225910.86</x:v>
      </x:c>
      <x:c r="M341" s="225" t="n">
        <x:v>-264286.04</x:v>
      </x:c>
      <x:c r="N341" s="225" t="n">
        <x:v>-1286567.34</x:v>
      </x:c>
      <x:c r="O341" s="225" t="n">
        <x:v>3293455.38</x:v>
      </x:c>
      <x:c r="P341" s="225" t="n">
        <x:v>-44604.26</x:v>
      </x:c>
      <x:c r="Q341" s="225" t="n">
        <x:v>0</x:v>
      </x:c>
      <x:c r="R341" s="224" t="n">
        <x:v>0</x:v>
      </x:c>
    </x:row>
    <x:row r="342" spans="1:18" ht="12.75" customHeight="1" x14ac:dyDescent="0.2">
      <x:c r="D342" s="89" t="s">
        <x:v>73</x:v>
      </x:c>
      <x:c r="E342" s="371" t="n">
        <x:v>9692.06</x:v>
      </x:c>
      <x:c r="F342" s="90" t="n">
        <x:v>18576</x:v>
      </x:c>
      <x:c r="G342" s="90" t="n">
        <x:v>10518.42</x:v>
      </x:c>
      <x:c r="H342" s="90" t="n">
        <x:v>4573.71</x:v>
      </x:c>
      <x:c r="I342" s="90" t="n">
        <x:v>-24440.48</x:v>
      </x:c>
      <x:c r="J342" s="90" t="n">
        <x:v>-562.32</x:v>
      </x:c>
      <x:c r="K342" s="90" t="n">
        <x:v>0</x:v>
      </x:c>
      <x:c r="L342" s="90" t="n">
        <x:v>-4141.51</x:v>
      </x:c>
      <x:c r="M342" s="90" t="n">
        <x:v>-6583.19</x:v>
      </x:c>
      <x:c r="N342" s="90" t="n">
        <x:v>-37234</x:v>
      </x:c>
      <x:c r="O342" s="90" t="n">
        <x:v>50301.63</x:v>
      </x:c>
      <x:c r="P342" s="90" t="n">
        <x:v>-1316.2</x:v>
      </x:c>
      <x:c r="Q342" s="90" t="n">
        <x:v>0</x:v>
      </x:c>
      <x:c r="R342" t="n">
        <x:v>0</x:v>
      </x:c>
    </x:row>
    <x:row r="343" spans="1:18" ht="12.75" customHeight="1" x14ac:dyDescent="0.2">
      <x:c r="C343" t="s">
        <x:v>82</x:v>
      </x:c>
      <x:c r="D343" s="89" t="s">
        <x:v>70</x:v>
      </x:c>
      <x:c r="E343" s="371" t="n">
        <x:v>9692.06</x:v>
      </x:c>
      <x:c r="F343" s="90" t="n">
        <x:v>18576</x:v>
      </x:c>
      <x:c r="G343" s="90" t="n">
        <x:v>10518.42</x:v>
      </x:c>
      <x:c r="H343" s="90" t="n">
        <x:v>4573.71</x:v>
      </x:c>
      <x:c r="I343" s="90" t="n">
        <x:v>-24440.48</x:v>
      </x:c>
      <x:c r="J343" s="90" t="n">
        <x:v>-562.32</x:v>
      </x:c>
      <x:c r="K343" s="90" t="n">
        <x:v>0</x:v>
      </x:c>
      <x:c r="L343" s="90" t="n">
        <x:v>-4141.51</x:v>
      </x:c>
      <x:c r="M343" s="90" t="n">
        <x:v>-6583.19</x:v>
      </x:c>
      <x:c r="N343" s="90" t="n">
        <x:v>-37234</x:v>
      </x:c>
      <x:c r="O343" s="90" t="n">
        <x:v>50301.63</x:v>
      </x:c>
      <x:c r="P343" s="90" t="n">
        <x:v>-1316.2</x:v>
      </x:c>
      <x:c r="Q343" s="90" t="n">
        <x:v>0</x:v>
      </x:c>
      <x:c r="R343" t="n">
        <x:v>0</x:v>
      </x:c>
    </x:row>
    <x:row r="344" spans="1:18" ht="12.75" customHeight="1" x14ac:dyDescent="0.2">
      <x:c r="D344" s="89" t="s">
        <x:v>73</x:v>
      </x:c>
      <x:c r="E344" s="371" t="n">
        <x:v>-2115945.87</x:v>
      </x:c>
      <x:c r="F344" s="90" t="n">
        <x:v>-122058.6</x:v>
      </x:c>
      <x:c r="G344" s="90" t="n">
        <x:v>-70601.09</x:v>
      </x:c>
      <x:c r="H344" s="90" t="n">
        <x:v>-36379.54</x:v>
      </x:c>
      <x:c r="I344" s="90" t="n">
        <x:v>-755087.5</x:v>
      </x:c>
      <x:c r="J344" s="90" t="n">
        <x:v>-27028.55</x:v>
      </x:c>
      <x:c r="K344" s="90" t="n">
        <x:v>0</x:v>
      </x:c>
      <x:c r="L344" s="90" t="n">
        <x:v>-232649.91</x:v>
      </x:c>
      <x:c r="M344" s="90" t="n">
        <x:v>-236476.23</x:v>
      </x:c>
      <x:c r="N344" s="90" t="n">
        <x:v>-1214265.58</x:v>
      </x:c>
      <x:c r="O344" s="90" t="n">
        <x:v>622705.67</x:v>
      </x:c>
      <x:c r="P344" s="90" t="n">
        <x:v>-44104.54</x:v>
      </x:c>
      <x:c r="Q344" s="90" t="n">
        <x:v>0</x:v>
      </x:c>
      <x:c r="R344" t="n">
        <x:v>0</x:v>
      </x:c>
    </x:row>
    <x:row r="345" spans="1:18" ht="12.75" customHeight="1" x14ac:dyDescent="0.2">
      <x:c r="C345" t="s">
        <x:v>86</x:v>
      </x:c>
      <x:c r="D345" s="89" t="s">
        <x:v>70</x:v>
      </x:c>
      <x:c r="E345" s="371" t="n">
        <x:v>-2115945.87</x:v>
      </x:c>
      <x:c r="F345" s="90" t="n">
        <x:v>-122058.6</x:v>
      </x:c>
      <x:c r="G345" s="90" t="n">
        <x:v>-70601.09</x:v>
      </x:c>
      <x:c r="H345" s="90" t="n">
        <x:v>-36379.54</x:v>
      </x:c>
      <x:c r="I345" s="90" t="n">
        <x:v>-755087.5</x:v>
      </x:c>
      <x:c r="J345" s="90" t="n">
        <x:v>-27028.55</x:v>
      </x:c>
      <x:c r="K345" s="90" t="n">
        <x:v>0</x:v>
      </x:c>
      <x:c r="L345" s="90" t="n">
        <x:v>-232649.91</x:v>
      </x:c>
      <x:c r="M345" s="90" t="n">
        <x:v>-236476.23</x:v>
      </x:c>
      <x:c r="N345" s="90" t="n">
        <x:v>-1214265.58</x:v>
      </x:c>
      <x:c r="O345" s="90" t="n">
        <x:v>622705.67</x:v>
      </x:c>
      <x:c r="P345" s="90" t="n">
        <x:v>-44104.54</x:v>
      </x:c>
      <x:c r="Q345" s="90" t="n">
        <x:v>0</x:v>
      </x:c>
      <x:c r="R345" t="n">
        <x:v>0</x:v>
      </x:c>
    </x:row>
    <x:row r="346" spans="1:18" ht="12.75" customHeight="1" x14ac:dyDescent="0.2">
      <x:c r="C346" s="89"/>
      <x:c r="D346" s="89" t="s">
        <x:v>73</x:v>
      </x:c>
      <x:c r="E346" s="90" t="n">
        <x:v>2486196.64</x:v>
      </x:c>
      <x:c r="F346" s="90" t="n">
        <x:v>154533.22</x:v>
      </x:c>
      <x:c r="G346" s="90" t="n">
        <x:v>85945.77</x:v>
      </x:c>
      <x:c r="H346" s="90" t="n">
        <x:v>39304.26</x:v>
      </x:c>
      <x:c r="I346" s="90" t="n">
        <x:v>304865</x:v>
      </x:c>
      <x:c r="J346" s="90" t="n">
        <x:v>11493.68</x:v>
      </x:c>
      <x:c r="K346" s="90" t="n">
        <x:v>0</x:v>
      </x:c>
      <x:c r="L346" s="90" t="n">
        <x:v>105978.94</x:v>
      </x:c>
      <x:c r="M346" s="90" t="n">
        <x:v>138622.16</x:v>
      </x:c>
      <x:c r="N346" s="90" t="n">
        <x:v>699474.3</x:v>
      </x:c>
      <x:c r="O346" s="90" t="n">
        <x:v>927281.31</x:v>
      </x:c>
      <x:c r="P346" s="90" t="n">
        <x:v>18698</x:v>
      </x:c>
      <x:c r="Q346" s="90" t="n">
        <x:v>0</x:v>
      </x:c>
      <x:c r="R346" t="n">
        <x:v>0</x:v>
      </x:c>
    </x:row>
    <x:row r="347" spans="1:18" ht="12.75" customHeight="1" x14ac:dyDescent="0.2">
      <x:c r="B347" s="89"/>
      <x:c r="C347" s="89" t="s">
        <x:v>87</x:v>
      </x:c>
      <x:c r="D347" t="s">
        <x:v>70</x:v>
      </x:c>
      <x:c r="E347" s="90" t="n">
        <x:v>2486196.64</x:v>
      </x:c>
      <x:c r="F347" s="90" t="n">
        <x:v>154533.22</x:v>
      </x:c>
      <x:c r="G347" s="90" t="n">
        <x:v>85945.77</x:v>
      </x:c>
      <x:c r="H347" s="90" t="n">
        <x:v>39304.26</x:v>
      </x:c>
      <x:c r="I347" s="90" t="n">
        <x:v>304865</x:v>
      </x:c>
      <x:c r="J347" s="90" t="n">
        <x:v>11493.68</x:v>
      </x:c>
      <x:c r="K347" s="90" t="n">
        <x:v>0</x:v>
      </x:c>
      <x:c r="L347" s="90" t="n">
        <x:v>105978.94</x:v>
      </x:c>
      <x:c r="M347" s="90" t="n">
        <x:v>138622.16</x:v>
      </x:c>
      <x:c r="N347" s="90" t="n">
        <x:v>699474.3</x:v>
      </x:c>
      <x:c r="O347" s="90" t="n">
        <x:v>927281.31</x:v>
      </x:c>
      <x:c r="P347" s="90" t="n">
        <x:v>18698</x:v>
      </x:c>
      <x:c r="Q347" s="90" t="n">
        <x:v>0</x:v>
      </x:c>
      <x:c r="R347" t="n">
        <x:v>0</x:v>
      </x:c>
    </x:row>
    <x:row r="348" spans="1:18" s="94" customFormat="1" ht="12.75" customHeight="1" x14ac:dyDescent="0.2">
      <x:c r="B348" s="101" t="s">
        <x:v>119</x:v>
      </x:c>
      <x:c r="C348" s="101" t="s">
        <x:v>70</x:v>
      </x:c>
      <x:c r="E348" s="93" t="n">
        <x:v>379942.83</x:v>
      </x:c>
      <x:c r="F348" s="93" t="n">
        <x:v>51050.62</x:v>
      </x:c>
      <x:c r="G348" s="93" t="n">
        <x:v>25863.1</x:v>
      </x:c>
      <x:c r="H348" s="93" t="n">
        <x:v>7498.43</x:v>
      </x:c>
      <x:c r="I348" s="93" t="n">
        <x:v>-474662.98</x:v>
      </x:c>
      <x:c r="J348" s="93" t="n">
        <x:v>-16097.19</x:v>
      </x:c>
      <x:c r="K348" s="93" t="n">
        <x:v>0</x:v>
      </x:c>
      <x:c r="L348" s="93" t="n">
        <x:v>-130812.48</x:v>
      </x:c>
      <x:c r="M348" s="93" t="n">
        <x:v>-104437.26</x:v>
      </x:c>
      <x:c r="N348" s="93" t="n">
        <x:v>-552025.28</x:v>
      </x:c>
      <x:c r="O348" s="93" t="n">
        <x:v>1600288.61</x:v>
      </x:c>
      <x:c r="P348" s="93" t="n">
        <x:v>-26722.74</x:v>
      </x:c>
      <x:c r="Q348" s="93" t="n">
        <x:v>0</x:v>
      </x:c>
      <x:c r="R348" s="94" t="n">
        <x:v>0</x:v>
      </x:c>
    </x:row>
    <x:row r="349" spans="1:18" s="226" customFormat="1" ht="12.75" customHeight="1" x14ac:dyDescent="0.2">
      <x:c r="A349" s="98" t="s">
        <x:v>79</x:v>
      </x:c>
      <x:c r="B349" s="98" t="s">
        <x:v>70</x:v>
      </x:c>
      <x:c r="E349" s="100" t="n">
        <x:v>-11709082.98</x:v>
      </x:c>
      <x:c r="F349" s="100" t="n">
        <x:v>1037095.01</x:v>
      </x:c>
      <x:c r="G349" s="100" t="n">
        <x:v>558189.83</x:v>
      </x:c>
      <x:c r="H349" s="100" t="n">
        <x:v>279653.83</x:v>
      </x:c>
      <x:c r="I349" s="100" t="n">
        <x:v>-5420977.47</x:v>
      </x:c>
      <x:c r="J349" s="100" t="n">
        <x:v>-190031.9</x:v>
      </x:c>
      <x:c r="K349" s="100" t="n">
        <x:v>0</x:v>
      </x:c>
      <x:c r="L349" s="100" t="n">
        <x:v>-1646676.54</x:v>
      </x:c>
      <x:c r="M349" s="100" t="n">
        <x:v>-1625440.32</x:v>
      </x:c>
      <x:c r="N349" s="100" t="n">
        <x:v>-8345595.37</x:v>
      </x:c>
      <x:c r="O349" s="100" t="n">
        <x:v>3960453.69</x:v>
      </x:c>
      <x:c r="P349" s="100" t="n">
        <x:v>-315753.74</x:v>
      </x:c>
      <x:c r="Q349" s="100" t="n">
        <x:v>0</x:v>
      </x:c>
      <x:c r="R349" s="226" t="n">
        <x:v>0</x:v>
      </x:c>
    </x:row>
    <x:row r="350" spans="1:18" ht="12.75" customHeight="1" x14ac:dyDescent="0.2">
      <x:c r="A350" s="89" t="s">
        <x:v>70</x:v>
      </x:c>
      <x:c r="E350" s="90" t="n">
        <x:v>161461949.73</x:v>
      </x:c>
      <x:c r="F350" s="90" t="n">
        <x:v>17136200.32</x:v>
      </x:c>
      <x:c r="G350" s="90" t="n">
        <x:v>9619233.02</x:v>
      </x:c>
      <x:c r="H350" s="90" t="n">
        <x:v>3132599.89</x:v>
      </x:c>
      <x:c r="I350" s="90" t="n">
        <x:v>26919268.35</x:v>
      </x:c>
      <x:c r="J350" s="90" t="n">
        <x:v>934221.13</x:v>
      </x:c>
      <x:c r="K350" s="90" t="n">
        <x:v>0</x:v>
      </x:c>
      <x:c r="L350" s="90" t="n">
        <x:v>8141317.39</x:v>
      </x:c>
      <x:c r="M350" s="90" t="n">
        <x:v>8484157.98</x:v>
      </x:c>
      <x:c r="N350" s="90" t="n">
        <x:v>37980917.71</x:v>
      </x:c>
      <x:c r="O350" s="90" t="n">
        <x:v>47670495.35</x:v>
      </x:c>
      <x:c r="P350" s="90" t="n">
        <x:v>1443534.03</x:v>
      </x:c>
      <x:c r="Q350" s="90" t="n">
        <x:v>4.56</x:v>
      </x:c>
      <x:c r="R350" t="n">
        <x:v>0</x:v>
      </x:c>
    </x:row>
    <x:row r="351" spans="1:18" ht="12.75" customHeight="1" x14ac:dyDescent="0.2">
      <x:c r="C351" s="89"/>
      <x:c r="D351" s="89"/>
      <x:c r="E351" s="90"/>
      <x:c r="F351" s="90"/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</x:row>
    <x:row r="352" spans="1:18" ht="12.75" customHeight="1" x14ac:dyDescent="0.2">
      <x:c r="C352" s="89"/>
      <x:c r="D352" s="89"/>
      <x:c r="E352" s="90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</x:row>
    <x:row r="353" spans="3:17" ht="12.75" hidden="1" customHeight="1" x14ac:dyDescent="0.2">
      <x:c r="C353" s="89"/>
      <x:c r="D353" s="89"/>
      <x:c r="E353" s="90"/>
      <x:c r="F353" s="90"/>
      <x:c r="G353" s="90"/>
      <x:c r="H353" s="90"/>
      <x:c r="I353" s="90"/>
      <x:c r="J353" s="90"/>
      <x:c r="K353" s="90"/>
      <x:c r="L353" s="90"/>
      <x:c r="M353" s="90"/>
      <x:c r="N353" s="90"/>
      <x:c r="O353" s="90"/>
      <x:c r="P353" s="90"/>
      <x:c r="Q353" s="90"/>
    </x:row>
    <x:row r="354" spans="3:17" ht="12.75" hidden="1" customHeight="1" x14ac:dyDescent="0.2">
      <x:c r="C354" s="89"/>
      <x:c r="D354" s="89"/>
      <x:c r="E354" s="90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</x:row>
    <x:row r="355" spans="3:17" ht="12.75" hidden="1" customHeight="1" x14ac:dyDescent="0.2">
      <x:c r="C355" s="89"/>
      <x:c r="D355" s="89"/>
      <x:c r="E355" s="90"/>
      <x:c r="F355" s="90"/>
      <x:c r="G355" s="90"/>
      <x:c r="H355" s="90"/>
      <x:c r="I355" s="90"/>
      <x:c r="J355" s="90"/>
      <x:c r="K355" s="90"/>
      <x:c r="L355" s="90"/>
      <x:c r="M355" s="90"/>
      <x:c r="N355" s="90"/>
      <x:c r="O355" s="90"/>
      <x:c r="P355" s="90"/>
      <x:c r="Q355" s="90"/>
    </x:row>
    <x:row r="356" spans="3:17" ht="12.75" hidden="1" customHeight="1" x14ac:dyDescent="0.2">
      <x:c r="C356" s="89"/>
      <x:c r="D356" s="89"/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3:17" ht="12.75" hidden="1" customHeight="1" x14ac:dyDescent="0.2">
      <x:c r="C357" s="89"/>
      <x:c r="D357" s="89"/>
      <x:c r="E357" s="90"/>
      <x:c r="F357" s="90"/>
      <x:c r="G357" s="90"/>
      <x:c r="H357" s="90"/>
      <x:c r="I357" s="90"/>
      <x:c r="J357" s="90"/>
      <x:c r="K357" s="90"/>
      <x:c r="L357" s="90"/>
      <x:c r="M357" s="90"/>
      <x:c r="N357" s="90"/>
      <x:c r="O357" s="90"/>
      <x:c r="P357" s="90"/>
      <x:c r="Q357" s="90"/>
    </x:row>
    <x:row r="358" spans="3:17" ht="12.75" hidden="1" customHeight="1" x14ac:dyDescent="0.2">
      <x:c r="C358" s="89"/>
      <x:c r="D358" s="89"/>
      <x:c r="E358" s="90"/>
      <x:c r="F358" s="90"/>
      <x:c r="G358" s="90"/>
      <x:c r="H358" s="90"/>
      <x:c r="I358" s="90"/>
      <x:c r="J358" s="90"/>
      <x:c r="K358" s="90"/>
      <x:c r="L358" s="90"/>
      <x:c r="M358" s="90"/>
      <x:c r="N358" s="90"/>
      <x:c r="O358" s="90"/>
      <x:c r="P358" s="90"/>
      <x:c r="Q358" s="90"/>
    </x:row>
    <x:row r="359" spans="3:17" ht="12.75" hidden="1" customHeight="1" x14ac:dyDescent="0.2">
      <x:c r="C359" s="89"/>
      <x:c r="D359" s="89"/>
      <x:c r="E359" s="90"/>
      <x:c r="F359" s="90"/>
      <x:c r="G359" s="90"/>
      <x:c r="H359" s="90"/>
      <x:c r="I359" s="90"/>
      <x:c r="J359" s="90"/>
      <x:c r="K359" s="90"/>
      <x:c r="L359" s="90"/>
      <x:c r="M359" s="90"/>
      <x:c r="N359" s="90"/>
      <x:c r="O359" s="90"/>
      <x:c r="P359" s="90"/>
      <x:c r="Q359" s="90"/>
    </x:row>
    <x:row r="360" spans="3:17" ht="12.75" hidden="1" customHeight="1" x14ac:dyDescent="0.2">
      <x:c r="C360" s="89"/>
      <x:c r="D360" s="89"/>
      <x:c r="E360" s="90"/>
      <x:c r="F360" s="90"/>
      <x:c r="G360" s="90"/>
      <x:c r="H360" s="90"/>
      <x:c r="I360" s="90"/>
      <x:c r="J360" s="90"/>
      <x:c r="K360" s="90"/>
      <x:c r="L360" s="90"/>
      <x:c r="M360" s="90"/>
      <x:c r="N360" s="90"/>
      <x:c r="O360" s="90"/>
      <x:c r="P360" s="90"/>
      <x:c r="Q360" s="90"/>
    </x:row>
    <x:row r="361" spans="3:17" ht="12.75" hidden="1" customHeight="1" x14ac:dyDescent="0.2">
      <x:c r="C361" s="89"/>
      <x:c r="D361" s="89"/>
      <x:c r="E361" s="90"/>
      <x:c r="F361" s="90"/>
      <x:c r="G361" s="90"/>
      <x:c r="H361" s="90"/>
      <x:c r="I361" s="90"/>
      <x:c r="J361" s="90"/>
      <x:c r="K361" s="90"/>
      <x:c r="L361" s="90"/>
      <x:c r="M361" s="90"/>
      <x:c r="N361" s="90"/>
      <x:c r="O361" s="90"/>
      <x:c r="P361" s="90"/>
      <x:c r="Q361" s="90"/>
    </x:row>
    <x:row r="362" spans="3:17" ht="12.75" hidden="1" customHeight="1" x14ac:dyDescent="0.2">
      <x:c r="C362" s="89"/>
      <x:c r="D362" s="89"/>
      <x:c r="E362" s="90"/>
      <x:c r="F362" s="90"/>
      <x:c r="G362" s="90"/>
      <x:c r="H362" s="90"/>
      <x:c r="I362" s="90"/>
      <x:c r="J362" s="90"/>
      <x:c r="K362" s="90"/>
      <x:c r="L362" s="90"/>
      <x:c r="M362" s="90"/>
      <x:c r="N362" s="90"/>
      <x:c r="O362" s="90"/>
      <x:c r="P362" s="90"/>
      <x:c r="Q362" s="90"/>
    </x:row>
    <x:row r="363" spans="3:17" ht="12.75" hidden="1" customHeight="1" x14ac:dyDescent="0.2">
      <x:c r="C363" s="89"/>
      <x:c r="D363" s="89"/>
      <x:c r="E363" s="90"/>
      <x:c r="F363" s="90"/>
      <x:c r="G363" s="90"/>
      <x:c r="H363" s="90"/>
      <x:c r="I363" s="90"/>
      <x:c r="J363" s="90"/>
      <x:c r="K363" s="90"/>
      <x:c r="L363" s="90"/>
      <x:c r="M363" s="90"/>
      <x:c r="N363" s="90"/>
      <x:c r="O363" s="90"/>
      <x:c r="P363" s="90"/>
      <x:c r="Q363" s="90"/>
    </x:row>
    <x:row r="364" spans="3:17" ht="12.75" hidden="1" customHeight="1" x14ac:dyDescent="0.2">
      <x:c r="C364" s="89"/>
      <x:c r="D364" s="89"/>
      <x:c r="E364" s="90"/>
      <x:c r="F364" s="90"/>
      <x:c r="G364" s="90"/>
      <x:c r="H364" s="90"/>
      <x:c r="I364" s="90"/>
      <x:c r="J364" s="90"/>
      <x:c r="K364" s="90"/>
      <x:c r="L364" s="90"/>
      <x:c r="M364" s="90"/>
      <x:c r="N364" s="90"/>
      <x:c r="O364" s="90"/>
      <x:c r="P364" s="90"/>
      <x:c r="Q364" s="90"/>
    </x:row>
    <x:row r="365" spans="3:17" ht="12.75" hidden="1" customHeight="1" x14ac:dyDescent="0.2">
      <x:c r="C365" s="89"/>
      <x:c r="D365" s="89"/>
      <x:c r="E365" s="90"/>
      <x:c r="F365" s="90"/>
      <x:c r="G365" s="90"/>
      <x:c r="H365" s="90"/>
      <x:c r="I365" s="90"/>
      <x:c r="J365" s="90"/>
      <x:c r="K365" s="90"/>
      <x:c r="L365" s="90"/>
      <x:c r="M365" s="90"/>
      <x:c r="N365" s="90"/>
      <x:c r="O365" s="90"/>
      <x:c r="P365" s="90"/>
      <x:c r="Q365" s="90"/>
    </x:row>
    <x:row r="366" spans="3:17" ht="12.75" hidden="1" customHeight="1" x14ac:dyDescent="0.2">
      <x:c r="C366" s="89"/>
      <x:c r="D366" s="89"/>
      <x:c r="E366" s="90"/>
      <x:c r="F366" s="90"/>
      <x:c r="G366" s="90"/>
      <x:c r="H366" s="90"/>
      <x:c r="I366" s="90"/>
      <x:c r="J366" s="90"/>
      <x:c r="K366" s="90"/>
      <x:c r="L366" s="90"/>
      <x:c r="M366" s="90"/>
      <x:c r="N366" s="90"/>
      <x:c r="O366" s="90"/>
      <x:c r="P366" s="90"/>
      <x:c r="Q366" s="90"/>
    </x:row>
    <x:row r="367" spans="3:17" ht="12.75" hidden="1" customHeight="1" x14ac:dyDescent="0.2">
      <x:c r="C367" s="89"/>
      <x:c r="D367" s="89"/>
      <x:c r="E367" s="90"/>
      <x:c r="F367" s="90"/>
      <x:c r="G367" s="90"/>
      <x:c r="H367" s="90"/>
      <x:c r="I367" s="90"/>
      <x:c r="J367" s="90"/>
      <x:c r="K367" s="90"/>
      <x:c r="L367" s="90"/>
      <x:c r="M367" s="90"/>
      <x:c r="N367" s="90"/>
      <x:c r="O367" s="90"/>
      <x:c r="P367" s="90"/>
      <x:c r="Q367" s="90"/>
    </x:row>
    <x:row r="368" spans="3:17" ht="12.75" hidden="1" customHeight="1" x14ac:dyDescent="0.2">
      <x:c r="C368" s="89"/>
      <x:c r="D368" s="89"/>
      <x:c r="E368" s="90"/>
      <x:c r="F368" s="90"/>
      <x:c r="G368" s="90"/>
      <x:c r="H368" s="90"/>
      <x:c r="I368" s="90"/>
      <x:c r="J368" s="90"/>
      <x:c r="K368" s="90"/>
      <x:c r="L368" s="90"/>
      <x:c r="M368" s="90"/>
      <x:c r="N368" s="90"/>
      <x:c r="O368" s="90"/>
      <x:c r="P368" s="90"/>
      <x:c r="Q368" s="90"/>
    </x:row>
    <x:row r="369" spans="2:18" ht="12.75" hidden="1" customHeight="1" x14ac:dyDescent="0.2">
      <x:c r="C369" s="89"/>
      <x:c r="D369" s="89"/>
      <x:c r="E369" s="90"/>
      <x:c r="F369" s="90"/>
      <x:c r="G369" s="90"/>
      <x:c r="H369" s="90"/>
      <x:c r="I369" s="90"/>
      <x:c r="J369" s="90"/>
      <x:c r="K369" s="90"/>
      <x:c r="L369" s="90"/>
      <x:c r="M369" s="90"/>
      <x:c r="N369" s="90"/>
      <x:c r="O369" s="90"/>
      <x:c r="P369" s="90"/>
      <x:c r="Q369" s="90"/>
    </x:row>
    <x:row r="370" spans="2:18" ht="12.75" hidden="1" customHeight="1" x14ac:dyDescent="0.2">
      <x:c r="C370" s="89"/>
      <x:c r="D370" s="89"/>
      <x:c r="E370" s="90"/>
      <x:c r="F370" s="90"/>
      <x:c r="G370" s="90"/>
      <x:c r="H370" s="90"/>
      <x:c r="I370" s="90"/>
      <x:c r="J370" s="90"/>
      <x:c r="K370" s="90"/>
      <x:c r="L370" s="90"/>
      <x:c r="M370" s="90"/>
      <x:c r="N370" s="90"/>
      <x:c r="O370" s="90"/>
      <x:c r="P370" s="90"/>
      <x:c r="Q370" s="90"/>
    </x:row>
    <x:row r="371" spans="2:18" ht="12.75" hidden="1" customHeight="1" x14ac:dyDescent="0.2">
      <x:c r="C371" s="89"/>
      <x:c r="D371" s="89"/>
      <x:c r="E371" s="90"/>
      <x:c r="F371" s="90"/>
      <x:c r="G371" s="90"/>
      <x:c r="H371" s="90"/>
      <x:c r="I371" s="90"/>
      <x:c r="J371" s="90"/>
      <x:c r="K371" s="90"/>
      <x:c r="L371" s="90"/>
      <x:c r="M371" s="90"/>
      <x:c r="N371" s="90"/>
      <x:c r="O371" s="90"/>
      <x:c r="P371" s="90"/>
      <x:c r="Q371" s="90"/>
    </x:row>
    <x:row r="372" spans="2:18" ht="12.75" hidden="1" customHeight="1" x14ac:dyDescent="0.2">
      <x:c r="C372" s="89"/>
      <x:c r="D372" s="89"/>
      <x:c r="E372" s="90"/>
      <x:c r="F372" s="90"/>
      <x:c r="G372" s="90"/>
      <x:c r="H372" s="90"/>
      <x:c r="I372" s="90"/>
      <x:c r="J372" s="90"/>
      <x:c r="K372" s="90"/>
      <x:c r="L372" s="90"/>
      <x:c r="M372" s="90"/>
      <x:c r="N372" s="90"/>
      <x:c r="O372" s="90"/>
      <x:c r="P372" s="90"/>
      <x:c r="Q372" s="90"/>
    </x:row>
    <x:row r="373" spans="2:18" ht="12.75" hidden="1" customHeight="1" x14ac:dyDescent="0.2">
      <x:c r="C373" s="89"/>
      <x:c r="D373" s="89"/>
      <x:c r="E373" s="90"/>
      <x:c r="F373" s="90"/>
      <x:c r="G373" s="90"/>
      <x:c r="H373" s="90"/>
      <x:c r="I373" s="90"/>
      <x:c r="J373" s="90"/>
      <x:c r="K373" s="90"/>
      <x:c r="L373" s="90"/>
      <x:c r="M373" s="90"/>
      <x:c r="N373" s="90"/>
      <x:c r="O373" s="90"/>
      <x:c r="P373" s="90"/>
      <x:c r="Q373" s="90"/>
    </x:row>
    <x:row r="374" spans="2:18" ht="12.75" hidden="1" customHeight="1" x14ac:dyDescent="0.2">
      <x:c r="C374" s="89"/>
      <x:c r="D374" s="89"/>
      <x:c r="E374" s="90"/>
      <x:c r="F374" s="90"/>
      <x:c r="G374" s="90"/>
      <x:c r="H374" s="90"/>
      <x:c r="I374" s="90"/>
      <x:c r="J374" s="90"/>
      <x:c r="K374" s="90"/>
      <x:c r="L374" s="90"/>
      <x:c r="M374" s="90"/>
      <x:c r="N374" s="90"/>
      <x:c r="O374" s="90"/>
      <x:c r="P374" s="90"/>
      <x:c r="Q374" s="90"/>
    </x:row>
    <x:row r="375" spans="2:18" ht="12.75" hidden="1" customHeight="1" x14ac:dyDescent="0.2">
      <x:c r="C375" s="89"/>
      <x:c r="D375" s="89"/>
      <x:c r="E375" s="90"/>
      <x:c r="F375" s="90"/>
      <x:c r="G375" s="90"/>
      <x:c r="H375" s="90"/>
      <x:c r="I375" s="90"/>
      <x:c r="J375" s="90"/>
      <x:c r="K375" s="90"/>
      <x:c r="L375" s="90"/>
      <x:c r="M375" s="90"/>
      <x:c r="N375" s="90"/>
      <x:c r="O375" s="90"/>
      <x:c r="P375" s="90"/>
      <x:c r="Q375" s="90"/>
    </x:row>
    <x:row r="376" spans="2:18" ht="12.75" hidden="1" customHeight="1" x14ac:dyDescent="0.2">
      <x:c r="C376" s="89"/>
      <x:c r="D376" s="89"/>
      <x:c r="E376" s="90"/>
      <x:c r="F376" s="90"/>
      <x:c r="G376" s="90"/>
      <x:c r="H376" s="90"/>
      <x:c r="I376" s="90"/>
      <x:c r="J376" s="90"/>
      <x:c r="K376" s="90"/>
      <x:c r="L376" s="90"/>
      <x:c r="M376" s="90"/>
      <x:c r="N376" s="90"/>
      <x:c r="O376" s="90"/>
      <x:c r="P376" s="90"/>
      <x:c r="Q376" s="90"/>
    </x:row>
    <x:row r="377" spans="2:18" ht="12.75" hidden="1" customHeight="1" x14ac:dyDescent="0.2">
      <x:c r="C377" s="89"/>
      <x:c r="D377" s="89"/>
      <x:c r="E377" s="90"/>
      <x:c r="F377" s="90"/>
      <x:c r="G377" s="90"/>
      <x:c r="H377" s="90"/>
      <x:c r="I377" s="90"/>
      <x:c r="J377" s="90"/>
      <x:c r="K377" s="90"/>
      <x:c r="L377" s="90"/>
      <x:c r="M377" s="90"/>
      <x:c r="N377" s="90"/>
      <x:c r="O377" s="90"/>
      <x:c r="P377" s="90"/>
      <x:c r="Q377" s="90"/>
    </x:row>
    <x:row r="378" spans="2:18" ht="12.75" hidden="1" customHeight="1" x14ac:dyDescent="0.2">
      <x:c r="C378" s="89"/>
      <x:c r="D378" s="89"/>
      <x:c r="E378" s="90"/>
      <x:c r="F378" s="90"/>
      <x:c r="G378" s="90"/>
      <x:c r="H378" s="90"/>
      <x:c r="I378" s="90"/>
      <x:c r="J378" s="90"/>
      <x:c r="K378" s="90"/>
      <x:c r="L378" s="90"/>
      <x:c r="M378" s="90"/>
      <x:c r="N378" s="90"/>
      <x:c r="O378" s="90"/>
      <x:c r="P378" s="90"/>
      <x:c r="Q378" s="90"/>
    </x:row>
    <x:row r="379" spans="2:18" ht="12.75" hidden="1" customHeight="1" x14ac:dyDescent="0.2">
      <x:c r="C379" s="89"/>
      <x:c r="D379" s="89"/>
      <x:c r="E379" s="90"/>
      <x:c r="F379" s="90"/>
      <x:c r="G379" s="90"/>
      <x:c r="H379" s="90"/>
      <x:c r="I379" s="90"/>
      <x:c r="J379" s="90"/>
      <x:c r="K379" s="90"/>
      <x:c r="L379" s="90"/>
      <x:c r="M379" s="90"/>
      <x:c r="N379" s="90"/>
      <x:c r="O379" s="90"/>
      <x:c r="P379" s="90"/>
      <x:c r="Q379" s="90"/>
    </x:row>
    <x:row r="380" spans="2:18" ht="12.75" hidden="1" customHeight="1" x14ac:dyDescent="0.2">
      <x:c r="C380" s="89"/>
      <x:c r="D380" s="89"/>
      <x:c r="E380" s="90"/>
      <x:c r="F380" s="90"/>
      <x:c r="G380" s="90"/>
      <x:c r="H380" s="90"/>
      <x:c r="I380" s="90"/>
      <x:c r="J380" s="90"/>
      <x:c r="K380" s="90"/>
      <x:c r="L380" s="90"/>
      <x:c r="M380" s="90"/>
      <x:c r="N380" s="90"/>
      <x:c r="O380" s="90"/>
      <x:c r="P380" s="90"/>
      <x:c r="Q380" s="90"/>
    </x:row>
    <x:row r="381" spans="2:18" ht="12.75" hidden="1" customHeight="1" x14ac:dyDescent="0.2">
      <x:c r="C381" s="89"/>
      <x:c r="D381" s="89"/>
      <x:c r="E381" s="90"/>
      <x:c r="F381" s="90"/>
      <x:c r="G381" s="90"/>
      <x:c r="H381" s="90"/>
      <x:c r="I381" s="90"/>
      <x:c r="J381" s="90"/>
      <x:c r="K381" s="90"/>
      <x:c r="L381" s="90"/>
      <x:c r="M381" s="90"/>
      <x:c r="N381" s="90"/>
      <x:c r="O381" s="90"/>
      <x:c r="P381" s="90"/>
      <x:c r="Q381" s="90"/>
    </x:row>
    <x:row r="382" spans="2:18" ht="12.75" hidden="1" customHeight="1" x14ac:dyDescent="0.2">
      <x:c r="C382" s="89"/>
      <x:c r="D382" s="89"/>
      <x:c r="E382" s="90"/>
      <x:c r="F382" s="90"/>
      <x:c r="G382" s="90"/>
      <x:c r="H382" s="90"/>
      <x:c r="I382" s="90"/>
      <x:c r="J382" s="90"/>
      <x:c r="K382" s="90"/>
      <x:c r="L382" s="90"/>
      <x:c r="M382" s="90"/>
      <x:c r="N382" s="90"/>
      <x:c r="O382" s="90"/>
      <x:c r="P382" s="90"/>
      <x:c r="Q382" s="90"/>
    </x:row>
    <x:row r="383" spans="2:18" ht="12.75" customHeight="1" x14ac:dyDescent="0.2">
      <x:c r="C383" s="89"/>
      <x:c r="D383" s="89"/>
      <x:c r="E383" s="90"/>
      <x:c r="F383" s="90"/>
      <x:c r="G383" s="90"/>
      <x:c r="H383" s="90"/>
      <x:c r="I383" s="90"/>
      <x:c r="J383" s="90"/>
      <x:c r="K383" s="90"/>
      <x:c r="L383" s="90"/>
      <x:c r="M383" s="90"/>
      <x:c r="N383" s="90"/>
      <x:c r="O383" s="90"/>
      <x:c r="P383" s="90"/>
      <x:c r="Q383" s="90"/>
    </x:row>
    <x:row r="384" spans="2:18" ht="12.75" customHeight="1" x14ac:dyDescent="0.2">
      <x:c r="B384" s="778" t="s">
        <x:v>2</x:v>
      </x:c>
      <x:c r="C384" s="775" t="s">
        <x:v>132</x:v>
      </x:c>
      <x:c r="D384" s="98" t="s">
        <x:v>70</x:v>
      </x:c>
      <x:c r="E384" s="100">
        <x:f>E327+E349-K327</x:f>
        <x:v>0</x:v>
      </x:c>
      <x:c r="F384" s="100">
        <x:f t="shared" ref="F384:R384" si="10">F327</x:f>
        <x:v>0</x:v>
      </x:c>
      <x:c r="G384" s="100">
        <x:f t="shared" si="10"/>
        <x:v>0</x:v>
      </x:c>
      <x:c r="H384" s="100">
        <x:f t="shared" si="10"/>
        <x:v>0</x:v>
      </x:c>
      <x:c r="I384" s="100">
        <x:f t="shared" si="10"/>
        <x:v>0</x:v>
      </x:c>
      <x:c r="J384" s="100">
        <x:f t="shared" si="10"/>
        <x:v>0</x:v>
      </x:c>
      <x:c r="K384" s="100">
        <x:f t="shared" si="10"/>
        <x:v>0</x:v>
      </x:c>
      <x:c r="L384" s="100">
        <x:f t="shared" si="10"/>
        <x:v>0</x:v>
      </x:c>
      <x:c r="M384" s="100">
        <x:f t="shared" si="10"/>
        <x:v>0</x:v>
      </x:c>
      <x:c r="N384" s="100">
        <x:f t="shared" si="10"/>
        <x:v>0</x:v>
      </x:c>
      <x:c r="O384" s="100">
        <x:f t="shared" si="10"/>
        <x:v>0</x:v>
      </x:c>
      <x:c r="P384" s="100">
        <x:f t="shared" si="10"/>
        <x:v>0</x:v>
      </x:c>
      <x:c r="Q384" s="100">
        <x:f t="shared" si="10"/>
        <x:v>0</x:v>
      </x:c>
      <x:c r="R384" s="100">
        <x:f t="shared" si="10"/>
        <x:v>0</x:v>
      </x:c>
    </x:row>
    <x:row r="385" spans="1:18" ht="12.75" customHeight="1" x14ac:dyDescent="0.2">
      <x:c r="B385" s="778"/>
      <x:c r="C385" s="775"/>
      <x:c r="D385" s="98" t="s">
        <x:v>73</x:v>
      </x:c>
      <x:c r="E385" s="100">
        <x:f>E349</x:f>
        <x:v>0</x:v>
      </x:c>
      <x:c r="F385" s="90"/>
      <x:c r="G385" s="90"/>
      <x:c r="H385" s="90"/>
      <x:c r="I385" s="90"/>
      <x:c r="J385" s="90"/>
      <x:c r="K385" s="90"/>
      <x:c r="L385" s="90"/>
      <x:c r="M385" s="90"/>
      <x:c r="N385" s="90"/>
      <x:c r="O385" s="90"/>
      <x:c r="P385" s="90"/>
      <x:c r="Q385" s="90"/>
      <x:c r="R385" s="90"/>
    </x:row>
    <x:row r="386" spans="1:18" ht="12.75" customHeight="1" x14ac:dyDescent="0.2">
      <x:c r="A386" s="89"/>
      <x:c r="B386" s="97"/>
      <x:c r="E386" s="90"/>
      <x:c r="F386" s="90"/>
      <x:c r="G386" s="90"/>
      <x:c r="H386" s="90"/>
      <x:c r="I386" s="90"/>
      <x:c r="J386" s="90"/>
      <x:c r="K386" s="90"/>
      <x:c r="L386" s="90"/>
      <x:c r="M386" s="90"/>
      <x:c r="N386" s="90"/>
      <x:c r="O386" s="90"/>
      <x:c r="P386" s="90"/>
      <x:c r="Q386" s="90"/>
      <x:c r="R386" s="90"/>
    </x:row>
    <x:row r="387" spans="1:18" ht="12.75" customHeight="1" x14ac:dyDescent="0.2">
      <x:c r="B387" s="778" t="s">
        <x:v>160</x:v>
      </x:c>
      <x:c r="C387" s="775" t="s">
        <x:v>132</x:v>
      </x:c>
      <x:c r="D387" s="223" t="s">
        <x:v>70</x:v>
      </x:c>
      <x:c r="E387" s="225">
        <x:f>E341+E316+E296-K296-K316</x:f>
        <x:v>0</x:v>
      </x:c>
      <x:c r="F387" s="225">
        <x:f t="shared" ref="F387:R387" si="11">F316+F296</x:f>
        <x:v>0</x:v>
      </x:c>
      <x:c r="G387" s="225">
        <x:f t="shared" si="11"/>
        <x:v>0</x:v>
      </x:c>
      <x:c r="H387" s="225">
        <x:f t="shared" si="11"/>
        <x:v>0</x:v>
      </x:c>
      <x:c r="I387" s="225">
        <x:f t="shared" si="11"/>
        <x:v>0</x:v>
      </x:c>
      <x:c r="J387" s="225">
        <x:f t="shared" si="11"/>
        <x:v>0</x:v>
      </x:c>
      <x:c r="K387" s="225">
        <x:f t="shared" si="11"/>
        <x:v>0</x:v>
      </x:c>
      <x:c r="L387" s="225">
        <x:f t="shared" si="11"/>
        <x:v>0</x:v>
      </x:c>
      <x:c r="M387" s="225">
        <x:f t="shared" si="11"/>
        <x:v>0</x:v>
      </x:c>
      <x:c r="N387" s="225">
        <x:f t="shared" si="11"/>
        <x:v>0</x:v>
      </x:c>
      <x:c r="O387" s="225">
        <x:f t="shared" si="11"/>
        <x:v>0</x:v>
      </x:c>
      <x:c r="P387" s="225">
        <x:f t="shared" si="11"/>
        <x:v>0</x:v>
      </x:c>
      <x:c r="Q387" s="225">
        <x:f t="shared" si="11"/>
        <x:v>0</x:v>
      </x:c>
      <x:c r="R387" s="225">
        <x:f t="shared" si="11"/>
        <x:v>0</x:v>
      </x:c>
    </x:row>
    <x:row r="388" spans="1:18" ht="12.75" customHeight="1" x14ac:dyDescent="0.2">
      <x:c r="B388" s="778"/>
      <x:c r="C388" s="775"/>
      <x:c r="D388" s="223" t="s">
        <x:v>73</x:v>
      </x:c>
      <x:c r="E388" s="225">
        <x:f>E341</x:f>
        <x:v>0</x:v>
      </x:c>
      <x:c r="F388" s="90"/>
      <x:c r="G388" s="90"/>
      <x:c r="H388" s="90"/>
      <x:c r="I388" s="90"/>
      <x:c r="J388" s="90"/>
      <x:c r="K388" s="90"/>
      <x:c r="L388" s="90"/>
      <x:c r="M388" s="90"/>
      <x:c r="N388" s="90"/>
      <x:c r="O388" s="90"/>
      <x:c r="P388" s="90"/>
      <x:c r="Q388" s="90"/>
      <x:c r="R388" s="90"/>
    </x:row>
    <x:row r="389" spans="1:18" ht="12.75" customHeight="1" x14ac:dyDescent="0.2">
      <x:c r="A389" s="89"/>
      <x:c r="B389" s="97"/>
      <x:c r="E389" s="90"/>
      <x:c r="F389" s="90"/>
      <x:c r="G389" s="90"/>
      <x:c r="H389" s="90"/>
      <x:c r="I389" s="90"/>
      <x:c r="J389" s="90"/>
      <x:c r="K389" s="90"/>
      <x:c r="L389" s="90"/>
      <x:c r="M389" s="90"/>
      <x:c r="N389" s="90"/>
      <x:c r="O389" s="90"/>
      <x:c r="P389" s="90"/>
      <x:c r="Q389" s="90"/>
      <x:c r="R389" s="90"/>
    </x:row>
    <x:row r="390" spans="1:18" ht="12.75" customHeight="1" x14ac:dyDescent="0.2">
      <x:c r="B390" s="778" t="s">
        <x:v>155</x:v>
      </x:c>
      <x:c r="C390" s="775" t="s">
        <x:v>132</x:v>
      </x:c>
      <x:c r="D390" s="221" t="s">
        <x:v>70</x:v>
      </x:c>
      <x:c r="E390" s="222">
        <x:f>E330+E300-K300</x:f>
        <x:v>0</x:v>
      </x:c>
      <x:c r="F390" s="222">
        <x:f t="shared" ref="F390:R390" si="12">F300</x:f>
        <x:v>0</x:v>
      </x:c>
      <x:c r="G390" s="222">
        <x:f t="shared" si="12"/>
        <x:v>0</x:v>
      </x:c>
      <x:c r="H390" s="222">
        <x:f t="shared" si="12"/>
        <x:v>0</x:v>
      </x:c>
      <x:c r="I390" s="222">
        <x:f t="shared" si="12"/>
        <x:v>0</x:v>
      </x:c>
      <x:c r="J390" s="222">
        <x:f t="shared" si="12"/>
        <x:v>0</x:v>
      </x:c>
      <x:c r="K390" s="222">
        <x:f t="shared" si="12"/>
        <x:v>0</x:v>
      </x:c>
      <x:c r="L390" s="222">
        <x:f t="shared" si="12"/>
        <x:v>0</x:v>
      </x:c>
      <x:c r="M390" s="222">
        <x:f t="shared" si="12"/>
        <x:v>0</x:v>
      </x:c>
      <x:c r="N390" s="222">
        <x:f t="shared" si="12"/>
        <x:v>0</x:v>
      </x:c>
      <x:c r="O390" s="222">
        <x:f t="shared" si="12"/>
        <x:v>0</x:v>
      </x:c>
      <x:c r="P390" s="222">
        <x:f t="shared" si="12"/>
        <x:v>0</x:v>
      </x:c>
      <x:c r="Q390" s="222">
        <x:f t="shared" si="12"/>
        <x:v>0</x:v>
      </x:c>
      <x:c r="R390" s="222">
        <x:f t="shared" si="12"/>
        <x:v>0</x:v>
      </x:c>
    </x:row>
    <x:row r="391" spans="1:18" ht="12.75" customHeight="1" x14ac:dyDescent="0.2">
      <x:c r="B391" s="778"/>
      <x:c r="C391" s="775"/>
      <x:c r="D391" s="221" t="s">
        <x:v>73</x:v>
      </x:c>
      <x:c r="E391" s="222">
        <x:f>E330</x:f>
        <x:v>0</x:v>
      </x:c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  <x:c r="R391" s="90"/>
    </x:row>
    <x:row r="392" spans="1:18" ht="12.75" customHeight="1" x14ac:dyDescent="0.2">
      <x:c r="A392" s="89"/>
      <x:c r="B392" s="97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  <x:c r="R392" s="90"/>
    </x:row>
    <x:row r="393" spans="1:18" ht="12.75" customHeight="1" x14ac:dyDescent="0.2">
      <x:c r="B393" s="776" t="s">
        <x:v>326</x:v>
      </x:c>
      <x:c r="C393" s="775" t="s">
        <x:v>132</x:v>
      </x:c>
      <x:c r="D393" s="373" t="s">
        <x:v>70</x:v>
      </x:c>
      <x:c r="E393" s="374">
        <x:v>0</x:v>
      </x:c>
      <x:c r="F393" s="374">
        <x:v>0</x:v>
      </x:c>
      <x:c r="G393" s="374">
        <x:v>0</x:v>
      </x:c>
      <x:c r="H393" s="374">
        <x:v>0</x:v>
      </x:c>
      <x:c r="I393" s="374">
        <x:v>0</x:v>
      </x:c>
      <x:c r="J393" s="374">
        <x:v>0</x:v>
      </x:c>
      <x:c r="K393" s="374">
        <x:v>0</x:v>
      </x:c>
      <x:c r="L393" s="374">
        <x:v>0</x:v>
      </x:c>
      <x:c r="M393" s="374">
        <x:v>0</x:v>
      </x:c>
      <x:c r="N393" s="374">
        <x:v>0</x:v>
      </x:c>
      <x:c r="O393" s="374">
        <x:v>0</x:v>
      </x:c>
      <x:c r="P393" s="374">
        <x:v>0</x:v>
      </x:c>
      <x:c r="Q393" s="374">
        <x:v>0</x:v>
      </x:c>
      <x:c r="R393" s="374">
        <x:v>0</x:v>
      </x:c>
    </x:row>
    <x:row r="394" spans="1:18" ht="12.75" customHeight="1" x14ac:dyDescent="0.2">
      <x:c r="B394" s="776"/>
      <x:c r="C394" s="775"/>
      <x:c r="D394" s="373" t="s">
        <x:v>73</x:v>
      </x:c>
      <x:c r="E394" s="374">
        <x:v>0</x:v>
      </x:c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  <x:c r="R394" s="90"/>
    </x:row>
    <x:row r="395" spans="1:18" ht="12.75" customHeight="1" x14ac:dyDescent="0.2">
      <x:c r="A395" s="89"/>
      <x:c r="B395" s="97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  <x:c r="R395" s="90"/>
    </x:row>
    <x:row r="396" spans="1:18" ht="12.75" customHeight="1" x14ac:dyDescent="0.2">
      <x:c r="A396" s="142" t="s">
        <x:v>226</x:v>
      </x:c>
      <x:c r="B396" s="778" t="s">
        <x:v>119</x:v>
      </x:c>
      <x:c r="C396" s="775" t="s">
        <x:v>132</x:v>
      </x:c>
      <x:c r="D396" s="101" t="s">
        <x:v>70</x:v>
      </x:c>
      <x:c r="E396" s="93">
        <x:f>E326+E348-K326</x:f>
        <x:v>0</x:v>
      </x:c>
      <x:c r="F396" s="93">
        <x:f t="shared" ref="F396:R396" si="13">F326</x:f>
        <x:v>0</x:v>
      </x:c>
      <x:c r="G396" s="93">
        <x:f t="shared" si="13"/>
        <x:v>0</x:v>
      </x:c>
      <x:c r="H396" s="93">
        <x:f t="shared" si="13"/>
        <x:v>0</x:v>
      </x:c>
      <x:c r="I396" s="93">
        <x:f t="shared" si="13"/>
        <x:v>0</x:v>
      </x:c>
      <x:c r="J396" s="93">
        <x:f t="shared" si="13"/>
        <x:v>0</x:v>
      </x:c>
      <x:c r="K396" s="93">
        <x:f t="shared" si="13"/>
        <x:v>0</x:v>
      </x:c>
      <x:c r="L396" s="93">
        <x:f t="shared" si="13"/>
        <x:v>0</x:v>
      </x:c>
      <x:c r="M396" s="93">
        <x:f t="shared" si="13"/>
        <x:v>0</x:v>
      </x:c>
      <x:c r="N396" s="93">
        <x:f t="shared" si="13"/>
        <x:v>0</x:v>
      </x:c>
      <x:c r="O396" s="93">
        <x:f t="shared" si="13"/>
        <x:v>0</x:v>
      </x:c>
      <x:c r="P396" s="93">
        <x:f t="shared" si="13"/>
        <x:v>0</x:v>
      </x:c>
      <x:c r="Q396" s="93">
        <x:f t="shared" si="13"/>
        <x:v>0</x:v>
      </x:c>
      <x:c r="R396" s="93">
        <x:f t="shared" si="13"/>
        <x:v>0</x:v>
      </x:c>
    </x:row>
    <x:row r="397" spans="1:18" ht="12.75" customHeight="1" x14ac:dyDescent="0.2">
      <x:c r="B397" s="778"/>
      <x:c r="C397" s="775"/>
      <x:c r="D397" s="101" t="s">
        <x:v>73</x:v>
      </x:c>
      <x:c r="E397" s="93">
        <x:f>E348</x:f>
        <x:v>0</x:v>
      </x:c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  <x:c r="R397" s="90"/>
    </x:row>
    <x:row r="398" spans="1:18" ht="12.75" customHeight="1" x14ac:dyDescent="0.2">
      <x:c r="A398" s="89"/>
      <x:c r="B398" s="97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  <x:c r="R398" s="90"/>
    </x:row>
    <x:row r="399" spans="1:18" ht="12.75" customHeight="1" x14ac:dyDescent="0.2">
      <x:c r="B399" s="777" t="s">
        <x:v>161</x:v>
      </x:c>
      <x:c r="C399" s="775" t="s">
        <x:v>132</x:v>
      </x:c>
      <x:c r="D399" s="231" t="s">
        <x:v>70</x:v>
      </x:c>
      <x:c r="E399" s="232">
        <x:v>0</x:v>
      </x:c>
      <x:c r="F399" s="232">
        <x:v>0</x:v>
      </x:c>
      <x:c r="G399" s="232">
        <x:v>0</x:v>
      </x:c>
      <x:c r="H399" s="232">
        <x:v>0</x:v>
      </x:c>
      <x:c r="I399" s="232">
        <x:v>0</x:v>
      </x:c>
      <x:c r="J399" s="232">
        <x:v>0</x:v>
      </x:c>
      <x:c r="K399" s="232">
        <x:v>0</x:v>
      </x:c>
      <x:c r="L399" s="232">
        <x:v>0</x:v>
      </x:c>
      <x:c r="M399" s="232">
        <x:v>0</x:v>
      </x:c>
      <x:c r="N399" s="232">
        <x:v>0</x:v>
      </x:c>
      <x:c r="O399" s="232">
        <x:v>0</x:v>
      </x:c>
      <x:c r="P399" s="232">
        <x:v>0</x:v>
      </x:c>
      <x:c r="Q399" s="232">
        <x:v>0</x:v>
      </x:c>
      <x:c r="R399" s="232">
        <x:v>0</x:v>
      </x:c>
    </x:row>
    <x:row r="400" spans="1:18" ht="12.75" customHeight="1" x14ac:dyDescent="0.2">
      <x:c r="B400" s="777"/>
      <x:c r="C400" s="775"/>
      <x:c r="D400" s="231" t="s">
        <x:v>73</x:v>
      </x:c>
      <x:c r="E400" s="232">
        <x:v>0</x:v>
      </x:c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  <x:c r="R400" s="90"/>
    </x:row>
    <x:row r="401" spans="2:19" s="238" customFormat="1" x14ac:dyDescent="0.2"/>
    <x:row r="402" spans="2:19" x14ac:dyDescent="0.2">
      <x:c r="B402" s="97" t="s">
        <x:v>93</x:v>
      </x:c>
    </x:row>
    <x:row r="403" spans="2:19" x14ac:dyDescent="0.2">
      <x:c r="E403" s="89" t="s">
        <x:v>70</x:v>
      </x:c>
      <x:c r="F403" s="89" t="s">
        <x:v>64</x:v>
      </x:c>
      <x:c r="G403" s="89" t="s">
        <x:v>65</x:v>
      </x:c>
      <x:c r="H403" s="219" t="s">
        <x:v>164</x:v>
      </x:c>
      <x:c r="I403" s="89" t="s">
        <x:v>69</x:v>
      </x:c>
      <x:c r="J403" s="89" t="s">
        <x:v>68</x:v>
      </x:c>
      <x:c r="K403" s="89" t="s">
        <x:v>83</x:v>
      </x:c>
      <x:c r="L403" s="89" t="s">
        <x:v>66</x:v>
      </x:c>
      <x:c r="M403" s="89" t="s">
        <x:v>63</x:v>
      </x:c>
      <x:c r="N403" s="89" t="s">
        <x:v>61</x:v>
      </x:c>
      <x:c r="O403" s="89" t="s">
        <x:v>62</x:v>
      </x:c>
      <x:c r="P403" s="89" t="s">
        <x:v>67</x:v>
      </x:c>
      <x:c r="Q403" s="89" t="s">
        <x:v>84</x:v>
      </x:c>
      <x:c r="R403" s="384" t="s">
        <x:v>225</x:v>
      </x:c>
    </x:row>
    <x:row r="404" spans="2:19" ht="11.45" customHeight="1" x14ac:dyDescent="0.2">
      <x:c r="D404" t="s">
        <x:v>72</x:v>
      </x:c>
      <x:c r="E404" s="89">
        <x:v>0</x:v>
      </x:c>
      <x:c r="F404" s="89">
        <x:v>0</x:v>
      </x:c>
      <x:c r="G404" s="89">
        <x:v>0</x:v>
      </x:c>
      <x:c r="H404" s="384">
        <x:v>0</x:v>
      </x:c>
      <x:c r="I404" s="89">
        <x:v>0</x:v>
      </x:c>
      <x:c r="J404" s="89">
        <x:v>0</x:v>
      </x:c>
      <x:c r="K404" s="89">
        <x:v>0</x:v>
      </x:c>
      <x:c r="L404" s="89">
        <x:v>0</x:v>
      </x:c>
      <x:c r="M404" s="89">
        <x:v>0</x:v>
      </x:c>
      <x:c r="N404" s="89">
        <x:v>0</x:v>
      </x:c>
      <x:c r="O404" s="89">
        <x:v>0</x:v>
      </x:c>
      <x:c r="P404" s="89">
        <x:v>0</x:v>
      </x:c>
      <x:c r="Q404" s="89">
        <x:v>0</x:v>
      </x:c>
      <x:c r="R404" s="384">
        <x:v>0</x:v>
      </x:c>
    </x:row>
    <x:row r="405" spans="2:19" ht="12.75" customHeight="1" x14ac:dyDescent="0.2">
      <x:c r="D405" t="s">
        <x:v>81</x:v>
      </x:c>
      <x:c r="E405" s="384">
        <x:v>0</x:v>
      </x:c>
      <x:c r="F405" s="89">
        <x:v>0</x:v>
      </x:c>
      <x:c r="G405" s="89">
        <x:v>0</x:v>
      </x:c>
      <x:c r="H405" s="384">
        <x:v>0</x:v>
      </x:c>
      <x:c r="I405" s="89">
        <x:v>0</x:v>
      </x:c>
      <x:c r="J405" s="89">
        <x:v>0</x:v>
      </x:c>
      <x:c r="K405" s="89">
        <x:v>0</x:v>
      </x:c>
      <x:c r="L405" s="89">
        <x:v>0</x:v>
      </x:c>
      <x:c r="M405" s="89">
        <x:v>0</x:v>
      </x:c>
      <x:c r="N405" s="89">
        <x:v>0</x:v>
      </x:c>
      <x:c r="O405" s="89">
        <x:v>0</x:v>
      </x:c>
      <x:c r="P405" s="89">
        <x:v>0</x:v>
      </x:c>
      <x:c r="Q405" s="89">
        <x:v>0</x:v>
      </x:c>
      <x:c r="R405" s="384">
        <x:v>0</x:v>
      </x:c>
    </x:row>
    <x:row r="406" spans="2:19" ht="11.45" customHeight="1" x14ac:dyDescent="0.2">
      <x:c r="C406" t="s">
        <x:v>332</x:v>
      </x:c>
      <x:c r="D406" t="s">
        <x:v>70</x:v>
      </x:c>
      <x:c r="E406" s="384">
        <x:v>0</x:v>
      </x:c>
      <x:c r="F406" s="89">
        <x:v>0</x:v>
      </x:c>
      <x:c r="G406" s="89">
        <x:v>0</x:v>
      </x:c>
      <x:c r="H406" s="384">
        <x:v>0</x:v>
      </x:c>
      <x:c r="I406" s="89">
        <x:v>0</x:v>
      </x:c>
      <x:c r="J406" s="89">
        <x:v>0</x:v>
      </x:c>
      <x:c r="K406" s="89">
        <x:v>0</x:v>
      </x:c>
      <x:c r="L406" s="89">
        <x:v>0</x:v>
      </x:c>
      <x:c r="M406" s="89">
        <x:v>0</x:v>
      </x:c>
      <x:c r="N406" s="89">
        <x:v>0</x:v>
      </x:c>
      <x:c r="O406" s="89">
        <x:v>0</x:v>
      </x:c>
      <x:c r="P406" s="89">
        <x:v>0</x:v>
      </x:c>
      <x:c r="Q406" s="89">
        <x:v>0</x:v>
      </x:c>
      <x:c r="R406" s="384">
        <x:v>0</x:v>
      </x:c>
    </x:row>
    <x:row r="407" spans="2:19" s="739" customFormat="1" ht="11.45" customHeight="1" x14ac:dyDescent="0.2">
      <x:c r="B407" s="739" t="s">
        <x:v>85</x:v>
      </x:c>
      <x:c r="C407" s="739" t="s">
        <x:v>70</x:v>
      </x:c>
      <x:c r="E407" s="769">
        <x:v>0</x:v>
      </x:c>
      <x:c r="F407" s="231">
        <x:v>0</x:v>
      </x:c>
      <x:c r="G407" s="231">
        <x:v>0</x:v>
      </x:c>
      <x:c r="H407" s="769">
        <x:v>0</x:v>
      </x:c>
      <x:c r="I407" s="231">
        <x:v>0</x:v>
      </x:c>
      <x:c r="J407" s="231">
        <x:v>0</x:v>
      </x:c>
      <x:c r="K407" s="231">
        <x:v>0</x:v>
      </x:c>
      <x:c r="L407" s="231">
        <x:v>0</x:v>
      </x:c>
      <x:c r="M407" s="231">
        <x:v>0</x:v>
      </x:c>
      <x:c r="N407" s="231">
        <x:v>0</x:v>
      </x:c>
      <x:c r="O407" s="231">
        <x:v>0</x:v>
      </x:c>
      <x:c r="P407" s="231">
        <x:v>0</x:v>
      </x:c>
      <x:c r="Q407" s="231">
        <x:v>0</x:v>
      </x:c>
      <x:c r="R407" s="769">
        <x:v>0</x:v>
      </x:c>
    </x:row>
    <x:row r="408" spans="2:19" ht="12.75" customHeight="1" x14ac:dyDescent="0.2">
      <x:c r="D408" s="89" t="s">
        <x:v>72</x:v>
      </x:c>
      <x:c r="E408" s="90" t="n">
        <x:v>19713558.23</x:v>
      </x:c>
      <x:c r="F408" s="90" t="n">
        <x:v>1433611.21</x:v>
      </x:c>
      <x:c r="G408" s="90" t="n">
        <x:v>821473.98</x:v>
      </x:c>
      <x:c r="H408" s="90" t="n">
        <x:v>381759.58</x:v>
      </x:c>
      <x:c r="I408" s="90" t="n">
        <x:v>4009241.14</x:v>
      </x:c>
      <x:c r="J408" s="90" t="n">
        <x:v>149648.65</x:v>
      </x:c>
      <x:c r="K408" s="90" t="n">
        <x:v>0</x:v>
      </x:c>
      <x:c r="L408" s="90" t="n">
        <x:v>1253740.49</x:v>
      </x:c>
      <x:c r="M408" s="90" t="n">
        <x:v>1363565.37</x:v>
      </x:c>
      <x:c r="N408" s="90" t="n">
        <x:v>5819071.15</x:v>
      </x:c>
      <x:c r="O408" s="90" t="n">
        <x:v>4269755.25</x:v>
      </x:c>
      <x:c r="P408" s="90" t="n">
        <x:v>211601.51</x:v>
      </x:c>
      <x:c r="Q408" s="90" t="n">
        <x:v>89.9</x:v>
      </x:c>
      <x:c r="R408" t="n">
        <x:v>0</x:v>
      </x:c>
    </x:row>
    <x:row r="409" spans="2:19" ht="12.75" customHeight="1" x14ac:dyDescent="0.2">
      <x:c r="D409" s="89" t="s">
        <x:v>81</x:v>
      </x:c>
      <x:c r="E409" s="90" t="n">
        <x:v>18754.01</x:v>
      </x:c>
      <x:c r="F409" s="90" t="n">
        <x:v>1185.98</x:v>
      </x:c>
      <x:c r="G409" s="90" t="n">
        <x:v>657.93</x:v>
      </x:c>
      <x:c r="H409" s="90" t="n">
        <x:v>342.39</x:v>
      </x:c>
      <x:c r="I409" s="90" t="n">
        <x:v>3726.74</x:v>
      </x:c>
      <x:c r="J409" s="90" t="n">
        <x:v>150.8</x:v>
      </x:c>
      <x:c r="K409" s="90" t="n">
        <x:v>0</x:v>
      </x:c>
      <x:c r="L409" s="90" t="n">
        <x:v>1322.67</x:v>
      </x:c>
      <x:c r="M409" s="90" t="n">
        <x:v>1225.14</x:v>
      </x:c>
      <x:c r="N409" s="90" t="n">
        <x:v>6423.46</x:v>
      </x:c>
      <x:c r="O409" s="90" t="n">
        <x:v>3472.69</x:v>
      </x:c>
      <x:c r="P409" s="90" t="n">
        <x:v>246.08</x:v>
      </x:c>
      <x:c r="Q409" s="90" t="n">
        <x:v>0.13</x:v>
      </x:c>
      <x:c r="R409" t="n">
        <x:v>0</x:v>
      </x:c>
    </x:row>
    <x:row r="410" spans="2:19" ht="12.75" customHeight="1" x14ac:dyDescent="0.2">
      <x:c r="B410" s="89"/>
      <x:c r="C410" s="89" t="s">
        <x:v>156</x:v>
      </x:c>
      <x:c r="D410" t="s">
        <x:v>70</x:v>
      </x:c>
      <x:c r="E410" s="90" t="n">
        <x:v>19732312.24</x:v>
      </x:c>
      <x:c r="F410" s="90" t="n">
        <x:v>1434797.19</x:v>
      </x:c>
      <x:c r="G410" s="90" t="n">
        <x:v>822131.91</x:v>
      </x:c>
      <x:c r="H410" s="90" t="n">
        <x:v>382101.97</x:v>
      </x:c>
      <x:c r="I410" s="90" t="n">
        <x:v>4012967.88</x:v>
      </x:c>
      <x:c r="J410" s="90" t="n">
        <x:v>149799.45</x:v>
      </x:c>
      <x:c r="K410" s="90" t="n">
        <x:v>0</x:v>
      </x:c>
      <x:c r="L410" s="90" t="n">
        <x:v>1255063.16</x:v>
      </x:c>
      <x:c r="M410" s="90" t="n">
        <x:v>1364790.51</x:v>
      </x:c>
      <x:c r="N410" s="90" t="n">
        <x:v>5825494.61</x:v>
      </x:c>
      <x:c r="O410" s="90" t="n">
        <x:v>4273227.94</x:v>
      </x:c>
      <x:c r="P410" s="90" t="n">
        <x:v>211847.59</x:v>
      </x:c>
      <x:c r="Q410" s="90" t="n">
        <x:v>90.03</x:v>
      </x:c>
      <x:c r="R410" t="n">
        <x:v>0</x:v>
      </x:c>
    </x:row>
    <x:row r="411" spans="2:19" s="237" customFormat="1" ht="12.75" customHeight="1" x14ac:dyDescent="0.2">
      <x:c r="B411" s="221" t="s">
        <x:v>155</x:v>
      </x:c>
      <x:c r="C411" s="221" t="s">
        <x:v>70</x:v>
      </x:c>
      <x:c r="E411" s="222" t="n">
        <x:v>19732312.24</x:v>
      </x:c>
      <x:c r="F411" s="222" t="n">
        <x:v>1434797.19</x:v>
      </x:c>
      <x:c r="G411" s="222" t="n">
        <x:v>822131.91</x:v>
      </x:c>
      <x:c r="H411" s="222" t="n">
        <x:v>382101.97</x:v>
      </x:c>
      <x:c r="I411" s="222" t="n">
        <x:v>4012967.88</x:v>
      </x:c>
      <x:c r="J411" s="222" t="n">
        <x:v>149799.45</x:v>
      </x:c>
      <x:c r="K411" s="222" t="n">
        <x:v>0</x:v>
      </x:c>
      <x:c r="L411" s="222" t="n">
        <x:v>1255063.16</x:v>
      </x:c>
      <x:c r="M411" s="222" t="n">
        <x:v>1364790.51</x:v>
      </x:c>
      <x:c r="N411" s="222" t="n">
        <x:v>5825494.61</x:v>
      </x:c>
      <x:c r="O411" s="222" t="n">
        <x:v>4273227.94</x:v>
      </x:c>
      <x:c r="P411" s="222" t="n">
        <x:v>211847.59</x:v>
      </x:c>
      <x:c r="Q411" s="222" t="n">
        <x:v>90.03</x:v>
      </x:c>
      <x:c r="R411" s="237" t="n">
        <x:v>0</x:v>
      </x:c>
    </x:row>
    <x:row r="412" spans="2:19" ht="12.75" customHeight="1" x14ac:dyDescent="0.2">
      <x:c r="D412" t="s">
        <x:v>72</x:v>
      </x:c>
      <x:c r="E412" s="142" t="n">
        <x:v>7522088.94</x:v>
      </x:c>
      <x:c r="F412" t="n">
        <x:v>452084.23</x:v>
      </x:c>
      <x:c r="G412" t="n">
        <x:v>257859.84</x:v>
      </x:c>
      <x:c r="H412" t="n">
        <x:v>110457.94</x:v>
      </x:c>
      <x:c r="I412" t="n">
        <x:v>1817304.03</x:v>
      </x:c>
      <x:c r="J412" t="n">
        <x:v>58755.74</x:v>
      </x:c>
      <x:c r="K412" t="n">
        <x:v>0</x:v>
      </x:c>
      <x:c r="L412" t="n">
        <x:v>533049.52</x:v>
      </x:c>
      <x:c r="M412" t="n">
        <x:v>533000.77</x:v>
      </x:c>
      <x:c r="N412" t="n">
        <x:v>2377838.02</x:v>
      </x:c>
      <x:c r="O412" t="n">
        <x:v>1292657.05</x:v>
      </x:c>
      <x:c r="P412" t="n">
        <x:v>89104.17</x:v>
      </x:c>
      <x:c r="Q412" t="n">
        <x:v>-22.37</x:v>
      </x:c>
      <x:c r="R412" t="n">
        <x:v>0</x:v>
      </x:c>
    </x:row>
    <x:row r="413" spans="2:19" ht="12.75" customHeight="1" x14ac:dyDescent="0.2">
      <x:c r="D413" t="s">
        <x:v>81</x:v>
      </x:c>
      <x:c r="E413" s="142" t="n">
        <x:v>7478.7</x:v>
      </x:c>
      <x:c r="F413" t="n">
        <x:v>443.1</x:v>
      </x:c>
      <x:c r="G413" t="n">
        <x:v>249.22</x:v>
      </x:c>
      <x:c r="H413" t="n">
        <x:v>133.69</x:v>
      </x:c>
      <x:c r="I413" t="n">
        <x:v>1658</x:v>
      </x:c>
      <x:c r="J413" t="n">
        <x:v>59.23</x:v>
      </x:c>
      <x:c r="K413" t="n">
        <x:v>0</x:v>
      </x:c>
      <x:c r="L413" t="n">
        <x:v>512.44</x:v>
      </x:c>
      <x:c r="M413" t="n">
        <x:v>531.97</x:v>
      </x:c>
      <x:c r="N413" t="n">
        <x:v>2482.92</x:v>
      </x:c>
      <x:c r="O413" t="n">
        <x:v>1311.38</x:v>
      </x:c>
      <x:c r="P413" t="n">
        <x:v>96.59</x:v>
      </x:c>
      <x:c r="Q413" t="n">
        <x:v>0.16</x:v>
      </x:c>
      <x:c r="R413" t="n">
        <x:v>0</x:v>
      </x:c>
    </x:row>
    <x:row r="414" spans="2:19" ht="12.75" customHeight="1" x14ac:dyDescent="0.2">
      <x:c r="C414" t="s">
        <x:v>156</x:v>
      </x:c>
      <x:c r="D414" t="s">
        <x:v>70</x:v>
      </x:c>
      <x:c r="E414" s="142" t="n">
        <x:v>7529567.64</x:v>
      </x:c>
      <x:c r="F414" t="n">
        <x:v>452527.33</x:v>
      </x:c>
      <x:c r="G414" t="n">
        <x:v>258109.06</x:v>
      </x:c>
      <x:c r="H414" t="n">
        <x:v>110591.63</x:v>
      </x:c>
      <x:c r="I414" t="n">
        <x:v>1818962.03</x:v>
      </x:c>
      <x:c r="J414" t="n">
        <x:v>58814.97</x:v>
      </x:c>
      <x:c r="K414" t="n">
        <x:v>0</x:v>
      </x:c>
      <x:c r="L414" t="n">
        <x:v>533561.96</x:v>
      </x:c>
      <x:c r="M414" t="n">
        <x:v>533532.74</x:v>
      </x:c>
      <x:c r="N414" t="n">
        <x:v>2380320.94</x:v>
      </x:c>
      <x:c r="O414" t="n">
        <x:v>1293968.43</x:v>
      </x:c>
      <x:c r="P414" t="n">
        <x:v>89200.76</x:v>
      </x:c>
      <x:c r="Q414" t="n">
        <x:v>-22.21</x:v>
      </x:c>
      <x:c r="R414" t="n">
        <x:v>0</x:v>
      </x:c>
    </x:row>
    <x:row r="415" spans="2:19" s="739" customFormat="1" ht="12.75" customHeight="1" x14ac:dyDescent="0.2">
      <x:c r="B415" s="739" t="s">
        <x:v>326</x:v>
      </x:c>
      <x:c r="C415" s="739" t="s">
        <x:v>70</x:v>
      </x:c>
      <x:c r="E415" s="231" t="n">
        <x:v>7529567.64</x:v>
      </x:c>
      <x:c r="F415" s="740" t="n">
        <x:v>452527.33</x:v>
      </x:c>
      <x:c r="G415" s="232" t="n">
        <x:v>258109.06</x:v>
      </x:c>
      <x:c r="H415" s="232" t="n">
        <x:v>110591.63</x:v>
      </x:c>
      <x:c r="I415" s="232" t="n">
        <x:v>1818962.03</x:v>
      </x:c>
      <x:c r="J415" s="232" t="n">
        <x:v>58814.97</x:v>
      </x:c>
      <x:c r="K415" s="232" t="n">
        <x:v>0</x:v>
      </x:c>
      <x:c r="L415" s="232" t="n">
        <x:v>533561.96</x:v>
      </x:c>
      <x:c r="M415" s="232" t="n">
        <x:v>533532.74</x:v>
      </x:c>
      <x:c r="N415" s="232" t="n">
        <x:v>2380320.94</x:v>
      </x:c>
      <x:c r="O415" s="232" t="n">
        <x:v>1293968.43</x:v>
      </x:c>
      <x:c r="P415" s="232" t="n">
        <x:v>89200.76</x:v>
      </x:c>
      <x:c r="Q415" s="232" t="n">
        <x:v>-22.21</x:v>
      </x:c>
      <x:c r="R415" s="232" t="n">
        <x:v>0</x:v>
      </x:c>
      <x:c r="S415" s="232"/>
    </x:row>
    <x:row r="416" spans="2:19" ht="12.75" customHeight="1" x14ac:dyDescent="0.2">
      <x:c r="D416" t="s">
        <x:v>72</x:v>
      </x:c>
      <x:c r="E416" s="142" t="n">
        <x:v>2071705.94</x:v>
      </x:c>
      <x:c r="F416" t="n">
        <x:v>103319.02</x:v>
      </x:c>
      <x:c r="G416" t="n">
        <x:v>57420.42</x:v>
      </x:c>
      <x:c r="H416" t="n">
        <x:v>21085.54</x:v>
      </x:c>
      <x:c r="I416" t="n">
        <x:v>346150.26</x:v>
      </x:c>
      <x:c r="J416" t="n">
        <x:v>11031.32</x:v>
      </x:c>
      <x:c r="K416" t="n">
        <x:v>0</x:v>
      </x:c>
      <x:c r="L416" t="n">
        <x:v>145571.06</x:v>
      </x:c>
      <x:c r="M416" t="n">
        <x:v>183039.97</x:v>
      </x:c>
      <x:c r="N416" t="n">
        <x:v>809955.99</x:v>
      </x:c>
      <x:c r="O416" t="n">
        <x:v>379524.28</x:v>
      </x:c>
      <x:c r="P416" t="n">
        <x:v>14610.01</x:v>
      </x:c>
      <x:c r="Q416" t="n">
        <x:v>-1.93</x:v>
      </x:c>
      <x:c r="R416" t="n">
        <x:v>0</x:v>
      </x:c>
    </x:row>
    <x:row r="417" spans="1:19" ht="12.75" customHeight="1" x14ac:dyDescent="0.2">
      <x:c r="D417" t="s">
        <x:v>81</x:v>
      </x:c>
      <x:c r="E417" s="142" t="n">
        <x:v>5827.74</x:v>
      </x:c>
      <x:c r="F417" t="n">
        <x:v>335.75</x:v>
      </x:c>
      <x:c r="G417" t="n">
        <x:v>183.23</x:v>
      </x:c>
      <x:c r="H417" t="n">
        <x:v>102.43</x:v>
      </x:c>
      <x:c r="I417" t="n">
        <x:v>1405.62</x:v>
      </x:c>
      <x:c r="J417" t="n">
        <x:v>35.88</x:v>
      </x:c>
      <x:c r="K417" t="n">
        <x:v>0</x:v>
      </x:c>
      <x:c r="L417" t="n">
        <x:v>312.68</x:v>
      </x:c>
      <x:c r="M417" t="n">
        <x:v>400.21</x:v>
      </x:c>
      <x:c r="N417" t="n">
        <x:v>1989.45</x:v>
      </x:c>
      <x:c r="O417" t="n">
        <x:v>1003.89</x:v>
      </x:c>
      <x:c r="P417" t="n">
        <x:v>58.46</x:v>
      </x:c>
      <x:c r="Q417" t="n">
        <x:v>0.14</x:v>
      </x:c>
      <x:c r="R417" t="n">
        <x:v>0</x:v>
      </x:c>
    </x:row>
    <x:row r="418" spans="1:19" ht="12.75" customHeight="1" x14ac:dyDescent="0.2">
      <x:c r="C418" t="s">
        <x:v>82</x:v>
      </x:c>
      <x:c r="D418" t="s">
        <x:v>70</x:v>
      </x:c>
      <x:c r="E418" s="142" t="n">
        <x:v>2077533.68</x:v>
      </x:c>
      <x:c r="F418" t="n">
        <x:v>103654.77</x:v>
      </x:c>
      <x:c r="G418" t="n">
        <x:v>57603.65</x:v>
      </x:c>
      <x:c r="H418" t="n">
        <x:v>21187.97</x:v>
      </x:c>
      <x:c r="I418" t="n">
        <x:v>347555.88</x:v>
      </x:c>
      <x:c r="J418" t="n">
        <x:v>11067.2</x:v>
      </x:c>
      <x:c r="K418" t="n">
        <x:v>0</x:v>
      </x:c>
      <x:c r="L418" t="n">
        <x:v>145883.74</x:v>
      </x:c>
      <x:c r="M418" t="n">
        <x:v>183440.18</x:v>
      </x:c>
      <x:c r="N418" t="n">
        <x:v>811945.44</x:v>
      </x:c>
      <x:c r="O418" t="n">
        <x:v>380528.17</x:v>
      </x:c>
      <x:c r="P418" t="n">
        <x:v>14668.47</x:v>
      </x:c>
      <x:c r="Q418" t="n">
        <x:v>-1.79</x:v>
      </x:c>
      <x:c r="R418" t="n">
        <x:v>0</x:v>
      </x:c>
    </x:row>
    <x:row r="419" spans="1:19" ht="12.75" customHeight="1" x14ac:dyDescent="0.2">
      <x:c r="D419" t="s">
        <x:v>72</x:v>
      </x:c>
      <x:c r="E419" s="142" t="n">
        <x:v>564214.29</x:v>
      </x:c>
      <x:c r="F419" t="n">
        <x:v>17423.51</x:v>
      </x:c>
      <x:c r="G419" t="n">
        <x:v>9851.94</x:v>
      </x:c>
      <x:c r="H419" t="n">
        <x:v>1306.08</x:v>
      </x:c>
      <x:c r="I419" t="n">
        <x:v>70737.58</x:v>
      </x:c>
      <x:c r="J419" t="n">
        <x:v>2919.74</x:v>
      </x:c>
      <x:c r="K419" t="n">
        <x:v>0</x:v>
      </x:c>
      <x:c r="L419" t="n">
        <x:v>56924.86</x:v>
      </x:c>
      <x:c r="M419" t="n">
        <x:v>66619.45</x:v>
      </x:c>
      <x:c r="N419" t="n">
        <x:v>239269.57</x:v>
      </x:c>
      <x:c r="O419" t="n">
        <x:v>97907.86</x:v>
      </x:c>
      <x:c r="P419" t="n">
        <x:v>1248.93</x:v>
      </x:c>
      <x:c r="Q419" t="n">
        <x:v>4.77</x:v>
      </x:c>
      <x:c r="R419" t="n">
        <x:v>0</x:v>
      </x:c>
    </x:row>
    <x:row r="420" spans="1:19" ht="12.75" customHeight="1" x14ac:dyDescent="0.2">
      <x:c r="D420" t="s">
        <x:v>81</x:v>
      </x:c>
      <x:c r="E420" s="142" t="n">
        <x:v>15983.37</x:v>
      </x:c>
      <x:c r="F420" t="n">
        <x:v>1350.57</x:v>
      </x:c>
      <x:c r="G420" t="n">
        <x:v>675.27</x:v>
      </x:c>
      <x:c r="H420" t="n">
        <x:v>377.77</x:v>
      </x:c>
      <x:c r="I420" t="n">
        <x:v>2442.13</x:v>
      </x:c>
      <x:c r="J420" t="n">
        <x:v>121.05</x:v>
      </x:c>
      <x:c r="K420" t="n">
        <x:v>0</x:v>
      </x:c>
      <x:c r="L420" t="n">
        <x:v>1025.1</x:v>
      </x:c>
      <x:c r="M420" t="n">
        <x:v>984.77</x:v>
      </x:c>
      <x:c r="N420" t="n">
        <x:v>4740.85</x:v>
      </x:c>
      <x:c r="O420" t="n">
        <x:v>4068.12</x:v>
      </x:c>
      <x:c r="P420" t="n">
        <x:v>197.44</x:v>
      </x:c>
      <x:c r="Q420" t="n">
        <x:v>0.3</x:v>
      </x:c>
      <x:c r="R420" t="n">
        <x:v>0</x:v>
      </x:c>
    </x:row>
    <x:row r="421" spans="1:19" ht="12.75" customHeight="1" x14ac:dyDescent="0.2">
      <x:c r="C421" t="s">
        <x:v>86</x:v>
      </x:c>
      <x:c r="D421" t="s">
        <x:v>70</x:v>
      </x:c>
      <x:c r="E421" s="142" t="n">
        <x:v>580197.66</x:v>
      </x:c>
      <x:c r="F421" t="n">
        <x:v>18774.08</x:v>
      </x:c>
      <x:c r="G421" t="n">
        <x:v>10527.21</x:v>
      </x:c>
      <x:c r="H421" t="n">
        <x:v>1683.85</x:v>
      </x:c>
      <x:c r="I421" t="n">
        <x:v>73179.71</x:v>
      </x:c>
      <x:c r="J421" t="n">
        <x:v>3040.79</x:v>
      </x:c>
      <x:c r="K421" t="n">
        <x:v>0</x:v>
      </x:c>
      <x:c r="L421" t="n">
        <x:v>57949.96</x:v>
      </x:c>
      <x:c r="M421" t="n">
        <x:v>67604.22</x:v>
      </x:c>
      <x:c r="N421" t="n">
        <x:v>244010.42</x:v>
      </x:c>
      <x:c r="O421" t="n">
        <x:v>101975.98</x:v>
      </x:c>
      <x:c r="P421" t="n">
        <x:v>1446.37</x:v>
      </x:c>
      <x:c r="Q421" t="n">
        <x:v>5.07</x:v>
      </x:c>
      <x:c r="R421" t="n">
        <x:v>0</x:v>
      </x:c>
    </x:row>
    <x:row r="422" spans="1:19" ht="12.75" customHeight="1" x14ac:dyDescent="0.2">
      <x:c r="D422" t="s">
        <x:v>72</x:v>
      </x:c>
      <x:c r="E422" s="142" t="n">
        <x:v>9223422.14</x:v>
      </x:c>
      <x:c r="F422" t="n">
        <x:v>1035458.12</x:v>
      </x:c>
      <x:c r="G422" t="n">
        <x:v>588303.9</x:v>
      </x:c>
      <x:c r="H422" t="n">
        <x:v>292492.33</x:v>
      </x:c>
      <x:c r="I422" t="n">
        <x:v>925765.26</x:v>
      </x:c>
      <x:c r="J422" t="n">
        <x:v>26352.8</x:v>
      </x:c>
      <x:c r="K422" t="n">
        <x:v>990006.55</x:v>
      </x:c>
      <x:c r="L422" t="n">
        <x:v>272062.34</x:v>
      </x:c>
      <x:c r="M422" t="n">
        <x:v>350629.12</x:v>
      </x:c>
      <x:c r="N422" t="n">
        <x:v>1502001.28</x:v>
      </x:c>
      <x:c r="O422" t="n">
        <x:v>3205703.11</x:v>
      </x:c>
      <x:c r="P422" t="n">
        <x:v>34728.98</x:v>
      </x:c>
      <x:c r="Q422" t="n">
        <x:v>-81.65</x:v>
      </x:c>
      <x:c r="R422" t="n">
        <x:v>0</x:v>
      </x:c>
    </x:row>
    <x:row r="423" spans="1:19" ht="12.75" customHeight="1" x14ac:dyDescent="0.2">
      <x:c r="B423" s="142"/>
      <x:c r="D423" t="s">
        <x:v>81</x:v>
      </x:c>
      <x:c r="E423" s="142" t="n">
        <x:v>19833.35</x:v>
      </x:c>
      <x:c r="F423" t="n">
        <x:v>1583.47</x:v>
      </x:c>
      <x:c r="G423" t="n">
        <x:v>870.86</x:v>
      </x:c>
      <x:c r="H423" t="n">
        <x:v>471.95</x:v>
      </x:c>
      <x:c r="I423" t="n">
        <x:v>3975.48</x:v>
      </x:c>
      <x:c r="J423" t="n">
        <x:v>100.34</x:v>
      </x:c>
      <x:c r="K423" t="n">
        <x:v>0</x:v>
      </x:c>
      <x:c r="L423" t="n">
        <x:v>881.78</x:v>
      </x:c>
      <x:c r="M423" t="n">
        <x:v>1143.53</x:v>
      </x:c>
      <x:c r="N423" t="n">
        <x:v>5829.84</x:v>
      </x:c>
      <x:c r="O423" t="n">
        <x:v>4812.52</x:v>
      </x:c>
      <x:c r="P423" t="n">
        <x:v>163.4</x:v>
      </x:c>
      <x:c r="Q423" t="n">
        <x:v>0.18</x:v>
      </x:c>
      <x:c r="R423" t="n">
        <x:v>0</x:v>
      </x:c>
    </x:row>
    <x:row r="424" spans="1:19" ht="12.75" customHeight="1" x14ac:dyDescent="0.2">
      <x:c r="B424" s="142"/>
      <x:c r="C424" t="s">
        <x:v>87</x:v>
      </x:c>
      <x:c r="D424" t="s">
        <x:v>70</x:v>
      </x:c>
      <x:c r="E424" s="142" t="n">
        <x:v>9243255.49</x:v>
      </x:c>
      <x:c r="F424" t="n">
        <x:v>1037041.59</x:v>
      </x:c>
      <x:c r="G424" t="n">
        <x:v>589174.76</x:v>
      </x:c>
      <x:c r="H424" t="n">
        <x:v>292964.28</x:v>
      </x:c>
      <x:c r="I424" t="n">
        <x:v>929740.74</x:v>
      </x:c>
      <x:c r="J424" t="n">
        <x:v>26453.14</x:v>
      </x:c>
      <x:c r="K424" t="n">
        <x:v>990006.55</x:v>
      </x:c>
      <x:c r="L424" t="n">
        <x:v>272944.12</x:v>
      </x:c>
      <x:c r="M424" t="n">
        <x:v>351772.65</x:v>
      </x:c>
      <x:c r="N424" t="n">
        <x:v>1507831.12</x:v>
      </x:c>
      <x:c r="O424" t="n">
        <x:v>3210515.63</x:v>
      </x:c>
      <x:c r="P424" t="n">
        <x:v>34892.38</x:v>
      </x:c>
      <x:c r="Q424" t="n">
        <x:v>-81.47</x:v>
      </x:c>
      <x:c r="R424" t="n">
        <x:v>0</x:v>
      </x:c>
    </x:row>
    <x:row r="425" spans="1:19" s="94" customFormat="1" ht="12.75" customHeight="1" x14ac:dyDescent="0.2">
      <x:c r="B425" s="101" t="s">
        <x:v>119</x:v>
      </x:c>
      <x:c r="C425" s="101" t="s">
        <x:v>70</x:v>
      </x:c>
      <x:c r="E425" s="93" t="n">
        <x:v>11900986.83</x:v>
      </x:c>
      <x:c r="F425" s="93" t="n">
        <x:v>1159470.44</x:v>
      </x:c>
      <x:c r="G425" s="93" t="n">
        <x:v>657305.62</x:v>
      </x:c>
      <x:c r="H425" s="93" t="n">
        <x:v>315836.1</x:v>
      </x:c>
      <x:c r="I425" s="93" t="n">
        <x:v>1350476.33</x:v>
      </x:c>
      <x:c r="J425" s="93" t="n">
        <x:v>40561.13</x:v>
      </x:c>
      <x:c r="K425" s="93" t="n">
        <x:v>990006.55</x:v>
      </x:c>
      <x:c r="L425" s="93" t="n">
        <x:v>476777.82</x:v>
      </x:c>
      <x:c r="M425" s="93" t="n">
        <x:v>602817.05</x:v>
      </x:c>
      <x:c r="N425" s="93" t="n">
        <x:v>2563786.98</x:v>
      </x:c>
      <x:c r="O425" s="93" t="n">
        <x:v>3693019.78</x:v>
      </x:c>
      <x:c r="P425" s="93" t="n">
        <x:v>51007.22</x:v>
      </x:c>
      <x:c r="Q425" s="93" t="n">
        <x:v>-78.19</x:v>
      </x:c>
      <x:c r="R425" s="94" t="n">
        <x:v>0</x:v>
      </x:c>
    </x:row>
    <x:row r="426" spans="1:19" s="226" customFormat="1" ht="12.75" customHeight="1" x14ac:dyDescent="0.2">
      <x:c r="A426" s="98" t="s">
        <x:v>78</x:v>
      </x:c>
      <x:c r="B426" s="98" t="s">
        <x:v>70</x:v>
      </x:c>
      <x:c r="E426" s="100" t="n">
        <x:v>39162866.71</x:v>
      </x:c>
      <x:c r="F426" s="100" t="n">
        <x:v>3046794.96</x:v>
      </x:c>
      <x:c r="G426" s="100" t="n">
        <x:v>1737546.59</x:v>
      </x:c>
      <x:c r="H426" s="100" t="n">
        <x:v>808529.7</x:v>
      </x:c>
      <x:c r="I426" s="100" t="n">
        <x:v>7182406.24</x:v>
      </x:c>
      <x:c r="J426" s="100" t="n">
        <x:v>249175.55</x:v>
      </x:c>
      <x:c r="K426" s="100" t="n">
        <x:v>990006.55</x:v>
      </x:c>
      <x:c r="L426" s="100" t="n">
        <x:v>2265402.94</x:v>
      </x:c>
      <x:c r="M426" s="100" t="n">
        <x:v>2501140.3</x:v>
      </x:c>
      <x:c r="N426" s="100" t="n">
        <x:v>10769602.53</x:v>
      </x:c>
      <x:c r="O426" s="100" t="n">
        <x:v>9260216.15</x:v>
      </x:c>
      <x:c r="P426" s="100" t="n">
        <x:v>352055.57</x:v>
      </x:c>
      <x:c r="Q426" s="100" t="n">
        <x:v>-10.37</x:v>
      </x:c>
      <x:c r="R426" s="226" t="n">
        <x:v>0</x:v>
      </x:c>
    </x:row>
    <x:row r="427" spans="1:19" ht="12.75" customHeight="1" x14ac:dyDescent="0.2">
      <x:c r="C427" s="89"/>
      <x:c r="D427" s="89" t="s">
        <x:v>73</x:v>
      </x:c>
      <x:c r="E427" s="90" t="n">
        <x:v>3691549.5</x:v>
      </x:c>
      <x:c r="F427" s="90" t="n">
        <x:v>530921.57</x:v>
      </x:c>
      <x:c r="G427" s="90" t="n">
        <x:v>272938.43</x:v>
      </x:c>
      <x:c r="H427" s="90" t="n">
        <x:v>117564.27</x:v>
      </x:c>
      <x:c r="I427" s="90" t="n">
        <x:v>369298.5</x:v>
      </x:c>
      <x:c r="J427" s="90" t="n">
        <x:v>12339.48</x:v>
      </x:c>
      <x:c r="K427" s="90" t="n">
        <x:v>0</x:v>
      </x:c>
      <x:c r="L427" s="90" t="n">
        <x:v>114960.22</x:v>
      </x:c>
      <x:c r="M427" s="90" t="n">
        <x:v>67403.39</x:v>
      </x:c>
      <x:c r="N427" s="90" t="n">
        <x:v>586625.34</x:v>
      </x:c>
      <x:c r="O427" s="90" t="n">
        <x:v>1598903.62</x:v>
      </x:c>
      <x:c r="P427" s="90" t="n">
        <x:v>20594.68</x:v>
      </x:c>
      <x:c r="Q427" s="90" t="n">
        <x:v>0</x:v>
      </x:c>
      <x:c r="R427" t="n">
        <x:v>0</x:v>
      </x:c>
    </x:row>
    <x:row r="428" spans="1:19" ht="12.75" customHeight="1" x14ac:dyDescent="0.2">
      <x:c r="B428" s="89"/>
      <x:c r="C428" s="89" t="s">
        <x:v>156</x:v>
      </x:c>
      <x:c r="D428" t="s">
        <x:v>70</x:v>
      </x:c>
      <x:c r="E428" s="90" t="n">
        <x:v>3691549.5</x:v>
      </x:c>
      <x:c r="F428" s="90" t="n">
        <x:v>530921.57</x:v>
      </x:c>
      <x:c r="G428" s="90" t="n">
        <x:v>272938.43</x:v>
      </x:c>
      <x:c r="H428" s="90" t="n">
        <x:v>117564.27</x:v>
      </x:c>
      <x:c r="I428" s="90" t="n">
        <x:v>369298.5</x:v>
      </x:c>
      <x:c r="J428" s="90" t="n">
        <x:v>12339.48</x:v>
      </x:c>
      <x:c r="K428" s="90" t="n">
        <x:v>0</x:v>
      </x:c>
      <x:c r="L428" s="90" t="n">
        <x:v>114960.22</x:v>
      </x:c>
      <x:c r="M428" s="90" t="n">
        <x:v>67403.39</x:v>
      </x:c>
      <x:c r="N428" s="90" t="n">
        <x:v>586625.34</x:v>
      </x:c>
      <x:c r="O428" s="90" t="n">
        <x:v>1598903.62</x:v>
      </x:c>
      <x:c r="P428" s="90" t="n">
        <x:v>20594.68</x:v>
      </x:c>
      <x:c r="Q428" s="90" t="n">
        <x:v>0</x:v>
      </x:c>
      <x:c r="R428" t="n">
        <x:v>0</x:v>
      </x:c>
    </x:row>
    <x:row r="429" spans="1:19" s="237" customFormat="1" ht="12.75" customHeight="1" x14ac:dyDescent="0.2">
      <x:c r="B429" s="221" t="s">
        <x:v>155</x:v>
      </x:c>
      <x:c r="C429" s="221" t="s">
        <x:v>70</x:v>
      </x:c>
      <x:c r="E429" s="222" t="n">
        <x:v>3691549.5</x:v>
      </x:c>
      <x:c r="F429" s="222" t="n">
        <x:v>530921.57</x:v>
      </x:c>
      <x:c r="G429" s="222" t="n">
        <x:v>272938.43</x:v>
      </x:c>
      <x:c r="H429" s="222" t="n">
        <x:v>117564.27</x:v>
      </x:c>
      <x:c r="I429" s="222" t="n">
        <x:v>369298.5</x:v>
      </x:c>
      <x:c r="J429" s="222" t="n">
        <x:v>12339.48</x:v>
      </x:c>
      <x:c r="K429" s="222" t="n">
        <x:v>0</x:v>
      </x:c>
      <x:c r="L429" s="222" t="n">
        <x:v>114960.22</x:v>
      </x:c>
      <x:c r="M429" s="222" t="n">
        <x:v>67403.39</x:v>
      </x:c>
      <x:c r="N429" s="222" t="n">
        <x:v>586625.34</x:v>
      </x:c>
      <x:c r="O429" s="222" t="n">
        <x:v>1598903.62</x:v>
      </x:c>
      <x:c r="P429" s="222" t="n">
        <x:v>20594.68</x:v>
      </x:c>
      <x:c r="Q429" s="222" t="n">
        <x:v>0</x:v>
      </x:c>
      <x:c r="R429" s="237" t="n">
        <x:v>0</x:v>
      </x:c>
    </x:row>
    <x:row r="430" spans="1:19" ht="12.75" customHeight="1" x14ac:dyDescent="0.2">
      <x:c r="B430" s="142"/>
      <x:c r="C430" s="89"/>
      <x:c r="D430" s="89" t="s">
        <x:v>73</x:v>
      </x:c>
      <x:c r="E430" s="371" t="n">
        <x:v>-1287165.16</x:v>
      </x:c>
      <x:c r="F430" s="90" t="n">
        <x:v>-66624.22</x:v>
      </x:c>
      <x:c r="G430" s="90" t="n">
        <x:v>-37615.3</x:v>
      </x:c>
      <x:c r="H430" s="90" t="n">
        <x:v>-19739.19</x:v>
      </x:c>
      <x:c r="I430" s="90" t="n">
        <x:v>-287087.38</x:v>
      </x:c>
      <x:c r="J430" s="90" t="n">
        <x:v>-10837.21</x:v>
      </x:c>
      <x:c r="K430" s="90" t="n">
        <x:v>0</x:v>
      </x:c>
      <x:c r="L430" s="90" t="n">
        <x:v>-91013.79</x:v>
      </x:c>
      <x:c r="M430" s="90" t="n">
        <x:v>-91573.95</x:v>
      </x:c>
      <x:c r="N430" s="90" t="n">
        <x:v>-468346.31</x:v>
      </x:c>
      <x:c r="O430" s="90" t="n">
        <x:v>-196727.98</x:v>
      </x:c>
      <x:c r="P430" s="90" t="n">
        <x:v>-17599.83</x:v>
      </x:c>
      <x:c r="Q430" s="90" t="n">
        <x:v>0</x:v>
      </x:c>
      <x:c r="R430" t="n">
        <x:v>0</x:v>
      </x:c>
    </x:row>
    <x:row r="431" spans="1:19" ht="12.75" customHeight="1" x14ac:dyDescent="0.2">
      <x:c r="B431" s="142"/>
      <x:c r="C431" s="89" t="s">
        <x:v>156</x:v>
      </x:c>
      <x:c r="D431" s="89" t="s">
        <x:v>70</x:v>
      </x:c>
      <x:c r="E431" s="371" t="n">
        <x:v>-1287165.16</x:v>
      </x:c>
      <x:c r="F431" s="90" t="n">
        <x:v>-66624.22</x:v>
      </x:c>
      <x:c r="G431" s="90" t="n">
        <x:v>-37615.3</x:v>
      </x:c>
      <x:c r="H431" s="90" t="n">
        <x:v>-19739.19</x:v>
      </x:c>
      <x:c r="I431" s="90" t="n">
        <x:v>-287087.38</x:v>
      </x:c>
      <x:c r="J431" s="90" t="n">
        <x:v>-10837.21</x:v>
      </x:c>
      <x:c r="K431" s="90" t="n">
        <x:v>0</x:v>
      </x:c>
      <x:c r="L431" s="90" t="n">
        <x:v>-91013.79</x:v>
      </x:c>
      <x:c r="M431" s="90" t="n">
        <x:v>-91573.95</x:v>
      </x:c>
      <x:c r="N431" s="90" t="n">
        <x:v>-468346.31</x:v>
      </x:c>
      <x:c r="O431" s="90" t="n">
        <x:v>-196727.98</x:v>
      </x:c>
      <x:c r="P431" s="90" t="n">
        <x:v>-17599.83</x:v>
      </x:c>
      <x:c r="Q431" s="90" t="n">
        <x:v>0</x:v>
      </x:c>
      <x:c r="R431" t="n">
        <x:v>0</x:v>
      </x:c>
    </x:row>
    <x:row r="432" spans="1:19" s="739" customFormat="1" ht="12.75" customHeight="1" x14ac:dyDescent="0.2">
      <x:c r="B432" s="739" t="s">
        <x:v>326</x:v>
      </x:c>
      <x:c r="C432" s="739" t="s">
        <x:v>70</x:v>
      </x:c>
      <x:c r="E432" s="231" t="n">
        <x:v>-1287165.16</x:v>
      </x:c>
      <x:c r="F432" s="740" t="n">
        <x:v>-66624.22</x:v>
      </x:c>
      <x:c r="G432" s="232" t="n">
        <x:v>-37615.3</x:v>
      </x:c>
      <x:c r="H432" s="232" t="n">
        <x:v>-19739.19</x:v>
      </x:c>
      <x:c r="I432" s="232" t="n">
        <x:v>-287087.38</x:v>
      </x:c>
      <x:c r="J432" s="232" t="n">
        <x:v>-10837.21</x:v>
      </x:c>
      <x:c r="K432" s="232" t="n">
        <x:v>0</x:v>
      </x:c>
      <x:c r="L432" s="232" t="n">
        <x:v>-91013.79</x:v>
      </x:c>
      <x:c r="M432" s="232" t="n">
        <x:v>-91573.95</x:v>
      </x:c>
      <x:c r="N432" s="232" t="n">
        <x:v>-468346.31</x:v>
      </x:c>
      <x:c r="O432" s="232" t="n">
        <x:v>-196727.98</x:v>
      </x:c>
      <x:c r="P432" s="232" t="n">
        <x:v>-17599.83</x:v>
      </x:c>
      <x:c r="Q432" s="232" t="n">
        <x:v>0</x:v>
      </x:c>
      <x:c r="R432" s="232" t="n">
        <x:v>0</x:v>
      </x:c>
      <x:c r="S432" s="232"/>
    </x:row>
    <x:row r="433" spans="1:18" ht="12.75" customHeight="1" x14ac:dyDescent="0.2">
      <x:c r="B433" s="142"/>
      <x:c r="C433" s="89"/>
      <x:c r="D433" s="89" t="s">
        <x:v>73</x:v>
      </x:c>
      <x:c r="E433" s="371" t="n">
        <x:v>-210692.92</x:v>
      </x:c>
      <x:c r="F433" s="90" t="n">
        <x:v>-10566.31</x:v>
      </x:c>
      <x:c r="G433" s="90" t="n">
        <x:v>-5965.83</x:v>
      </x:c>
      <x:c r="H433" s="90" t="n">
        <x:v>-3131.3</x:v>
      </x:c>
      <x:c r="I433" s="90" t="n">
        <x:v>-45955.45</x:v>
      </x:c>
      <x:c r="J433" s="90" t="n">
        <x:v>-1566.98</x:v>
      </x:c>
      <x:c r="K433" s="90" t="n">
        <x:v>0</x:v>
      </x:c>
      <x:c r="L433" s="90" t="n">
        <x:v>-13745.76</x:v>
      </x:c>
      <x:c r="M433" s="90" t="n">
        <x:v>-15917.58</x:v>
      </x:c>
      <x:c r="N433" s="90" t="n">
        <x:v>-79341.42</x:v>
      </x:c>
      <x:c r="O433" s="90" t="n">
        <x:v>-31945.58</x:v>
      </x:c>
      <x:c r="P433" s="90" t="n">
        <x:v>-2556.71</x:v>
      </x:c>
      <x:c r="Q433" s="90" t="n">
        <x:v>0</x:v>
      </x:c>
      <x:c r="R433" t="n">
        <x:v>0</x:v>
      </x:c>
    </x:row>
    <x:row r="434" spans="1:18" ht="12.75" customHeight="1" x14ac:dyDescent="0.2">
      <x:c r="B434" s="142"/>
      <x:c r="C434" s="89" t="s">
        <x:v>82</x:v>
      </x:c>
      <x:c r="D434" s="89" t="s">
        <x:v>70</x:v>
      </x:c>
      <x:c r="E434" s="371" t="n">
        <x:v>-210692.92</x:v>
      </x:c>
      <x:c r="F434" s="90" t="n">
        <x:v>-10566.31</x:v>
      </x:c>
      <x:c r="G434" s="90" t="n">
        <x:v>-5965.83</x:v>
      </x:c>
      <x:c r="H434" s="90" t="n">
        <x:v>-3131.3</x:v>
      </x:c>
      <x:c r="I434" s="90" t="n">
        <x:v>-45955.45</x:v>
      </x:c>
      <x:c r="J434" s="90" t="n">
        <x:v>-1566.98</x:v>
      </x:c>
      <x:c r="K434" s="90" t="n">
        <x:v>0</x:v>
      </x:c>
      <x:c r="L434" s="90" t="n">
        <x:v>-13745.76</x:v>
      </x:c>
      <x:c r="M434" s="90" t="n">
        <x:v>-15917.58</x:v>
      </x:c>
      <x:c r="N434" s="90" t="n">
        <x:v>-79341.42</x:v>
      </x:c>
      <x:c r="O434" s="90" t="n">
        <x:v>-31945.58</x:v>
      </x:c>
      <x:c r="P434" s="90" t="n">
        <x:v>-2556.71</x:v>
      </x:c>
      <x:c r="Q434" s="90" t="n">
        <x:v>0</x:v>
      </x:c>
      <x:c r="R434" t="n">
        <x:v>0</x:v>
      </x:c>
    </x:row>
    <x:row r="435" spans="1:18" ht="12.75" customHeight="1" x14ac:dyDescent="0.2">
      <x:c r="B435" s="142"/>
      <x:c r="C435" s="89"/>
      <x:c r="D435" s="89" t="s">
        <x:v>73</x:v>
      </x:c>
      <x:c r="E435" s="371" t="n">
        <x:v>-108192.45</x:v>
      </x:c>
      <x:c r="F435" s="90" t="n">
        <x:v>-4309.76</x:v>
      </x:c>
      <x:c r="G435" s="90" t="n">
        <x:v>-2433.32</x:v>
      </x:c>
      <x:c r="H435" s="90" t="n">
        <x:v>-1277.18</x:v>
      </x:c>
      <x:c r="I435" s="90" t="n">
        <x:v>-18004.79</x:v>
      </x:c>
      <x:c r="J435" s="90" t="n">
        <x:v>-1041.42</x:v>
      </x:c>
      <x:c r="K435" s="90" t="n">
        <x:v>0</x:v>
      </x:c>
      <x:c r="L435" s="90" t="n">
        <x:v>-9135.26</x:v>
      </x:c>
      <x:c r="M435" s="90" t="n">
        <x:v>-8882.84</x:v>
      </x:c>
      <x:c r="N435" s="90" t="n">
        <x:v>-48363.54</x:v>
      </x:c>
      <x:c r="O435" s="90" t="n">
        <x:v>-13045.17</x:v>
      </x:c>
      <x:c r="P435" s="90" t="n">
        <x:v>-1699.17</x:v>
      </x:c>
      <x:c r="Q435" s="90" t="n">
        <x:v>0</x:v>
      </x:c>
      <x:c r="R435" t="n">
        <x:v>0</x:v>
      </x:c>
    </x:row>
    <x:row r="436" spans="1:18" ht="12.75" customHeight="1" x14ac:dyDescent="0.2">
      <x:c r="B436" s="142"/>
      <x:c r="C436" s="89" t="s">
        <x:v>86</x:v>
      </x:c>
      <x:c r="D436" s="89" t="s">
        <x:v>70</x:v>
      </x:c>
      <x:c r="E436" s="371" t="n">
        <x:v>-108192.45</x:v>
      </x:c>
      <x:c r="F436" s="90" t="n">
        <x:v>-4309.76</x:v>
      </x:c>
      <x:c r="G436" s="90" t="n">
        <x:v>-2433.32</x:v>
      </x:c>
      <x:c r="H436" s="90" t="n">
        <x:v>-1277.18</x:v>
      </x:c>
      <x:c r="I436" s="90" t="n">
        <x:v>-18004.79</x:v>
      </x:c>
      <x:c r="J436" s="90" t="n">
        <x:v>-1041.42</x:v>
      </x:c>
      <x:c r="K436" s="90" t="n">
        <x:v>0</x:v>
      </x:c>
      <x:c r="L436" s="90" t="n">
        <x:v>-9135.26</x:v>
      </x:c>
      <x:c r="M436" s="90" t="n">
        <x:v>-8882.84</x:v>
      </x:c>
      <x:c r="N436" s="90" t="n">
        <x:v>-48363.54</x:v>
      </x:c>
      <x:c r="O436" s="90" t="n">
        <x:v>-13045.17</x:v>
      </x:c>
      <x:c r="P436" s="90" t="n">
        <x:v>-1699.17</x:v>
      </x:c>
      <x:c r="Q436" s="90" t="n">
        <x:v>0</x:v>
      </x:c>
      <x:c r="R436" t="n">
        <x:v>0</x:v>
      </x:c>
    </x:row>
    <x:row r="437" spans="1:18" ht="12.75" customHeight="1" x14ac:dyDescent="0.2">
      <x:c r="B437" s="142"/>
      <x:c r="C437" s="89"/>
      <x:c r="D437" s="89" t="s">
        <x:v>73</x:v>
      </x:c>
      <x:c r="E437" s="371" t="n">
        <x:v>2725143.28</x:v>
      </x:c>
      <x:c r="F437" s="90" t="n">
        <x:v>679374.88</x:v>
      </x:c>
      <x:c r="G437" s="90" t="n">
        <x:v>126898.74</x:v>
      </x:c>
      <x:c r="H437" s="90" t="n">
        <x:v>10627.02</x:v>
      </x:c>
      <x:c r="I437" s="90" t="n">
        <x:v>-60093.33</x:v>
      </x:c>
      <x:c r="J437" s="90" t="n">
        <x:v>-2491.74</x:v>
      </x:c>
      <x:c r="K437" s="90" t="n">
        <x:v>0</x:v>
      </x:c>
      <x:c r="L437" s="90" t="n">
        <x:v>-16227.77</x:v>
      </x:c>
      <x:c r="M437" s="90" t="n">
        <x:v>-16672.31</x:v>
      </x:c>
      <x:c r="N437" s="90" t="n">
        <x:v>-94111.77</x:v>
      </x:c>
      <x:c r="O437" s="90" t="n">
        <x:v>2101905.15</x:v>
      </x:c>
      <x:c r="P437" s="90" t="n">
        <x:v>-4065.59</x:v>
      </x:c>
      <x:c r="Q437" s="90" t="n">
        <x:v>0</x:v>
      </x:c>
      <x:c r="R437" t="n">
        <x:v>0</x:v>
      </x:c>
    </x:row>
    <x:row r="438" spans="1:18" ht="12.75" customHeight="1" x14ac:dyDescent="0.2">
      <x:c r="B438" s="142"/>
      <x:c r="C438" s="89" t="s">
        <x:v>87</x:v>
      </x:c>
      <x:c r="D438" s="89" t="s">
        <x:v>70</x:v>
      </x:c>
      <x:c r="E438" s="371" t="n">
        <x:v>2725143.28</x:v>
      </x:c>
      <x:c r="F438" s="90" t="n">
        <x:v>679374.88</x:v>
      </x:c>
      <x:c r="G438" s="90" t="n">
        <x:v>126898.74</x:v>
      </x:c>
      <x:c r="H438" s="90" t="n">
        <x:v>10627.02</x:v>
      </x:c>
      <x:c r="I438" s="90" t="n">
        <x:v>-60093.33</x:v>
      </x:c>
      <x:c r="J438" s="90" t="n">
        <x:v>-2491.74</x:v>
      </x:c>
      <x:c r="K438" s="90" t="n">
        <x:v>0</x:v>
      </x:c>
      <x:c r="L438" s="90" t="n">
        <x:v>-16227.77</x:v>
      </x:c>
      <x:c r="M438" s="90" t="n">
        <x:v>-16672.31</x:v>
      </x:c>
      <x:c r="N438" s="90" t="n">
        <x:v>-94111.77</x:v>
      </x:c>
      <x:c r="O438" s="90" t="n">
        <x:v>2101905.15</x:v>
      </x:c>
      <x:c r="P438" s="90" t="n">
        <x:v>-4065.59</x:v>
      </x:c>
      <x:c r="Q438" s="90" t="n">
        <x:v>0</x:v>
      </x:c>
      <x:c r="R438" t="n">
        <x:v>0</x:v>
      </x:c>
    </x:row>
    <x:row r="439" spans="1:18" s="94" customFormat="1" ht="12.75" customHeight="1" x14ac:dyDescent="0.2">
      <x:c r="B439" s="101" t="s">
        <x:v>119</x:v>
      </x:c>
      <x:c r="C439" s="101" t="s">
        <x:v>70</x:v>
      </x:c>
      <x:c r="E439" s="93" t="n">
        <x:v>2406257.91</x:v>
      </x:c>
      <x:c r="F439" s="93" t="n">
        <x:v>664498.81</x:v>
      </x:c>
      <x:c r="G439" s="93" t="n">
        <x:v>118499.59</x:v>
      </x:c>
      <x:c r="H439" s="93" t="n">
        <x:v>6218.54</x:v>
      </x:c>
      <x:c r="I439" s="93" t="n">
        <x:v>-124053.57</x:v>
      </x:c>
      <x:c r="J439" s="93" t="n">
        <x:v>-5100.14</x:v>
      </x:c>
      <x:c r="K439" s="93" t="n">
        <x:v>0</x:v>
      </x:c>
      <x:c r="L439" s="93" t="n">
        <x:v>-39108.79</x:v>
      </x:c>
      <x:c r="M439" s="93" t="n">
        <x:v>-41472.73</x:v>
      </x:c>
      <x:c r="N439" s="93" t="n">
        <x:v>-221816.73</x:v>
      </x:c>
      <x:c r="O439" s="93" t="n">
        <x:v>2056914.4</x:v>
      </x:c>
      <x:c r="P439" s="93" t="n">
        <x:v>-8321.47</x:v>
      </x:c>
      <x:c r="Q439" s="93" t="n">
        <x:v>0</x:v>
      </x:c>
      <x:c r="R439" s="94" t="n">
        <x:v>0</x:v>
      </x:c>
    </x:row>
    <x:row r="440" spans="1:18" s="226" customFormat="1" ht="12.75" customHeight="1" x14ac:dyDescent="0.2">
      <x:c r="A440" s="98" t="s">
        <x:v>79</x:v>
      </x:c>
      <x:c r="B440" s="98" t="s">
        <x:v>70</x:v>
      </x:c>
      <x:c r="E440" s="100" t="n">
        <x:v>4810642.25</x:v>
      </x:c>
      <x:c r="F440" s="100" t="n">
        <x:v>1128796.16</x:v>
      </x:c>
      <x:c r="G440" s="100" t="n">
        <x:v>353822.72</x:v>
      </x:c>
      <x:c r="H440" s="100" t="n">
        <x:v>104043.62</x:v>
      </x:c>
      <x:c r="I440" s="100" t="n">
        <x:v>-41842.45</x:v>
      </x:c>
      <x:c r="J440" s="100" t="n">
        <x:v>-3597.87</x:v>
      </x:c>
      <x:c r="K440" s="100" t="n">
        <x:v>0</x:v>
      </x:c>
      <x:c r="L440" s="100" t="n">
        <x:v>-15162.36</x:v>
      </x:c>
      <x:c r="M440" s="100" t="n">
        <x:v>-65643.29</x:v>
      </x:c>
      <x:c r="N440" s="100" t="n">
        <x:v>-103537.7</x:v>
      </x:c>
      <x:c r="O440" s="100" t="n">
        <x:v>3459090.04</x:v>
      </x:c>
      <x:c r="P440" s="100" t="n">
        <x:v>-5326.62</x:v>
      </x:c>
      <x:c r="Q440" s="100" t="n">
        <x:v>0</x:v>
      </x:c>
      <x:c r="R440" s="226" t="n">
        <x:v>0</x:v>
      </x:c>
    </x:row>
    <x:row r="441" spans="1:18" ht="12.75" customHeight="1" x14ac:dyDescent="0.2">
      <x:c r="A441" s="89" t="s">
        <x:v>70</x:v>
      </x:c>
      <x:c r="E441" s="90" t="n">
        <x:v>43973508.96</x:v>
      </x:c>
      <x:c r="F441" s="90" t="n">
        <x:v>4175591.12</x:v>
      </x:c>
      <x:c r="G441" s="90" t="n">
        <x:v>2091369.31</x:v>
      </x:c>
      <x:c r="H441" s="90" t="n">
        <x:v>912573.32</x:v>
      </x:c>
      <x:c r="I441" s="90" t="n">
        <x:v>7140563.79</x:v>
      </x:c>
      <x:c r="J441" s="90" t="n">
        <x:v>245577.68</x:v>
      </x:c>
      <x:c r="K441" s="90" t="n">
        <x:v>990006.55</x:v>
      </x:c>
      <x:c r="L441" s="90" t="n">
        <x:v>2250240.58</x:v>
      </x:c>
      <x:c r="M441" s="90" t="n">
        <x:v>2435497.01</x:v>
      </x:c>
      <x:c r="N441" s="90" t="n">
        <x:v>10666064.83</x:v>
      </x:c>
      <x:c r="O441" s="90" t="n">
        <x:v>12719306.19</x:v>
      </x:c>
      <x:c r="P441" s="90" t="n">
        <x:v>346728.95</x:v>
      </x:c>
      <x:c r="Q441" s="90" t="n">
        <x:v>-10.37</x:v>
      </x:c>
      <x:c r="R441" s="90" t="n">
        <x:v>0</x:v>
      </x:c>
    </x:row>
    <x:row r="442" spans="1:18" ht="12.75" hidden="1" customHeight="1" x14ac:dyDescent="0.2">
      <x:c r="A442" s="89"/>
      <x:c r="E442" s="90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</x:row>
    <x:row r="443" spans="1:18" ht="12.75" hidden="1" customHeight="1" x14ac:dyDescent="0.2">
      <x:c r="A443" s="89"/>
      <x:c r="E443" s="90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</x:row>
    <x:row r="444" spans="1:18" ht="12.75" hidden="1" customHeight="1" x14ac:dyDescent="0.2">
      <x:c r="A444" s="89"/>
      <x:c r="E444" s="90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</x:row>
    <x:row r="445" spans="1:18" ht="12.75" hidden="1" customHeight="1" x14ac:dyDescent="0.2">
      <x:c r="A445" s="89"/>
      <x:c r="E445" s="90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</x:row>
    <x:row r="446" spans="1:18" ht="12.75" hidden="1" customHeight="1" x14ac:dyDescent="0.2">
      <x:c r="A446" s="89"/>
      <x:c r="E446" s="90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</x:row>
    <x:row r="447" spans="1:18" ht="12.75" hidden="1" customHeight="1" x14ac:dyDescent="0.2">
      <x:c r="A447" s="89"/>
      <x:c r="E447" s="90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</x:row>
    <x:row r="448" spans="1:18" ht="12.75" hidden="1" customHeight="1" x14ac:dyDescent="0.2">
      <x:c r="A448" s="89"/>
      <x:c r="E448" s="90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</x:row>
    <x:row r="449" spans="1:18" ht="12.75" hidden="1" customHeight="1" x14ac:dyDescent="0.2">
      <x:c r="A449" s="89"/>
      <x:c r="E449" s="90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</x:row>
    <x:row r="450" spans="1:18" ht="12.75" hidden="1" customHeight="1" x14ac:dyDescent="0.2">
      <x:c r="A450" s="89"/>
      <x:c r="E450" s="90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</x:row>
    <x:row r="451" spans="1:18" ht="12.75" hidden="1" customHeight="1" x14ac:dyDescent="0.2">
      <x:c r="A451" s="89"/>
      <x:c r="E451" s="90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</x:row>
    <x:row r="452" spans="1:18" ht="12.75" hidden="1" customHeight="1" x14ac:dyDescent="0.2">
      <x:c r="A452" s="89"/>
      <x:c r="E452" s="90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</x:row>
    <x:row r="453" spans="1:18" ht="12.75" hidden="1" customHeight="1" x14ac:dyDescent="0.2">
      <x:c r="A453" s="89"/>
      <x:c r="E453" s="90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</x:row>
    <x:row r="454" spans="1:18" ht="12.75" hidden="1" customHeight="1" x14ac:dyDescent="0.2">
      <x:c r="A454" s="89"/>
      <x:c r="E454" s="90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</x:row>
    <x:row r="455" spans="1:18" ht="12.75" hidden="1" customHeight="1" x14ac:dyDescent="0.2">
      <x:c r="A455" s="89"/>
      <x:c r="E455" s="90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</x:row>
    <x:row r="456" spans="1:18" ht="12.75" hidden="1" customHeight="1" x14ac:dyDescent="0.2">
      <x:c r="A456" s="89"/>
      <x:c r="E456" s="90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</x:row>
    <x:row r="457" spans="1:18" ht="12.75" hidden="1" customHeight="1" x14ac:dyDescent="0.2">
      <x:c r="A457" s="89"/>
      <x:c r="E457" s="90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</x:row>
    <x:row r="458" spans="1:18" ht="12.75" hidden="1" customHeight="1" x14ac:dyDescent="0.2">
      <x:c r="A458" s="89"/>
      <x:c r="E458" s="90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</x:row>
    <x:row r="459" spans="1:18" ht="12.75" hidden="1" customHeight="1" x14ac:dyDescent="0.2">
      <x:c r="A459" s="89"/>
      <x:c r="E459" s="90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</x:row>
    <x:row r="460" spans="1:18" ht="12.75" hidden="1" customHeight="1" x14ac:dyDescent="0.2">
      <x:c r="A460" s="89"/>
      <x:c r="E460" s="90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</x:row>
    <x:row r="461" spans="1:18" ht="12.75" hidden="1" customHeight="1" x14ac:dyDescent="0.2">
      <x:c r="A461" s="89"/>
      <x:c r="E461" s="90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</x:row>
    <x:row r="462" spans="1:18" ht="12.75" hidden="1" customHeight="1" x14ac:dyDescent="0.2">
      <x:c r="A462" s="89"/>
      <x:c r="E462" s="90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</x:row>
    <x:row r="463" spans="1:18" ht="12.75" hidden="1" customHeight="1" x14ac:dyDescent="0.2">
      <x:c r="A463" s="89"/>
      <x:c r="E463" s="90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</x:row>
    <x:row r="464" spans="1:18" ht="12.75" hidden="1" customHeight="1" x14ac:dyDescent="0.2">
      <x:c r="A464" s="89"/>
      <x:c r="E464" s="90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</x:row>
    <x:row r="465" spans="1:18" ht="12.75" hidden="1" customHeight="1" x14ac:dyDescent="0.2">
      <x:c r="A465" s="89"/>
      <x:c r="E465" s="90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</x:row>
    <x:row r="466" spans="1:18" ht="12.75" customHeight="1" x14ac:dyDescent="0.2">
      <x:c r="A466" s="89"/>
      <x:c r="E466" s="90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</x:row>
    <x:row r="467" spans="1:18" ht="12.75" customHeight="1" x14ac:dyDescent="0.2">
      <x:c r="A467" s="89"/>
      <x:c r="E467" s="90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</x:row>
    <x:row r="468" spans="1:18" ht="12.75" customHeight="1" x14ac:dyDescent="0.2">
      <x:c r="B468" s="778" t="s">
        <x:v>2</x:v>
      </x:c>
      <x:c r="C468" s="775" t="s">
        <x:v>132</x:v>
      </x:c>
      <x:c r="D468" s="98" t="s">
        <x:v>70</x:v>
      </x:c>
      <x:c r="E468" s="100">
        <x:f>E440+E426-K426</x:f>
        <x:v>0</x:v>
      </x:c>
      <x:c r="F468" s="100">
        <x:f>F426</x:f>
        <x:v>0</x:v>
      </x:c>
      <x:c r="G468" s="100">
        <x:f t="shared" ref="G468:R468" si="14">G426</x:f>
        <x:v>0</x:v>
      </x:c>
      <x:c r="H468" s="100">
        <x:f t="shared" si="14"/>
        <x:v>0</x:v>
      </x:c>
      <x:c r="I468" s="100">
        <x:f t="shared" si="14"/>
        <x:v>0</x:v>
      </x:c>
      <x:c r="J468" s="100">
        <x:f t="shared" si="14"/>
        <x:v>0</x:v>
      </x:c>
      <x:c r="K468" s="100">
        <x:f t="shared" si="14"/>
        <x:v>0</x:v>
      </x:c>
      <x:c r="L468" s="100">
        <x:f t="shared" si="14"/>
        <x:v>0</x:v>
      </x:c>
      <x:c r="M468" s="100">
        <x:f t="shared" si="14"/>
        <x:v>0</x:v>
      </x:c>
      <x:c r="N468" s="100">
        <x:f t="shared" si="14"/>
        <x:v>0</x:v>
      </x:c>
      <x:c r="O468" s="100">
        <x:f t="shared" si="14"/>
        <x:v>0</x:v>
      </x:c>
      <x:c r="P468" s="100">
        <x:f>P426</x:f>
        <x:v>0</x:v>
      </x:c>
      <x:c r="Q468" s="100">
        <x:f t="shared" si="14"/>
        <x:v>0</x:v>
      </x:c>
      <x:c r="R468" s="100">
        <x:f t="shared" si="14"/>
        <x:v>0</x:v>
      </x:c>
    </x:row>
    <x:row r="469" spans="1:18" ht="12.75" customHeight="1" x14ac:dyDescent="0.2">
      <x:c r="B469" s="778"/>
      <x:c r="C469" s="775"/>
      <x:c r="D469" s="98" t="s">
        <x:v>73</x:v>
      </x:c>
      <x:c r="E469" s="100">
        <x:f>E440</x:f>
        <x:v>0</x:v>
      </x:c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</x:row>
    <x:row r="470" spans="1:18" ht="12.75" customHeight="1" x14ac:dyDescent="0.2">
      <x:c r="A470" s="89"/>
      <x:c r="B470" s="97"/>
      <x:c r="E470" s="90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</x:row>
    <x:row r="471" spans="1:18" ht="12.75" customHeight="1" x14ac:dyDescent="0.2">
      <x:c r="B471" s="778" t="s">
        <x:v>160</x:v>
      </x:c>
      <x:c r="C471" s="775" t="s">
        <x:v>132</x:v>
      </x:c>
      <x:c r="D471" s="223" t="s">
        <x:v>70</x:v>
      </x:c>
      <x:c r="E471" s="225">
        <x:v>0</x:v>
      </x:c>
      <x:c r="F471" s="225">
        <x:v>0</x:v>
      </x:c>
      <x:c r="G471" s="225">
        <x:v>0</x:v>
      </x:c>
      <x:c r="H471" s="225">
        <x:v>0</x:v>
      </x:c>
      <x:c r="I471" s="225">
        <x:v>0</x:v>
      </x:c>
      <x:c r="J471" s="225">
        <x:v>0</x:v>
      </x:c>
      <x:c r="K471" s="225">
        <x:v>0</x:v>
      </x:c>
      <x:c r="L471" s="225">
        <x:v>0</x:v>
      </x:c>
      <x:c r="M471" s="225">
        <x:v>0</x:v>
      </x:c>
      <x:c r="N471" s="225">
        <x:v>0</x:v>
      </x:c>
      <x:c r="O471" s="225">
        <x:v>0</x:v>
      </x:c>
      <x:c r="P471" s="225">
        <x:v>0</x:v>
      </x:c>
      <x:c r="Q471" s="225">
        <x:v>0</x:v>
      </x:c>
      <x:c r="R471" s="225">
        <x:v>0</x:v>
      </x:c>
    </x:row>
    <x:row r="472" spans="1:18" ht="12.75" customHeight="1" x14ac:dyDescent="0.2">
      <x:c r="B472" s="778"/>
      <x:c r="C472" s="775"/>
      <x:c r="D472" s="223" t="s">
        <x:v>73</x:v>
      </x:c>
      <x:c r="E472" s="225">
        <x:v>0</x:v>
      </x:c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</x:row>
    <x:row r="473" spans="1:18" ht="12.75" customHeight="1" x14ac:dyDescent="0.2">
      <x:c r="A473" s="89"/>
      <x:c r="B473" s="97"/>
      <x:c r="E473" s="90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</x:row>
    <x:row r="474" spans="1:18" ht="12.75" customHeight="1" x14ac:dyDescent="0.2">
      <x:c r="B474" s="778" t="s">
        <x:v>155</x:v>
      </x:c>
      <x:c r="C474" s="775" t="s">
        <x:v>132</x:v>
      </x:c>
      <x:c r="D474" s="221" t="s">
        <x:v>70</x:v>
      </x:c>
      <x:c r="E474" s="222">
        <x:f>E429+E411+E407-K407-K411</x:f>
        <x:v>0</x:v>
      </x:c>
      <x:c r="F474" s="222">
        <x:f>F411+F407</x:f>
        <x:v>0</x:v>
      </x:c>
      <x:c r="G474" s="222">
        <x:f t="shared" ref="G474:R474" si="15">G411+G407</x:f>
        <x:v>0</x:v>
      </x:c>
      <x:c r="H474" s="222">
        <x:f t="shared" si="15"/>
        <x:v>0</x:v>
      </x:c>
      <x:c r="I474" s="222">
        <x:f t="shared" si="15"/>
        <x:v>0</x:v>
      </x:c>
      <x:c r="J474" s="222">
        <x:f t="shared" si="15"/>
        <x:v>0</x:v>
      </x:c>
      <x:c r="K474" s="222">
        <x:f t="shared" si="15"/>
        <x:v>0</x:v>
      </x:c>
      <x:c r="L474" s="222">
        <x:f t="shared" si="15"/>
        <x:v>0</x:v>
      </x:c>
      <x:c r="M474" s="222">
        <x:f t="shared" si="15"/>
        <x:v>0</x:v>
      </x:c>
      <x:c r="N474" s="222">
        <x:f t="shared" si="15"/>
        <x:v>0</x:v>
      </x:c>
      <x:c r="O474" s="222">
        <x:f t="shared" si="15"/>
        <x:v>0</x:v>
      </x:c>
      <x:c r="P474" s="222">
        <x:f t="shared" si="15"/>
        <x:v>0</x:v>
      </x:c>
      <x:c r="Q474" s="222">
        <x:f t="shared" si="15"/>
        <x:v>0</x:v>
      </x:c>
      <x:c r="R474" s="222">
        <x:f t="shared" si="15"/>
        <x:v>0</x:v>
      </x:c>
    </x:row>
    <x:row r="475" spans="1:18" ht="12.75" customHeight="1" x14ac:dyDescent="0.2">
      <x:c r="B475" s="778"/>
      <x:c r="C475" s="775"/>
      <x:c r="D475" s="221" t="s">
        <x:v>73</x:v>
      </x:c>
      <x:c r="E475" s="222">
        <x:f>E429</x:f>
        <x:v>0</x:v>
      </x:c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</x:row>
    <x:row r="476" spans="1:18" ht="12.75" customHeight="1" x14ac:dyDescent="0.2">
      <x:c r="A476" s="89"/>
      <x:c r="B476" s="97"/>
      <x:c r="E476" s="90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</x:row>
    <x:row r="477" spans="1:18" ht="12.75" customHeight="1" x14ac:dyDescent="0.2">
      <x:c r="B477" s="776" t="s">
        <x:v>326</x:v>
      </x:c>
      <x:c r="C477" s="775" t="s">
        <x:v>132</x:v>
      </x:c>
      <x:c r="D477" s="373" t="s">
        <x:v>70</x:v>
      </x:c>
      <x:c r="E477" s="374">
        <x:f>E432+E415-K415</x:f>
        <x:v>0</x:v>
      </x:c>
      <x:c r="F477" s="374">
        <x:f>F415</x:f>
        <x:v>0</x:v>
      </x:c>
      <x:c r="G477" s="374">
        <x:f t="shared" ref="G477:R477" si="16">G415</x:f>
        <x:v>0</x:v>
      </x:c>
      <x:c r="H477" s="374">
        <x:f t="shared" si="16"/>
        <x:v>0</x:v>
      </x:c>
      <x:c r="I477" s="374">
        <x:f t="shared" si="16"/>
        <x:v>0</x:v>
      </x:c>
      <x:c r="J477" s="374">
        <x:f t="shared" si="16"/>
        <x:v>0</x:v>
      </x:c>
      <x:c r="K477" s="374">
        <x:f t="shared" si="16"/>
        <x:v>0</x:v>
      </x:c>
      <x:c r="L477" s="374">
        <x:f t="shared" si="16"/>
        <x:v>0</x:v>
      </x:c>
      <x:c r="M477" s="374">
        <x:f t="shared" si="16"/>
        <x:v>0</x:v>
      </x:c>
      <x:c r="N477" s="374">
        <x:f t="shared" si="16"/>
        <x:v>0</x:v>
      </x:c>
      <x:c r="O477" s="374">
        <x:f t="shared" si="16"/>
        <x:v>0</x:v>
      </x:c>
      <x:c r="P477" s="374">
        <x:f t="shared" si="16"/>
        <x:v>0</x:v>
      </x:c>
      <x:c r="Q477" s="374">
        <x:f t="shared" si="16"/>
        <x:v>0</x:v>
      </x:c>
      <x:c r="R477" s="374">
        <x:f t="shared" si="16"/>
        <x:v>0</x:v>
      </x:c>
    </x:row>
    <x:row r="478" spans="1:18" ht="12.75" customHeight="1" x14ac:dyDescent="0.2">
      <x:c r="B478" s="776"/>
      <x:c r="C478" s="775"/>
      <x:c r="D478" s="373" t="s">
        <x:v>73</x:v>
      </x:c>
      <x:c r="E478" s="374">
        <x:f>E432</x:f>
        <x:v>0</x:v>
      </x:c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</x:row>
    <x:row r="479" spans="1:18" ht="12.75" customHeight="1" x14ac:dyDescent="0.2">
      <x:c r="B479" s="719"/>
      <x:c r="C479" s="220"/>
      <x:c r="D479" s="89"/>
      <x:c r="E479" s="90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</x:row>
    <x:row r="480" spans="1:18" ht="12.75" customHeight="1" x14ac:dyDescent="0.2">
      <x:c r="B480" s="778" t="s">
        <x:v>119</x:v>
      </x:c>
      <x:c r="C480" s="775" t="s">
        <x:v>132</x:v>
      </x:c>
      <x:c r="D480" s="101" t="s">
        <x:v>70</x:v>
      </x:c>
      <x:c r="E480" s="93">
        <x:f>E425+E439-K425</x:f>
        <x:v>0</x:v>
      </x:c>
      <x:c r="F480" s="93">
        <x:f>F425</x:f>
        <x:v>0</x:v>
      </x:c>
      <x:c r="G480" s="93">
        <x:f t="shared" ref="G480:R480" si="17">G425</x:f>
        <x:v>0</x:v>
      </x:c>
      <x:c r="H480" s="93">
        <x:f t="shared" si="17"/>
        <x:v>0</x:v>
      </x:c>
      <x:c r="I480" s="93">
        <x:f t="shared" si="17"/>
        <x:v>0</x:v>
      </x:c>
      <x:c r="J480" s="93">
        <x:f t="shared" si="17"/>
        <x:v>0</x:v>
      </x:c>
      <x:c r="K480" s="93">
        <x:f t="shared" si="17"/>
        <x:v>0</x:v>
      </x:c>
      <x:c r="L480" s="93">
        <x:f t="shared" si="17"/>
        <x:v>0</x:v>
      </x:c>
      <x:c r="M480" s="93">
        <x:f t="shared" si="17"/>
        <x:v>0</x:v>
      </x:c>
      <x:c r="N480" s="93">
        <x:f t="shared" si="17"/>
        <x:v>0</x:v>
      </x:c>
      <x:c r="O480" s="93">
        <x:f t="shared" si="17"/>
        <x:v>0</x:v>
      </x:c>
      <x:c r="P480" s="93">
        <x:f t="shared" si="17"/>
        <x:v>0</x:v>
      </x:c>
      <x:c r="Q480" s="93">
        <x:f t="shared" si="17"/>
        <x:v>0</x:v>
      </x:c>
      <x:c r="R480" s="93">
        <x:f t="shared" si="17"/>
        <x:v>0</x:v>
      </x:c>
    </x:row>
    <x:row r="481" spans="1:18" ht="12.75" customHeight="1" x14ac:dyDescent="0.2">
      <x:c r="B481" s="778"/>
      <x:c r="C481" s="775"/>
      <x:c r="D481" s="101" t="s">
        <x:v>73</x:v>
      </x:c>
      <x:c r="E481" s="93">
        <x:f>E439</x:f>
        <x:v>0</x:v>
      </x:c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</x:row>
    <x:row r="482" spans="1:18" ht="12.75" customHeight="1" x14ac:dyDescent="0.2">
      <x:c r="A482" s="89"/>
      <x:c r="B482" s="97"/>
      <x:c r="E482" s="90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</x:row>
    <x:row r="483" spans="1:18" ht="12.75" customHeight="1" x14ac:dyDescent="0.2">
      <x:c r="B483" s="777" t="s">
        <x:v>161</x:v>
      </x:c>
      <x:c r="C483" s="775" t="s">
        <x:v>132</x:v>
      </x:c>
      <x:c r="D483" s="231" t="s">
        <x:v>70</x:v>
      </x:c>
      <x:c r="E483" s="232">
        <x:v>0</x:v>
      </x:c>
      <x:c r="F483" s="232">
        <x:v>0</x:v>
      </x:c>
      <x:c r="G483" s="232">
        <x:v>0</x:v>
      </x:c>
      <x:c r="H483" s="232">
        <x:v>0</x:v>
      </x:c>
      <x:c r="I483" s="232">
        <x:v>0</x:v>
      </x:c>
      <x:c r="J483" s="232">
        <x:v>0</x:v>
      </x:c>
      <x:c r="K483" s="232">
        <x:v>0</x:v>
      </x:c>
      <x:c r="L483" s="232">
        <x:v>0</x:v>
      </x:c>
      <x:c r="M483" s="232">
        <x:v>0</x:v>
      </x:c>
      <x:c r="N483" s="232">
        <x:v>0</x:v>
      </x:c>
      <x:c r="O483" s="232">
        <x:v>0</x:v>
      </x:c>
      <x:c r="P483" s="232">
        <x:v>0</x:v>
      </x:c>
      <x:c r="Q483" s="232">
        <x:v>0</x:v>
      </x:c>
      <x:c r="R483" s="232">
        <x:v>0</x:v>
      </x:c>
    </x:row>
    <x:row r="484" spans="1:18" ht="12.75" customHeight="1" x14ac:dyDescent="0.2">
      <x:c r="B484" s="777"/>
      <x:c r="C484" s="775"/>
      <x:c r="D484" s="231" t="s">
        <x:v>73</x:v>
      </x:c>
      <x:c r="E484" s="232">
        <x:v>0</x:v>
      </x:c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s="238" customFormat="1" x14ac:dyDescent="0.2"/>
  </x:sheetData>
  <x:mergeCells count="60">
    <x:mergeCell ref="B59:B60"/>
    <x:mergeCell ref="C59:C60"/>
    <x:mergeCell ref="B170:B171"/>
    <x:mergeCell ref="C170:C171"/>
    <x:mergeCell ref="B62:B63"/>
    <x:mergeCell ref="C62:C63"/>
    <x:mergeCell ref="B155:B156"/>
    <x:mergeCell ref="C155:C156"/>
    <x:mergeCell ref="B158:B159"/>
    <x:mergeCell ref="C158:C159"/>
    <x:mergeCell ref="B161:B162"/>
    <x:mergeCell ref="C161:C162"/>
    <x:mergeCell ref="B167:B168"/>
    <x:mergeCell ref="C167:C168"/>
    <x:mergeCell ref="B164:B165"/>
    <x:mergeCell ref="C164:C165"/>
    <x:mergeCell ref="B47:B48"/>
    <x:mergeCell ref="C47:C48"/>
    <x:mergeCell ref="B50:B51"/>
    <x:mergeCell ref="C50:C51"/>
    <x:mergeCell ref="B56:B57"/>
    <x:mergeCell ref="C56:C57"/>
    <x:mergeCell ref="B53:B54"/>
    <x:mergeCell ref="C53:C54"/>
    <x:mergeCell ref="B273:B274"/>
    <x:mergeCell ref="C273:C274"/>
    <x:mergeCell ref="B276:B277"/>
    <x:mergeCell ref="C276:C277"/>
    <x:mergeCell ref="B279:B280"/>
    <x:mergeCell ref="C279:C280"/>
    <x:mergeCell ref="B285:B286"/>
    <x:mergeCell ref="C285:C286"/>
    <x:mergeCell ref="B282:B283"/>
    <x:mergeCell ref="C282:C283"/>
    <x:mergeCell ref="B288:B289"/>
    <x:mergeCell ref="C288:C289"/>
    <x:mergeCell ref="B384:B385"/>
    <x:mergeCell ref="C384:C385"/>
    <x:mergeCell ref="B387:B388"/>
    <x:mergeCell ref="C387:C388"/>
    <x:mergeCell ref="B390:B391"/>
    <x:mergeCell ref="C390:C391"/>
    <x:mergeCell ref="B396:B397"/>
    <x:mergeCell ref="C396:C397"/>
    <x:mergeCell ref="B399:B400"/>
    <x:mergeCell ref="C399:C400"/>
    <x:mergeCell ref="B393:B394"/>
    <x:mergeCell ref="C393:C394"/>
    <x:mergeCell ref="B468:B469"/>
    <x:mergeCell ref="C468:C469"/>
    <x:mergeCell ref="B471:B472"/>
    <x:mergeCell ref="C471:C472"/>
    <x:mergeCell ref="B474:B475"/>
    <x:mergeCell ref="C474:C475"/>
    <x:mergeCell ref="B480:B481"/>
    <x:mergeCell ref="C480:C481"/>
    <x:mergeCell ref="B483:B484"/>
    <x:mergeCell ref="C483:C484"/>
    <x:mergeCell ref="B477:B478"/>
    <x:mergeCell ref="C477:C47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82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 t="n">
        <x:v>0</x:v>
      </x:c>
    </x:row>
    <x:row r="4" spans="1:18" ht="12.6" customHeight="1" x14ac:dyDescent="0.2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 t="n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2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 t="n">
        <x:v>0</x:v>
      </x:c>
    </x:row>
    <x:row r="9" spans="1:18" ht="12.75" customHeight="1" x14ac:dyDescent="0.2">
      <x:c r="C9" s="616" t="s">
        <x:v>72</x:v>
      </x:c>
      <x:c r="D9" s="618" t="n">
        <x:v>-762167.27</x:v>
      </x:c>
      <x:c r="E9" s="618" t="n">
        <x:v>-48309.04</x:v>
      </x:c>
      <x:c r="F9" s="618" t="n">
        <x:v>-26455.25</x:v>
      </x:c>
      <x:c r="G9" s="620" t="n">
        <x:v>-13891.43</x:v>
      </x:c>
      <x:c r="H9" s="618" t="n">
        <x:v>-192277.47</x:v>
      </x:c>
      <x:c r="I9" s="618" t="n">
        <x:v>-4768.85</x:v>
      </x:c>
      <x:c r="J9" s="618" t="n">
        <x:v>-58119.3</x:v>
      </x:c>
      <x:c r="K9" s="618" t="n">
        <x:v>-51919.38</x:v>
      </x:c>
      <x:c r="L9" s="618" t="n">
        <x:v>-246558.5</x:v>
      </x:c>
      <x:c r="M9" s="618" t="n">
        <x:v>-112077.14</x:v>
      </x:c>
      <x:c r="N9" s="618" t="n">
        <x:v>-7780.61</x:v>
      </x:c>
      <x:c r="O9" s="618" t="n">
        <x:v>-10.3</x:v>
      </x:c>
      <x:c r="P9" s="618">
        <x:v>0</x:v>
      </x:c>
      <x:c r="Q9" s="618">
        <x:v>0</x:v>
      </x:c>
      <x:c r="R9" s="616" t="n">
        <x:v>0</x:v>
      </x:c>
    </x:row>
    <x:row r="10" spans="1:18" ht="12.6" customHeight="1" x14ac:dyDescent="0.2">
      <x:c r="C10" s="616" t="s">
        <x:v>81</x:v>
      </x:c>
      <x:c r="D10" s="618" t="n">
        <x:v>-177.06</x:v>
      </x:c>
      <x:c r="E10" s="618" t="n">
        <x:v>-11.22</x:v>
      </x:c>
      <x:c r="F10" s="618" t="n">
        <x:v>-6.34</x:v>
      </x:c>
      <x:c r="G10" s="620" t="n">
        <x:v>-3.35</x:v>
      </x:c>
      <x:c r="H10" s="618" t="n">
        <x:v>-43.6</x:v>
      </x:c>
      <x:c r="I10" s="618" t="n">
        <x:v>-1.05</x:v>
      </x:c>
      <x:c r="J10" s="618" t="n">
        <x:v>-9.24</x:v>
      </x:c>
      <x:c r="K10" s="618" t="n">
        <x:v>-12.57</x:v>
      </x:c>
      <x:c r="L10" s="618" t="n">
        <x:v>-57.05</x:v>
      </x:c>
      <x:c r="M10" s="618" t="n">
        <x:v>-30.93</x:v>
      </x:c>
      <x:c r="N10" s="618" t="n">
        <x:v>-1.71</x:v>
      </x:c>
      <x:c r="O10" s="618" t="n">
        <x:v>0</x:v>
      </x:c>
      <x:c r="P10" s="618">
        <x:v>0</x:v>
      </x:c>
      <x:c r="Q10" s="618">
        <x:v>0</x:v>
      </x:c>
      <x:c r="R10" s="616" t="n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 t="n">
        <x:v>-762344.33</x:v>
      </x:c>
      <x:c r="E11" s="622" t="n">
        <x:v>-48320.26</x:v>
      </x:c>
      <x:c r="F11" s="622" t="n">
        <x:v>-26461.59</x:v>
      </x:c>
      <x:c r="G11" s="622" t="n">
        <x:v>-13894.78</x:v>
      </x:c>
      <x:c r="H11" s="622" t="n">
        <x:v>-192321.07</x:v>
      </x:c>
      <x:c r="I11" s="622" t="n">
        <x:v>-4769.9</x:v>
      </x:c>
      <x:c r="J11" s="622" t="n">
        <x:v>-58128.54</x:v>
      </x:c>
      <x:c r="K11" s="622" t="n">
        <x:v>-51931.95</x:v>
      </x:c>
      <x:c r="L11" s="622" t="n">
        <x:v>-246615.55</x:v>
      </x:c>
      <x:c r="M11" s="622" t="n">
        <x:v>-112108.07</x:v>
      </x:c>
      <x:c r="N11" s="622" t="n">
        <x:v>-7782.32</x:v>
      </x:c>
      <x:c r="O11" s="622" t="n">
        <x:v>-10.3</x:v>
      </x:c>
      <x:c r="P11" s="621">
        <x:v>0</x:v>
      </x:c>
      <x:c r="Q11" s="622">
        <x:v>0</x:v>
      </x:c>
      <x:c r="R11" s="622" t="n">
        <x:v>0</x:v>
      </x:c>
    </x:row>
    <x:row r="12" spans="1:18" ht="12.75" customHeight="1" x14ac:dyDescent="0.2">
      <x:c r="C12" s="616" t="s">
        <x:v>73</x:v>
      </x:c>
      <x:c r="D12" s="618" t="n">
        <x:v>-240407.06</x:v>
      </x:c>
      <x:c r="E12" s="618" t="n">
        <x:v>-14057.56</x:v>
      </x:c>
      <x:c r="F12" s="618" t="n">
        <x:v>-7937.89</x:v>
      </x:c>
      <x:c r="G12" s="620" t="n">
        <x:v>-4170.17</x:v>
      </x:c>
      <x:c r="H12" s="618" t="n">
        <x:v>-58249.85</x:v>
      </x:c>
      <x:c r="I12" s="618" t="n">
        <x:v>-1605.37</x:v>
      </x:c>
      <x:c r="J12" s="618" t="n">
        <x:v>-14082</x:v>
      </x:c>
      <x:c r="K12" s="618" t="n">
        <x:v>-17535.88</x:v>
      </x:c>
      <x:c r="L12" s="618" t="n">
        <x:v>-81716.35</x:v>
      </x:c>
      <x:c r="M12" s="618" t="n">
        <x:v>-38432.73</x:v>
      </x:c>
      <x:c r="N12" s="618" t="n">
        <x:v>-2619.26</x:v>
      </x:c>
      <x:c r="O12" s="618" t="n">
        <x:v>0</x:v>
      </x:c>
      <x:c r="P12" s="618">
        <x:v>0</x:v>
      </x:c>
      <x:c r="Q12" s="618">
        <x:v>0</x:v>
      </x:c>
      <x:c r="R12" s="616" t="n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 t="n">
        <x:v>-240407.06</x:v>
      </x:c>
      <x:c r="E13" s="624" t="n">
        <x:v>-14057.56</x:v>
      </x:c>
      <x:c r="F13" s="624" t="n">
        <x:v>-7937.89</x:v>
      </x:c>
      <x:c r="G13" s="624" t="n">
        <x:v>-4170.17</x:v>
      </x:c>
      <x:c r="H13" s="624" t="n">
        <x:v>-58249.85</x:v>
      </x:c>
      <x:c r="I13" s="624" t="n">
        <x:v>-1605.37</x:v>
      </x:c>
      <x:c r="J13" s="624" t="n">
        <x:v>-14082</x:v>
      </x:c>
      <x:c r="K13" s="624" t="n">
        <x:v>-17535.88</x:v>
      </x:c>
      <x:c r="L13" s="624" t="n">
        <x:v>-81716.35</x:v>
      </x:c>
      <x:c r="M13" s="624" t="n">
        <x:v>-38432.73</x:v>
      </x:c>
      <x:c r="N13" s="624" t="n">
        <x:v>-2619.26</x:v>
      </x:c>
      <x:c r="O13" s="624" t="n">
        <x:v>0</x:v>
      </x:c>
      <x:c r="P13" s="623">
        <x:v>0</x:v>
      </x:c>
      <x:c r="Q13" s="624">
        <x:v>0</x:v>
      </x:c>
      <x:c r="R13" s="624" t="n">
        <x:v>0</x:v>
      </x:c>
    </x:row>
    <x:row r="14" spans="1:18" s="628" customFormat="1" ht="12.75" customHeight="1" x14ac:dyDescent="0.2">
      <x:c r="A14" s="628" t="s">
        <x:v>119</x:v>
      </x:c>
      <x:c r="B14" s="628" t="s">
        <x:v>70</x:v>
      </x:c>
      <x:c r="D14" s="628" t="n">
        <x:v>-1002751.39</x:v>
      </x:c>
      <x:c r="E14" s="628" t="n">
        <x:v>-62377.82</x:v>
      </x:c>
      <x:c r="F14" s="628" t="n">
        <x:v>-34399.48</x:v>
      </x:c>
      <x:c r="G14" s="628" t="n">
        <x:v>-18064.95</x:v>
      </x:c>
      <x:c r="H14" s="628" t="n">
        <x:v>-250570.92</x:v>
      </x:c>
      <x:c r="I14" s="628" t="n">
        <x:v>-6375.27</x:v>
      </x:c>
      <x:c r="J14" s="628" t="n">
        <x:v>-72210.54</x:v>
      </x:c>
      <x:c r="K14" s="628" t="n">
        <x:v>-69467.83</x:v>
      </x:c>
      <x:c r="L14" s="628" t="n">
        <x:v>-328331.9</x:v>
      </x:c>
      <x:c r="M14" s="628" t="n">
        <x:v>-150540.8</x:v>
      </x:c>
      <x:c r="N14" s="628" t="n">
        <x:v>-10401.58</x:v>
      </x:c>
      <x:c r="O14" s="628" t="n">
        <x:v>-10.3</x:v>
      </x:c>
      <x:c r="P14" s="628">
        <x:v>0</x:v>
      </x:c>
      <x:c r="Q14" s="628">
        <x:v>0</x:v>
      </x:c>
      <x:c r="R14" s="628" t="n">
        <x:v>0</x:v>
      </x:c>
    </x:row>
    <x:row r="15" spans="1:18" s="631" customFormat="1" ht="12.75" customHeight="1" x14ac:dyDescent="0.2">
      <x:c r="A15" s="630" t="s">
        <x:v>70</x:v>
      </x:c>
      <x:c r="D15" s="630" t="n">
        <x:v>-16536713.09</x:v>
      </x:c>
      <x:c r="E15" s="630" t="n">
        <x:v>-906118.46</x:v>
      </x:c>
      <x:c r="F15" s="630" t="n">
        <x:v>-506877.02</x:v>
      </x:c>
      <x:c r="G15" s="630" t="n">
        <x:v>-261976.09</x:v>
      </x:c>
      <x:c r="H15" s="630" t="n">
        <x:v>-3941644.88</x:v>
      </x:c>
      <x:c r="I15" s="630" t="n">
        <x:v>-139753.14</x:v>
      </x:c>
      <x:c r="J15" s="630" t="n">
        <x:v>-1258088.54</x:v>
      </x:c>
      <x:c r="K15" s="630" t="n">
        <x:v>-1217926.21</x:v>
      </x:c>
      <x:c r="L15" s="630" t="n">
        <x:v>-5598933.06</x:v>
      </x:c>
      <x:c r="M15" s="630" t="n">
        <x:v>-2476260.15</x:v>
      </x:c>
      <x:c r="N15" s="630" t="n">
        <x:v>-229236.28</x:v>
      </x:c>
      <x:c r="O15" s="630" t="n">
        <x:v>100.74</x:v>
      </x:c>
      <x:c r="P15" s="631" t="n">
        <x:v>0</x:v>
      </x:c>
      <x:c r="Q15" s="630">
        <x:v>0</x:v>
      </x:c>
      <x:c r="R15" s="630" t="n">
        <x:v>0</x:v>
      </x:c>
    </x:row>
    <x:row r="16" spans="1:18" ht="12.75" customHeight="1" x14ac:dyDescent="0.2">
      <x:c r="A16" s="618"/>
      <x:c r="D16" s="618"/>
      <x:c r="E16" s="618"/>
      <x:c r="F16" s="618"/>
      <x:c r="G16" s="618"/>
      <x:c r="H16" s="618"/>
      <x:c r="I16" s="618"/>
      <x:c r="J16" s="618"/>
      <x:c r="K16" s="618"/>
      <x:c r="L16" s="618"/>
      <x:c r="M16" s="618"/>
      <x:c r="N16" s="618"/>
      <x:c r="O16" s="618"/>
    </x:row>
    <x:row r="17" spans="1:15" ht="12.75" customHeight="1" x14ac:dyDescent="0.2">
      <x:c r="A17" s="618"/>
      <x:c r="D17" s="618"/>
      <x:c r="E17" s="618"/>
      <x:c r="F17" s="618"/>
      <x:c r="G17" s="618"/>
      <x:c r="H17" s="618"/>
      <x:c r="I17" s="618"/>
      <x:c r="J17" s="618"/>
      <x:c r="K17" s="618"/>
      <x:c r="L17" s="618"/>
      <x:c r="M17" s="618"/>
      <x:c r="N17" s="618"/>
      <x:c r="O17" s="618"/>
    </x:row>
    <x:row r="18" spans="1:15" ht="12.75" hidden="1" customHeight="1" x14ac:dyDescent="0.2">
      <x:c r="A18" s="618"/>
      <x:c r="D18" s="618"/>
      <x:c r="E18" s="618"/>
      <x:c r="F18" s="618"/>
      <x:c r="G18" s="618"/>
      <x:c r="H18" s="618"/>
      <x:c r="I18" s="618"/>
      <x:c r="J18" s="618"/>
      <x:c r="K18" s="618"/>
      <x:c r="L18" s="618"/>
      <x:c r="M18" s="618"/>
      <x:c r="N18" s="618"/>
      <x:c r="O18" s="618"/>
    </x:row>
    <x:row r="19" spans="1:15" ht="12.75" hidden="1" customHeight="1" x14ac:dyDescent="0.2">
      <x:c r="A19" s="618"/>
      <x:c r="D19" s="618"/>
      <x:c r="E19" s="618"/>
      <x:c r="F19" s="618"/>
      <x:c r="G19" s="618"/>
      <x:c r="H19" s="618"/>
      <x:c r="I19" s="618"/>
      <x:c r="J19" s="618"/>
      <x:c r="K19" s="618"/>
      <x:c r="L19" s="618"/>
      <x:c r="M19" s="618"/>
      <x:c r="N19" s="618"/>
      <x:c r="O19" s="618"/>
    </x:row>
    <x:row r="20" spans="1:15" ht="12.75" hidden="1" customHeight="1" x14ac:dyDescent="0.2">
      <x:c r="A20" s="618"/>
      <x:c r="D20" s="618"/>
      <x:c r="E20" s="618"/>
      <x:c r="F20" s="618"/>
      <x:c r="G20" s="618"/>
      <x:c r="H20" s="618"/>
      <x:c r="I20" s="618"/>
      <x:c r="J20" s="618"/>
      <x:c r="K20" s="618"/>
      <x:c r="L20" s="618"/>
      <x:c r="M20" s="618"/>
      <x:c r="N20" s="618"/>
      <x:c r="O20" s="618"/>
    </x:row>
    <x:row r="21" spans="1:15" ht="12.75" hidden="1" customHeight="1" x14ac:dyDescent="0.2">
      <x:c r="A21" s="618"/>
      <x:c r="D21" s="618"/>
      <x:c r="E21" s="618"/>
      <x:c r="F21" s="618"/>
      <x:c r="G21" s="618"/>
      <x:c r="H21" s="618"/>
      <x:c r="I21" s="618"/>
      <x:c r="J21" s="618"/>
      <x:c r="K21" s="618"/>
      <x:c r="L21" s="618"/>
      <x:c r="M21" s="618"/>
      <x:c r="N21" s="618"/>
      <x:c r="O21" s="618"/>
    </x:row>
    <x:row r="22" spans="1:15" ht="12.75" hidden="1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5" ht="12.75" hidden="1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5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5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5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5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5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5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5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5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5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x14ac:dyDescent="0.2">
      <x:c r="A73" s="781" t="s">
        <x:v>2</x:v>
      </x:c>
      <x:c r="B73" s="780" t="s">
        <x:v>132</x:v>
      </x:c>
      <x:c r="C73" s="766" t="s">
        <x:v>70</x:v>
      </x:c>
      <x:c r="D73" s="766">
        <x:f>D15-P15</x:f>
        <x:v>0</x:v>
      </x:c>
      <x:c r="E73" s="766">
        <x:f>E5+E11</x:f>
        <x:v>0</x:v>
      </x:c>
      <x:c r="F73" s="766">
        <x:f t="shared" ref="F73:R73" si="0">F5+F11</x:f>
        <x:v>0</x:v>
      </x:c>
      <x:c r="G73" s="766">
        <x:f t="shared" si="0"/>
        <x:v>0</x:v>
      </x:c>
      <x:c r="H73" s="766">
        <x:f t="shared" si="0"/>
        <x:v>0</x:v>
      </x:c>
      <x:c r="I73" s="766">
        <x:f t="shared" si="0"/>
        <x:v>0</x:v>
      </x:c>
      <x:c r="J73" s="766">
        <x:f t="shared" si="0"/>
        <x:v>0</x:v>
      </x:c>
      <x:c r="K73" s="766">
        <x:f t="shared" si="0"/>
        <x:v>0</x:v>
      </x:c>
      <x:c r="L73" s="766">
        <x:f t="shared" si="0"/>
        <x:v>0</x:v>
      </x:c>
      <x:c r="M73" s="766">
        <x:f t="shared" si="0"/>
        <x:v>0</x:v>
      </x:c>
      <x:c r="N73" s="766">
        <x:f t="shared" si="0"/>
        <x:v>0</x:v>
      </x:c>
      <x:c r="O73" s="766">
        <x:f t="shared" si="0"/>
        <x:v>0</x:v>
      </x:c>
      <x:c r="P73" s="766">
        <x:f t="shared" si="0"/>
        <x:v>0</x:v>
      </x:c>
      <x:c r="Q73" s="766">
        <x:f t="shared" si="0"/>
        <x:v>0</x:v>
      </x:c>
      <x:c r="R73" s="766">
        <x:f t="shared" si="0"/>
        <x:v>0</x:v>
      </x:c>
    </x:row>
    <x:row r="74" spans="1:18" x14ac:dyDescent="0.2">
      <x:c r="A74" s="781"/>
      <x:c r="B74" s="780"/>
      <x:c r="C74" s="766" t="s">
        <x:v>73</x:v>
      </x:c>
      <x:c r="D74" s="766">
        <x:f>D7+D13</x:f>
        <x:v>0</x:v>
      </x:c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  <x:c r="P74" s="618"/>
      <x:c r="Q74" s="618"/>
      <x:c r="R74" s="618"/>
    </x:row>
    <x:row r="75" spans="1:18" x14ac:dyDescent="0.2">
      <x:c r="A75" s="617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  <x:c r="P75" s="618"/>
      <x:c r="Q75" s="618"/>
      <x:c r="R75" s="618"/>
    </x:row>
    <x:row r="76" spans="1:18" x14ac:dyDescent="0.2">
      <x:c r="A76" s="781" t="s">
        <x:v>160</x:v>
      </x:c>
      <x:c r="B76" s="780" t="s">
        <x:v>132</x:v>
      </x:c>
      <x:c r="C76" s="632" t="s">
        <x:v>70</x:v>
      </x:c>
      <x:c r="D76" s="632">
        <x:v>0</x:v>
      </x:c>
      <x:c r="E76" s="632">
        <x:v>0</x:v>
      </x:c>
      <x:c r="F76" s="632">
        <x:v>0</x:v>
      </x:c>
      <x:c r="G76" s="632">
        <x:v>0</x:v>
      </x:c>
      <x:c r="H76" s="632">
        <x:v>0</x:v>
      </x:c>
      <x:c r="I76" s="632">
        <x:v>0</x:v>
      </x:c>
      <x:c r="J76" s="632">
        <x:v>0</x:v>
      </x:c>
      <x:c r="K76" s="632">
        <x:v>0</x:v>
      </x:c>
      <x:c r="L76" s="632">
        <x:v>0</x:v>
      </x:c>
      <x:c r="M76" s="632">
        <x:v>0</x:v>
      </x:c>
      <x:c r="N76" s="632">
        <x:v>0</x:v>
      </x:c>
      <x:c r="O76" s="632">
        <x:v>0</x:v>
      </x:c>
      <x:c r="P76" s="632">
        <x:v>0</x:v>
      </x:c>
      <x:c r="Q76" s="632">
        <x:v>0</x:v>
      </x:c>
      <x:c r="R76" s="632">
        <x:v>0</x:v>
      </x:c>
    </x:row>
    <x:row r="77" spans="1:18" x14ac:dyDescent="0.2">
      <x:c r="A77" s="781"/>
      <x:c r="B77" s="780"/>
      <x:c r="C77" s="632" t="s">
        <x:v>73</x:v>
      </x:c>
      <x:c r="D77" s="632">
        <x:v>0</x:v>
      </x:c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  <x:c r="P77" s="618"/>
      <x:c r="Q77" s="618"/>
      <x:c r="R77" s="618"/>
    </x:row>
    <x:row r="78" spans="1:18" x14ac:dyDescent="0.2">
      <x:c r="A78" s="617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  <x:c r="P78" s="618"/>
      <x:c r="Q78" s="618"/>
      <x:c r="R78" s="618"/>
    </x:row>
    <x:row r="79" spans="1:18" x14ac:dyDescent="0.2">
      <x:c r="A79" s="781" t="s">
        <x:v>155</x:v>
      </x:c>
      <x:c r="B79" s="780" t="s">
        <x:v>132</x:v>
      </x:c>
      <x:c r="C79" s="633" t="s">
        <x:v>70</x:v>
      </x:c>
      <x:c r="D79" s="633">
        <x:f>D8-P8</x:f>
        <x:v>0</x:v>
      </x:c>
      <x:c r="E79" s="633">
        <x:f>E5</x:f>
        <x:v>0</x:v>
      </x:c>
      <x:c r="F79" s="633">
        <x:f t="shared" ref="F79:R79" si="1">F5</x:f>
        <x:v>0</x:v>
      </x:c>
      <x:c r="G79" s="633">
        <x:f t="shared" si="1"/>
        <x:v>0</x:v>
      </x:c>
      <x:c r="H79" s="633">
        <x:f t="shared" si="1"/>
        <x:v>0</x:v>
      </x:c>
      <x:c r="I79" s="633">
        <x:f t="shared" si="1"/>
        <x:v>0</x:v>
      </x:c>
      <x:c r="J79" s="633">
        <x:f t="shared" si="1"/>
        <x:v>0</x:v>
      </x:c>
      <x:c r="K79" s="633">
        <x:f t="shared" si="1"/>
        <x:v>0</x:v>
      </x:c>
      <x:c r="L79" s="633">
        <x:f t="shared" si="1"/>
        <x:v>0</x:v>
      </x:c>
      <x:c r="M79" s="633">
        <x:f t="shared" si="1"/>
        <x:v>0</x:v>
      </x:c>
      <x:c r="N79" s="633">
        <x:f t="shared" si="1"/>
        <x:v>0</x:v>
      </x:c>
      <x:c r="O79" s="633">
        <x:f t="shared" si="1"/>
        <x:v>0</x:v>
      </x:c>
      <x:c r="P79" s="633">
        <x:f t="shared" si="1"/>
        <x:v>0</x:v>
      </x:c>
      <x:c r="Q79" s="633">
        <x:f t="shared" si="1"/>
        <x:v>0</x:v>
      </x:c>
      <x:c r="R79" s="633">
        <x:f t="shared" si="1"/>
        <x:v>0</x:v>
      </x:c>
    </x:row>
    <x:row r="80" spans="1:18" x14ac:dyDescent="0.2">
      <x:c r="A80" s="781"/>
      <x:c r="B80" s="780"/>
      <x:c r="C80" s="633" t="s">
        <x:v>73</x:v>
      </x:c>
      <x:c r="D80" s="633">
        <x:f>D7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722"/>
      <x:c r="B81" s="721"/>
      <x:c r="C81" s="618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ht="12.75" customHeight="1" x14ac:dyDescent="0.2">
      <x:c r="A82" s="779" t="s">
        <x:v>326</x:v>
      </x:c>
      <x:c r="B82" s="780" t="s">
        <x:v>132</x:v>
      </x:c>
      <x:c r="C82" s="633" t="s">
        <x:v>70</x:v>
      </x:c>
      <x:c r="D82" s="720">
        <x:v>0</x:v>
      </x:c>
      <x:c r="E82" s="720">
        <x:v>0</x:v>
      </x:c>
      <x:c r="F82" s="720">
        <x:v>0</x:v>
      </x:c>
      <x:c r="G82" s="720">
        <x:v>0</x:v>
      </x:c>
      <x:c r="H82" s="720">
        <x:v>0</x:v>
      </x:c>
      <x:c r="I82" s="720">
        <x:v>0</x:v>
      </x:c>
      <x:c r="J82" s="720">
        <x:v>0</x:v>
      </x:c>
      <x:c r="K82" s="720">
        <x:v>0</x:v>
      </x:c>
      <x:c r="L82" s="720">
        <x:v>0</x:v>
      </x:c>
      <x:c r="M82" s="720">
        <x:v>0</x:v>
      </x:c>
      <x:c r="N82" s="720">
        <x:v>0</x:v>
      </x:c>
      <x:c r="O82" s="720">
        <x:v>0</x:v>
      </x:c>
      <x:c r="P82" s="720">
        <x:v>0</x:v>
      </x:c>
      <x:c r="Q82" s="720">
        <x:v>0</x:v>
      </x:c>
      <x:c r="R82" s="720">
        <x:v>0</x:v>
      </x:c>
    </x:row>
    <x:row r="83" spans="1:18" ht="12.75" customHeight="1" x14ac:dyDescent="0.2">
      <x:c r="A83" s="779"/>
      <x:c r="B83" s="780"/>
      <x:c r="C83" s="633" t="s">
        <x:v>73</x:v>
      </x:c>
      <x:c r="D83" s="720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1" t="s">
        <x:v>119</x:v>
      </x:c>
      <x:c r="B85" s="780" t="s">
        <x:v>132</x:v>
      </x:c>
      <x:c r="C85" s="628" t="s">
        <x:v>70</x:v>
      </x:c>
      <x:c r="D85" s="628">
        <x:f>D14-P14</x:f>
        <x:v>0</x:v>
      </x:c>
      <x:c r="E85" s="628">
        <x:f>E11</x:f>
        <x:v>0</x:v>
      </x:c>
      <x:c r="F85" s="628">
        <x:f t="shared" ref="F85:R85" si="2">F11</x:f>
        <x:v>0</x:v>
      </x:c>
      <x:c r="G85" s="628">
        <x:f t="shared" si="2"/>
        <x:v>0</x:v>
      </x:c>
      <x:c r="H85" s="628">
        <x:f t="shared" si="2"/>
        <x:v>0</x:v>
      </x:c>
      <x:c r="I85" s="628">
        <x:f t="shared" si="2"/>
        <x:v>0</x:v>
      </x:c>
      <x:c r="J85" s="628">
        <x:f t="shared" si="2"/>
        <x:v>0</x:v>
      </x:c>
      <x:c r="K85" s="628">
        <x:f t="shared" si="2"/>
        <x:v>0</x:v>
      </x:c>
      <x:c r="L85" s="628">
        <x:f t="shared" si="2"/>
        <x:v>0</x:v>
      </x:c>
      <x:c r="M85" s="628">
        <x:f t="shared" si="2"/>
        <x:v>0</x:v>
      </x:c>
      <x:c r="N85" s="628">
        <x:f t="shared" si="2"/>
        <x:v>0</x:v>
      </x:c>
      <x:c r="O85" s="628">
        <x:f t="shared" si="2"/>
        <x:v>0</x:v>
      </x:c>
      <x:c r="P85" s="628">
        <x:f t="shared" si="2"/>
        <x:v>0</x:v>
      </x:c>
      <x:c r="Q85" s="628">
        <x:f t="shared" si="2"/>
        <x:v>0</x:v>
      </x:c>
      <x:c r="R85" s="628">
        <x:f t="shared" si="2"/>
        <x:v>0</x:v>
      </x:c>
    </x:row>
    <x:row r="86" spans="1:18" ht="12.75" customHeight="1" x14ac:dyDescent="0.2">
      <x:c r="A86" s="781"/>
      <x:c r="B86" s="780"/>
      <x:c r="C86" s="628" t="s">
        <x:v>73</x:v>
      </x:c>
      <x:c r="D86" s="628">
        <x:f>D13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ht="12.75" customHeight="1" x14ac:dyDescent="0.2">
      <x:c r="A87" s="617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2" t="s">
        <x:v>161</x:v>
      </x:c>
      <x:c r="B88" s="780" t="s">
        <x:v>132</x:v>
      </x:c>
      <x:c r="C88" s="634" t="s">
        <x:v>70</x:v>
      </x:c>
      <x:c r="D88" s="634">
        <x:v>0</x:v>
      </x:c>
      <x:c r="E88" s="634">
        <x:v>0</x:v>
      </x:c>
      <x:c r="F88" s="634">
        <x:v>0</x:v>
      </x:c>
      <x:c r="G88" s="634">
        <x:v>0</x:v>
      </x:c>
      <x:c r="H88" s="634">
        <x:v>0</x:v>
      </x:c>
      <x:c r="I88" s="634">
        <x:v>0</x:v>
      </x:c>
      <x:c r="J88" s="634">
        <x:v>0</x:v>
      </x:c>
      <x:c r="K88" s="634">
        <x:v>0</x:v>
      </x:c>
      <x:c r="L88" s="634">
        <x:v>0</x:v>
      </x:c>
      <x:c r="M88" s="634">
        <x:v>0</x:v>
      </x:c>
      <x:c r="N88" s="634">
        <x:v>0</x:v>
      </x:c>
      <x:c r="O88" s="634">
        <x:v>0</x:v>
      </x:c>
      <x:c r="P88" s="634">
        <x:v>0</x:v>
      </x:c>
      <x:c r="Q88" s="634">
        <x:v>0</x:v>
      </x:c>
      <x:c r="R88" s="634">
        <x:v>0</x:v>
      </x:c>
    </x:row>
    <x:row r="89" spans="1:18" ht="12.75" customHeight="1" x14ac:dyDescent="0.2">
      <x:c r="A89" s="782"/>
      <x:c r="B89" s="780"/>
      <x:c r="C89" s="634" t="s">
        <x:v>73</x:v>
      </x:c>
      <x:c r="D89" s="634"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s="635" customFormat="1" x14ac:dyDescent="0.2"/>
    <x:row r="91" spans="1:18" x14ac:dyDescent="0.2">
      <x:c r="B91" s="617" t="s">
        <x:v>75</x:v>
      </x:c>
    </x:row>
    <x:row r="92" spans="1:18" ht="12.6" customHeight="1" x14ac:dyDescent="0.2">
      <x:c r="D92" s="618" t="s">
        <x:v>70</x:v>
      </x:c>
      <x:c r="E92" s="618" t="s">
        <x:v>64</x:v>
      </x:c>
      <x:c r="F92" s="618" t="s">
        <x:v>65</x:v>
      </x:c>
      <x:c r="G92" s="619" t="s">
        <x:v>164</x:v>
      </x:c>
      <x:c r="H92" s="618" t="s">
        <x:v>69</x:v>
      </x:c>
      <x:c r="I92" s="618" t="s">
        <x:v>68</x:v>
      </x:c>
      <x:c r="J92" s="618" t="s">
        <x:v>66</x:v>
      </x:c>
      <x:c r="K92" s="618" t="s">
        <x:v>63</x:v>
      </x:c>
      <x:c r="L92" s="618" t="s">
        <x:v>61</x:v>
      </x:c>
      <x:c r="M92" s="618" t="s">
        <x:v>62</x:v>
      </x:c>
      <x:c r="N92" s="618" t="s">
        <x:v>67</x:v>
      </x:c>
      <x:c r="O92" s="618" t="s">
        <x:v>77</x:v>
      </x:c>
      <x:c r="P92" s="616" t="s">
        <x:v>71</x:v>
      </x:c>
      <x:c r="Q92" s="618" t="s">
        <x:v>80</x:v>
      </x:c>
      <x:c r="R92" s="616" t="s">
        <x:v>168</x:v>
      </x:c>
    </x:row>
    <x:row r="93" spans="1:18" ht="12.75" customHeight="1" x14ac:dyDescent="0.2">
      <x:c r="C93" s="616" t="s">
        <x:v>72</x:v>
      </x:c>
      <x:c r="D93" s="618" t="n">
        <x:v>-53998016.21</x:v>
      </x:c>
      <x:c r="E93" s="618" t="n">
        <x:v>-11667185.22</x:v>
      </x:c>
      <x:c r="F93" s="618" t="n">
        <x:v>-5414703.49</x:v>
      </x:c>
      <x:c r="G93" s="620" t="n">
        <x:v>-2951482.17</x:v>
      </x:c>
      <x:c r="H93" s="618" t="n">
        <x:v>-3201477.24</x:v>
      </x:c>
      <x:c r="I93" s="618" t="n">
        <x:v>-115838.75</x:v>
      </x:c>
      <x:c r="J93" s="618" t="n">
        <x:v>-1017620.75</x:v>
      </x:c>
      <x:c r="K93" s="618" t="n">
        <x:v>-1016768.4</x:v>
      </x:c>
      <x:c r="L93" s="618" t="n">
        <x:v>-4764304</x:v>
      </x:c>
      <x:c r="M93" s="618" t="n">
        <x:v>-23659660.94</x:v>
      </x:c>
      <x:c r="N93" s="618" t="n">
        <x:v>-188999.83</x:v>
      </x:c>
      <x:c r="O93" s="618" t="n">
        <x:v>24.58</x:v>
      </x:c>
      <x:c r="P93" s="616">
        <x:v>0</x:v>
      </x:c>
      <x:c r="Q93" s="618">
        <x:v>0</x:v>
      </x:c>
      <x:c r="R93" s="616" t="n">
        <x:v>0</x:v>
      </x:c>
    </x:row>
    <x:row r="94" spans="1:18" ht="12.75" customHeight="1" x14ac:dyDescent="0.2">
      <x:c r="C94" s="616" t="s">
        <x:v>81</x:v>
      </x:c>
      <x:c r="D94" s="618" t="n">
        <x:v>-15789581.83</x:v>
      </x:c>
      <x:c r="E94" s="618" t="n">
        <x:v>-4170790.83</x:v>
      </x:c>
      <x:c r="F94" s="618" t="n">
        <x:v>-1943304.33</x:v>
      </x:c>
      <x:c r="G94" s="620" t="n">
        <x:v>-1075257.96</x:v>
      </x:c>
      <x:c r="H94" s="618" t="n">
        <x:v>-52026.8</x:v>
      </x:c>
      <x:c r="I94" s="618" t="n">
        <x:v>-1440.2</x:v>
      </x:c>
      <x:c r="J94" s="618" t="n">
        <x:v>-12737.8</x:v>
      </x:c>
      <x:c r="K94" s="618" t="n">
        <x:v>-15000.59</x:v>
      </x:c>
      <x:c r="L94" s="618" t="n">
        <x:v>-66290.83</x:v>
      </x:c>
      <x:c r="M94" s="618" t="n">
        <x:v>-8450381.27</x:v>
      </x:c>
      <x:c r="N94" s="618" t="n">
        <x:v>-2350.38</x:v>
      </x:c>
      <x:c r="O94" s="618" t="n">
        <x:v>-0.84</x:v>
      </x:c>
      <x:c r="P94" s="616">
        <x:v>0</x:v>
      </x:c>
      <x:c r="Q94" s="618">
        <x:v>0</x:v>
      </x:c>
      <x:c r="R94" s="616" t="n">
        <x:v>0</x:v>
      </x:c>
    </x:row>
    <x:row r="95" spans="1:18" s="621" customFormat="1" ht="12.75" customHeight="1" x14ac:dyDescent="0.2">
      <x:c r="B95" s="622" t="s">
        <x:v>78</x:v>
      </x:c>
      <x:c r="C95" s="622" t="s">
        <x:v>70</x:v>
      </x:c>
      <x:c r="D95" s="622" t="n">
        <x:v>-69787598.04</x:v>
      </x:c>
      <x:c r="E95" s="622" t="n">
        <x:v>-15837976.05</x:v>
      </x:c>
      <x:c r="F95" s="622" t="n">
        <x:v>-7358007.82</x:v>
      </x:c>
      <x:c r="G95" s="622" t="n">
        <x:v>-4026740.13</x:v>
      </x:c>
      <x:c r="H95" s="622" t="n">
        <x:v>-3253504.04</x:v>
      </x:c>
      <x:c r="I95" s="622" t="n">
        <x:v>-117278.95</x:v>
      </x:c>
      <x:c r="J95" s="622" t="n">
        <x:v>-1030358.55</x:v>
      </x:c>
      <x:c r="K95" s="622" t="n">
        <x:v>-1031768.99</x:v>
      </x:c>
      <x:c r="L95" s="622" t="n">
        <x:v>-4830594.83</x:v>
      </x:c>
      <x:c r="M95" s="622" t="n">
        <x:v>-32110042.21</x:v>
      </x:c>
      <x:c r="N95" s="622" t="n">
        <x:v>-191350.21</x:v>
      </x:c>
      <x:c r="O95" s="622" t="n">
        <x:v>23.74</x:v>
      </x:c>
      <x:c r="P95" s="621">
        <x:v>0</x:v>
      </x:c>
      <x:c r="Q95" s="622">
        <x:v>0</x:v>
      </x:c>
      <x:c r="R95" s="622" t="n">
        <x:v>0</x:v>
      </x:c>
    </x:row>
    <x:row r="96" spans="1:18" ht="12.75" customHeight="1" x14ac:dyDescent="0.2">
      <x:c r="C96" s="616" t="s">
        <x:v>73</x:v>
      </x:c>
      <x:c r="D96" s="618" t="n">
        <x:v>-991410.96</x:v>
      </x:c>
      <x:c r="E96" s="618" t="n">
        <x:v>-916794.52</x:v>
      </x:c>
      <x:c r="F96" s="618" t="n">
        <x:v>-399784.58</x:v>
      </x:c>
      <x:c r="G96" s="620" t="n">
        <x:v>-225583.16</x:v>
      </x:c>
      <x:c r="H96" s="618" t="n">
        <x:v>753139.3</x:v>
      </x:c>
      <x:c r="I96" s="618" t="n">
        <x:v>27321.94</x:v>
      </x:c>
      <x:c r="J96" s="618" t="n">
        <x:v>241143.71</x:v>
      </x:c>
      <x:c r="K96" s="618" t="n">
        <x:v>238753.51</x:v>
      </x:c>
      <x:c r="L96" s="618" t="n">
        <x:v>1113806.24</x:v>
      </x:c>
      <x:c r="M96" s="618" t="n">
        <x:v>-1867991.13</x:v>
      </x:c>
      <x:c r="N96" s="618" t="n">
        <x:v>44577.73</x:v>
      </x:c>
      <x:c r="O96" s="618" t="n">
        <x:v>0</x:v>
      </x:c>
      <x:c r="P96" s="616">
        <x:v>0</x:v>
      </x:c>
      <x:c r="Q96" s="618">
        <x:v>0</x:v>
      </x:c>
      <x:c r="R96" s="616" t="n">
        <x:v>0</x:v>
      </x:c>
    </x:row>
    <x:row r="97" spans="1:18" s="623" customFormat="1" ht="12.75" customHeight="1" x14ac:dyDescent="0.2">
      <x:c r="B97" s="623" t="s">
        <x:v>79</x:v>
      </x:c>
      <x:c r="C97" s="623" t="s">
        <x:v>70</x:v>
      </x:c>
      <x:c r="D97" s="636" t="n">
        <x:v>-991410.96</x:v>
      </x:c>
      <x:c r="E97" s="624" t="n">
        <x:v>-916794.52</x:v>
      </x:c>
      <x:c r="F97" s="624" t="n">
        <x:v>-399784.58</x:v>
      </x:c>
      <x:c r="G97" s="636" t="n">
        <x:v>-225583.16</x:v>
      </x:c>
      <x:c r="H97" s="624" t="n">
        <x:v>753139.3</x:v>
      </x:c>
      <x:c r="I97" s="624" t="n">
        <x:v>27321.94</x:v>
      </x:c>
      <x:c r="J97" s="624" t="n">
        <x:v>241143.71</x:v>
      </x:c>
      <x:c r="K97" s="624" t="n">
        <x:v>238753.51</x:v>
      </x:c>
      <x:c r="L97" s="624" t="n">
        <x:v>1113806.24</x:v>
      </x:c>
      <x:c r="M97" s="624" t="n">
        <x:v>-1867991.13</x:v>
      </x:c>
      <x:c r="N97" s="624" t="n">
        <x:v>44577.73</x:v>
      </x:c>
      <x:c r="O97" s="624" t="n">
        <x:v>0</x:v>
      </x:c>
      <x:c r="P97" s="623">
        <x:v>0</x:v>
      </x:c>
      <x:c r="Q97" s="624">
        <x:v>0</x:v>
      </x:c>
      <x:c r="R97" s="623" t="n">
        <x:v>0</x:v>
      </x:c>
    </x:row>
    <x:row r="98" spans="1:18" s="625" customFormat="1" ht="12.75" customHeight="1" x14ac:dyDescent="0.2">
      <x:c r="A98" s="625" t="s">
        <x:v>155</x:v>
      </x:c>
      <x:c r="B98" s="625" t="s">
        <x:v>70</x:v>
      </x:c>
      <x:c r="D98" s="626" t="n">
        <x:v>-70779009</x:v>
      </x:c>
      <x:c r="E98" s="626" t="n">
        <x:v>-16754770.57</x:v>
      </x:c>
      <x:c r="F98" s="626" t="n">
        <x:v>-7757792.4</x:v>
      </x:c>
      <x:c r="G98" s="627" t="n">
        <x:v>-4252323.29</x:v>
      </x:c>
      <x:c r="H98" s="626" t="n">
        <x:v>-2500364.74</x:v>
      </x:c>
      <x:c r="I98" s="626" t="n">
        <x:v>-89957.01</x:v>
      </x:c>
      <x:c r="J98" s="626" t="n">
        <x:v>-789214.84</x:v>
      </x:c>
      <x:c r="K98" s="626" t="n">
        <x:v>-793015.48</x:v>
      </x:c>
      <x:c r="L98" s="626" t="n">
        <x:v>-3716788.59</x:v>
      </x:c>
      <x:c r="M98" s="626" t="n">
        <x:v>-33978033.34</x:v>
      </x:c>
      <x:c r="N98" s="626" t="n">
        <x:v>-146772.48</x:v>
      </x:c>
      <x:c r="O98" s="626" t="n">
        <x:v>23.74</x:v>
      </x:c>
      <x:c r="P98" s="625">
        <x:v>0</x:v>
      </x:c>
      <x:c r="Q98" s="626">
        <x:v>0</x:v>
      </x:c>
      <x:c r="R98" s="625" t="n">
        <x:v>0</x:v>
      </x:c>
    </x:row>
    <x:row r="99" spans="1:18" ht="12.75" customHeight="1" x14ac:dyDescent="0.2">
      <x:c r="C99" s="616" t="s">
        <x:v>72</x:v>
      </x:c>
      <x:c r="D99" s="620">
        <x:v>0</x:v>
      </x:c>
      <x:c r="E99" s="618">
        <x:v>0</x:v>
      </x:c>
      <x:c r="F99" s="618">
        <x:v>0</x:v>
      </x:c>
      <x:c r="G99" s="620">
        <x:v>0</x:v>
      </x:c>
      <x:c r="H99" s="618">
        <x:v>0</x:v>
      </x:c>
      <x:c r="I99" s="618">
        <x:v>0</x:v>
      </x:c>
      <x:c r="J99" s="618">
        <x:v>0</x:v>
      </x:c>
      <x:c r="K99" s="618">
        <x:v>0</x:v>
      </x:c>
      <x:c r="L99" s="618">
        <x:v>0</x:v>
      </x:c>
      <x:c r="M99" s="618">
        <x:v>0</x:v>
      </x:c>
      <x:c r="N99" s="618">
        <x:v>0</x:v>
      </x:c>
      <x:c r="O99" s="618">
        <x:v>0</x:v>
      </x:c>
      <x:c r="P99" s="616">
        <x:v>0</x:v>
      </x:c>
      <x:c r="Q99" s="618">
        <x:v>0</x:v>
      </x:c>
      <x:c r="R99" s="616">
        <x:v>0</x:v>
      </x:c>
    </x:row>
    <x:row r="100" spans="1:18" ht="12.75" customHeight="1" x14ac:dyDescent="0.2">
      <x:c r="C100" s="616" t="s">
        <x:v>81</x:v>
      </x:c>
      <x:c r="D100" s="618">
        <x:v>0</x:v>
      </x:c>
      <x:c r="E100" s="618">
        <x:v>0</x:v>
      </x:c>
      <x:c r="F100" s="618">
        <x:v>0</x:v>
      </x:c>
      <x:c r="G100" s="620">
        <x:v>0</x:v>
      </x:c>
      <x:c r="H100" s="618">
        <x:v>0</x:v>
      </x:c>
      <x:c r="I100" s="618">
        <x:v>0</x:v>
      </x:c>
      <x:c r="J100" s="618">
        <x:v>0</x:v>
      </x:c>
      <x:c r="K100" s="618">
        <x:v>0</x:v>
      </x:c>
      <x:c r="L100" s="618">
        <x:v>0</x:v>
      </x:c>
      <x:c r="M100" s="618">
        <x:v>0</x:v>
      </x:c>
      <x:c r="N100" s="618">
        <x:v>0</x:v>
      </x:c>
      <x:c r="O100" s="618">
        <x:v>0</x:v>
      </x:c>
      <x:c r="P100" s="616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>
        <x:v>0</x:v>
      </x:c>
      <x:c r="E101" s="622">
        <x:v>0</x:v>
      </x:c>
      <x:c r="F101" s="622">
        <x:v>0</x:v>
      </x:c>
      <x:c r="G101" s="622">
        <x:v>0</x:v>
      </x:c>
      <x:c r="H101" s="622">
        <x:v>0</x:v>
      </x:c>
      <x:c r="I101" s="622">
        <x:v>0</x:v>
      </x:c>
      <x:c r="J101" s="622">
        <x:v>0</x:v>
      </x:c>
      <x:c r="K101" s="622">
        <x:v>0</x:v>
      </x:c>
      <x:c r="L101" s="622">
        <x:v>0</x:v>
      </x:c>
      <x:c r="M101" s="622">
        <x:v>0</x:v>
      </x:c>
      <x:c r="N101" s="622">
        <x:v>0</x:v>
      </x:c>
      <x:c r="O101" s="622">
        <x:v>0</x:v>
      </x:c>
      <x:c r="P101" s="621">
        <x:v>0</x:v>
      </x:c>
      <x:c r="Q101" s="622">
        <x:v>0</x:v>
      </x:c>
      <x:c r="R101" s="622">
        <x:v>0</x:v>
      </x:c>
    </x:row>
    <x:row r="102" spans="1:18" ht="12.75" customHeight="1" x14ac:dyDescent="0.2">
      <x:c r="C102" s="616" t="s">
        <x:v>73</x:v>
      </x:c>
      <x:c r="D102" s="620">
        <x:v>0</x:v>
      </x:c>
      <x:c r="E102" s="618">
        <x:v>0</x:v>
      </x:c>
      <x:c r="F102" s="618">
        <x:v>0</x:v>
      </x:c>
      <x:c r="G102" s="620">
        <x:v>0</x:v>
      </x:c>
      <x:c r="H102" s="618">
        <x:v>0</x:v>
      </x:c>
      <x:c r="I102" s="618">
        <x:v>0</x:v>
      </x:c>
      <x:c r="J102" s="618">
        <x:v>0</x:v>
      </x:c>
      <x:c r="K102" s="618">
        <x:v>0</x:v>
      </x:c>
      <x:c r="L102" s="618">
        <x:v>0</x:v>
      </x:c>
      <x:c r="M102" s="618">
        <x:v>0</x:v>
      </x:c>
      <x:c r="N102" s="618">
        <x:v>0</x:v>
      </x:c>
      <x:c r="O102" s="618">
        <x:v>0</x:v>
      </x:c>
      <x:c r="P102" s="616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>
        <x:v>0</x:v>
      </x:c>
      <x:c r="E103" s="624">
        <x:v>0</x:v>
      </x:c>
      <x:c r="F103" s="624">
        <x:v>0</x:v>
      </x:c>
      <x:c r="G103" s="636">
        <x:v>0</x:v>
      </x:c>
      <x:c r="H103" s="624">
        <x:v>0</x:v>
      </x:c>
      <x:c r="I103" s="624">
        <x:v>0</x:v>
      </x:c>
      <x:c r="J103" s="624">
        <x:v>0</x:v>
      </x:c>
      <x:c r="K103" s="624">
        <x:v>0</x:v>
      </x:c>
      <x:c r="L103" s="624">
        <x:v>0</x:v>
      </x:c>
      <x:c r="M103" s="624">
        <x:v>0</x:v>
      </x:c>
      <x:c r="N103" s="624">
        <x:v>0</x:v>
      </x:c>
      <x:c r="O103" s="624">
        <x:v>0</x:v>
      </x:c>
      <x:c r="P103" s="623">
        <x:v>0</x:v>
      </x:c>
      <x:c r="Q103" s="624">
        <x:v>0</x:v>
      </x:c>
      <x:c r="R103" s="623">
        <x:v>0</x:v>
      </x:c>
    </x:row>
    <x:row r="104" spans="1:18" s="632" customFormat="1" ht="12.75" customHeight="1" x14ac:dyDescent="0.2">
      <x:c r="A104" s="632" t="s">
        <x:v>120</x:v>
      </x:c>
      <x:c r="B104" s="632" t="s">
        <x:v>70</x:v>
      </x:c>
      <x:c r="D104" s="632">
        <x:v>0</x:v>
      </x:c>
      <x:c r="E104" s="632">
        <x:v>0</x:v>
      </x:c>
      <x:c r="F104" s="632">
        <x:v>0</x:v>
      </x:c>
      <x:c r="G104" s="632">
        <x:v>0</x:v>
      </x:c>
      <x:c r="H104" s="632">
        <x:v>0</x:v>
      </x:c>
      <x:c r="I104" s="632">
        <x:v>0</x:v>
      </x:c>
      <x:c r="J104" s="632">
        <x:v>0</x:v>
      </x:c>
      <x:c r="K104" s="632">
        <x:v>0</x:v>
      </x:c>
      <x:c r="L104" s="632">
        <x:v>0</x:v>
      </x:c>
      <x:c r="M104" s="632">
        <x:v>0</x:v>
      </x:c>
      <x:c r="N104" s="632">
        <x:v>0</x:v>
      </x:c>
      <x:c r="O104" s="632">
        <x:v>0</x:v>
      </x:c>
      <x:c r="P104" s="632">
        <x:v>0</x:v>
      </x:c>
      <x:c r="Q104" s="632">
        <x:v>0</x:v>
      </x:c>
      <x:c r="R104" s="632">
        <x:v>0</x:v>
      </x:c>
    </x:row>
    <x:row r="105" spans="1:18" ht="12.6" customHeight="1" x14ac:dyDescent="0.2">
      <x:c r="C105" s="616" t="s">
        <x:v>72</x:v>
      </x:c>
      <x:c r="D105" s="618" t="n">
        <x:v>-377166.8</x:v>
      </x:c>
      <x:c r="E105" s="618" t="n">
        <x:v>-43251.45</x:v>
      </x:c>
      <x:c r="F105" s="618" t="n">
        <x:v>-24151.06</x:v>
      </x:c>
      <x:c r="G105" s="620" t="n">
        <x:v>-13029.67</x:v>
      </x:c>
      <x:c r="H105" s="618" t="n">
        <x:v>-77002.42</x:v>
      </x:c>
      <x:c r="I105" s="618" t="n">
        <x:v>-2284.76</x:v>
      </x:c>
      <x:c r="J105" s="618" t="n">
        <x:v>-20041.71</x:v>
      </x:c>
      <x:c r="K105" s="618" t="n">
        <x:v>-20313.51</x:v>
      </x:c>
      <x:c r="L105" s="618" t="n">
        <x:v>-87724.06</x:v>
      </x:c>
      <x:c r="M105" s="618" t="n">
        <x:v>-86066.71</x:v>
      </x:c>
      <x:c r="N105" s="618" t="n">
        <x:v>-3305.91</x:v>
      </x:c>
      <x:c r="O105" s="618" t="n">
        <x:v>4.46</x:v>
      </x:c>
      <x:c r="P105" s="616">
        <x:v>0</x:v>
      </x:c>
      <x:c r="Q105" s="618">
        <x:v>0</x:v>
      </x:c>
      <x:c r="R105" s="616" t="n">
        <x:v>0</x:v>
      </x:c>
    </x:row>
    <x:row r="106" spans="1:18" ht="12.75" customHeight="1" x14ac:dyDescent="0.2">
      <x:c r="C106" s="616" t="s">
        <x:v>81</x:v>
      </x:c>
      <x:c r="D106" s="618" t="n">
        <x:v>-9054.66</x:v>
      </x:c>
      <x:c r="E106" s="618" t="n">
        <x:v>-491.84</x:v>
      </x:c>
      <x:c r="F106" s="618" t="n">
        <x:v>-219.75</x:v>
      </x:c>
      <x:c r="G106" s="620" t="n">
        <x:v>-125.76</x:v>
      </x:c>
      <x:c r="H106" s="618" t="n">
        <x:v>-2696.53</x:v>
      </x:c>
      <x:c r="I106" s="618" t="n">
        <x:v>-61.76</x:v>
      </x:c>
      <x:c r="J106" s="618" t="n">
        <x:v>-541.98</x:v>
      </x:c>
      <x:c r="K106" s="618" t="n">
        <x:v>-671.69</x:v>
      </x:c>
      <x:c r="L106" s="618" t="n">
        <x:v>-3161.57</x:v>
      </x:c>
      <x:c r="M106" s="618" t="n">
        <x:v>-983.04</x:v>
      </x:c>
      <x:c r="N106" s="618" t="n">
        <x:v>-100.83</x:v>
      </x:c>
      <x:c r="O106" s="618" t="n">
        <x:v>0.09</x:v>
      </x:c>
      <x:c r="P106" s="616">
        <x:v>0</x:v>
      </x:c>
      <x:c r="Q106" s="618">
        <x:v>0</x:v>
      </x:c>
      <x:c r="R106" s="616" t="n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 t="n">
        <x:v>-386221.46</x:v>
      </x:c>
      <x:c r="E107" s="622" t="n">
        <x:v>-43743.29</x:v>
      </x:c>
      <x:c r="F107" s="622" t="n">
        <x:v>-24370.81</x:v>
      </x:c>
      <x:c r="G107" s="622" t="n">
        <x:v>-13155.43</x:v>
      </x:c>
      <x:c r="H107" s="622" t="n">
        <x:v>-79698.95</x:v>
      </x:c>
      <x:c r="I107" s="622" t="n">
        <x:v>-2346.52</x:v>
      </x:c>
      <x:c r="J107" s="622" t="n">
        <x:v>-20583.69</x:v>
      </x:c>
      <x:c r="K107" s="622" t="n">
        <x:v>-20985.2</x:v>
      </x:c>
      <x:c r="L107" s="622" t="n">
        <x:v>-90885.63</x:v>
      </x:c>
      <x:c r="M107" s="622" t="n">
        <x:v>-87049.75</x:v>
      </x:c>
      <x:c r="N107" s="622" t="n">
        <x:v>-3406.74</x:v>
      </x:c>
      <x:c r="O107" s="622" t="n">
        <x:v>4.55</x:v>
      </x:c>
      <x:c r="P107" s="621">
        <x:v>0</x:v>
      </x:c>
      <x:c r="Q107" s="622">
        <x:v>0</x:v>
      </x:c>
      <x:c r="R107" s="622" t="n">
        <x:v>0</x:v>
      </x:c>
    </x:row>
    <x:row r="108" spans="1:18" ht="12.75" customHeight="1" x14ac:dyDescent="0.2">
      <x:c r="C108" s="616" t="s">
        <x:v>73</x:v>
      </x:c>
      <x:c r="D108" s="620" t="n">
        <x:v>95471.46</x:v>
      </x:c>
      <x:c r="E108" s="618" t="n">
        <x:v>4869.41</x:v>
      </x:c>
      <x:c r="F108" s="618" t="n">
        <x:v>2653.99</x:v>
      </x:c>
      <x:c r="G108" s="620" t="n">
        <x:v>1418.22</x:v>
      </x:c>
      <x:c r="H108" s="618" t="n">
        <x:v>24431.4</x:v>
      </x:c>
      <x:c r="I108" s="618" t="n">
        <x:v>804.56</x:v>
      </x:c>
      <x:c r="J108" s="618" t="n">
        <x:v>7057.6</x:v>
      </x:c>
      <x:c r="K108" s="618" t="n">
        <x:v>7551.54</x:v>
      </x:c>
      <x:c r="L108" s="618" t="n">
        <x:v>35697.19</x:v>
      </x:c>
      <x:c r="M108" s="618" t="n">
        <x:v>9674.81</x:v>
      </x:c>
      <x:c r="N108" s="618" t="n">
        <x:v>1312.74</x:v>
      </x:c>
      <x:c r="O108" s="618" t="n">
        <x:v>0</x:v>
      </x:c>
      <x:c r="P108" s="616">
        <x:v>0</x:v>
      </x:c>
      <x:c r="Q108" s="618">
        <x:v>0</x:v>
      </x:c>
      <x:c r="R108" s="616" t="n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 t="n">
        <x:v>95471.46</x:v>
      </x:c>
      <x:c r="E109" s="624" t="n">
        <x:v>4869.41</x:v>
      </x:c>
      <x:c r="F109" s="624" t="n">
        <x:v>2653.99</x:v>
      </x:c>
      <x:c r="G109" s="636" t="n">
        <x:v>1418.22</x:v>
      </x:c>
      <x:c r="H109" s="624" t="n">
        <x:v>24431.4</x:v>
      </x:c>
      <x:c r="I109" s="624" t="n">
        <x:v>804.56</x:v>
      </x:c>
      <x:c r="J109" s="624" t="n">
        <x:v>7057.6</x:v>
      </x:c>
      <x:c r="K109" s="624" t="n">
        <x:v>7551.54</x:v>
      </x:c>
      <x:c r="L109" s="624" t="n">
        <x:v>35697.19</x:v>
      </x:c>
      <x:c r="M109" s="624" t="n">
        <x:v>9674.81</x:v>
      </x:c>
      <x:c r="N109" s="624" t="n">
        <x:v>1312.74</x:v>
      </x:c>
      <x:c r="O109" s="624" t="n">
        <x:v>0</x:v>
      </x:c>
      <x:c r="P109" s="623">
        <x:v>0</x:v>
      </x:c>
      <x:c r="Q109" s="624">
        <x:v>0</x:v>
      </x:c>
      <x:c r="R109" s="623" t="n">
        <x:v>0</x:v>
      </x:c>
    </x:row>
    <x:row r="110" spans="1:18" s="628" customFormat="1" ht="12.75" customHeight="1" x14ac:dyDescent="0.2">
      <x:c r="A110" s="628" t="s">
        <x:v>119</x:v>
      </x:c>
      <x:c r="B110" s="628" t="s">
        <x:v>70</x:v>
      </x:c>
      <x:c r="D110" s="628" t="n">
        <x:v>-290750</x:v>
      </x:c>
      <x:c r="E110" s="628" t="n">
        <x:v>-38873.88</x:v>
      </x:c>
      <x:c r="F110" s="628" t="n">
        <x:v>-21716.82</x:v>
      </x:c>
      <x:c r="G110" s="628" t="n">
        <x:v>-11737.21</x:v>
      </x:c>
      <x:c r="H110" s="628" t="n">
        <x:v>-55267.55</x:v>
      </x:c>
      <x:c r="I110" s="628" t="n">
        <x:v>-1541.96</x:v>
      </x:c>
      <x:c r="J110" s="628" t="n">
        <x:v>-13526.09</x:v>
      </x:c>
      <x:c r="K110" s="628" t="n">
        <x:v>-13433.66</x:v>
      </x:c>
      <x:c r="L110" s="628" t="n">
        <x:v>-55188.44</x:v>
      </x:c>
      <x:c r="M110" s="628" t="n">
        <x:v>-77374.94</x:v>
      </x:c>
      <x:c r="N110" s="628" t="n">
        <x:v>-2094</x:v>
      </x:c>
      <x:c r="O110" s="628" t="n">
        <x:v>4.55</x:v>
      </x:c>
      <x:c r="P110" s="628">
        <x:v>0</x:v>
      </x:c>
      <x:c r="Q110" s="628">
        <x:v>0</x:v>
      </x:c>
      <x:c r="R110" s="628" t="n">
        <x:v>0</x:v>
      </x:c>
    </x:row>
    <x:row r="111" spans="1:18" s="631" customFormat="1" ht="12.75" customHeight="1" x14ac:dyDescent="0.2">
      <x:c r="A111" s="630" t="s">
        <x:v>70</x:v>
      </x:c>
      <x:c r="D111" s="630" t="n">
        <x:v>-71069759</x:v>
      </x:c>
      <x:c r="E111" s="630" t="n">
        <x:v>-16793644.45</x:v>
      </x:c>
      <x:c r="F111" s="630" t="n">
        <x:v>-7779509.22</x:v>
      </x:c>
      <x:c r="G111" s="630" t="n">
        <x:v>-4264060.5</x:v>
      </x:c>
      <x:c r="H111" s="630" t="n">
        <x:v>-2555632.29</x:v>
      </x:c>
      <x:c r="I111" s="630" t="n">
        <x:v>-91498.97</x:v>
      </x:c>
      <x:c r="J111" s="630" t="n">
        <x:v>-802740.93</x:v>
      </x:c>
      <x:c r="K111" s="630" t="n">
        <x:v>-806449.14</x:v>
      </x:c>
      <x:c r="L111" s="630" t="n">
        <x:v>-3771977.03</x:v>
      </x:c>
      <x:c r="M111" s="630" t="n">
        <x:v>-34055408.28</x:v>
      </x:c>
      <x:c r="N111" s="630" t="n">
        <x:v>-148866.48</x:v>
      </x:c>
      <x:c r="O111" s="630" t="n">
        <x:v>28.29</x:v>
      </x:c>
      <x:c r="P111" s="631" t="n">
        <x:v>0</x:v>
      </x:c>
      <x:c r="Q111" s="630">
        <x:v>0</x:v>
      </x:c>
      <x:c r="R111" s="630" t="n">
        <x:v>0</x:v>
      </x:c>
    </x:row>
    <x:row r="112" spans="1:18" ht="12.75" customHeight="1" x14ac:dyDescent="0.2">
      <x:c r="A112" s="618"/>
      <x:c r="D112" s="618"/>
      <x:c r="E112" s="618"/>
      <x:c r="F112" s="618"/>
      <x:c r="G112" s="618"/>
      <x:c r="H112" s="618"/>
      <x:c r="I112" s="618"/>
      <x:c r="J112" s="618"/>
      <x:c r="K112" s="618"/>
      <x:c r="L112" s="618"/>
      <x:c r="M112" s="618"/>
      <x:c r="N112" s="618"/>
      <x:c r="O112" s="618"/>
      <x:c r="P112" s="618"/>
    </x:row>
    <x:row r="113" spans="1:16" ht="12.75" hidden="1" customHeight="1" x14ac:dyDescent="0.2">
      <x:c r="A113" s="618"/>
      <x:c r="D113" s="618"/>
      <x:c r="E113" s="618"/>
      <x:c r="F113" s="618"/>
      <x:c r="G113" s="618"/>
      <x:c r="H113" s="618"/>
      <x:c r="I113" s="618"/>
      <x:c r="J113" s="618"/>
      <x:c r="K113" s="618"/>
      <x:c r="L113" s="618"/>
      <x:c r="M113" s="618"/>
      <x:c r="N113" s="618"/>
      <x:c r="O113" s="618"/>
      <x:c r="P113" s="618"/>
    </x:row>
    <x:row r="114" spans="1:16" ht="12.75" hidden="1" customHeight="1" x14ac:dyDescent="0.2">
      <x:c r="A114" s="618"/>
      <x:c r="D114" s="618"/>
      <x:c r="E114" s="618"/>
      <x:c r="F114" s="618"/>
      <x:c r="G114" s="618"/>
      <x:c r="H114" s="618"/>
      <x:c r="I114" s="618"/>
      <x:c r="J114" s="618"/>
      <x:c r="K114" s="618"/>
      <x:c r="L114" s="618"/>
      <x:c r="M114" s="618"/>
      <x:c r="N114" s="618"/>
      <x:c r="O114" s="618"/>
      <x:c r="P114" s="618"/>
    </x:row>
    <x:row r="115" spans="1:16" ht="12.75" hidden="1" customHeight="1" x14ac:dyDescent="0.2">
      <x:c r="A115" s="618"/>
      <x:c r="D115" s="618"/>
      <x:c r="E115" s="618"/>
      <x:c r="F115" s="618"/>
      <x:c r="G115" s="618"/>
      <x:c r="H115" s="618"/>
      <x:c r="I115" s="618"/>
      <x:c r="J115" s="618"/>
      <x:c r="K115" s="618"/>
      <x:c r="L115" s="618"/>
      <x:c r="M115" s="618"/>
      <x:c r="N115" s="618"/>
      <x:c r="O115" s="618"/>
      <x:c r="P115" s="618"/>
    </x:row>
    <x:row r="116" spans="1:16" ht="12.75" hidden="1" customHeight="1" x14ac:dyDescent="0.2">
      <x:c r="A116" s="618"/>
      <x:c r="D116" s="618"/>
      <x:c r="E116" s="618"/>
      <x:c r="F116" s="618"/>
      <x:c r="G116" s="618"/>
      <x:c r="H116" s="618"/>
      <x:c r="I116" s="618"/>
      <x:c r="J116" s="618"/>
      <x:c r="K116" s="618"/>
      <x:c r="L116" s="618"/>
      <x:c r="M116" s="618"/>
      <x:c r="N116" s="618"/>
      <x:c r="O116" s="618"/>
      <x:c r="P116" s="618"/>
    </x:row>
    <x:row r="117" spans="1:16" ht="12.75" hidden="1" customHeight="1" x14ac:dyDescent="0.2">
      <x:c r="A117" s="618"/>
      <x:c r="D117" s="618"/>
      <x:c r="E117" s="618"/>
      <x:c r="F117" s="618"/>
      <x:c r="G117" s="618"/>
      <x:c r="H117" s="618"/>
      <x:c r="I117" s="618"/>
      <x:c r="J117" s="618"/>
      <x:c r="K117" s="618"/>
      <x:c r="L117" s="618"/>
      <x:c r="M117" s="618"/>
      <x:c r="N117" s="618"/>
      <x:c r="O117" s="618"/>
      <x:c r="P117" s="618"/>
    </x:row>
    <x:row r="118" spans="1:16" ht="12.75" hidden="1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6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6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6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6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6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6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6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6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6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6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8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8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8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8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8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8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8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8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8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8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8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8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8" ht="12.75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8" ht="12.75" customHeight="1" x14ac:dyDescent="0.2">
      <x:c r="A174" s="781" t="s">
        <x:v>2</x:v>
      </x:c>
      <x:c r="B174" s="780" t="s">
        <x:v>132</x:v>
      </x:c>
      <x:c r="C174" s="766" t="s">
        <x:v>70</x:v>
      </x:c>
      <x:c r="D174" s="766">
        <x:f>D111-P111</x:f>
        <x:v>0</x:v>
      </x:c>
      <x:c r="E174" s="766">
        <x:f>E95+E101+E107</x:f>
        <x:v>0</x:v>
      </x:c>
      <x:c r="F174" s="766">
        <x:f t="shared" ref="F174:R174" si="3">F95+F101+F107</x:f>
        <x:v>0</x:v>
      </x:c>
      <x:c r="G174" s="766">
        <x:f t="shared" si="3"/>
        <x:v>0</x:v>
      </x:c>
      <x:c r="H174" s="766">
        <x:f t="shared" si="3"/>
        <x:v>0</x:v>
      </x:c>
      <x:c r="I174" s="766">
        <x:f t="shared" si="3"/>
        <x:v>0</x:v>
      </x:c>
      <x:c r="J174" s="766">
        <x:f t="shared" si="3"/>
        <x:v>0</x:v>
      </x:c>
      <x:c r="K174" s="766">
        <x:f t="shared" si="3"/>
        <x:v>0</x:v>
      </x:c>
      <x:c r="L174" s="766">
        <x:f t="shared" si="3"/>
        <x:v>0</x:v>
      </x:c>
      <x:c r="M174" s="766">
        <x:f t="shared" si="3"/>
        <x:v>0</x:v>
      </x:c>
      <x:c r="N174" s="766">
        <x:f t="shared" si="3"/>
        <x:v>0</x:v>
      </x:c>
      <x:c r="O174" s="766">
        <x:f t="shared" si="3"/>
        <x:v>0</x:v>
      </x:c>
      <x:c r="P174" s="766">
        <x:f t="shared" si="3"/>
        <x:v>0</x:v>
      </x:c>
      <x:c r="Q174" s="766">
        <x:f t="shared" si="3"/>
        <x:v>0</x:v>
      </x:c>
      <x:c r="R174" s="766">
        <x:f t="shared" si="3"/>
        <x:v>0</x:v>
      </x:c>
    </x:row>
    <x:row r="175" spans="1:18" ht="12.75" customHeight="1" x14ac:dyDescent="0.2">
      <x:c r="A175" s="781"/>
      <x:c r="B175" s="780"/>
      <x:c r="C175" s="766" t="s">
        <x:v>73</x:v>
      </x:c>
      <x:c r="D175" s="766">
        <x:f>D97+D103+D109</x:f>
        <x:v>0</x:v>
      </x:c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  <x:c r="Q175" s="618"/>
    </x:row>
    <x:row r="176" spans="1:18" ht="12.75" customHeight="1" x14ac:dyDescent="0.2">
      <x:c r="A176" s="617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  <x:c r="Q176" s="618"/>
    </x:row>
    <x:row r="177" spans="1:18" ht="12.75" customHeight="1" x14ac:dyDescent="0.2">
      <x:c r="A177" s="781" t="s">
        <x:v>160</x:v>
      </x:c>
      <x:c r="B177" s="780" t="s">
        <x:v>132</x:v>
      </x:c>
      <x:c r="C177" s="632" t="s">
        <x:v>70</x:v>
      </x:c>
      <x:c r="D177" s="632">
        <x:f>D104-P104</x:f>
        <x:v>0</x:v>
      </x:c>
      <x:c r="E177" s="632">
        <x:f>E101</x:f>
        <x:v>0</x:v>
      </x:c>
      <x:c r="F177" s="632">
        <x:f t="shared" ref="F177:R177" si="4">F101</x:f>
        <x:v>0</x:v>
      </x:c>
      <x:c r="G177" s="632">
        <x:f t="shared" si="4"/>
        <x:v>0</x:v>
      </x:c>
      <x:c r="H177" s="632">
        <x:f t="shared" si="4"/>
        <x:v>0</x:v>
      </x:c>
      <x:c r="I177" s="632">
        <x:f t="shared" si="4"/>
        <x:v>0</x:v>
      </x:c>
      <x:c r="J177" s="632">
        <x:f t="shared" si="4"/>
        <x:v>0</x:v>
      </x:c>
      <x:c r="K177" s="632">
        <x:f t="shared" si="4"/>
        <x:v>0</x:v>
      </x:c>
      <x:c r="L177" s="632">
        <x:f t="shared" si="4"/>
        <x:v>0</x:v>
      </x:c>
      <x:c r="M177" s="632">
        <x:f t="shared" si="4"/>
        <x:v>0</x:v>
      </x:c>
      <x:c r="N177" s="632">
        <x:f t="shared" si="4"/>
        <x:v>0</x:v>
      </x:c>
      <x:c r="O177" s="632">
        <x:f t="shared" si="4"/>
        <x:v>0</x:v>
      </x:c>
      <x:c r="P177" s="632">
        <x:f t="shared" si="4"/>
        <x:v>0</x:v>
      </x:c>
      <x:c r="Q177" s="632">
        <x:f t="shared" si="4"/>
        <x:v>0</x:v>
      </x:c>
      <x:c r="R177" s="632">
        <x:f t="shared" si="4"/>
        <x:v>0</x:v>
      </x:c>
    </x:row>
    <x:row r="178" spans="1:18" ht="12.75" customHeight="1" x14ac:dyDescent="0.2">
      <x:c r="A178" s="781"/>
      <x:c r="B178" s="780"/>
      <x:c r="C178" s="632" t="s">
        <x:v>73</x:v>
      </x:c>
      <x:c r="D178" s="632">
        <x:f>D103</x:f>
        <x:v>0</x:v>
      </x:c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  <x:c r="Q178" s="618"/>
    </x:row>
    <x:row r="179" spans="1:18" ht="12.75" customHeight="1" x14ac:dyDescent="0.2">
      <x:c r="A179" s="617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  <x:c r="Q179" s="618"/>
    </x:row>
    <x:row r="180" spans="1:18" ht="12.75" customHeight="1" x14ac:dyDescent="0.2">
      <x:c r="A180" s="781" t="s">
        <x:v>155</x:v>
      </x:c>
      <x:c r="B180" s="780" t="s">
        <x:v>132</x:v>
      </x:c>
      <x:c r="C180" s="633" t="s">
        <x:v>70</x:v>
      </x:c>
      <x:c r="D180" s="633">
        <x:f>D98-P98</x:f>
        <x:v>0</x:v>
      </x:c>
      <x:c r="E180" s="633">
        <x:f>E95</x:f>
        <x:v>0</x:v>
      </x:c>
      <x:c r="F180" s="633">
        <x:f t="shared" ref="F180:R180" si="5">F95</x:f>
        <x:v>0</x:v>
      </x:c>
      <x:c r="G180" s="633">
        <x:f t="shared" si="5"/>
        <x:v>0</x:v>
      </x:c>
      <x:c r="H180" s="633">
        <x:f t="shared" si="5"/>
        <x:v>0</x:v>
      </x:c>
      <x:c r="I180" s="633">
        <x:f t="shared" si="5"/>
        <x:v>0</x:v>
      </x:c>
      <x:c r="J180" s="633">
        <x:f t="shared" si="5"/>
        <x:v>0</x:v>
      </x:c>
      <x:c r="K180" s="633">
        <x:f t="shared" si="5"/>
        <x:v>0</x:v>
      </x:c>
      <x:c r="L180" s="633">
        <x:f t="shared" si="5"/>
        <x:v>0</x:v>
      </x:c>
      <x:c r="M180" s="633">
        <x:f t="shared" si="5"/>
        <x:v>0</x:v>
      </x:c>
      <x:c r="N180" s="633">
        <x:f t="shared" si="5"/>
        <x:v>0</x:v>
      </x:c>
      <x:c r="O180" s="633">
        <x:f t="shared" si="5"/>
        <x:v>0</x:v>
      </x:c>
      <x:c r="P180" s="633">
        <x:f t="shared" si="5"/>
        <x:v>0</x:v>
      </x:c>
      <x:c r="Q180" s="633">
        <x:f t="shared" si="5"/>
        <x:v>0</x:v>
      </x:c>
      <x:c r="R180" s="633">
        <x:f t="shared" si="5"/>
        <x:v>0</x:v>
      </x:c>
    </x:row>
    <x:row r="181" spans="1:18" ht="12.75" customHeight="1" x14ac:dyDescent="0.2">
      <x:c r="A181" s="781"/>
      <x:c r="B181" s="780"/>
      <x:c r="C181" s="633" t="s">
        <x:v>73</x:v>
      </x:c>
      <x:c r="D181" s="633">
        <x:f>D97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722"/>
      <x:c r="B182" s="721"/>
      <x:c r="C182" s="618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79" t="s">
        <x:v>326</x:v>
      </x:c>
      <x:c r="B183" s="780" t="s">
        <x:v>132</x:v>
      </x:c>
      <x:c r="C183" s="633" t="s">
        <x:v>70</x:v>
      </x:c>
      <x:c r="D183" s="720">
        <x:v>0</x:v>
      </x:c>
      <x:c r="E183" s="720">
        <x:v>0</x:v>
      </x:c>
      <x:c r="F183" s="720">
        <x:v>0</x:v>
      </x:c>
      <x:c r="G183" s="720">
        <x:v>0</x:v>
      </x:c>
      <x:c r="H183" s="720">
        <x:v>0</x:v>
      </x:c>
      <x:c r="I183" s="720">
        <x:v>0</x:v>
      </x:c>
      <x:c r="J183" s="720">
        <x:v>0</x:v>
      </x:c>
      <x:c r="K183" s="720">
        <x:v>0</x:v>
      </x:c>
      <x:c r="L183" s="720">
        <x:v>0</x:v>
      </x:c>
      <x:c r="M183" s="720">
        <x:v>0</x:v>
      </x:c>
      <x:c r="N183" s="720">
        <x:v>0</x:v>
      </x:c>
      <x:c r="O183" s="720">
        <x:v>0</x:v>
      </x:c>
      <x:c r="P183" s="720">
        <x:v>0</x:v>
      </x:c>
      <x:c r="Q183" s="720">
        <x:v>0</x:v>
      </x:c>
      <x:c r="R183" s="720">
        <x:v>0</x:v>
      </x:c>
    </x:row>
    <x:row r="184" spans="1:18" ht="12.75" customHeight="1" x14ac:dyDescent="0.2">
      <x:c r="A184" s="779"/>
      <x:c r="B184" s="780"/>
      <x:c r="C184" s="633" t="s">
        <x:v>73</x:v>
      </x:c>
      <x:c r="D184" s="720"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1" t="s">
        <x:v>119</x:v>
      </x:c>
      <x:c r="B186" s="780" t="s">
        <x:v>132</x:v>
      </x:c>
      <x:c r="C186" s="628" t="s">
        <x:v>70</x:v>
      </x:c>
      <x:c r="D186" s="628">
        <x:f>D110-P110</x:f>
        <x:v>0</x:v>
      </x:c>
      <x:c r="E186" s="628">
        <x:f>E107</x:f>
        <x:v>0</x:v>
      </x:c>
      <x:c r="F186" s="628">
        <x:f t="shared" ref="F186:R186" si="6">F107</x:f>
        <x:v>0</x:v>
      </x:c>
      <x:c r="G186" s="628">
        <x:f t="shared" si="6"/>
        <x:v>0</x:v>
      </x:c>
      <x:c r="H186" s="628">
        <x:f t="shared" si="6"/>
        <x:v>0</x:v>
      </x:c>
      <x:c r="I186" s="628">
        <x:f t="shared" si="6"/>
        <x:v>0</x:v>
      </x:c>
      <x:c r="J186" s="628">
        <x:f t="shared" si="6"/>
        <x:v>0</x:v>
      </x:c>
      <x:c r="K186" s="628">
        <x:f t="shared" si="6"/>
        <x:v>0</x:v>
      </x:c>
      <x:c r="L186" s="628">
        <x:f t="shared" si="6"/>
        <x:v>0</x:v>
      </x:c>
      <x:c r="M186" s="628">
        <x:f t="shared" si="6"/>
        <x:v>0</x:v>
      </x:c>
      <x:c r="N186" s="628">
        <x:f t="shared" si="6"/>
        <x:v>0</x:v>
      </x:c>
      <x:c r="O186" s="628">
        <x:f t="shared" si="6"/>
        <x:v>0</x:v>
      </x:c>
      <x:c r="P186" s="628">
        <x:f t="shared" si="6"/>
        <x:v>0</x:v>
      </x:c>
      <x:c r="Q186" s="628">
        <x:f t="shared" si="6"/>
        <x:v>0</x:v>
      </x:c>
      <x:c r="R186" s="628">
        <x:f t="shared" si="6"/>
        <x:v>0</x:v>
      </x:c>
    </x:row>
    <x:row r="187" spans="1:18" ht="12.75" customHeight="1" x14ac:dyDescent="0.2">
      <x:c r="A187" s="781"/>
      <x:c r="B187" s="780"/>
      <x:c r="C187" s="628" t="s">
        <x:v>73</x:v>
      </x:c>
      <x:c r="D187" s="628">
        <x:f>D109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  <x:c r="R187" s="618"/>
    </x:row>
    <x:row r="188" spans="1:18" ht="12.75" customHeight="1" x14ac:dyDescent="0.2">
      <x:c r="A188" s="617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  <x:c r="R188" s="618"/>
    </x:row>
    <x:row r="189" spans="1:18" ht="12.75" customHeight="1" x14ac:dyDescent="0.2">
      <x:c r="A189" s="782" t="s">
        <x:v>161</x:v>
      </x:c>
      <x:c r="B189" s="780" t="s">
        <x:v>132</x:v>
      </x:c>
      <x:c r="C189" s="634" t="s">
        <x:v>70</x:v>
      </x:c>
      <x:c r="D189" s="634">
        <x:v>0</x:v>
      </x:c>
      <x:c r="E189" s="634">
        <x:v>0</x:v>
      </x:c>
      <x:c r="F189" s="634">
        <x:v>0</x:v>
      </x:c>
      <x:c r="G189" s="634">
        <x:v>0</x:v>
      </x:c>
      <x:c r="H189" s="634">
        <x:v>0</x:v>
      </x:c>
      <x:c r="I189" s="634">
        <x:v>0</x:v>
      </x:c>
      <x:c r="J189" s="634">
        <x:v>0</x:v>
      </x:c>
      <x:c r="K189" s="634">
        <x:v>0</x:v>
      </x:c>
      <x:c r="L189" s="634">
        <x:v>0</x:v>
      </x:c>
      <x:c r="M189" s="634">
        <x:v>0</x:v>
      </x:c>
      <x:c r="N189" s="634">
        <x:v>0</x:v>
      </x:c>
      <x:c r="O189" s="634">
        <x:v>0</x:v>
      </x:c>
      <x:c r="P189" s="634">
        <x:v>0</x:v>
      </x:c>
      <x:c r="Q189" s="634">
        <x:v>0</x:v>
      </x:c>
      <x:c r="R189" s="634">
        <x:v>0</x:v>
      </x:c>
    </x:row>
    <x:row r="190" spans="1:18" ht="12.75" customHeight="1" x14ac:dyDescent="0.2">
      <x:c r="A190" s="782"/>
      <x:c r="B190" s="780"/>
      <x:c r="C190" s="634" t="s">
        <x:v>73</x:v>
      </x:c>
      <x:c r="D190" s="634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s="635" customFormat="1" x14ac:dyDescent="0.2"/>
    <x:row r="192" spans="1:18" x14ac:dyDescent="0.2">
      <x:c r="B192" s="617" t="s">
        <x:v>76</x:v>
      </x:c>
    </x:row>
    <x:row r="193" spans="1:18" x14ac:dyDescent="0.2">
      <x:c r="D193" s="618" t="s">
        <x:v>70</x:v>
      </x:c>
      <x:c r="E193" s="618" t="s">
        <x:v>64</x:v>
      </x:c>
      <x:c r="F193" s="618" t="s">
        <x:v>65</x:v>
      </x:c>
      <x:c r="G193" s="619" t="s">
        <x:v>164</x:v>
      </x:c>
      <x:c r="H193" s="618" t="s">
        <x:v>69</x:v>
      </x:c>
      <x:c r="I193" s="618" t="s">
        <x:v>68</x:v>
      </x:c>
      <x:c r="J193" s="618" t="s">
        <x:v>66</x:v>
      </x:c>
      <x:c r="K193" s="618" t="s">
        <x:v>63</x:v>
      </x:c>
      <x:c r="L193" s="618" t="s">
        <x:v>61</x:v>
      </x:c>
      <x:c r="M193" s="618" t="s">
        <x:v>62</x:v>
      </x:c>
      <x:c r="N193" s="618" t="s">
        <x:v>67</x:v>
      </x:c>
      <x:c r="O193" s="618" t="s">
        <x:v>77</x:v>
      </x:c>
      <x:c r="P193" s="616" t="s">
        <x:v>71</x:v>
      </x:c>
      <x:c r="Q193" s="618" t="s">
        <x:v>80</x:v>
      </x:c>
      <x:c r="R193" s="616" t="s">
        <x:v>168</x:v>
      </x:c>
    </x:row>
    <x:row r="194" spans="1:18" ht="12.75" customHeight="1" x14ac:dyDescent="0.2">
      <x:c r="B194" s="618"/>
      <x:c r="C194" s="618" t="s">
        <x:v>72</x:v>
      </x:c>
      <x:c r="D194" s="618" t="n">
        <x:v>-27227798.78</x:v>
      </x:c>
      <x:c r="E194" s="618" t="n">
        <x:v>-2315528.48</x:v>
      </x:c>
      <x:c r="F194" s="618" t="n">
        <x:v>-1284217.58</x:v>
      </x:c>
      <x:c r="G194" s="618" t="n">
        <x:v>-681382.92</x:v>
      </x:c>
      <x:c r="H194" s="618" t="n">
        <x:v>-5451652.19</x:v>
      </x:c>
      <x:c r="I194" s="618" t="n">
        <x:v>-202328.82</x:v>
      </x:c>
      <x:c r="J194" s="618" t="n">
        <x:v>-1782592.35</x:v>
      </x:c>
      <x:c r="K194" s="618" t="n">
        <x:v>-1715323.71</x:v>
      </x:c>
      <x:c r="L194" s="618" t="n">
        <x:v>-8067276.28</x:v>
      </x:c>
      <x:c r="M194" s="618" t="n">
        <x:v>-5394689.73</x:v>
      </x:c>
      <x:c r="N194" s="618" t="n">
        <x:v>-332680.61</x:v>
      </x:c>
      <x:c r="O194" s="618" t="n">
        <x:v>-126.11</x:v>
      </x:c>
      <x:c r="P194" s="616">
        <x:v>0</x:v>
      </x:c>
      <x:c r="Q194" s="618">
        <x:v>0</x:v>
      </x:c>
      <x:c r="R194" s="618" t="n">
        <x:v>0</x:v>
      </x:c>
    </x:row>
    <x:row r="195" spans="1:18" ht="12.75" customHeight="1" x14ac:dyDescent="0.2">
      <x:c r="B195" s="618"/>
      <x:c r="C195" s="618" t="s">
        <x:v>81</x:v>
      </x:c>
      <x:c r="D195" s="618" t="n">
        <x:v>-345928.04</x:v>
      </x:c>
      <x:c r="E195" s="618" t="n">
        <x:v>-25008.84</x:v>
      </x:c>
      <x:c r="F195" s="618" t="n">
        <x:v>-12602.88</x:v>
      </x:c>
      <x:c r="G195" s="618" t="n">
        <x:v>-7036.43</x:v>
      </x:c>
      <x:c r="H195" s="618" t="n">
        <x:v>-80348.21</x:v>
      </x:c>
      <x:c r="I195" s="618" t="n">
        <x:v>-2983.37</x:v>
      </x:c>
      <x:c r="J195" s="618" t="n">
        <x:v>-25907.02</x:v>
      </x:c>
      <x:c r="K195" s="618" t="n">
        <x:v>-22627.65</x:v>
      </x:c>
      <x:c r="L195" s="618" t="n">
        <x:v>-105993.62</x:v>
      </x:c>
      <x:c r="M195" s="618" t="n">
        <x:v>-58451.89</x:v>
      </x:c>
      <x:c r="N195" s="618" t="n">
        <x:v>-4966.27</x:v>
      </x:c>
      <x:c r="O195" s="618" t="n">
        <x:v>-1.86</x:v>
      </x:c>
      <x:c r="P195" s="616">
        <x:v>0</x:v>
      </x:c>
      <x:c r="Q195" s="618">
        <x:v>0</x:v>
      </x:c>
      <x:c r="R195" s="618" t="n">
        <x:v>0</x:v>
      </x:c>
    </x:row>
    <x:row r="196" spans="1:18" s="621" customFormat="1" ht="12.75" customHeight="1" x14ac:dyDescent="0.2">
      <x:c r="B196" s="622" t="s">
        <x:v>78</x:v>
      </x:c>
      <x:c r="C196" s="622" t="s">
        <x:v>70</x:v>
      </x:c>
      <x:c r="D196" s="622" t="n">
        <x:v>-27573726.82</x:v>
      </x:c>
      <x:c r="E196" s="622" t="n">
        <x:v>-2340537.32</x:v>
      </x:c>
      <x:c r="F196" s="622" t="n">
        <x:v>-1296820.46</x:v>
      </x:c>
      <x:c r="G196" s="622" t="n">
        <x:v>-688419.35</x:v>
      </x:c>
      <x:c r="H196" s="622" t="n">
        <x:v>-5532000.4</x:v>
      </x:c>
      <x:c r="I196" s="622" t="n">
        <x:v>-205312.19</x:v>
      </x:c>
      <x:c r="J196" s="622" t="n">
        <x:v>-1808499.37</x:v>
      </x:c>
      <x:c r="K196" s="622" t="n">
        <x:v>-1737951.36</x:v>
      </x:c>
      <x:c r="L196" s="622" t="n">
        <x:v>-8173269.9</x:v>
      </x:c>
      <x:c r="M196" s="622" t="n">
        <x:v>-5453141.62</x:v>
      </x:c>
      <x:c r="N196" s="622" t="n">
        <x:v>-337646.88</x:v>
      </x:c>
      <x:c r="O196" s="622" t="n">
        <x:v>-127.97</x:v>
      </x:c>
      <x:c r="P196" s="621">
        <x:v>0</x:v>
      </x:c>
      <x:c r="Q196" s="622">
        <x:v>0</x:v>
      </x:c>
      <x:c r="R196" s="622" t="n">
        <x:v>0</x:v>
      </x:c>
    </x:row>
    <x:row r="197" spans="1:18" ht="12.75" customHeight="1" x14ac:dyDescent="0.2">
      <x:c r="B197" s="618"/>
      <x:c r="C197" s="618" t="s">
        <x:v>73</x:v>
      </x:c>
      <x:c r="D197" s="618" t="n">
        <x:v>-4430593.18</x:v>
      </x:c>
      <x:c r="E197" s="618" t="n">
        <x:v>-1063182.64</x:v>
      </x:c>
      <x:c r="F197" s="618" t="n">
        <x:v>-614089.04</x:v>
      </x:c>
      <x:c r="G197" s="618" t="n">
        <x:v>-323946.96</x:v>
      </x:c>
      <x:c r="H197" s="618" t="n">
        <x:v>-38852</x:v>
      </x:c>
      <x:c r="I197" s="618" t="n">
        <x:v>-204.27</x:v>
      </x:c>
      <x:c r="J197" s="618" t="n">
        <x:v>8451.79</x:v>
      </x:c>
      <x:c r="K197" s="618" t="n">
        <x:v>15720.47</x:v>
      </x:c>
      <x:c r="L197" s="618" t="n">
        <x:v>51334.92</x:v>
      </x:c>
      <x:c r="M197" s="618" t="n">
        <x:v>-2466098.35</x:v>
      </x:c>
      <x:c r="N197" s="618" t="n">
        <x:v>272.9</x:v>
      </x:c>
      <x:c r="O197" s="618" t="n">
        <x:v>0</x:v>
      </x:c>
      <x:c r="P197" s="616">
        <x:v>0</x:v>
      </x:c>
      <x:c r="Q197" s="618">
        <x:v>0</x:v>
      </x:c>
      <x:c r="R197" s="618" t="n">
        <x:v>0</x:v>
      </x:c>
    </x:row>
    <x:row r="198" spans="1:18" s="623" customFormat="1" ht="12.75" customHeight="1" x14ac:dyDescent="0.2">
      <x:c r="B198" s="623" t="s">
        <x:v>79</x:v>
      </x:c>
      <x:c r="C198" s="623" t="s">
        <x:v>70</x:v>
      </x:c>
      <x:c r="D198" s="624" t="n">
        <x:v>-4430593.18</x:v>
      </x:c>
      <x:c r="E198" s="624" t="n">
        <x:v>-1063182.64</x:v>
      </x:c>
      <x:c r="F198" s="624" t="n">
        <x:v>-614089.04</x:v>
      </x:c>
      <x:c r="G198" s="636" t="n">
        <x:v>-323946.96</x:v>
      </x:c>
      <x:c r="H198" s="624" t="n">
        <x:v>-38852</x:v>
      </x:c>
      <x:c r="I198" s="624" t="n">
        <x:v>-204.27</x:v>
      </x:c>
      <x:c r="J198" s="624" t="n">
        <x:v>8451.79</x:v>
      </x:c>
      <x:c r="K198" s="624" t="n">
        <x:v>15720.47</x:v>
      </x:c>
      <x:c r="L198" s="624" t="n">
        <x:v>51334.92</x:v>
      </x:c>
      <x:c r="M198" s="624" t="n">
        <x:v>-2466098.35</x:v>
      </x:c>
      <x:c r="N198" s="624" t="n">
        <x:v>272.9</x:v>
      </x:c>
      <x:c r="O198" s="624" t="n">
        <x:v>0</x:v>
      </x:c>
      <x:c r="P198" s="624">
        <x:v>0</x:v>
      </x:c>
      <x:c r="Q198" s="624">
        <x:v>0</x:v>
      </x:c>
      <x:c r="R198" s="623" t="n">
        <x:v>0</x:v>
      </x:c>
    </x:row>
    <x:row r="199" spans="1:18" s="637" customFormat="1" ht="12.75" customHeight="1" x14ac:dyDescent="0.2">
      <x:c r="A199" s="637" t="s">
        <x:v>155</x:v>
      </x:c>
      <x:c r="B199" s="633" t="s">
        <x:v>70</x:v>
      </x:c>
      <x:c r="C199" s="633"/>
      <x:c r="D199" s="633" t="n">
        <x:v>-32004320</x:v>
      </x:c>
      <x:c r="E199" s="633" t="n">
        <x:v>-3403719.96</x:v>
      </x:c>
      <x:c r="F199" s="633" t="n">
        <x:v>-1910909.5</x:v>
      </x:c>
      <x:c r="G199" s="633" t="n">
        <x:v>-1012366.31</x:v>
      </x:c>
      <x:c r="H199" s="633" t="n">
        <x:v>-5570852.4</x:v>
      </x:c>
      <x:c r="I199" s="633" t="n">
        <x:v>-205516.46</x:v>
      </x:c>
      <x:c r="J199" s="633" t="n">
        <x:v>-1800047.58</x:v>
      </x:c>
      <x:c r="K199" s="633" t="n">
        <x:v>-1722230.89</x:v>
      </x:c>
      <x:c r="L199" s="633" t="n">
        <x:v>-8121934.98</x:v>
      </x:c>
      <x:c r="M199" s="633" t="n">
        <x:v>-7919239.97</x:v>
      </x:c>
      <x:c r="N199" s="633" t="n">
        <x:v>-337373.98</x:v>
      </x:c>
      <x:c r="O199" s="633" t="n">
        <x:v>-127.97</x:v>
      </x:c>
      <x:c r="P199" s="637">
        <x:v>0</x:v>
      </x:c>
      <x:c r="Q199" s="633">
        <x:v>0</x:v>
      </x:c>
      <x:c r="R199" s="633" t="n">
        <x:v>0</x:v>
      </x:c>
    </x:row>
    <x:row r="200" spans="1:18" ht="12.75" customHeight="1" x14ac:dyDescent="0.2">
      <x:c r="C200" s="616" t="s">
        <x:v>72</x:v>
      </x:c>
      <x:c r="D200" s="618" t="n">
        <x:v>-397050.36</x:v>
      </x:c>
      <x:c r="E200" s="618" t="n">
        <x:v>-18659.83</x:v>
      </x:c>
      <x:c r="F200" s="618" t="n">
        <x:v>-10362.45</x:v>
      </x:c>
      <x:c r="G200" s="620" t="n">
        <x:v>-4678.66</x:v>
      </x:c>
      <x:c r="H200" s="618" t="n">
        <x:v>-109695.93</x:v>
      </x:c>
      <x:c r="I200" s="618" t="n">
        <x:v>-3357.59</x:v>
      </x:c>
      <x:c r="J200" s="618" t="n">
        <x:v>-29452.65</x:v>
      </x:c>
      <x:c r="K200" s="618" t="n">
        <x:v>-33114.32</x:v>
      </x:c>
      <x:c r="L200" s="618" t="n">
        <x:v>-139136.36</x:v>
      </x:c>
      <x:c r="M200" s="618" t="n">
        <x:v>-43529.99</x:v>
      </x:c>
      <x:c r="N200" s="618" t="n">
        <x:v>-5062.02</x:v>
      </x:c>
      <x:c r="O200" s="618" t="n">
        <x:v>-0.56</x:v>
      </x:c>
      <x:c r="P200" s="618">
        <x:v>0</x:v>
      </x:c>
      <x:c r="Q200" s="618">
        <x:v>0</x:v>
      </x:c>
      <x:c r="R200" s="616" t="n">
        <x:v>0</x:v>
      </x:c>
    </x:row>
    <x:row r="201" spans="1:18" ht="12.6" customHeight="1" x14ac:dyDescent="0.2">
      <x:c r="C201" s="616" t="s">
        <x:v>81</x:v>
      </x:c>
      <x:c r="D201" s="618" t="n">
        <x:v>-785.24</x:v>
      </x:c>
      <x:c r="E201" s="618" t="n">
        <x:v>-33.72</x:v>
      </x:c>
      <x:c r="F201" s="618" t="n">
        <x:v>-17.4</x:v>
      </x:c>
      <x:c r="G201" s="620" t="n">
        <x:v>-10.35</x:v>
      </x:c>
      <x:c r="H201" s="618" t="n">
        <x:v>-222.64</x:v>
      </x:c>
      <x:c r="I201" s="618" t="n">
        <x:v>-7.01</x:v>
      </x:c>
      <x:c r="J201" s="618" t="n">
        <x:v>-61.61</x:v>
      </x:c>
      <x:c r="K201" s="618" t="n">
        <x:v>-60.33</x:v>
      </x:c>
      <x:c r="L201" s="618" t="n">
        <x:v>-281.65</x:v>
      </x:c>
      <x:c r="M201" s="618" t="n">
        <x:v>-79.05</x:v>
      </x:c>
      <x:c r="N201" s="618" t="n">
        <x:v>-11.44</x:v>
      </x:c>
      <x:c r="O201" s="618" t="n">
        <x:v>-0.04</x:v>
      </x:c>
      <x:c r="P201" s="618">
        <x:v>0</x:v>
      </x:c>
      <x:c r="Q201" s="618">
        <x:v>0</x:v>
      </x:c>
      <x:c r="R201" s="616" t="n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-397835.6</x:v>
      </x:c>
      <x:c r="E202" s="622" t="n">
        <x:v>-18693.55</x:v>
      </x:c>
      <x:c r="F202" s="622" t="n">
        <x:v>-10379.85</x:v>
      </x:c>
      <x:c r="G202" s="622" t="n">
        <x:v>-4689.01</x:v>
      </x:c>
      <x:c r="H202" s="622" t="n">
        <x:v>-109918.57</x:v>
      </x:c>
      <x:c r="I202" s="622" t="n">
        <x:v>-3364.6</x:v>
      </x:c>
      <x:c r="J202" s="622" t="n">
        <x:v>-29514.26</x:v>
      </x:c>
      <x:c r="K202" s="622" t="n">
        <x:v>-33174.65</x:v>
      </x:c>
      <x:c r="L202" s="622" t="n">
        <x:v>-139418.01</x:v>
      </x:c>
      <x:c r="M202" s="622" t="n">
        <x:v>-43609.04</x:v>
      </x:c>
      <x:c r="N202" s="622" t="n">
        <x:v>-5073.46</x:v>
      </x:c>
      <x:c r="O202" s="622" t="n">
        <x:v>-0.6</x:v>
      </x:c>
      <x:c r="P202" s="621">
        <x:v>0</x:v>
      </x:c>
      <x:c r="Q202" s="622">
        <x:v>0</x:v>
      </x:c>
      <x:c r="R202" s="622" t="n">
        <x:v>0</x:v>
      </x:c>
    </x:row>
    <x:row r="203" spans="1:18" ht="12.75" customHeight="1" x14ac:dyDescent="0.2">
      <x:c r="C203" s="616" t="s">
        <x:v>73</x:v>
      </x:c>
      <x:c r="D203" s="618" t="n">
        <x:v>91175.8</x:v>
      </x:c>
      <x:c r="E203" s="618" t="n">
        <x:v>4274.38</x:v>
      </x:c>
      <x:c r="F203" s="618" t="n">
        <x:v>2344.18</x:v>
      </x:c>
      <x:c r="G203" s="620" t="n">
        <x:v>1290.14</x:v>
      </x:c>
      <x:c r="H203" s="618" t="n">
        <x:v>24141.72</x:v>
      </x:c>
      <x:c r="I203" s="618" t="n">
        <x:v>835.82</x:v>
      </x:c>
      <x:c r="J203" s="618" t="n">
        <x:v>7331.65</x:v>
      </x:c>
      <x:c r="K203" s="618" t="n">
        <x:v>6999.36</x:v>
      </x:c>
      <x:c r="L203" s="618" t="n">
        <x:v>32593.77</x:v>
      </x:c>
      <x:c r="M203" s="618" t="n">
        <x:v>10001.11</x:v>
      </x:c>
      <x:c r="N203" s="618" t="n">
        <x:v>1363.67</x:v>
      </x:c>
      <x:c r="O203" s="618" t="n">
        <x:v>0</x:v>
      </x:c>
      <x:c r="P203" s="618">
        <x:v>0</x:v>
      </x:c>
      <x:c r="Q203" s="618">
        <x:v>0</x:v>
      </x:c>
      <x:c r="R203" s="616" t="n">
        <x:v>0</x:v>
      </x:c>
    </x:row>
    <x:row r="204" spans="1:18" s="623" customFormat="1" ht="12.75" customHeight="1" x14ac:dyDescent="0.2">
      <x:c r="B204" s="624" t="s">
        <x:v>79</x:v>
      </x:c>
      <x:c r="C204" s="624" t="s">
        <x:v>70</x:v>
      </x:c>
      <x:c r="D204" s="624" t="n">
        <x:v>91175.8</x:v>
      </x:c>
      <x:c r="E204" s="624" t="n">
        <x:v>4274.38</x:v>
      </x:c>
      <x:c r="F204" s="624" t="n">
        <x:v>2344.18</x:v>
      </x:c>
      <x:c r="G204" s="624" t="n">
        <x:v>1290.14</x:v>
      </x:c>
      <x:c r="H204" s="624" t="n">
        <x:v>24141.72</x:v>
      </x:c>
      <x:c r="I204" s="624" t="n">
        <x:v>835.82</x:v>
      </x:c>
      <x:c r="J204" s="624" t="n">
        <x:v>7331.65</x:v>
      </x:c>
      <x:c r="K204" s="624" t="n">
        <x:v>6999.36</x:v>
      </x:c>
      <x:c r="L204" s="624" t="n">
        <x:v>32593.77</x:v>
      </x:c>
      <x:c r="M204" s="624" t="n">
        <x:v>10001.11</x:v>
      </x:c>
      <x:c r="N204" s="624" t="n">
        <x:v>1363.67</x:v>
      </x:c>
      <x:c r="O204" s="624" t="n">
        <x:v>0</x:v>
      </x:c>
      <x:c r="P204" s="623">
        <x:v>0</x:v>
      </x:c>
      <x:c r="Q204" s="624">
        <x:v>0</x:v>
      </x:c>
      <x:c r="R204" s="624" t="n">
        <x:v>0</x:v>
      </x:c>
    </x:row>
    <x:row r="205" spans="1:18" s="628" customFormat="1" ht="12.75" customHeight="1" x14ac:dyDescent="0.2">
      <x:c r="A205" s="628" t="s">
        <x:v>119</x:v>
      </x:c>
      <x:c r="B205" s="628" t="s">
        <x:v>70</x:v>
      </x:c>
      <x:c r="D205" s="628" t="n">
        <x:v>-306659.8</x:v>
      </x:c>
      <x:c r="E205" s="628" t="n">
        <x:v>-14419.17</x:v>
      </x:c>
      <x:c r="F205" s="628" t="n">
        <x:v>-8035.67</x:v>
      </x:c>
      <x:c r="G205" s="628" t="n">
        <x:v>-3398.87</x:v>
      </x:c>
      <x:c r="H205" s="628" t="n">
        <x:v>-85776.85</x:v>
      </x:c>
      <x:c r="I205" s="628" t="n">
        <x:v>-2528.78</x:v>
      </x:c>
      <x:c r="J205" s="628" t="n">
        <x:v>-22182.61</x:v>
      </x:c>
      <x:c r="K205" s="628" t="n">
        <x:v>-26175.29</x:v>
      </x:c>
      <x:c r="L205" s="628" t="n">
        <x:v>-106824.24</x:v>
      </x:c>
      <x:c r="M205" s="628" t="n">
        <x:v>-33607.93</x:v>
      </x:c>
      <x:c r="N205" s="628" t="n">
        <x:v>-3709.79</x:v>
      </x:c>
      <x:c r="O205" s="628" t="n">
        <x:v>-0.6</x:v>
      </x:c>
      <x:c r="P205" s="628">
        <x:v>0</x:v>
      </x:c>
      <x:c r="Q205" s="628">
        <x:v>0</x:v>
      </x:c>
      <x:c r="R205" s="628" t="n">
        <x:v>0</x:v>
      </x:c>
    </x:row>
    <x:row r="206" spans="1:18" s="631" customFormat="1" ht="12.75" customHeight="1" x14ac:dyDescent="0.2">
      <x:c r="A206" s="630" t="s">
        <x:v>70</x:v>
      </x:c>
      <x:c r="D206" s="630" t="n">
        <x:v>-32310979.8</x:v>
      </x:c>
      <x:c r="E206" s="630" t="n">
        <x:v>-3418139.13</x:v>
      </x:c>
      <x:c r="F206" s="630" t="n">
        <x:v>-1918945.17</x:v>
      </x:c>
      <x:c r="G206" s="630" t="n">
        <x:v>-1015765.18</x:v>
      </x:c>
      <x:c r="H206" s="630" t="n">
        <x:v>-5656629.25</x:v>
      </x:c>
      <x:c r="I206" s="630" t="n">
        <x:v>-208045.24</x:v>
      </x:c>
      <x:c r="J206" s="630" t="n">
        <x:v>-1822230.19</x:v>
      </x:c>
      <x:c r="K206" s="630" t="n">
        <x:v>-1748406.18</x:v>
      </x:c>
      <x:c r="L206" s="630" t="n">
        <x:v>-8228759.22</x:v>
      </x:c>
      <x:c r="M206" s="630" t="n">
        <x:v>-7952847.9</x:v>
      </x:c>
      <x:c r="N206" s="630" t="n">
        <x:v>-341083.77</x:v>
      </x:c>
      <x:c r="O206" s="630" t="n">
        <x:v>-128.57</x:v>
      </x:c>
      <x:c r="P206" s="631" t="n">
        <x:v>0</x:v>
      </x:c>
      <x:c r="Q206" s="631">
        <x:v>0</x:v>
      </x:c>
      <x:c r="R206" s="631" t="n">
        <x:v>0</x:v>
      </x:c>
    </x:row>
    <x:row r="207" spans="1:18" ht="12.75" customHeight="1" x14ac:dyDescent="0.2">
      <x:c r="A207" s="618"/>
      <x:c r="D207" s="618"/>
      <x:c r="E207" s="618"/>
      <x:c r="F207" s="618"/>
      <x:c r="G207" s="618"/>
      <x:c r="H207" s="618"/>
      <x:c r="I207" s="618"/>
      <x:c r="J207" s="618"/>
      <x:c r="K207" s="618"/>
      <x:c r="L207" s="618"/>
      <x:c r="M207" s="618"/>
      <x:c r="N207" s="618"/>
      <x:c r="O207" s="618"/>
    </x:row>
    <x:row r="208" spans="1:18" ht="12.75" customHeight="1" x14ac:dyDescent="0.2">
      <x:c r="A208" s="618"/>
      <x:c r="D208" s="618"/>
      <x:c r="E208" s="618"/>
      <x:c r="F208" s="618"/>
      <x:c r="G208" s="618"/>
      <x:c r="H208" s="618"/>
      <x:c r="I208" s="618"/>
      <x:c r="J208" s="618"/>
      <x:c r="K208" s="618"/>
      <x:c r="L208" s="618"/>
      <x:c r="M208" s="618"/>
      <x:c r="N208" s="618"/>
      <x:c r="O208" s="618"/>
    </x:row>
    <x:row r="209" spans="1:18" ht="12.75" customHeight="1" x14ac:dyDescent="0.2">
      <x:c r="A209" s="618"/>
      <x:c r="D209" s="618"/>
      <x:c r="E209" s="618"/>
      <x:c r="F209" s="618"/>
      <x:c r="G209" s="618"/>
      <x:c r="H209" s="618"/>
      <x:c r="I209" s="618"/>
      <x:c r="J209" s="618"/>
      <x:c r="K209" s="618"/>
      <x:c r="L209" s="618"/>
      <x:c r="M209" s="618"/>
      <x:c r="N209" s="618"/>
      <x:c r="O209" s="618"/>
    </x:row>
    <x:row r="210" spans="1:18" ht="12.75" customHeight="1" x14ac:dyDescent="0.2">
      <x:c r="A210" s="618"/>
      <x:c r="D210" s="618"/>
      <x:c r="E210" s="618"/>
      <x:c r="F210" s="618"/>
      <x:c r="G210" s="618"/>
      <x:c r="H210" s="618"/>
      <x:c r="I210" s="618"/>
      <x:c r="J210" s="618"/>
      <x:c r="K210" s="618"/>
      <x:c r="L210" s="618"/>
      <x:c r="M210" s="618"/>
      <x:c r="N210" s="618"/>
      <x:c r="O210" s="618"/>
    </x:row>
    <x:row r="211" spans="1:18" ht="12.75" customHeight="1" x14ac:dyDescent="0.2">
      <x:c r="A211" s="781" t="s">
        <x:v>2</x:v>
      </x:c>
      <x:c r="B211" s="780" t="s">
        <x:v>132</x:v>
      </x:c>
      <x:c r="C211" s="766" t="s">
        <x:v>70</x:v>
      </x:c>
      <x:c r="D211" s="766">
        <x:f>D206-P206</x:f>
        <x:v>0</x:v>
      </x:c>
      <x:c r="E211" s="766">
        <x:f>E196+E202</x:f>
        <x:v>0</x:v>
      </x:c>
      <x:c r="F211" s="766">
        <x:f t="shared" ref="F211:R211" si="7">F196+F202</x:f>
        <x:v>0</x:v>
      </x:c>
      <x:c r="G211" s="766">
        <x:f t="shared" si="7"/>
        <x:v>0</x:v>
      </x:c>
      <x:c r="H211" s="766">
        <x:f t="shared" si="7"/>
        <x:v>0</x:v>
      </x:c>
      <x:c r="I211" s="766">
        <x:f t="shared" si="7"/>
        <x:v>0</x:v>
      </x:c>
      <x:c r="J211" s="766">
        <x:f t="shared" si="7"/>
        <x:v>0</x:v>
      </x:c>
      <x:c r="K211" s="766">
        <x:f t="shared" si="7"/>
        <x:v>0</x:v>
      </x:c>
      <x:c r="L211" s="766">
        <x:f t="shared" si="7"/>
        <x:v>0</x:v>
      </x:c>
      <x:c r="M211" s="766">
        <x:f t="shared" si="7"/>
        <x:v>0</x:v>
      </x:c>
      <x:c r="N211" s="766">
        <x:f t="shared" si="7"/>
        <x:v>0</x:v>
      </x:c>
      <x:c r="O211" s="766">
        <x:f t="shared" si="7"/>
        <x:v>0</x:v>
      </x:c>
      <x:c r="P211" s="766">
        <x:f t="shared" si="7"/>
        <x:v>0</x:v>
      </x:c>
      <x:c r="Q211" s="766">
        <x:f t="shared" si="7"/>
        <x:v>0</x:v>
      </x:c>
      <x:c r="R211" s="766">
        <x:f t="shared" si="7"/>
        <x:v>0</x:v>
      </x:c>
    </x:row>
    <x:row r="212" spans="1:18" ht="12.75" customHeight="1" x14ac:dyDescent="0.2">
      <x:c r="A212" s="781"/>
      <x:c r="B212" s="780"/>
      <x:c r="C212" s="766" t="s">
        <x:v>73</x:v>
      </x:c>
      <x:c r="D212" s="766">
        <x:f>D198+D204</x:f>
        <x:v>0</x:v>
      </x:c>
      <x:c r="E212" s="618"/>
      <x:c r="F212" s="618"/>
      <x:c r="G212" s="618"/>
      <x:c r="H212" s="618"/>
      <x:c r="I212" s="618"/>
      <x:c r="J212" s="618"/>
      <x:c r="K212" s="618"/>
      <x:c r="L212" s="618"/>
      <x:c r="M212" s="618"/>
      <x:c r="N212" s="618"/>
      <x:c r="O212" s="618"/>
      <x:c r="P212" s="618"/>
      <x:c r="Q212" s="618"/>
      <x:c r="R212" s="618"/>
    </x:row>
    <x:row r="213" spans="1:18" ht="12.75" customHeight="1" x14ac:dyDescent="0.2">
      <x:c r="A213" s="617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  <x:c r="P213" s="618"/>
      <x:c r="Q213" s="618"/>
      <x:c r="R213" s="618"/>
    </x:row>
    <x:row r="214" spans="1:18" ht="12.75" customHeight="1" x14ac:dyDescent="0.2">
      <x:c r="A214" s="781" t="s">
        <x:v>160</x:v>
      </x:c>
      <x:c r="B214" s="780" t="s">
        <x:v>132</x:v>
      </x:c>
      <x:c r="C214" s="632" t="s">
        <x:v>70</x:v>
      </x:c>
      <x:c r="D214" s="632">
        <x:v>0</x:v>
      </x:c>
      <x:c r="E214" s="632">
        <x:v>0</x:v>
      </x:c>
      <x:c r="F214" s="632">
        <x:v>0</x:v>
      </x:c>
      <x:c r="G214" s="632">
        <x:v>0</x:v>
      </x:c>
      <x:c r="H214" s="632">
        <x:v>0</x:v>
      </x:c>
      <x:c r="I214" s="632">
        <x:v>0</x:v>
      </x:c>
      <x:c r="J214" s="632">
        <x:v>0</x:v>
      </x:c>
      <x:c r="K214" s="632">
        <x:v>0</x:v>
      </x:c>
      <x:c r="L214" s="632">
        <x:v>0</x:v>
      </x:c>
      <x:c r="M214" s="632">
        <x:v>0</x:v>
      </x:c>
      <x:c r="N214" s="632">
        <x:v>0</x:v>
      </x:c>
      <x:c r="O214" s="632">
        <x:v>0</x:v>
      </x:c>
      <x:c r="P214" s="632">
        <x:v>0</x:v>
      </x:c>
      <x:c r="Q214" s="632">
        <x:v>0</x:v>
      </x:c>
      <x:c r="R214" s="632">
        <x:v>0</x:v>
      </x:c>
    </x:row>
    <x:row r="215" spans="1:18" ht="12.75" customHeight="1" x14ac:dyDescent="0.2">
      <x:c r="A215" s="781"/>
      <x:c r="B215" s="780"/>
      <x:c r="C215" s="632" t="s">
        <x:v>73</x:v>
      </x:c>
      <x:c r="D215" s="632">
        <x:v>0</x:v>
      </x:c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  <x:c r="P215" s="618"/>
      <x:c r="Q215" s="618"/>
      <x:c r="R215" s="618"/>
    </x:row>
    <x:row r="216" spans="1:18" ht="12.75" customHeight="1" x14ac:dyDescent="0.2">
      <x:c r="A216" s="617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  <x:c r="P216" s="618"/>
      <x:c r="Q216" s="618"/>
      <x:c r="R216" s="618"/>
    </x:row>
    <x:row r="217" spans="1:18" ht="12.75" customHeight="1" x14ac:dyDescent="0.2">
      <x:c r="A217" s="781" t="s">
        <x:v>155</x:v>
      </x:c>
      <x:c r="B217" s="780" t="s">
        <x:v>132</x:v>
      </x:c>
      <x:c r="C217" s="633" t="s">
        <x:v>70</x:v>
      </x:c>
      <x:c r="D217" s="633">
        <x:f>D199-P199</x:f>
        <x:v>0</x:v>
      </x:c>
      <x:c r="E217" s="633">
        <x:f>E196</x:f>
        <x:v>0</x:v>
      </x:c>
      <x:c r="F217" s="633">
        <x:f t="shared" ref="F217:R217" si="8">F196</x:f>
        <x:v>0</x:v>
      </x:c>
      <x:c r="G217" s="633">
        <x:f t="shared" si="8"/>
        <x:v>0</x:v>
      </x:c>
      <x:c r="H217" s="633">
        <x:f t="shared" si="8"/>
        <x:v>0</x:v>
      </x:c>
      <x:c r="I217" s="633">
        <x:f t="shared" si="8"/>
        <x:v>0</x:v>
      </x:c>
      <x:c r="J217" s="633">
        <x:f t="shared" si="8"/>
        <x:v>0</x:v>
      </x:c>
      <x:c r="K217" s="633">
        <x:f t="shared" si="8"/>
        <x:v>0</x:v>
      </x:c>
      <x:c r="L217" s="633">
        <x:f t="shared" si="8"/>
        <x:v>0</x:v>
      </x:c>
      <x:c r="M217" s="633">
        <x:f t="shared" si="8"/>
        <x:v>0</x:v>
      </x:c>
      <x:c r="N217" s="633">
        <x:f t="shared" si="8"/>
        <x:v>0</x:v>
      </x:c>
      <x:c r="O217" s="633">
        <x:f t="shared" si="8"/>
        <x:v>0</x:v>
      </x:c>
      <x:c r="P217" s="633">
        <x:f t="shared" si="8"/>
        <x:v>0</x:v>
      </x:c>
      <x:c r="Q217" s="633">
        <x:f t="shared" si="8"/>
        <x:v>0</x:v>
      </x:c>
      <x:c r="R217" s="633">
        <x:f t="shared" si="8"/>
        <x:v>0</x:v>
      </x:c>
    </x:row>
    <x:row r="218" spans="1:18" ht="12.75" customHeight="1" x14ac:dyDescent="0.2">
      <x:c r="A218" s="781"/>
      <x:c r="B218" s="780"/>
      <x:c r="C218" s="633" t="s">
        <x:v>73</x:v>
      </x:c>
      <x:c r="D218" s="633">
        <x:f>D198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722"/>
      <x:c r="B219" s="721"/>
      <x:c r="C219" s="618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79" t="s">
        <x:v>326</x:v>
      </x:c>
      <x:c r="B220" s="780" t="s">
        <x:v>132</x:v>
      </x:c>
      <x:c r="C220" s="633" t="s">
        <x:v>70</x:v>
      </x:c>
      <x:c r="D220" s="720">
        <x:v>0</x:v>
      </x:c>
      <x:c r="E220" s="720">
        <x:v>0</x:v>
      </x:c>
      <x:c r="F220" s="720">
        <x:v>0</x:v>
      </x:c>
      <x:c r="G220" s="720">
        <x:v>0</x:v>
      </x:c>
      <x:c r="H220" s="720">
        <x:v>0</x:v>
      </x:c>
      <x:c r="I220" s="720">
        <x:v>0</x:v>
      </x:c>
      <x:c r="J220" s="720">
        <x:v>0</x:v>
      </x:c>
      <x:c r="K220" s="720">
        <x:v>0</x:v>
      </x:c>
      <x:c r="L220" s="720">
        <x:v>0</x:v>
      </x:c>
      <x:c r="M220" s="720">
        <x:v>0</x:v>
      </x:c>
      <x:c r="N220" s="720">
        <x:v>0</x:v>
      </x:c>
      <x:c r="O220" s="720">
        <x:v>0</x:v>
      </x:c>
      <x:c r="P220" s="720">
        <x:v>0</x:v>
      </x:c>
      <x:c r="Q220" s="720">
        <x:v>0</x:v>
      </x:c>
      <x:c r="R220" s="720">
        <x:v>0</x:v>
      </x:c>
    </x:row>
    <x:row r="221" spans="1:18" ht="12.75" customHeight="1" x14ac:dyDescent="0.2">
      <x:c r="A221" s="779"/>
      <x:c r="B221" s="780"/>
      <x:c r="C221" s="633" t="s">
        <x:v>73</x:v>
      </x:c>
      <x:c r="D221" s="720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1" t="s">
        <x:v>119</x:v>
      </x:c>
      <x:c r="B223" s="780" t="s">
        <x:v>132</x:v>
      </x:c>
      <x:c r="C223" s="628" t="s">
        <x:v>70</x:v>
      </x:c>
      <x:c r="D223" s="628">
        <x:f>D205-P205</x:f>
        <x:v>0</x:v>
      </x:c>
      <x:c r="E223" s="628">
        <x:f>E202</x:f>
        <x:v>0</x:v>
      </x:c>
      <x:c r="F223" s="628">
        <x:f t="shared" ref="F223:R223" si="9">F202</x:f>
        <x:v>0</x:v>
      </x:c>
      <x:c r="G223" s="628">
        <x:f t="shared" si="9"/>
        <x:v>0</x:v>
      </x:c>
      <x:c r="H223" s="628">
        <x:f t="shared" si="9"/>
        <x:v>0</x:v>
      </x:c>
      <x:c r="I223" s="628">
        <x:f t="shared" si="9"/>
        <x:v>0</x:v>
      </x:c>
      <x:c r="J223" s="628">
        <x:f t="shared" si="9"/>
        <x:v>0</x:v>
      </x:c>
      <x:c r="K223" s="628">
        <x:f t="shared" si="9"/>
        <x:v>0</x:v>
      </x:c>
      <x:c r="L223" s="628">
        <x:f t="shared" si="9"/>
        <x:v>0</x:v>
      </x:c>
      <x:c r="M223" s="628">
        <x:f t="shared" si="9"/>
        <x:v>0</x:v>
      </x:c>
      <x:c r="N223" s="628">
        <x:f t="shared" si="9"/>
        <x:v>0</x:v>
      </x:c>
      <x:c r="O223" s="628">
        <x:f t="shared" si="9"/>
        <x:v>0</x:v>
      </x:c>
      <x:c r="P223" s="628">
        <x:f t="shared" si="9"/>
        <x:v>0</x:v>
      </x:c>
      <x:c r="Q223" s="628">
        <x:f t="shared" si="9"/>
        <x:v>0</x:v>
      </x:c>
      <x:c r="R223" s="628">
        <x:f t="shared" si="9"/>
        <x:v>0</x:v>
      </x:c>
    </x:row>
    <x:row r="224" spans="1:18" ht="12.75" customHeight="1" x14ac:dyDescent="0.2">
      <x:c r="A224" s="781"/>
      <x:c r="B224" s="780"/>
      <x:c r="C224" s="628" t="s">
        <x:v>73</x:v>
      </x:c>
      <x:c r="D224" s="628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617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2" t="s">
        <x:v>161</x:v>
      </x:c>
      <x:c r="B226" s="780" t="s">
        <x:v>132</x:v>
      </x:c>
      <x:c r="C226" s="634" t="s">
        <x:v>70</x:v>
      </x:c>
      <x:c r="D226" s="634">
        <x:v>0</x:v>
      </x:c>
      <x:c r="E226" s="634">
        <x:v>0</x:v>
      </x:c>
      <x:c r="F226" s="634">
        <x:v>0</x:v>
      </x:c>
      <x:c r="G226" s="634">
        <x:v>0</x:v>
      </x:c>
      <x:c r="H226" s="634">
        <x:v>0</x:v>
      </x:c>
      <x:c r="I226" s="634">
        <x:v>0</x:v>
      </x:c>
      <x:c r="J226" s="634">
        <x:v>0</x:v>
      </x:c>
      <x:c r="K226" s="634">
        <x:v>0</x:v>
      </x:c>
      <x:c r="L226" s="634">
        <x:v>0</x:v>
      </x:c>
      <x:c r="M226" s="634">
        <x:v>0</x:v>
      </x:c>
      <x:c r="N226" s="634">
        <x:v>0</x:v>
      </x:c>
      <x:c r="O226" s="634">
        <x:v>0</x:v>
      </x:c>
      <x:c r="P226" s="634">
        <x:v>0</x:v>
      </x:c>
      <x:c r="Q226" s="634">
        <x:v>0</x:v>
      </x:c>
      <x:c r="R226" s="634">
        <x:v>0</x:v>
      </x:c>
    </x:row>
    <x:row r="227" spans="1:18" ht="12.75" customHeight="1" x14ac:dyDescent="0.2">
      <x:c r="A227" s="782"/>
      <x:c r="B227" s="780"/>
      <x:c r="C227" s="634" t="s">
        <x:v>73</x:v>
      </x:c>
      <x:c r="D227" s="634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s="635" customFormat="1" x14ac:dyDescent="0.2"/>
    <x:row r="229" spans="1:18" x14ac:dyDescent="0.2">
      <x:c r="B229" s="617" t="s">
        <x:v>88</x:v>
      </x:c>
    </x:row>
    <x:row r="230" spans="1:18" ht="12.75" customHeight="1" x14ac:dyDescent="0.2">
      <x:c r="D230" s="618" t="s">
        <x:v>70</x:v>
      </x:c>
      <x:c r="E230" s="618" t="s">
        <x:v>64</x:v>
      </x:c>
      <x:c r="F230" s="618" t="s">
        <x:v>65</x:v>
      </x:c>
      <x:c r="G230" s="619" t="s">
        <x:v>164</x:v>
      </x:c>
      <x:c r="H230" s="618" t="s">
        <x:v>69</x:v>
      </x:c>
      <x:c r="I230" s="618" t="s">
        <x:v>68</x:v>
      </x:c>
      <x:c r="J230" s="618" t="s">
        <x:v>66</x:v>
      </x:c>
      <x:c r="K230" s="618" t="s">
        <x:v>63</x:v>
      </x:c>
      <x:c r="L230" s="618" t="s">
        <x:v>61</x:v>
      </x:c>
      <x:c r="M230" s="618" t="s">
        <x:v>62</x:v>
      </x:c>
      <x:c r="N230" s="618" t="s">
        <x:v>67</x:v>
      </x:c>
      <x:c r="O230" s="618" t="s">
        <x:v>77</x:v>
      </x:c>
      <x:c r="P230" s="618" t="s">
        <x:v>71</x:v>
      </x:c>
      <x:c r="Q230" s="618" t="s">
        <x:v>80</x:v>
      </x:c>
      <x:c r="R230" s="616" t="s">
        <x:v>168</x:v>
      </x:c>
    </x:row>
    <x:row r="231" spans="1:18" ht="12.75" customHeight="1" x14ac:dyDescent="0.2">
      <x:c r="C231" s="616" t="s">
        <x:v>72</x:v>
      </x:c>
      <x:c r="D231" s="620" t="n">
        <x:v>-21566863.36</x:v>
      </x:c>
      <x:c r="E231" s="618" t="n">
        <x:v>-1602733.56</x:v>
      </x:c>
      <x:c r="F231" s="618" t="n">
        <x:v>-896891.02</x:v>
      </x:c>
      <x:c r="G231" s="620" t="n">
        <x:v>-475692.34</x:v>
      </x:c>
      <x:c r="H231" s="618" t="n">
        <x:v>-4329801.24</x:v>
      </x:c>
      <x:c r="I231" s="618" t="n">
        <x:v>-156115.79</x:v>
      </x:c>
      <x:c r="J231" s="618" t="n">
        <x:v>-1354110.99</x:v>
      </x:c>
      <x:c r="K231" s="618" t="n">
        <x:v>-1357517.45</x:v>
      </x:c>
      <x:c r="L231" s="618" t="n">
        <x:v>-6863140.85</x:v>
      </x:c>
      <x:c r="M231" s="618" t="n">
        <x:v>-4276100.44</x:v>
      </x:c>
      <x:c r="N231" s="618" t="n">
        <x:v>-254729.55</x:v>
      </x:c>
      <x:c r="O231" s="618" t="n">
        <x:v>-30.13</x:v>
      </x:c>
      <x:c r="P231" s="618">
        <x:v>0</x:v>
      </x:c>
      <x:c r="Q231" s="618">
        <x:v>0</x:v>
      </x:c>
      <x:c r="R231" s="616" t="n">
        <x:v>0</x:v>
      </x:c>
    </x:row>
    <x:row r="232" spans="1:18" ht="12.75" customHeight="1" x14ac:dyDescent="0.2">
      <x:c r="C232" s="616" t="s">
        <x:v>81</x:v>
      </x:c>
      <x:c r="D232" s="620" t="n">
        <x:v>-10375865.33</x:v>
      </x:c>
      <x:c r="E232" s="618" t="n">
        <x:v>-1376999.44</x:v>
      </x:c>
      <x:c r="F232" s="618" t="n">
        <x:v>-590233.5</x:v>
      </x:c>
      <x:c r="G232" s="620" t="n">
        <x:v>-209963.97</x:v>
      </x:c>
      <x:c r="H232" s="618" t="n">
        <x:v>-1412012.61</x:v>
      </x:c>
      <x:c r="I232" s="618" t="n">
        <x:v>-55947.15</x:v>
      </x:c>
      <x:c r="J232" s="618" t="n">
        <x:v>-490779.37</x:v>
      </x:c>
      <x:c r="K232" s="618" t="n">
        <x:v>-582672.58</x:v>
      </x:c>
      <x:c r="L232" s="618" t="n">
        <x:v>-1966418.97</x:v>
      </x:c>
      <x:c r="M232" s="618" t="n">
        <x:v>-3599557.03</x:v>
      </x:c>
      <x:c r="N232" s="618" t="n">
        <x:v>-91288.76</x:v>
      </x:c>
      <x:c r="O232" s="618" t="n">
        <x:v>8.34</x:v>
      </x:c>
      <x:c r="P232" s="618">
        <x:v>0</x:v>
      </x:c>
      <x:c r="Q232" s="618">
        <x:v>0</x:v>
      </x:c>
      <x:c r="R232" s="616" t="n">
        <x:v>-0.29</x:v>
      </x:c>
    </x:row>
    <x:row r="233" spans="1:18" s="621" customFormat="1" ht="12.75" customHeight="1" x14ac:dyDescent="0.2">
      <x:c r="B233" s="622" t="s">
        <x:v>78</x:v>
      </x:c>
      <x:c r="C233" s="622" t="s">
        <x:v>70</x:v>
      </x:c>
      <x:c r="D233" s="622" t="n">
        <x:v>-31942728.69</x:v>
      </x:c>
      <x:c r="E233" s="622" t="n">
        <x:v>-2979733</x:v>
      </x:c>
      <x:c r="F233" s="622" t="n">
        <x:v>-1487124.52</x:v>
      </x:c>
      <x:c r="G233" s="622" t="n">
        <x:v>-685656.31</x:v>
      </x:c>
      <x:c r="H233" s="622" t="n">
        <x:v>-5741813.85</x:v>
      </x:c>
      <x:c r="I233" s="622" t="n">
        <x:v>-212062.94</x:v>
      </x:c>
      <x:c r="J233" s="622" t="n">
        <x:v>-1844890.36</x:v>
      </x:c>
      <x:c r="K233" s="622" t="n">
        <x:v>-1940190.03</x:v>
      </x:c>
      <x:c r="L233" s="622" t="n">
        <x:v>-8829559.82</x:v>
      </x:c>
      <x:c r="M233" s="622" t="n">
        <x:v>-7875657.47</x:v>
      </x:c>
      <x:c r="N233" s="622" t="n">
        <x:v>-346018.31</x:v>
      </x:c>
      <x:c r="O233" s="622" t="n">
        <x:v>-21.79</x:v>
      </x:c>
      <x:c r="P233" s="621">
        <x:v>0</x:v>
      </x:c>
      <x:c r="Q233" s="622">
        <x:v>0</x:v>
      </x:c>
      <x:c r="R233" s="622" t="n">
        <x:v>-0.29</x:v>
      </x:c>
    </x:row>
    <x:row r="234" spans="1:18" ht="12.75" customHeight="1" x14ac:dyDescent="0.2">
      <x:c r="C234" s="616" t="s">
        <x:v>73</x:v>
      </x:c>
      <x:c r="D234" s="620" t="n">
        <x:v>2174082.8</x:v>
      </x:c>
      <x:c r="E234" s="618" t="n">
        <x:v>22089.07</x:v>
      </x:c>
      <x:c r="F234" s="618" t="n">
        <x:v>10938.57</x:v>
      </x:c>
      <x:c r="G234" s="620" t="n">
        <x:v>6096.13</x:v>
      </x:c>
      <x:c r="H234" s="618" t="n">
        <x:v>636523.27</x:v>
      </x:c>
      <x:c r="I234" s="618" t="n">
        <x:v>22219.55</x:v>
      </x:c>
      <x:c r="J234" s="618" t="n">
        <x:v>194912.33</x:v>
      </x:c>
      <x:c r="K234" s="618" t="n">
        <x:v>197393.84</x:v>
      </x:c>
      <x:c r="L234" s="618" t="n">
        <x:v>989072.18</x:v>
      </x:c>
      <x:c r="M234" s="618" t="n">
        <x:v>58583.97</x:v>
      </x:c>
      <x:c r="N234" s="618" t="n">
        <x:v>36253.89</x:v>
      </x:c>
      <x:c r="O234" s="618" t="n">
        <x:v>0</x:v>
      </x:c>
      <x:c r="P234" s="618">
        <x:v>0</x:v>
      </x:c>
      <x:c r="Q234" s="618">
        <x:v>0</x:v>
      </x:c>
      <x:c r="R234" s="616" t="n">
        <x:v>0</x:v>
      </x:c>
    </x:row>
    <x:row r="235" spans="1:18" s="623" customFormat="1" ht="12.75" customHeight="1" x14ac:dyDescent="0.2">
      <x:c r="B235" s="624" t="s">
        <x:v>79</x:v>
      </x:c>
      <x:c r="C235" s="624" t="s">
        <x:v>70</x:v>
      </x:c>
      <x:c r="D235" s="624" t="n">
        <x:v>2174082.8</x:v>
      </x:c>
      <x:c r="E235" s="624" t="n">
        <x:v>22089.07</x:v>
      </x:c>
      <x:c r="F235" s="624" t="n">
        <x:v>10938.57</x:v>
      </x:c>
      <x:c r="G235" s="624" t="n">
        <x:v>6096.13</x:v>
      </x:c>
      <x:c r="H235" s="624" t="n">
        <x:v>636523.27</x:v>
      </x:c>
      <x:c r="I235" s="624" t="n">
        <x:v>22219.55</x:v>
      </x:c>
      <x:c r="J235" s="624" t="n">
        <x:v>194912.33</x:v>
      </x:c>
      <x:c r="K235" s="624" t="n">
        <x:v>197393.84</x:v>
      </x:c>
      <x:c r="L235" s="624" t="n">
        <x:v>989072.18</x:v>
      </x:c>
      <x:c r="M235" s="624" t="n">
        <x:v>58583.97</x:v>
      </x:c>
      <x:c r="N235" s="624" t="n">
        <x:v>36253.89</x:v>
      </x:c>
      <x:c r="O235" s="624" t="n">
        <x:v>0</x:v>
      </x:c>
      <x:c r="P235" s="623">
        <x:v>0</x:v>
      </x:c>
      <x:c r="Q235" s="624">
        <x:v>0</x:v>
      </x:c>
      <x:c r="R235" s="624" t="n">
        <x:v>0</x:v>
      </x:c>
    </x:row>
    <x:row r="236" spans="1:18" s="755" customFormat="1" ht="12.75" customHeight="1" x14ac:dyDescent="0.2">
      <x:c r="A236" s="755" t="s">
        <x:v>155</x:v>
      </x:c>
      <x:c r="B236" s="755" t="s">
        <x:v>70</x:v>
      </x:c>
      <x:c r="D236" s="756" t="n">
        <x:v>-29768645.89</x:v>
      </x:c>
      <x:c r="E236" s="757" t="n">
        <x:v>-2957643.93</x:v>
      </x:c>
      <x:c r="F236" s="757" t="n">
        <x:v>-1476185.95</x:v>
      </x:c>
      <x:c r="G236" s="756" t="n">
        <x:v>-679560.18</x:v>
      </x:c>
      <x:c r="H236" s="757" t="n">
        <x:v>-5105290.58</x:v>
      </x:c>
      <x:c r="I236" s="757" t="n">
        <x:v>-189843.39</x:v>
      </x:c>
      <x:c r="J236" s="757" t="n">
        <x:v>-1649978.03</x:v>
      </x:c>
      <x:c r="K236" s="757" t="n">
        <x:v>-1742796.19</x:v>
      </x:c>
      <x:c r="L236" s="757" t="n">
        <x:v>-7840487.64</x:v>
      </x:c>
      <x:c r="M236" s="757" t="n">
        <x:v>-7817073.5</x:v>
      </x:c>
      <x:c r="N236" s="757" t="n">
        <x:v>-309764.42</x:v>
      </x:c>
      <x:c r="O236" s="757" t="n">
        <x:v>-21.79</x:v>
      </x:c>
      <x:c r="P236" s="757">
        <x:v>0</x:v>
      </x:c>
      <x:c r="Q236" s="757">
        <x:v>0</x:v>
      </x:c>
      <x:c r="R236" s="755" t="n">
        <x:v>-0.29</x:v>
      </x:c>
    </x:row>
    <x:row r="237" spans="1:18" ht="12.75" customHeight="1" x14ac:dyDescent="0.2">
      <x:c r="C237" s="616" t="s">
        <x:v>72</x:v>
      </x:c>
      <x:c r="D237" s="620" t="n">
        <x:v>-855911.65</x:v>
      </x:c>
      <x:c r="E237" s="618" t="n">
        <x:v>-56578.79</x:v>
      </x:c>
      <x:c r="F237" s="618" t="n">
        <x:v>-29944.45</x:v>
      </x:c>
      <x:c r="G237" s="620" t="n">
        <x:v>-16676.99</x:v>
      </x:c>
      <x:c r="H237" s="618" t="n">
        <x:v>-192512.79</x:v>
      </x:c>
      <x:c r="I237" s="618" t="n">
        <x:v>-5218.15</x:v>
      </x:c>
      <x:c r="J237" s="618" t="n">
        <x:v>-44076.57</x:v>
      </x:c>
      <x:c r="K237" s="618" t="n">
        <x:v>-55205.51</x:v>
      </x:c>
      <x:c r="L237" s="618" t="n">
        <x:v>-296108.41</x:v>
      </x:c>
      <x:c r="M237" s="618" t="n">
        <x:v>-151081.81</x:v>
      </x:c>
      <x:c r="N237" s="618" t="n">
        <x:v>-8513.86</x:v>
      </x:c>
      <x:c r="O237" s="618" t="n">
        <x:v>5.68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">
      <x:c r="C238" s="616" t="s">
        <x:v>81</x:v>
      </x:c>
      <x:c r="D238" s="620" t="n">
        <x:v>-456.33</x:v>
      </x:c>
      <x:c r="E238" s="618" t="n">
        <x:v>-43.08</x:v>
      </x:c>
      <x:c r="F238" s="618" t="n">
        <x:v>-19.82</x:v>
      </x:c>
      <x:c r="G238" s="620" t="n">
        <x:v>-11.45</x:v>
      </x:c>
      <x:c r="H238" s="618" t="n">
        <x:v>-92.32</x:v>
      </x:c>
      <x:c r="I238" s="618" t="n">
        <x:v>-2.28</x:v>
      </x:c>
      <x:c r="J238" s="618" t="n">
        <x:v>-19.89</x:v>
      </x:c>
      <x:c r="K238" s="618" t="n">
        <x:v>-24.84</x:v>
      </x:c>
      <x:c r="L238" s="618" t="n">
        <x:v>-122.9</x:v>
      </x:c>
      <x:c r="M238" s="618" t="n">
        <x:v>-116.06</x:v>
      </x:c>
      <x:c r="N238" s="618" t="n">
        <x:v>-3.69</x:v>
      </x:c>
      <x:c r="O238" s="618" t="n">
        <x:v>0</x:v>
      </x:c>
      <x:c r="P238" s="618">
        <x:v>0</x:v>
      </x:c>
      <x:c r="Q238" s="618">
        <x:v>0</x:v>
      </x:c>
      <x:c r="R238" s="616" t="n">
        <x:v>0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-856367.98</x:v>
      </x:c>
      <x:c r="E239" s="622" t="n">
        <x:v>-56621.87</x:v>
      </x:c>
      <x:c r="F239" s="622" t="n">
        <x:v>-29964.27</x:v>
      </x:c>
      <x:c r="G239" s="622" t="n">
        <x:v>-16688.44</x:v>
      </x:c>
      <x:c r="H239" s="622" t="n">
        <x:v>-192605.11</x:v>
      </x:c>
      <x:c r="I239" s="622" t="n">
        <x:v>-5220.43</x:v>
      </x:c>
      <x:c r="J239" s="622" t="n">
        <x:v>-44096.46</x:v>
      </x:c>
      <x:c r="K239" s="622" t="n">
        <x:v>-55230.35</x:v>
      </x:c>
      <x:c r="L239" s="622" t="n">
        <x:v>-296231.31</x:v>
      </x:c>
      <x:c r="M239" s="622" t="n">
        <x:v>-151197.87</x:v>
      </x:c>
      <x:c r="N239" s="622" t="n">
        <x:v>-8517.55</x:v>
      </x:c>
      <x:c r="O239" s="622" t="n">
        <x:v>5.68</x:v>
      </x:c>
      <x:c r="P239" s="621">
        <x:v>0</x:v>
      </x:c>
      <x:c r="Q239" s="622">
        <x:v>0</x:v>
      </x:c>
      <x:c r="R239" s="622" t="n">
        <x:v>0</x:v>
      </x:c>
    </x:row>
    <x:row r="240" spans="1:18" ht="12.75" customHeight="1" x14ac:dyDescent="0.2">
      <x:c r="C240" s="616" t="s">
        <x:v>73</x:v>
      </x:c>
      <x:c r="D240" s="620" t="n">
        <x:v>120337.98</x:v>
      </x:c>
      <x:c r="E240" s="618" t="n">
        <x:v>-5853.75</x:v>
      </x:c>
      <x:c r="F240" s="618" t="n">
        <x:v>-3466.39</x:v>
      </x:c>
      <x:c r="G240" s="620" t="n">
        <x:v>-1802.77</x:v>
      </x:c>
      <x:c r="H240" s="618" t="n">
        <x:v>44564.39</x:v>
      </x:c>
      <x:c r="I240" s="618" t="n">
        <x:v>1338.88</x:v>
      </x:c>
      <x:c r="J240" s="618" t="n">
        <x:v>11744.63</x:v>
      </x:c>
      <x:c r="K240" s="618" t="n">
        <x:v>14317.92</x:v>
      </x:c>
      <x:c r="L240" s="618" t="n">
        <x:v>72511.87</x:v>
      </x:c>
      <x:c r="M240" s="618" t="n">
        <x:v>-15201.3</x:v>
      </x:c>
      <x:c r="N240" s="618" t="n">
        <x:v>2184.5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120337.98</x:v>
      </x:c>
      <x:c r="E241" s="624" t="n">
        <x:v>-5853.75</x:v>
      </x:c>
      <x:c r="F241" s="624" t="n">
        <x:v>-3466.39</x:v>
      </x:c>
      <x:c r="G241" s="624" t="n">
        <x:v>-1802.77</x:v>
      </x:c>
      <x:c r="H241" s="624" t="n">
        <x:v>44564.39</x:v>
      </x:c>
      <x:c r="I241" s="624" t="n">
        <x:v>1338.88</x:v>
      </x:c>
      <x:c r="J241" s="624" t="n">
        <x:v>11744.63</x:v>
      </x:c>
      <x:c r="K241" s="624" t="n">
        <x:v>14317.92</x:v>
      </x:c>
      <x:c r="L241" s="624" t="n">
        <x:v>72511.87</x:v>
      </x:c>
      <x:c r="M241" s="624" t="n">
        <x:v>-15201.3</x:v>
      </x:c>
      <x:c r="N241" s="624" t="n">
        <x:v>2184.5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63" customFormat="1" ht="12.75" customHeight="1" x14ac:dyDescent="0.2">
      <x:c r="A242" s="763" t="s">
        <x:v>120</x:v>
      </x:c>
      <x:c r="B242" s="763" t="s">
        <x:v>70</x:v>
      </x:c>
      <x:c r="D242" s="765" t="n">
        <x:v>-736030</x:v>
      </x:c>
      <x:c r="E242" s="764" t="n">
        <x:v>-62475.62</x:v>
      </x:c>
      <x:c r="F242" s="764" t="n">
        <x:v>-33430.66</x:v>
      </x:c>
      <x:c r="G242" s="765" t="n">
        <x:v>-18491.21</x:v>
      </x:c>
      <x:c r="H242" s="764" t="n">
        <x:v>-148040.72</x:v>
      </x:c>
      <x:c r="I242" s="764" t="n">
        <x:v>-3881.55</x:v>
      </x:c>
      <x:c r="J242" s="764" t="n">
        <x:v>-32351.83</x:v>
      </x:c>
      <x:c r="K242" s="764" t="n">
        <x:v>-40912.43</x:v>
      </x:c>
      <x:c r="L242" s="764" t="n">
        <x:v>-223719.44</x:v>
      </x:c>
      <x:c r="M242" s="764" t="n">
        <x:v>-166399.17</x:v>
      </x:c>
      <x:c r="N242" s="764" t="n">
        <x:v>-6333.05</x:v>
      </x:c>
      <x:c r="O242" s="764" t="n">
        <x:v>5.68</x:v>
      </x:c>
      <x:c r="P242" s="764">
        <x:v>0</x:v>
      </x:c>
      <x:c r="Q242" s="764">
        <x:v>0</x:v>
      </x:c>
      <x:c r="R242" s="763" t="n">
        <x:v>0</x:v>
      </x:c>
    </x:row>
    <x:row r="243" spans="1:18" ht="12.75" customHeight="1" x14ac:dyDescent="0.2">
      <x:c r="C243" s="616" t="s">
        <x:v>72</x:v>
      </x:c>
      <x:c r="D243" s="620" t="n">
        <x:v>-3952597.5</x:v>
      </x:c>
      <x:c r="E243" s="618" t="n">
        <x:v>-239180.98</x:v>
      </x:c>
      <x:c r="F243" s="618" t="n">
        <x:v>-134746.5</x:v>
      </x:c>
      <x:c r="G243" s="620" t="n">
        <x:v>-69663.42</x:v>
      </x:c>
      <x:c r="H243" s="618" t="n">
        <x:v>-865036.73</x:v>
      </x:c>
      <x:c r="I243" s="618" t="n">
        <x:v>-28695.58</x:v>
      </x:c>
      <x:c r="J243" s="618" t="n">
        <x:v>-279525.13</x:v>
      </x:c>
      <x:c r="K243" s="618" t="n">
        <x:v>-279118.37</x:v>
      </x:c>
      <x:c r="L243" s="618" t="n">
        <x:v>-1359152.73</x:v>
      </x:c>
      <x:c r="M243" s="618" t="n">
        <x:v>-648894.61</x:v>
      </x:c>
      <x:c r="N243" s="618" t="n">
        <x:v>-48597.18</x:v>
      </x:c>
      <x:c r="O243" s="618" t="n">
        <x:v>13.73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">
      <x:c r="C244" s="616" t="s">
        <x:v>81</x:v>
      </x:c>
      <x:c r="D244" s="620" t="n">
        <x:v>-72621.51</x:v>
      </x:c>
      <x:c r="E244" s="618" t="n">
        <x:v>-5294.3</x:v>
      </x:c>
      <x:c r="F244" s="618" t="n">
        <x:v>-1735.02</x:v>
      </x:c>
      <x:c r="G244" s="620" t="n">
        <x:v>-406.34</x:v>
      </x:c>
      <x:c r="H244" s="618" t="n">
        <x:v>-9879.81</x:v>
      </x:c>
      <x:c r="I244" s="618" t="n">
        <x:v>-851.94</x:v>
      </x:c>
      <x:c r="J244" s="618" t="n">
        <x:v>-7477.78</x:v>
      </x:c>
      <x:c r="K244" s="618" t="n">
        <x:v>-6895.96</x:v>
      </x:c>
      <x:c r="L244" s="618" t="n">
        <x:v>-23542.38</x:v>
      </x:c>
      <x:c r="M244" s="618" t="n">
        <x:v>-15148.31</x:v>
      </x:c>
      <x:c r="N244" s="618" t="n">
        <x:v>-1390.75</x:v>
      </x:c>
      <x:c r="O244" s="618" t="n">
        <x:v>1.08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-4025219.01</x:v>
      </x:c>
      <x:c r="E245" s="622" t="n">
        <x:v>-244475.28</x:v>
      </x:c>
      <x:c r="F245" s="622" t="n">
        <x:v>-136481.52</x:v>
      </x:c>
      <x:c r="G245" s="622" t="n">
        <x:v>-70069.76</x:v>
      </x:c>
      <x:c r="H245" s="622" t="n">
        <x:v>-874916.54</x:v>
      </x:c>
      <x:c r="I245" s="622" t="n">
        <x:v>-29547.52</x:v>
      </x:c>
      <x:c r="J245" s="622" t="n">
        <x:v>-287002.91</x:v>
      </x:c>
      <x:c r="K245" s="622" t="n">
        <x:v>-286014.33</x:v>
      </x:c>
      <x:c r="L245" s="622" t="n">
        <x:v>-1382695.11</x:v>
      </x:c>
      <x:c r="M245" s="622" t="n">
        <x:v>-664042.92</x:v>
      </x:c>
      <x:c r="N245" s="622" t="n">
        <x:v>-49987.93</x:v>
      </x:c>
      <x:c r="O245" s="622" t="n">
        <x:v>14.81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">
      <x:c r="C246" s="616" t="s">
        <x:v>73</x:v>
      </x:c>
      <x:c r="D246" s="618" t="n">
        <x:v>791790.67</x:v>
      </x:c>
      <x:c r="E246" s="618" t="n">
        <x:v>30614.54</x:v>
      </x:c>
      <x:c r="F246" s="618" t="n">
        <x:v>15664.41</x:v>
      </x:c>
      <x:c r="G246" s="620" t="n">
        <x:v>8427.03</x:v>
      </x:c>
      <x:c r="H246" s="618" t="n">
        <x:v>198488.51</x:v>
      </x:c>
      <x:c r="I246" s="618" t="n">
        <x:v>7139.75</x:v>
      </x:c>
      <x:c r="J246" s="618" t="n">
        <x:v>62630.13</x:v>
      </x:c>
      <x:c r="K246" s="618" t="n">
        <x:v>62193.6</x:v>
      </x:c>
      <x:c r="L246" s="618" t="n">
        <x:v>307975.48</x:v>
      </x:c>
      <x:c r="M246" s="618" t="n">
        <x:v>87007.94</x:v>
      </x:c>
      <x:c r="N246" s="618" t="n">
        <x:v>11649.28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791790.67</x:v>
      </x:c>
      <x:c r="E247" s="624" t="n">
        <x:v>30614.54</x:v>
      </x:c>
      <x:c r="F247" s="624" t="n">
        <x:v>15664.41</x:v>
      </x:c>
      <x:c r="G247" s="624" t="n">
        <x:v>8427.03</x:v>
      </x:c>
      <x:c r="H247" s="624" t="n">
        <x:v>198488.51</x:v>
      </x:c>
      <x:c r="I247" s="624" t="n">
        <x:v>7139.75</x:v>
      </x:c>
      <x:c r="J247" s="624" t="n">
        <x:v>62630.13</x:v>
      </x:c>
      <x:c r="K247" s="624" t="n">
        <x:v>62193.6</x:v>
      </x:c>
      <x:c r="L247" s="624" t="n">
        <x:v>307975.48</x:v>
      </x:c>
      <x:c r="M247" s="624" t="n">
        <x:v>87007.94</x:v>
      </x:c>
      <x:c r="N247" s="624" t="n">
        <x:v>11649.28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54" customFormat="1" ht="12.75" customHeight="1" x14ac:dyDescent="0.2">
      <x:c r="A248" s="754" t="s">
        <x:v>119</x:v>
      </x:c>
      <x:c r="B248" s="628" t="s">
        <x:v>70</x:v>
      </x:c>
      <x:c r="C248" s="628"/>
      <x:c r="D248" s="628" t="n">
        <x:v>-3233428.34</x:v>
      </x:c>
      <x:c r="E248" s="628" t="n">
        <x:v>-213860.74</x:v>
      </x:c>
      <x:c r="F248" s="628" t="n">
        <x:v>-120817.11</x:v>
      </x:c>
      <x:c r="G248" s="628" t="n">
        <x:v>-61642.73</x:v>
      </x:c>
      <x:c r="H248" s="628" t="n">
        <x:v>-676428.03</x:v>
      </x:c>
      <x:c r="I248" s="628" t="n">
        <x:v>-22407.77</x:v>
      </x:c>
      <x:c r="J248" s="628" t="n">
        <x:v>-224372.78</x:v>
      </x:c>
      <x:c r="K248" s="628" t="n">
        <x:v>-223820.73</x:v>
      </x:c>
      <x:c r="L248" s="628" t="n">
        <x:v>-1074719.63</x:v>
      </x:c>
      <x:c r="M248" s="628" t="n">
        <x:v>-577034.98</x:v>
      </x:c>
      <x:c r="N248" s="628" t="n">
        <x:v>-38338.65</x:v>
      </x:c>
      <x:c r="O248" s="628" t="n">
        <x:v>14.81</x:v>
      </x:c>
      <x:c r="P248" s="754">
        <x:v>0</x:v>
      </x:c>
      <x:c r="Q248" s="628">
        <x:v>0</x:v>
      </x:c>
      <x:c r="R248" s="628" t="n">
        <x:v>0</x:v>
      </x:c>
    </x:row>
    <x:row r="249" spans="1:18" s="631" customFormat="1" ht="12.75" customHeight="1" x14ac:dyDescent="0.2">
      <x:c r="A249" s="630" t="s">
        <x:v>70</x:v>
      </x:c>
      <x:c r="D249" s="630" t="n">
        <x:v>-33738104.23</x:v>
      </x:c>
      <x:c r="E249" s="630" t="n">
        <x:v>-3233980.29</x:v>
      </x:c>
      <x:c r="F249" s="630" t="n">
        <x:v>-1630433.72</x:v>
      </x:c>
      <x:c r="G249" s="630" t="n">
        <x:v>-759694.12</x:v>
      </x:c>
      <x:c r="H249" s="630" t="n">
        <x:v>-5929759.33</x:v>
      </x:c>
      <x:c r="I249" s="630" t="n">
        <x:v>-216132.71</x:v>
      </x:c>
      <x:c r="J249" s="630" t="n">
        <x:v>-1906702.64</x:v>
      </x:c>
      <x:c r="K249" s="630" t="n">
        <x:v>-2007529.35</x:v>
      </x:c>
      <x:c r="L249" s="630" t="n">
        <x:v>-9138926.71</x:v>
      </x:c>
      <x:c r="M249" s="630" t="n">
        <x:v>-8560507.65</x:v>
      </x:c>
      <x:c r="N249" s="630" t="n">
        <x:v>-354436.12</x:v>
      </x:c>
      <x:c r="O249" s="630" t="n">
        <x:v>-1.3</x:v>
      </x:c>
      <x:c r="P249" s="631" t="n">
        <x:v>0</x:v>
      </x:c>
      <x:c r="Q249" s="631">
        <x:v>0</x:v>
      </x:c>
      <x:c r="R249" s="631" t="n">
        <x:v>-0.29</x:v>
      </x:c>
    </x:row>
    <x:row r="250" spans="1:18" ht="12.75" customHeight="1" x14ac:dyDescent="0.2">
      <x:c r="A250" s="618"/>
      <x:c r="B250" s="618"/>
      <x:c r="D250" s="618"/>
      <x:c r="E250" s="618"/>
      <x:c r="F250" s="618"/>
      <x:c r="G250" s="618"/>
      <x:c r="H250" s="618"/>
      <x:c r="I250" s="618"/>
      <x:c r="J250" s="618"/>
      <x:c r="K250" s="618"/>
      <x:c r="L250" s="618"/>
      <x:c r="M250" s="618"/>
      <x:c r="N250" s="618"/>
      <x:c r="O250" s="618"/>
    </x:row>
    <x:row r="251" spans="1:18" ht="12.75" customHeight="1" x14ac:dyDescent="0.2">
      <x:c r="A251" s="618"/>
      <x:c r="D251" s="618"/>
      <x:c r="E251" s="618"/>
      <x:c r="F251" s="618"/>
      <x:c r="G251" s="618"/>
      <x:c r="H251" s="618"/>
      <x:c r="I251" s="618"/>
      <x:c r="J251" s="618"/>
      <x:c r="K251" s="618"/>
      <x:c r="L251" s="618"/>
      <x:c r="M251" s="618"/>
      <x:c r="N251" s="618"/>
      <x:c r="O251" s="618"/>
    </x:row>
    <x:row r="252" spans="1:18" ht="12.75" customHeight="1" x14ac:dyDescent="0.2">
      <x:c r="B252" s="618"/>
      <x:c r="C252" s="618"/>
      <x:c r="D252" s="618"/>
      <x:c r="E252" s="618"/>
      <x:c r="F252" s="618"/>
      <x:c r="G252" s="618"/>
      <x:c r="H252" s="618"/>
      <x:c r="I252" s="618"/>
      <x:c r="J252" s="618"/>
      <x:c r="K252" s="618"/>
      <x:c r="L252" s="618"/>
      <x:c r="M252" s="618"/>
      <x:c r="N252" s="618"/>
      <x:c r="O252" s="618"/>
    </x:row>
    <x:row r="253" spans="1:18" ht="12.75" hidden="1" customHeight="1" x14ac:dyDescent="0.2">
      <x:c r="B253" s="618"/>
      <x:c r="C253" s="618"/>
      <x:c r="D253" s="618"/>
      <x:c r="E253" s="618"/>
      <x:c r="F253" s="618"/>
      <x:c r="G253" s="618"/>
      <x:c r="H253" s="618"/>
      <x:c r="I253" s="618"/>
      <x:c r="J253" s="618"/>
      <x:c r="K253" s="618"/>
      <x:c r="L253" s="618"/>
      <x:c r="M253" s="618"/>
      <x:c r="N253" s="618"/>
      <x:c r="O253" s="618"/>
    </x:row>
    <x:row r="254" spans="1:18" ht="12.75" hidden="1" customHeight="1" x14ac:dyDescent="0.2">
      <x:c r="B254" s="618"/>
      <x:c r="C254" s="618"/>
      <x:c r="D254" s="618"/>
      <x:c r="E254" s="618"/>
      <x:c r="F254" s="618"/>
      <x:c r="G254" s="618"/>
      <x:c r="H254" s="618"/>
      <x:c r="I254" s="618"/>
      <x:c r="J254" s="618"/>
      <x:c r="K254" s="618"/>
      <x:c r="L254" s="618"/>
      <x:c r="M254" s="618"/>
      <x:c r="N254" s="618"/>
      <x:c r="O254" s="618"/>
    </x:row>
    <x:row r="255" spans="1:18" ht="12.75" hidden="1" customHeight="1" x14ac:dyDescent="0.2">
      <x:c r="B255" s="618"/>
      <x:c r="C255" s="618"/>
      <x:c r="D255" s="618"/>
      <x:c r="E255" s="618"/>
      <x:c r="F255" s="618"/>
      <x:c r="G255" s="618"/>
      <x:c r="H255" s="618"/>
      <x:c r="I255" s="618"/>
      <x:c r="J255" s="618"/>
      <x:c r="K255" s="618"/>
      <x:c r="L255" s="618"/>
      <x:c r="M255" s="618"/>
      <x:c r="N255" s="618"/>
      <x:c r="O255" s="618"/>
    </x:row>
    <x:row r="256" spans="1:18" ht="12.75" hidden="1" customHeight="1" x14ac:dyDescent="0.2">
      <x:c r="B256" s="618"/>
      <x:c r="C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2:15" ht="12.75" hidden="1" customHeight="1" x14ac:dyDescent="0.2">
      <x:c r="B257" s="618"/>
      <x:c r="C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2:15" ht="12.75" hidden="1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2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2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2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2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2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2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2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2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2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2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2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2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2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2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customHeight="1" x14ac:dyDescent="0.2">
      <x:c r="A326" s="781" t="s">
        <x:v>2</x:v>
      </x:c>
      <x:c r="B326" s="780" t="s">
        <x:v>132</x:v>
      </x:c>
      <x:c r="C326" s="766" t="s">
        <x:v>70</x:v>
      </x:c>
      <x:c r="D326" s="766">
        <x:f>D249-P249</x:f>
        <x:v>0</x:v>
      </x:c>
      <x:c r="E326" s="766">
        <x:f>E245+E239+E233</x:f>
        <x:v>0</x:v>
      </x:c>
      <x:c r="F326" s="766">
        <x:f t="shared" ref="F326:R326" si="10">F245+F239+F233</x:f>
        <x:v>0</x:v>
      </x:c>
      <x:c r="G326" s="766">
        <x:f t="shared" si="10"/>
        <x:v>0</x:v>
      </x:c>
      <x:c r="H326" s="766">
        <x:f t="shared" si="10"/>
        <x:v>0</x:v>
      </x:c>
      <x:c r="I326" s="766">
        <x:f t="shared" si="10"/>
        <x:v>0</x:v>
      </x:c>
      <x:c r="J326" s="766">
        <x:f t="shared" si="10"/>
        <x:v>0</x:v>
      </x:c>
      <x:c r="K326" s="766">
        <x:f t="shared" si="10"/>
        <x:v>0</x:v>
      </x:c>
      <x:c r="L326" s="766">
        <x:f t="shared" si="10"/>
        <x:v>0</x:v>
      </x:c>
      <x:c r="M326" s="766">
        <x:f t="shared" si="10"/>
        <x:v>0</x:v>
      </x:c>
      <x:c r="N326" s="766">
        <x:f t="shared" si="10"/>
        <x:v>0</x:v>
      </x:c>
      <x:c r="O326" s="766">
        <x:f t="shared" si="10"/>
        <x:v>0</x:v>
      </x:c>
      <x:c r="P326" s="766">
        <x:f t="shared" si="10"/>
        <x:v>0</x:v>
      </x:c>
      <x:c r="Q326" s="766">
        <x:f t="shared" si="10"/>
        <x:v>0</x:v>
      </x:c>
      <x:c r="R326" s="766">
        <x:f t="shared" si="10"/>
        <x:v>0</x:v>
      </x:c>
    </x:row>
    <x:row r="327" spans="1:18" ht="12.75" customHeight="1" x14ac:dyDescent="0.2">
      <x:c r="A327" s="781"/>
      <x:c r="B327" s="780"/>
      <x:c r="C327" s="766" t="s">
        <x:v>73</x:v>
      </x:c>
      <x:c r="D327" s="766">
        <x:f>D247+D241+D235</x:f>
        <x:v>0</x:v>
      </x:c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  <x:c r="P327" s="618"/>
      <x:c r="Q327" s="618"/>
      <x:c r="R327" s="618"/>
    </x:row>
    <x:row r="328" spans="1:18" ht="12.75" customHeight="1" x14ac:dyDescent="0.2">
      <x:c r="A328" s="617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  <x:c r="P328" s="618"/>
      <x:c r="Q328" s="618"/>
      <x:c r="R328" s="618"/>
    </x:row>
    <x:row r="329" spans="1:18" ht="12.75" customHeight="1" x14ac:dyDescent="0.2">
      <x:c r="A329" s="781" t="s">
        <x:v>160</x:v>
      </x:c>
      <x:c r="B329" s="780" t="s">
        <x:v>132</x:v>
      </x:c>
      <x:c r="C329" s="632" t="s">
        <x:v>70</x:v>
      </x:c>
      <x:c r="D329" s="632">
        <x:f>D242-P242</x:f>
        <x:v>0</x:v>
      </x:c>
      <x:c r="E329" s="632">
        <x:f>E239</x:f>
        <x:v>0</x:v>
      </x:c>
      <x:c r="F329" s="632">
        <x:f t="shared" ref="F329:R329" si="11">F239</x:f>
        <x:v>0</x:v>
      </x:c>
      <x:c r="G329" s="632">
        <x:f t="shared" si="11"/>
        <x:v>0</x:v>
      </x:c>
      <x:c r="H329" s="632">
        <x:f t="shared" si="11"/>
        <x:v>0</x:v>
      </x:c>
      <x:c r="I329" s="632">
        <x:f t="shared" si="11"/>
        <x:v>0</x:v>
      </x:c>
      <x:c r="J329" s="632">
        <x:f t="shared" si="11"/>
        <x:v>0</x:v>
      </x:c>
      <x:c r="K329" s="632">
        <x:f t="shared" si="11"/>
        <x:v>0</x:v>
      </x:c>
      <x:c r="L329" s="632">
        <x:f t="shared" si="11"/>
        <x:v>0</x:v>
      </x:c>
      <x:c r="M329" s="632">
        <x:f t="shared" si="11"/>
        <x:v>0</x:v>
      </x:c>
      <x:c r="N329" s="632">
        <x:f t="shared" si="11"/>
        <x:v>0</x:v>
      </x:c>
      <x:c r="O329" s="632">
        <x:f t="shared" si="11"/>
        <x:v>0</x:v>
      </x:c>
      <x:c r="P329" s="632">
        <x:f t="shared" si="11"/>
        <x:v>0</x:v>
      </x:c>
      <x:c r="Q329" s="632">
        <x:f t="shared" si="11"/>
        <x:v>0</x:v>
      </x:c>
      <x:c r="R329" s="632">
        <x:f t="shared" si="11"/>
        <x:v>0</x:v>
      </x:c>
    </x:row>
    <x:row r="330" spans="1:18" ht="12.75" customHeight="1" x14ac:dyDescent="0.2">
      <x:c r="A330" s="781"/>
      <x:c r="B330" s="780"/>
      <x:c r="C330" s="632" t="s">
        <x:v>73</x:v>
      </x:c>
      <x:c r="D330" s="714">
        <x:f>D241</x:f>
        <x:v>0</x:v>
      </x:c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  <x:c r="P330" s="618"/>
      <x:c r="Q330" s="618"/>
      <x:c r="R330" s="618"/>
    </x:row>
    <x:row r="331" spans="1:18" ht="12.75" customHeight="1" x14ac:dyDescent="0.2">
      <x:c r="A331" s="617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  <x:c r="P331" s="618"/>
      <x:c r="Q331" s="618"/>
      <x:c r="R331" s="618"/>
    </x:row>
    <x:row r="332" spans="1:18" ht="12.75" customHeight="1" x14ac:dyDescent="0.2">
      <x:c r="A332" s="781" t="s">
        <x:v>155</x:v>
      </x:c>
      <x:c r="B332" s="780" t="s">
        <x:v>132</x:v>
      </x:c>
      <x:c r="C332" s="633" t="s">
        <x:v>70</x:v>
      </x:c>
      <x:c r="D332" s="633">
        <x:f>D236-P236</x:f>
        <x:v>0</x:v>
      </x:c>
      <x:c r="E332" s="633">
        <x:f>E233</x:f>
        <x:v>0</x:v>
      </x:c>
      <x:c r="F332" s="633">
        <x:f t="shared" ref="F332:R332" si="12">F233</x:f>
        <x:v>0</x:v>
      </x:c>
      <x:c r="G332" s="633">
        <x:f t="shared" si="12"/>
        <x:v>0</x:v>
      </x:c>
      <x:c r="H332" s="633">
        <x:f t="shared" si="12"/>
        <x:v>0</x:v>
      </x:c>
      <x:c r="I332" s="633">
        <x:f t="shared" si="12"/>
        <x:v>0</x:v>
      </x:c>
      <x:c r="J332" s="633">
        <x:f t="shared" si="12"/>
        <x:v>0</x:v>
      </x:c>
      <x:c r="K332" s="633">
        <x:f t="shared" si="12"/>
        <x:v>0</x:v>
      </x:c>
      <x:c r="L332" s="633">
        <x:f t="shared" si="12"/>
        <x:v>0</x:v>
      </x:c>
      <x:c r="M332" s="633">
        <x:f t="shared" si="12"/>
        <x:v>0</x:v>
      </x:c>
      <x:c r="N332" s="633">
        <x:f t="shared" si="12"/>
        <x:v>0</x:v>
      </x:c>
      <x:c r="O332" s="633">
        <x:f t="shared" si="12"/>
        <x:v>0</x:v>
      </x:c>
      <x:c r="P332" s="633">
        <x:f t="shared" si="12"/>
        <x:v>0</x:v>
      </x:c>
      <x:c r="Q332" s="633">
        <x:f t="shared" si="12"/>
        <x:v>0</x:v>
      </x:c>
      <x:c r="R332" s="633">
        <x:f t="shared" si="12"/>
        <x:v>0</x:v>
      </x:c>
    </x:row>
    <x:row r="333" spans="1:18" ht="12.75" customHeight="1" x14ac:dyDescent="0.2">
      <x:c r="A333" s="781"/>
      <x:c r="B333" s="780"/>
      <x:c r="C333" s="633" t="s">
        <x:v>73</x:v>
      </x:c>
      <x:c r="D333" s="633">
        <x:f>D235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722"/>
      <x:c r="B334" s="721"/>
      <x:c r="C334" s="618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79" t="s">
        <x:v>326</x:v>
      </x:c>
      <x:c r="B335" s="780" t="s">
        <x:v>132</x:v>
      </x:c>
      <x:c r="C335" s="633" t="s">
        <x:v>70</x:v>
      </x:c>
      <x:c r="D335" s="720">
        <x:v>0</x:v>
      </x:c>
      <x:c r="E335" s="720">
        <x:v>0</x:v>
      </x:c>
      <x:c r="F335" s="720">
        <x:v>0</x:v>
      </x:c>
      <x:c r="G335" s="720">
        <x:v>0</x:v>
      </x:c>
      <x:c r="H335" s="720">
        <x:v>0</x:v>
      </x:c>
      <x:c r="I335" s="720">
        <x:v>0</x:v>
      </x:c>
      <x:c r="J335" s="720">
        <x:v>0</x:v>
      </x:c>
      <x:c r="K335" s="720">
        <x:v>0</x:v>
      </x:c>
      <x:c r="L335" s="720">
        <x:v>0</x:v>
      </x:c>
      <x:c r="M335" s="720">
        <x:v>0</x:v>
      </x:c>
      <x:c r="N335" s="720">
        <x:v>0</x:v>
      </x:c>
      <x:c r="O335" s="720">
        <x:v>0</x:v>
      </x:c>
      <x:c r="P335" s="720">
        <x:v>0</x:v>
      </x:c>
      <x:c r="Q335" s="720">
        <x:v>0</x:v>
      </x:c>
      <x:c r="R335" s="720">
        <x:v>0</x:v>
      </x:c>
    </x:row>
    <x:row r="336" spans="1:18" ht="12.75" customHeight="1" x14ac:dyDescent="0.2">
      <x:c r="A336" s="779"/>
      <x:c r="B336" s="780"/>
      <x:c r="C336" s="633" t="s">
        <x:v>73</x:v>
      </x:c>
      <x:c r="D336" s="720"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1" t="s">
        <x:v>119</x:v>
      </x:c>
      <x:c r="B338" s="780" t="s">
        <x:v>132</x:v>
      </x:c>
      <x:c r="C338" s="628" t="s">
        <x:v>70</x:v>
      </x:c>
      <x:c r="D338" s="628">
        <x:f>D248-P248</x:f>
        <x:v>0</x:v>
      </x:c>
      <x:c r="E338" s="628">
        <x:f>E245</x:f>
        <x:v>0</x:v>
      </x:c>
      <x:c r="F338" s="628">
        <x:f t="shared" ref="F338:R338" si="13">F245</x:f>
        <x:v>0</x:v>
      </x:c>
      <x:c r="G338" s="628">
        <x:f t="shared" si="13"/>
        <x:v>0</x:v>
      </x:c>
      <x:c r="H338" s="628">
        <x:f t="shared" si="13"/>
        <x:v>0</x:v>
      </x:c>
      <x:c r="I338" s="628">
        <x:f t="shared" si="13"/>
        <x:v>0</x:v>
      </x:c>
      <x:c r="J338" s="628">
        <x:f t="shared" si="13"/>
        <x:v>0</x:v>
      </x:c>
      <x:c r="K338" s="628">
        <x:f t="shared" si="13"/>
        <x:v>0</x:v>
      </x:c>
      <x:c r="L338" s="628">
        <x:f t="shared" si="13"/>
        <x:v>0</x:v>
      </x:c>
      <x:c r="M338" s="628">
        <x:f t="shared" si="13"/>
        <x:v>0</x:v>
      </x:c>
      <x:c r="N338" s="628">
        <x:f t="shared" si="13"/>
        <x:v>0</x:v>
      </x:c>
      <x:c r="O338" s="628">
        <x:f t="shared" si="13"/>
        <x:v>0</x:v>
      </x:c>
      <x:c r="P338" s="628">
        <x:f t="shared" si="13"/>
        <x:v>0</x:v>
      </x:c>
      <x:c r="Q338" s="628">
        <x:f t="shared" si="13"/>
        <x:v>0</x:v>
      </x:c>
      <x:c r="R338" s="628">
        <x:f t="shared" si="13"/>
        <x:v>0</x:v>
      </x:c>
    </x:row>
    <x:row r="339" spans="1:18" ht="12.75" customHeight="1" x14ac:dyDescent="0.2">
      <x:c r="A339" s="781"/>
      <x:c r="B339" s="780"/>
      <x:c r="C339" s="628" t="s">
        <x:v>73</x:v>
      </x:c>
      <x:c r="D339" s="628">
        <x:f>D247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617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2" t="s">
        <x:v>161</x:v>
      </x:c>
      <x:c r="B341" s="780" t="s">
        <x:v>132</x:v>
      </x:c>
      <x:c r="C341" s="634" t="s">
        <x:v>70</x:v>
      </x:c>
      <x:c r="D341" s="634">
        <x:v>0</x:v>
      </x:c>
      <x:c r="E341" s="634">
        <x:v>0</x:v>
      </x:c>
      <x:c r="F341" s="634">
        <x:v>0</x:v>
      </x:c>
      <x:c r="G341" s="634">
        <x:v>0</x:v>
      </x:c>
      <x:c r="H341" s="634">
        <x:v>0</x:v>
      </x:c>
      <x:c r="I341" s="634">
        <x:v>0</x:v>
      </x:c>
      <x:c r="J341" s="634">
        <x:v>0</x:v>
      </x:c>
      <x:c r="K341" s="634">
        <x:v>0</x:v>
      </x:c>
      <x:c r="L341" s="634">
        <x:v>0</x:v>
      </x:c>
      <x:c r="M341" s="634">
        <x:v>0</x:v>
      </x:c>
      <x:c r="N341" s="634">
        <x:v>0</x:v>
      </x:c>
      <x:c r="O341" s="634">
        <x:v>0</x:v>
      </x:c>
      <x:c r="P341" s="634">
        <x:v>0</x:v>
      </x:c>
      <x:c r="Q341" s="634">
        <x:v>0</x:v>
      </x:c>
      <x:c r="R341" s="634">
        <x:v>0</x:v>
      </x:c>
    </x:row>
    <x:row r="342" spans="1:18" ht="12.75" customHeight="1" x14ac:dyDescent="0.2">
      <x:c r="A342" s="782"/>
      <x:c r="B342" s="780"/>
      <x:c r="C342" s="634" t="s">
        <x:v>73</x:v>
      </x:c>
      <x:c r="D342" s="634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s="635" customFormat="1" x14ac:dyDescent="0.2"/>
    <x:row r="344" spans="1:18" x14ac:dyDescent="0.2">
      <x:c r="B344" s="617" t="s">
        <x:v>93</x:v>
      </x:c>
    </x:row>
    <x:row r="345" spans="1:18" ht="12.75" customHeight="1" x14ac:dyDescent="0.2">
      <x:c r="D345" s="618" t="s">
        <x:v>70</x:v>
      </x:c>
      <x:c r="E345" s="618" t="s">
        <x:v>64</x:v>
      </x:c>
      <x:c r="F345" s="618" t="s">
        <x:v>65</x:v>
      </x:c>
      <x:c r="G345" s="619" t="s">
        <x:v>164</x:v>
      </x:c>
      <x:c r="H345" s="618" t="s">
        <x:v>69</x:v>
      </x:c>
      <x:c r="I345" s="618" t="s">
        <x:v>68</x:v>
      </x:c>
      <x:c r="J345" s="618" t="s">
        <x:v>66</x:v>
      </x:c>
      <x:c r="K345" s="618" t="s">
        <x:v>63</x:v>
      </x:c>
      <x:c r="L345" s="618" t="s">
        <x:v>61</x:v>
      </x:c>
      <x:c r="M345" s="618" t="s">
        <x:v>62</x:v>
      </x:c>
      <x:c r="N345" s="618" t="s">
        <x:v>67</x:v>
      </x:c>
      <x:c r="O345" s="618" t="s">
        <x:v>77</x:v>
      </x:c>
      <x:c r="P345" s="616" t="s">
        <x:v>71</x:v>
      </x:c>
      <x:c r="Q345" s="618" t="s">
        <x:v>80</x:v>
      </x:c>
      <x:c r="R345" s="616" t="s">
        <x:v>168</x:v>
      </x:c>
    </x:row>
    <x:row r="346" spans="1:18" ht="12" customHeight="1" x14ac:dyDescent="0.2">
      <x:c r="C346" s="618" t="s">
        <x:v>72</x:v>
      </x:c>
      <x:c r="D346" s="618" t="n">
        <x:v>-2459958.99</x:v>
      </x:c>
      <x:c r="E346" s="618" t="n">
        <x:v>-131176.3</x:v>
      </x:c>
      <x:c r="F346" s="618" t="n">
        <x:v>-73947.6</x:v>
      </x:c>
      <x:c r="G346" s="618" t="n">
        <x:v>-38360.96</x:v>
      </x:c>
      <x:c r="H346" s="618" t="n">
        <x:v>-516845.27</x:v>
      </x:c>
      <x:c r="I346" s="618" t="n">
        <x:v>-20608.35</x:v>
      </x:c>
      <x:c r="J346" s="618" t="n">
        <x:v>-180773.73</x:v>
      </x:c>
      <x:c r="K346" s="618" t="n">
        <x:v>-177017.02</x:v>
      </x:c>
      <x:c r="L346" s="618" t="n">
        <x:v>-903639.16</x:v>
      </x:c>
      <x:c r="M346" s="618" t="n">
        <x:v>-383975.32</x:v>
      </x:c>
      <x:c r="N346" s="618" t="n">
        <x:v>-33624.08</x:v>
      </x:c>
      <x:c r="O346" s="618" t="n">
        <x:v>8.8</x:v>
      </x:c>
      <x:c r="P346" s="616">
        <x:v>0</x:v>
      </x:c>
      <x:c r="Q346" s="618">
        <x:v>0</x:v>
      </x:c>
      <x:c r="R346" s="616" t="n">
        <x:v>0</x:v>
      </x:c>
    </x:row>
    <x:row r="347" spans="1:18" ht="12" customHeight="1" x14ac:dyDescent="0.2">
      <x:c r="C347" s="618" t="s">
        <x:v>81</x:v>
      </x:c>
      <x:c r="D347" s="618" t="n">
        <x:v>-1530.78</x:v>
      </x:c>
      <x:c r="E347" s="618" t="n">
        <x:v>-92.42</x:v>
      </x:c>
      <x:c r="F347" s="618" t="n">
        <x:v>-52.15</x:v>
      </x:c>
      <x:c r="G347" s="618" t="n">
        <x:v>-27.92</x:v>
      </x:c>
      <x:c r="H347" s="618" t="n">
        <x:v>-308.9</x:v>
      </x:c>
      <x:c r="I347" s="618" t="n">
        <x:v>-11.75</x:v>
      </x:c>
      <x:c r="J347" s="618" t="n">
        <x:v>-106.44</x:v>
      </x:c>
      <x:c r="K347" s="618" t="n">
        <x:v>-103.99</x:v>
      </x:c>
      <x:c r="L347" s="618" t="n">
        <x:v>-527.01</x:v>
      </x:c>
      <x:c r="M347" s="618" t="n">
        <x:v>-281.03</x:v>
      </x:c>
      <x:c r="N347" s="618" t="n">
        <x:v>-19.16</x:v>
      </x:c>
      <x:c r="O347" s="618" t="n">
        <x:v>-0.01</x:v>
      </x:c>
      <x:c r="P347" s="616">
        <x:v>0</x:v>
      </x:c>
      <x:c r="Q347" s="618">
        <x:v>0</x:v>
      </x:c>
      <x:c r="R347" s="616" t="n">
        <x:v>0</x:v>
      </x:c>
    </x:row>
    <x:row r="348" spans="1:18" s="621" customFormat="1" ht="12.75" customHeight="1" x14ac:dyDescent="0.2">
      <x:c r="A348" s="622"/>
      <x:c r="B348" s="621" t="s">
        <x:v>78</x:v>
      </x:c>
      <x:c r="C348" s="621" t="s">
        <x:v>70</x:v>
      </x:c>
      <x:c r="D348" s="622" t="n">
        <x:v>-2461489.77</x:v>
      </x:c>
      <x:c r="E348" s="622" t="n">
        <x:v>-131268.72</x:v>
      </x:c>
      <x:c r="F348" s="622" t="n">
        <x:v>-73999.75</x:v>
      </x:c>
      <x:c r="G348" s="622" t="n">
        <x:v>-38388.88</x:v>
      </x:c>
      <x:c r="H348" s="622" t="n">
        <x:v>-517154.17</x:v>
      </x:c>
      <x:c r="I348" s="622" t="n">
        <x:v>-20620.1</x:v>
      </x:c>
      <x:c r="J348" s="622" t="n">
        <x:v>-180880.17</x:v>
      </x:c>
      <x:c r="K348" s="622" t="n">
        <x:v>-177121.01</x:v>
      </x:c>
      <x:c r="L348" s="622" t="n">
        <x:v>-904166.17</x:v>
      </x:c>
      <x:c r="M348" s="622" t="n">
        <x:v>-384256.35</x:v>
      </x:c>
      <x:c r="N348" s="622" t="n">
        <x:v>-33643.24</x:v>
      </x:c>
      <x:c r="O348" s="622" t="n">
        <x:v>8.79</x:v>
      </x:c>
      <x:c r="P348" s="621">
        <x:v>0</x:v>
      </x:c>
      <x:c r="Q348" s="621">
        <x:v>0</x:v>
      </x:c>
      <x:c r="R348" s="621" t="n">
        <x:v>0</x:v>
      </x:c>
    </x:row>
    <x:row r="349" spans="1:18" ht="12" customHeight="1" x14ac:dyDescent="0.2">
      <x:c r="C349" s="618" t="s">
        <x:v>73</x:v>
      </x:c>
      <x:c r="D349" s="618" t="n">
        <x:v>395889.77</x:v>
      </x:c>
      <x:c r="E349" s="618" t="n">
        <x:v>21738.99</x:v>
      </x:c>
      <x:c r="F349" s="618" t="n">
        <x:v>12237.73</x:v>
      </x:c>
      <x:c r="G349" s="618" t="n">
        <x:v>6281.21</x:v>
      </x:c>
      <x:c r="H349" s="618" t="n">
        <x:v>77529.75</x:v>
      </x:c>
      <x:c r="I349" s="618" t="n">
        <x:v>3370.36</x:v>
      </x:c>
      <x:c r="J349" s="618" t="n">
        <x:v>29563.65</x:v>
      </x:c>
      <x:c r="K349" s="618" t="n">
        <x:v>28884.29</x:v>
      </x:c>
      <x:c r="L349" s="618" t="n">
        <x:v>147901.79</x:v>
      </x:c>
      <x:c r="M349" s="618" t="n">
        <x:v>62883.22</x:v>
      </x:c>
      <x:c r="N349" s="618" t="n">
        <x:v>5498.78</x:v>
      </x:c>
      <x:c r="O349" s="618" t="n">
        <x:v>0</x:v>
      </x:c>
      <x:c r="P349" s="616">
        <x:v>0</x:v>
      </x:c>
      <x:c r="Q349" s="618">
        <x:v>0</x:v>
      </x:c>
      <x:c r="R349" s="616" t="n">
        <x:v>0</x:v>
      </x:c>
    </x:row>
    <x:row r="350" spans="1:18" s="623" customFormat="1" ht="12.75" customHeight="1" x14ac:dyDescent="0.2">
      <x:c r="A350" s="624"/>
      <x:c r="B350" s="624" t="s">
        <x:v>79</x:v>
      </x:c>
      <x:c r="C350" s="623" t="s">
        <x:v>70</x:v>
      </x:c>
      <x:c r="D350" s="624" t="n">
        <x:v>395889.77</x:v>
      </x:c>
      <x:c r="E350" s="624" t="n">
        <x:v>21738.99</x:v>
      </x:c>
      <x:c r="F350" s="624" t="n">
        <x:v>12237.73</x:v>
      </x:c>
      <x:c r="G350" s="624" t="n">
        <x:v>6281.21</x:v>
      </x:c>
      <x:c r="H350" s="624" t="n">
        <x:v>77529.75</x:v>
      </x:c>
      <x:c r="I350" s="624" t="n">
        <x:v>3370.36</x:v>
      </x:c>
      <x:c r="J350" s="624" t="n">
        <x:v>29563.65</x:v>
      </x:c>
      <x:c r="K350" s="624" t="n">
        <x:v>28884.29</x:v>
      </x:c>
      <x:c r="L350" s="624" t="n">
        <x:v>147901.79</x:v>
      </x:c>
      <x:c r="M350" s="624" t="n">
        <x:v>62883.22</x:v>
      </x:c>
      <x:c r="N350" s="624" t="n">
        <x:v>5498.78</x:v>
      </x:c>
      <x:c r="O350" s="624" t="n">
        <x:v>0</x:v>
      </x:c>
      <x:c r="P350" s="623">
        <x:v>0</x:v>
      </x:c>
      <x:c r="Q350" s="623">
        <x:v>0</x:v>
      </x:c>
      <x:c r="R350" s="623" t="n">
        <x:v>0</x:v>
      </x:c>
    </x:row>
    <x:row r="351" spans="1:18" s="625" customFormat="1" ht="12.75" customHeight="1" x14ac:dyDescent="0.2">
      <x:c r="A351" s="625" t="s">
        <x:v>155</x:v>
      </x:c>
      <x:c r="B351" s="625" t="s">
        <x:v>70</x:v>
      </x:c>
      <x:c r="D351" s="626" t="n">
        <x:v>-2065600</x:v>
      </x:c>
      <x:c r="E351" s="626" t="n">
        <x:v>-109529.73</x:v>
      </x:c>
      <x:c r="F351" s="626" t="n">
        <x:v>-61762.02</x:v>
      </x:c>
      <x:c r="G351" s="627" t="n">
        <x:v>-32107.67</x:v>
      </x:c>
      <x:c r="H351" s="626" t="n">
        <x:v>-439624.42</x:v>
      </x:c>
      <x:c r="I351" s="626" t="n">
        <x:v>-17249.74</x:v>
      </x:c>
      <x:c r="J351" s="626" t="n">
        <x:v>-151316.52</x:v>
      </x:c>
      <x:c r="K351" s="626" t="n">
        <x:v>-148236.72</x:v>
      </x:c>
      <x:c r="L351" s="626" t="n">
        <x:v>-756264.38</x:v>
      </x:c>
      <x:c r="M351" s="626" t="n">
        <x:v>-321373.13</x:v>
      </x:c>
      <x:c r="N351" s="626" t="n">
        <x:v>-28144.46</x:v>
      </x:c>
      <x:c r="O351" s="626" t="n">
        <x:v>8.79</x:v>
      </x:c>
      <x:c r="P351" s="626">
        <x:v>0</x:v>
      </x:c>
      <x:c r="Q351" s="626">
        <x:v>0</x:v>
      </x:c>
      <x:c r="R351" s="625" t="n">
        <x:v>0</x:v>
      </x:c>
    </x:row>
    <x:row r="352" spans="1:18" ht="12.75" customHeight="1" x14ac:dyDescent="0.2">
      <x:c r="C352" s="616" t="s">
        <x:v>72</x:v>
      </x:c>
      <x:c r="D352" s="618" t="n">
        <x:v>-1083123.76</x:v>
      </x:c>
      <x:c r="E352" s="618" t="n">
        <x:v>-72781.12</x:v>
      </x:c>
      <x:c r="F352" s="618" t="n">
        <x:v>-39747.02</x:v>
      </x:c>
      <x:c r="G352" s="620" t="n">
        <x:v>-20862.82</x:v>
      </x:c>
      <x:c r="H352" s="618" t="n">
        <x:v>-236215.25</x:v>
      </x:c>
      <x:c r="I352" s="618" t="n">
        <x:v>-6590.57</x:v>
      </x:c>
      <x:c r="J352" s="618" t="n">
        <x:v>-57811.55</x:v>
      </x:c>
      <x:c r="K352" s="618" t="n">
        <x:v>-68511.12</x:v>
      </x:c>
      <x:c r="L352" s="618" t="n">
        <x:v>-351743.19</x:v>
      </x:c>
      <x:c r="M352" s="618" t="n">
        <x:v>-218096.95</x:v>
      </x:c>
      <x:c r="N352" s="618" t="n">
        <x:v>-10752.99</x:v>
      </x:c>
      <x:c r="O352" s="618" t="n">
        <x:v>-11.18</x:v>
      </x:c>
      <x:c r="P352" s="618">
        <x:v>0</x:v>
      </x:c>
      <x:c r="Q352" s="618">
        <x:v>0</x:v>
      </x:c>
      <x:c r="R352" s="616" t="n">
        <x:v>0</x:v>
      </x:c>
    </x:row>
    <x:row r="353" spans="1:18" ht="12.6" customHeight="1" x14ac:dyDescent="0.2">
      <x:c r="C353" s="616" t="s">
        <x:v>81</x:v>
      </x:c>
      <x:c r="D353" s="618" t="n">
        <x:v>-7940.15</x:v>
      </x:c>
      <x:c r="E353" s="618" t="n">
        <x:v>-601.51</x:v>
      </x:c>
      <x:c r="F353" s="618" t="n">
        <x:v>-315.89</x:v>
      </x:c>
      <x:c r="G353" s="620" t="n">
        <x:v>-174.4</x:v>
      </x:c>
      <x:c r="H353" s="618" t="n">
        <x:v>-1696</x:v>
      </x:c>
      <x:c r="I353" s="618" t="n">
        <x:v>-40.25</x:v>
      </x:c>
      <x:c r="J353" s="618" t="n">
        <x:v>-352.25</x:v>
      </x:c>
      <x:c r="K353" s="618" t="n">
        <x:v>-482.43</x:v>
      </x:c>
      <x:c r="L353" s="618" t="n">
        <x:v>-2396.34</x:v>
      </x:c>
      <x:c r="M353" s="618" t="n">
        <x:v>-1815.36</x:v>
      </x:c>
      <x:c r="N353" s="618" t="n">
        <x:v>-65.55</x:v>
      </x:c>
      <x:c r="O353" s="618" t="n">
        <x:v>-0.17</x:v>
      </x:c>
      <x:c r="P353" s="618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2">
      <x:c r="B354" s="622" t="s">
        <x:v>78</x:v>
      </x:c>
      <x:c r="C354" s="622" t="s">
        <x:v>70</x:v>
      </x:c>
      <x:c r="D354" s="622" t="n">
        <x:v>-1091063.91</x:v>
      </x:c>
      <x:c r="E354" s="622" t="n">
        <x:v>-73382.63</x:v>
      </x:c>
      <x:c r="F354" s="622" t="n">
        <x:v>-40062.91</x:v>
      </x:c>
      <x:c r="G354" s="622" t="n">
        <x:v>-21037.22</x:v>
      </x:c>
      <x:c r="H354" s="622" t="n">
        <x:v>-237911.25</x:v>
      </x:c>
      <x:c r="I354" s="622" t="n">
        <x:v>-6630.82</x:v>
      </x:c>
      <x:c r="J354" s="622" t="n">
        <x:v>-58163.8</x:v>
      </x:c>
      <x:c r="K354" s="622" t="n">
        <x:v>-68993.55</x:v>
      </x:c>
      <x:c r="L354" s="622" t="n">
        <x:v>-354139.53</x:v>
      </x:c>
      <x:c r="M354" s="622" t="n">
        <x:v>-219912.31</x:v>
      </x:c>
      <x:c r="N354" s="622" t="n">
        <x:v>-10818.54</x:v>
      </x:c>
      <x:c r="O354" s="622" t="n">
        <x:v>-11.35</x:v>
      </x:c>
      <x:c r="P354" s="621">
        <x:v>0</x:v>
      </x:c>
      <x:c r="Q354" s="622">
        <x:v>0</x:v>
      </x:c>
      <x:c r="R354" s="622" t="n">
        <x:v>0</x:v>
      </x:c>
    </x:row>
    <x:row r="355" spans="1:18" ht="12.75" customHeight="1" x14ac:dyDescent="0.2">
      <x:c r="C355" s="616" t="s">
        <x:v>73</x:v>
      </x:c>
      <x:c r="D355" s="618" t="n">
        <x:v>64288.38</x:v>
      </x:c>
      <x:c r="E355" s="618" t="n">
        <x:v>-653.33</x:v>
      </x:c>
      <x:c r="F355" s="618" t="n">
        <x:v>-464.25</x:v>
      </x:c>
      <x:c r="G355" s="620" t="n">
        <x:v>-316.04</x:v>
      </x:c>
      <x:c r="H355" s="618" t="n">
        <x:v>19509.96</x:v>
      </x:c>
      <x:c r="I355" s="618" t="n">
        <x:v>788.95</x:v>
      </x:c>
      <x:c r="J355" s="618" t="n">
        <x:v>6920.78</x:v>
      </x:c>
      <x:c r="K355" s="618" t="n">
        <x:v>7226.71</x:v>
      </x:c>
      <x:c r="L355" s="618" t="n">
        <x:v>32486.74</x:v>
      </x:c>
      <x:c r="M355" s="618" t="n">
        <x:v>-2498.41</x:v>
      </x:c>
      <x:c r="N355" s="618" t="n">
        <x:v>1287.27</x:v>
      </x:c>
      <x:c r="O355" s="618" t="n">
        <x:v>0</x:v>
      </x:c>
      <x:c r="P355" s="618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2">
      <x:c r="B356" s="624" t="s">
        <x:v>79</x:v>
      </x:c>
      <x:c r="C356" s="624" t="s">
        <x:v>70</x:v>
      </x:c>
      <x:c r="D356" s="624" t="n">
        <x:v>64288.38</x:v>
      </x:c>
      <x:c r="E356" s="624" t="n">
        <x:v>-653.33</x:v>
      </x:c>
      <x:c r="F356" s="624" t="n">
        <x:v>-464.25</x:v>
      </x:c>
      <x:c r="G356" s="624" t="n">
        <x:v>-316.04</x:v>
      </x:c>
      <x:c r="H356" s="624" t="n">
        <x:v>19509.96</x:v>
      </x:c>
      <x:c r="I356" s="624" t="n">
        <x:v>788.95</x:v>
      </x:c>
      <x:c r="J356" s="624" t="n">
        <x:v>6920.78</x:v>
      </x:c>
      <x:c r="K356" s="624" t="n">
        <x:v>7226.71</x:v>
      </x:c>
      <x:c r="L356" s="624" t="n">
        <x:v>32486.74</x:v>
      </x:c>
      <x:c r="M356" s="624" t="n">
        <x:v>-2498.41</x:v>
      </x:c>
      <x:c r="N356" s="624" t="n">
        <x:v>1287.27</x:v>
      </x:c>
      <x:c r="O356" s="624" t="n">
        <x:v>0</x:v>
      </x:c>
      <x:c r="P356" s="623">
        <x:v>0</x:v>
      </x:c>
      <x:c r="Q356" s="624">
        <x:v>0</x:v>
      </x:c>
      <x:c r="R356" s="624" t="n">
        <x:v>0</x:v>
      </x:c>
    </x:row>
    <x:row r="357" spans="1:18" s="628" customFormat="1" ht="12.75" customHeight="1" x14ac:dyDescent="0.2">
      <x:c r="A357" s="628" t="s">
        <x:v>119</x:v>
      </x:c>
      <x:c r="B357" s="628" t="s">
        <x:v>70</x:v>
      </x:c>
      <x:c r="D357" s="628" t="n">
        <x:v>-1026775.53</x:v>
      </x:c>
      <x:c r="E357" s="628" t="n">
        <x:v>-74035.96</x:v>
      </x:c>
      <x:c r="F357" s="628" t="n">
        <x:v>-40527.16</x:v>
      </x:c>
      <x:c r="G357" s="628" t="n">
        <x:v>-21353.26</x:v>
      </x:c>
      <x:c r="H357" s="628" t="n">
        <x:v>-218401.29</x:v>
      </x:c>
      <x:c r="I357" s="628" t="n">
        <x:v>-5841.87</x:v>
      </x:c>
      <x:c r="J357" s="628" t="n">
        <x:v>-51243.02</x:v>
      </x:c>
      <x:c r="K357" s="628" t="n">
        <x:v>-61766.84</x:v>
      </x:c>
      <x:c r="L357" s="628" t="n">
        <x:v>-321652.79</x:v>
      </x:c>
      <x:c r="M357" s="628" t="n">
        <x:v>-222410.72</x:v>
      </x:c>
      <x:c r="N357" s="628" t="n">
        <x:v>-9531.27</x:v>
      </x:c>
      <x:c r="O357" s="628" t="n">
        <x:v>-11.35</x:v>
      </x:c>
      <x:c r="P357" s="628">
        <x:v>0</x:v>
      </x:c>
      <x:c r="Q357" s="628">
        <x:v>0</x:v>
      </x:c>
      <x:c r="R357" s="628" t="n">
        <x:v>0</x:v>
      </x:c>
    </x:row>
    <x:row r="358" spans="1:18" s="631" customFormat="1" ht="12.75" customHeight="1" x14ac:dyDescent="0.2">
      <x:c r="A358" s="630" t="s">
        <x:v>70</x:v>
      </x:c>
      <x:c r="D358" s="630" t="n">
        <x:v>-3092375.53</x:v>
      </x:c>
      <x:c r="E358" s="630" t="n">
        <x:v>-183565.69</x:v>
      </x:c>
      <x:c r="F358" s="630" t="n">
        <x:v>-102289.18</x:v>
      </x:c>
      <x:c r="G358" s="630" t="n">
        <x:v>-53460.93</x:v>
      </x:c>
      <x:c r="H358" s="630" t="n">
        <x:v>-658025.71</x:v>
      </x:c>
      <x:c r="I358" s="630" t="n">
        <x:v>-23091.61</x:v>
      </x:c>
      <x:c r="J358" s="630" t="n">
        <x:v>-202559.54</x:v>
      </x:c>
      <x:c r="K358" s="630" t="n">
        <x:v>-210003.56</x:v>
      </x:c>
      <x:c r="L358" s="630" t="n">
        <x:v>-1077917.17</x:v>
      </x:c>
      <x:c r="M358" s="630" t="n">
        <x:v>-543783.85</x:v>
      </x:c>
      <x:c r="N358" s="630" t="n">
        <x:v>-37675.73</x:v>
      </x:c>
      <x:c r="O358" s="630" t="n">
        <x:v>-2.56</x:v>
      </x:c>
      <x:c r="P358" s="631" t="n">
        <x:v>0</x:v>
      </x:c>
      <x:c r="Q358" s="631">
        <x:v>0</x:v>
      </x:c>
      <x:c r="R358" s="631" t="n">
        <x:v>0</x:v>
      </x:c>
    </x:row>
    <x:row r="359" spans="1:18" ht="12.75" customHeight="1" x14ac:dyDescent="0.2">
      <x:c r="C359" s="618"/>
      <x:c r="D359" s="618"/>
      <x:c r="E359" s="618"/>
      <x:c r="F359" s="618"/>
      <x:c r="G359" s="618"/>
      <x:c r="H359" s="618"/>
      <x:c r="I359" s="618"/>
      <x:c r="J359" s="618"/>
      <x:c r="K359" s="618"/>
      <x:c r="L359" s="618"/>
      <x:c r="M359" s="618"/>
      <x:c r="N359" s="618"/>
      <x:c r="O359" s="618"/>
      <x:c r="Q359" s="618"/>
    </x:row>
    <x:row r="360" spans="1:18" ht="12.75" customHeight="1" x14ac:dyDescent="0.2">
      <x:c r="C360" s="618"/>
      <x:c r="D360" s="618"/>
      <x:c r="E360" s="618"/>
      <x:c r="F360" s="618"/>
      <x:c r="G360" s="618"/>
      <x:c r="H360" s="618"/>
      <x:c r="I360" s="618"/>
      <x:c r="J360" s="618"/>
      <x:c r="K360" s="618"/>
      <x:c r="L360" s="618"/>
      <x:c r="M360" s="618"/>
      <x:c r="N360" s="618"/>
      <x:c r="O360" s="618"/>
      <x:c r="Q360" s="618"/>
    </x:row>
    <x:row r="361" spans="1:18" ht="12.75" customHeight="1" x14ac:dyDescent="0.2">
      <x:c r="A361" s="781" t="s">
        <x:v>2</x:v>
      </x:c>
      <x:c r="B361" s="780" t="s">
        <x:v>132</x:v>
      </x:c>
      <x:c r="C361" s="766" t="s">
        <x:v>70</x:v>
      </x:c>
      <x:c r="D361" s="766">
        <x:f>D358-P358</x:f>
        <x:v>0</x:v>
      </x:c>
      <x:c r="E361" s="766">
        <x:f>E348+E354</x:f>
        <x:v>0</x:v>
      </x:c>
      <x:c r="F361" s="766">
        <x:f t="shared" ref="F361:R361" si="14">F348+F354</x:f>
        <x:v>0</x:v>
      </x:c>
      <x:c r="G361" s="766">
        <x:f t="shared" si="14"/>
        <x:v>0</x:v>
      </x:c>
      <x:c r="H361" s="766">
        <x:f t="shared" si="14"/>
        <x:v>0</x:v>
      </x:c>
      <x:c r="I361" s="766">
        <x:f t="shared" si="14"/>
        <x:v>0</x:v>
      </x:c>
      <x:c r="J361" s="766">
        <x:f t="shared" si="14"/>
        <x:v>0</x:v>
      </x:c>
      <x:c r="K361" s="766">
        <x:f t="shared" si="14"/>
        <x:v>0</x:v>
      </x:c>
      <x:c r="L361" s="766">
        <x:f t="shared" si="14"/>
        <x:v>0</x:v>
      </x:c>
      <x:c r="M361" s="766">
        <x:f t="shared" si="14"/>
        <x:v>0</x:v>
      </x:c>
      <x:c r="N361" s="766">
        <x:f t="shared" si="14"/>
        <x:v>0</x:v>
      </x:c>
      <x:c r="O361" s="766">
        <x:f t="shared" si="14"/>
        <x:v>0</x:v>
      </x:c>
      <x:c r="P361" s="766">
        <x:f t="shared" si="14"/>
        <x:v>0</x:v>
      </x:c>
      <x:c r="Q361" s="766">
        <x:f t="shared" si="14"/>
        <x:v>0</x:v>
      </x:c>
      <x:c r="R361" s="766">
        <x:f t="shared" si="14"/>
        <x:v>0</x:v>
      </x:c>
    </x:row>
    <x:row r="362" spans="1:18" ht="12.75" customHeight="1" x14ac:dyDescent="0.2">
      <x:c r="A362" s="781"/>
      <x:c r="B362" s="780"/>
      <x:c r="C362" s="766" t="s">
        <x:v>73</x:v>
      </x:c>
      <x:c r="D362" s="767">
        <x:f>D350+D356</x:f>
        <x:v>0</x:v>
      </x:c>
      <x:c r="E362" s="618"/>
      <x:c r="F362" s="618"/>
      <x:c r="G362" s="618"/>
      <x:c r="H362" s="618"/>
      <x:c r="I362" s="618"/>
      <x:c r="J362" s="618"/>
      <x:c r="K362" s="618"/>
      <x:c r="L362" s="618"/>
      <x:c r="M362" s="618"/>
      <x:c r="N362" s="618"/>
      <x:c r="O362" s="618"/>
      <x:c r="P362" s="618"/>
      <x:c r="Q362" s="618"/>
      <x:c r="R362" s="618"/>
    </x:row>
    <x:row r="363" spans="1:18" ht="12.75" customHeight="1" x14ac:dyDescent="0.2">
      <x:c r="A363" s="617"/>
      <x:c r="D363" s="618"/>
      <x:c r="E363" s="618"/>
      <x:c r="F363" s="618"/>
      <x:c r="G363" s="618"/>
      <x:c r="H363" s="618"/>
      <x:c r="I363" s="618"/>
      <x:c r="J363" s="618"/>
      <x:c r="K363" s="618"/>
      <x:c r="L363" s="618"/>
      <x:c r="M363" s="618"/>
      <x:c r="N363" s="618"/>
      <x:c r="O363" s="618"/>
      <x:c r="P363" s="618"/>
      <x:c r="Q363" s="618"/>
      <x:c r="R363" s="618"/>
    </x:row>
    <x:row r="364" spans="1:18" ht="12.75" customHeight="1" x14ac:dyDescent="0.2">
      <x:c r="A364" s="781" t="s">
        <x:v>160</x:v>
      </x:c>
      <x:c r="B364" s="780" t="s">
        <x:v>132</x:v>
      </x:c>
      <x:c r="C364" s="632" t="s">
        <x:v>70</x:v>
      </x:c>
      <x:c r="D364" s="632">
        <x:v>0</x:v>
      </x:c>
      <x:c r="E364" s="632">
        <x:v>0</x:v>
      </x:c>
      <x:c r="F364" s="632">
        <x:v>0</x:v>
      </x:c>
      <x:c r="G364" s="632">
        <x:v>0</x:v>
      </x:c>
      <x:c r="H364" s="632">
        <x:v>0</x:v>
      </x:c>
      <x:c r="I364" s="632">
        <x:v>0</x:v>
      </x:c>
      <x:c r="J364" s="632">
        <x:v>0</x:v>
      </x:c>
      <x:c r="K364" s="632">
        <x:v>0</x:v>
      </x:c>
      <x:c r="L364" s="632">
        <x:v>0</x:v>
      </x:c>
      <x:c r="M364" s="632">
        <x:v>0</x:v>
      </x:c>
      <x:c r="N364" s="632">
        <x:v>0</x:v>
      </x:c>
      <x:c r="O364" s="632">
        <x:v>0</x:v>
      </x:c>
      <x:c r="P364" s="632">
        <x:v>0</x:v>
      </x:c>
      <x:c r="Q364" s="632">
        <x:v>0</x:v>
      </x:c>
      <x:c r="R364" s="632">
        <x:v>0</x:v>
      </x:c>
    </x:row>
    <x:row r="365" spans="1:18" ht="12.75" customHeight="1" x14ac:dyDescent="0.2">
      <x:c r="A365" s="781"/>
      <x:c r="B365" s="780"/>
      <x:c r="C365" s="632" t="s">
        <x:v>73</x:v>
      </x:c>
      <x:c r="D365" s="632">
        <x:v>0</x:v>
      </x:c>
      <x:c r="E365" s="618"/>
      <x:c r="F365" s="618"/>
      <x:c r="G365" s="618"/>
      <x:c r="H365" s="618"/>
      <x:c r="I365" s="618"/>
      <x:c r="J365" s="618"/>
      <x:c r="K365" s="618"/>
      <x:c r="L365" s="618"/>
      <x:c r="M365" s="618"/>
      <x:c r="N365" s="618"/>
      <x:c r="O365" s="618"/>
      <x:c r="P365" s="618"/>
      <x:c r="Q365" s="618"/>
      <x:c r="R365" s="618"/>
    </x:row>
    <x:row r="366" spans="1:18" ht="12.75" customHeight="1" x14ac:dyDescent="0.2">
      <x:c r="A366" s="617"/>
      <x:c r="D366" s="618"/>
      <x:c r="E366" s="618"/>
      <x:c r="F366" s="618"/>
      <x:c r="G366" s="618"/>
      <x:c r="H366" s="618"/>
      <x:c r="I366" s="618"/>
      <x:c r="J366" s="618"/>
      <x:c r="K366" s="618"/>
      <x:c r="L366" s="618"/>
      <x:c r="M366" s="618"/>
      <x:c r="N366" s="618"/>
      <x:c r="O366" s="618"/>
      <x:c r="P366" s="618"/>
      <x:c r="Q366" s="618"/>
      <x:c r="R366" s="618"/>
    </x:row>
    <x:row r="367" spans="1:18" ht="12.75" customHeight="1" x14ac:dyDescent="0.2">
      <x:c r="A367" s="781" t="s">
        <x:v>155</x:v>
      </x:c>
      <x:c r="B367" s="780" t="s">
        <x:v>132</x:v>
      </x:c>
      <x:c r="C367" s="633" t="s">
        <x:v>70</x:v>
      </x:c>
      <x:c r="D367" s="633">
        <x:f>D351-P351</x:f>
        <x:v>0</x:v>
      </x:c>
      <x:c r="E367" s="633">
        <x:f>E348</x:f>
        <x:v>0</x:v>
      </x:c>
      <x:c r="F367" s="633">
        <x:f t="shared" ref="F367:R367" si="15">F348</x:f>
        <x:v>0</x:v>
      </x:c>
      <x:c r="G367" s="633">
        <x:f t="shared" si="15"/>
        <x:v>0</x:v>
      </x:c>
      <x:c r="H367" s="633">
        <x:f t="shared" si="15"/>
        <x:v>0</x:v>
      </x:c>
      <x:c r="I367" s="633">
        <x:f t="shared" si="15"/>
        <x:v>0</x:v>
      </x:c>
      <x:c r="J367" s="633">
        <x:f t="shared" si="15"/>
        <x:v>0</x:v>
      </x:c>
      <x:c r="K367" s="633">
        <x:f t="shared" si="15"/>
        <x:v>0</x:v>
      </x:c>
      <x:c r="L367" s="633">
        <x:f t="shared" si="15"/>
        <x:v>0</x:v>
      </x:c>
      <x:c r="M367" s="633">
        <x:f t="shared" si="15"/>
        <x:v>0</x:v>
      </x:c>
      <x:c r="N367" s="633">
        <x:f t="shared" si="15"/>
        <x:v>0</x:v>
      </x:c>
      <x:c r="O367" s="633">
        <x:f t="shared" si="15"/>
        <x:v>0</x:v>
      </x:c>
      <x:c r="P367" s="633">
        <x:f t="shared" si="15"/>
        <x:v>0</x:v>
      </x:c>
      <x:c r="Q367" s="633">
        <x:f t="shared" si="15"/>
        <x:v>0</x:v>
      </x:c>
      <x:c r="R367" s="633">
        <x:f t="shared" si="15"/>
        <x:v>0</x:v>
      </x:c>
    </x:row>
    <x:row r="368" spans="1:18" ht="12.75" customHeight="1" x14ac:dyDescent="0.2">
      <x:c r="A368" s="781"/>
      <x:c r="B368" s="780"/>
      <x:c r="C368" s="633" t="s">
        <x:v>73</x:v>
      </x:c>
      <x:c r="D368" s="633">
        <x:f>D350</x:f>
        <x:v>0</x:v>
      </x:c>
      <x:c r="E368" s="618"/>
      <x:c r="F368" s="618"/>
      <x:c r="G368" s="618"/>
      <x:c r="H368" s="618"/>
      <x:c r="I368" s="618"/>
      <x:c r="J368" s="618"/>
      <x:c r="K368" s="618"/>
      <x:c r="L368" s="618"/>
      <x:c r="M368" s="618"/>
      <x:c r="N368" s="618"/>
      <x:c r="O368" s="618"/>
      <x:c r="P368" s="618"/>
      <x:c r="Q368" s="618"/>
    </x:row>
    <x:row r="369" spans="1:18" ht="12.75" customHeight="1" x14ac:dyDescent="0.2">
      <x:c r="A369" s="617"/>
      <x:c r="D369" s="618"/>
      <x:c r="E369" s="618"/>
      <x:c r="F369" s="618"/>
      <x:c r="G369" s="618"/>
      <x:c r="H369" s="618"/>
      <x:c r="I369" s="618"/>
      <x:c r="J369" s="618"/>
      <x:c r="K369" s="618"/>
      <x:c r="L369" s="618"/>
      <x:c r="M369" s="618"/>
      <x:c r="N369" s="618"/>
      <x:c r="O369" s="618"/>
      <x:c r="P369" s="618"/>
      <x:c r="Q369" s="618"/>
    </x:row>
    <x:row r="370" spans="1:18" ht="12.75" customHeight="1" x14ac:dyDescent="0.2">
      <x:c r="A370" s="779" t="s">
        <x:v>326</x:v>
      </x:c>
      <x:c r="B370" s="780" t="s">
        <x:v>132</x:v>
      </x:c>
      <x:c r="C370" s="633" t="s">
        <x:v>70</x:v>
      </x:c>
      <x:c r="D370" s="720">
        <x:v>0</x:v>
      </x:c>
      <x:c r="E370" s="720">
        <x:v>0</x:v>
      </x:c>
      <x:c r="F370" s="720">
        <x:v>0</x:v>
      </x:c>
      <x:c r="G370" s="720">
        <x:v>0</x:v>
      </x:c>
      <x:c r="H370" s="720">
        <x:v>0</x:v>
      </x:c>
      <x:c r="I370" s="720">
        <x:v>0</x:v>
      </x:c>
      <x:c r="J370" s="720">
        <x:v>0</x:v>
      </x:c>
      <x:c r="K370" s="720">
        <x:v>0</x:v>
      </x:c>
      <x:c r="L370" s="720">
        <x:v>0</x:v>
      </x:c>
      <x:c r="M370" s="720">
        <x:v>0</x:v>
      </x:c>
      <x:c r="N370" s="720">
        <x:v>0</x:v>
      </x:c>
      <x:c r="O370" s="720">
        <x:v>0</x:v>
      </x:c>
      <x:c r="P370" s="720">
        <x:v>0</x:v>
      </x:c>
      <x:c r="Q370" s="720">
        <x:v>0</x:v>
      </x:c>
      <x:c r="R370" s="720">
        <x:v>0</x:v>
      </x:c>
    </x:row>
    <x:row r="371" spans="1:18" ht="12.75" customHeight="1" x14ac:dyDescent="0.2">
      <x:c r="A371" s="779"/>
      <x:c r="B371" s="780"/>
      <x:c r="C371" s="633" t="s">
        <x:v>73</x:v>
      </x:c>
      <x:c r="D371" s="720">
        <x:v>0</x:v>
      </x:c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P371" s="618"/>
      <x:c r="Q371" s="618"/>
    </x:row>
    <x:row r="372" spans="1:18" ht="12.75" customHeight="1" x14ac:dyDescent="0.2">
      <x:c r="A372" s="617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P372" s="618"/>
      <x:c r="Q372" s="618"/>
    </x:row>
    <x:row r="373" spans="1:18" ht="12.75" customHeight="1" x14ac:dyDescent="0.2">
      <x:c r="A373" s="781" t="s">
        <x:v>119</x:v>
      </x:c>
      <x:c r="B373" s="780" t="s">
        <x:v>132</x:v>
      </x:c>
      <x:c r="C373" s="628" t="s">
        <x:v>70</x:v>
      </x:c>
      <x:c r="D373" s="628">
        <x:f>D357-P357</x:f>
        <x:v>0</x:v>
      </x:c>
      <x:c r="E373" s="628">
        <x:f>E354</x:f>
        <x:v>0</x:v>
      </x:c>
      <x:c r="F373" s="628">
        <x:f t="shared" ref="F373:R373" si="16">F354</x:f>
        <x:v>0</x:v>
      </x:c>
      <x:c r="G373" s="628">
        <x:f t="shared" si="16"/>
        <x:v>0</x:v>
      </x:c>
      <x:c r="H373" s="628">
        <x:f t="shared" si="16"/>
        <x:v>0</x:v>
      </x:c>
      <x:c r="I373" s="628">
        <x:f t="shared" si="16"/>
        <x:v>0</x:v>
      </x:c>
      <x:c r="J373" s="628">
        <x:f t="shared" si="16"/>
        <x:v>0</x:v>
      </x:c>
      <x:c r="K373" s="628">
        <x:f t="shared" si="16"/>
        <x:v>0</x:v>
      </x:c>
      <x:c r="L373" s="628">
        <x:f t="shared" si="16"/>
        <x:v>0</x:v>
      </x:c>
      <x:c r="M373" s="628">
        <x:f t="shared" si="16"/>
        <x:v>0</x:v>
      </x:c>
      <x:c r="N373" s="628">
        <x:f t="shared" si="16"/>
        <x:v>0</x:v>
      </x:c>
      <x:c r="O373" s="628">
        <x:f t="shared" si="16"/>
        <x:v>0</x:v>
      </x:c>
      <x:c r="P373" s="628">
        <x:f t="shared" si="16"/>
        <x:v>0</x:v>
      </x:c>
      <x:c r="Q373" s="628">
        <x:f t="shared" si="16"/>
        <x:v>0</x:v>
      </x:c>
      <x:c r="R373" s="628">
        <x:f t="shared" si="16"/>
        <x:v>0</x:v>
      </x:c>
    </x:row>
    <x:row r="374" spans="1:18" ht="12.75" customHeight="1" x14ac:dyDescent="0.2">
      <x:c r="A374" s="781"/>
      <x:c r="B374" s="780"/>
      <x:c r="C374" s="628" t="s">
        <x:v>73</x:v>
      </x:c>
      <x:c r="D374" s="629">
        <x:f>D356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</x:row>
    <x:row r="376" spans="1:18" x14ac:dyDescent="0.2">
      <x:c r="A376" s="782" t="s">
        <x:v>161</x:v>
      </x:c>
      <x:c r="B376" s="780" t="s">
        <x:v>132</x:v>
      </x:c>
      <x:c r="C376" s="634" t="s">
        <x:v>70</x:v>
      </x:c>
      <x:c r="D376" s="634">
        <x:v>0</x:v>
      </x:c>
      <x:c r="E376" s="634">
        <x:v>0</x:v>
      </x:c>
      <x:c r="F376" s="634">
        <x:v>0</x:v>
      </x:c>
      <x:c r="G376" s="634">
        <x:v>0</x:v>
      </x:c>
      <x:c r="H376" s="634">
        <x:v>0</x:v>
      </x:c>
      <x:c r="I376" s="634">
        <x:v>0</x:v>
      </x:c>
      <x:c r="J376" s="634">
        <x:v>0</x:v>
      </x:c>
      <x:c r="K376" s="634">
        <x:v>0</x:v>
      </x:c>
      <x:c r="L376" s="634">
        <x:v>0</x:v>
      </x:c>
      <x:c r="M376" s="634">
        <x:v>0</x:v>
      </x:c>
      <x:c r="N376" s="634">
        <x:v>0</x:v>
      </x:c>
      <x:c r="O376" s="634">
        <x:v>0</x:v>
      </x:c>
      <x:c r="P376" s="634">
        <x:v>0</x:v>
      </x:c>
      <x:c r="Q376" s="634">
        <x:v>0</x:v>
      </x:c>
      <x:c r="R376" s="634">
        <x:v>0</x:v>
      </x:c>
    </x:row>
    <x:row r="377" spans="1:18" x14ac:dyDescent="0.2">
      <x:c r="A377" s="782"/>
      <x:c r="B377" s="780"/>
      <x:c r="C377" s="634" t="s">
        <x:v>73</x:v>
      </x:c>
      <x:c r="D377" s="634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</x:row>
    <x:row r="378" spans="1:18" s="635" customFormat="1" x14ac:dyDescent="0.2"/>
    <x:row r="381" spans="1:18" x14ac:dyDescent="0.2">
      <x:c r="D381" s="616">
        <x:f t="shared" ref="D381:R381" si="17">D73+D174+D211+D326+D361</x:f>
        <x:v>0</x:v>
      </x:c>
      <x:c r="E381" s="616">
        <x:f t="shared" si="17"/>
        <x:v>0</x:v>
      </x:c>
      <x:c r="F381" s="616">
        <x:f t="shared" si="17"/>
        <x:v>0</x:v>
      </x:c>
      <x:c r="G381" s="616">
        <x:f t="shared" si="17"/>
        <x:v>0</x:v>
      </x:c>
      <x:c r="H381" s="616">
        <x:f t="shared" si="17"/>
        <x:v>0</x:v>
      </x:c>
      <x:c r="I381" s="616">
        <x:f t="shared" si="17"/>
        <x:v>0</x:v>
      </x:c>
      <x:c r="J381" s="616">
        <x:f t="shared" si="17"/>
        <x:v>0</x:v>
      </x:c>
      <x:c r="K381" s="616">
        <x:f t="shared" si="17"/>
        <x:v>0</x:v>
      </x:c>
      <x:c r="L381" s="616">
        <x:f t="shared" si="17"/>
        <x:v>0</x:v>
      </x:c>
      <x:c r="M381" s="616">
        <x:f t="shared" si="17"/>
        <x:v>0</x:v>
      </x:c>
      <x:c r="N381" s="616">
        <x:f t="shared" si="17"/>
        <x:v>0</x:v>
      </x:c>
      <x:c r="O381" s="616">
        <x:f t="shared" si="17"/>
        <x:v>0</x:v>
      </x:c>
      <x:c r="P381" s="616">
        <x:f t="shared" si="17"/>
        <x:v>0</x:v>
      </x:c>
      <x:c r="Q381" s="616">
        <x:f t="shared" si="17"/>
        <x:v>0</x:v>
      </x:c>
      <x:c r="R381" s="616">
        <x:f t="shared" si="17"/>
        <x:v>0</x:v>
      </x:c>
    </x:row>
    <x:row r="382" spans="1:18" x14ac:dyDescent="0.2">
      <x:c r="D382" s="616">
        <x:f>D74+D175+D212+D327+D362</x:f>
        <x:v>0</x:v>
      </x:c>
    </x:row>
  </x:sheetData>
  <x:mergeCells count="60">
    <x:mergeCell ref="A341:A342"/>
    <x:mergeCell ref="B341:B342"/>
    <x:mergeCell ref="A361:A362"/>
    <x:mergeCell ref="B361:B362"/>
    <x:mergeCell ref="A376:A377"/>
    <x:mergeCell ref="B376:B377"/>
    <x:mergeCell ref="A364:A365"/>
    <x:mergeCell ref="B364:B365"/>
    <x:mergeCell ref="A367:A368"/>
    <x:mergeCell ref="B367:B368"/>
    <x:mergeCell ref="A373:A374"/>
    <x:mergeCell ref="B373:B374"/>
    <x:mergeCell ref="A370:A371"/>
    <x:mergeCell ref="B370:B371"/>
    <x:mergeCell ref="A332:A333"/>
    <x:mergeCell ref="B332:B333"/>
    <x:mergeCell ref="A338:A339"/>
    <x:mergeCell ref="B338:B339"/>
    <x:mergeCell ref="A335:A336"/>
    <x:mergeCell ref="B335:B336"/>
    <x:mergeCell ref="A226:A227"/>
    <x:mergeCell ref="B226:B227"/>
    <x:mergeCell ref="A326:A327"/>
    <x:mergeCell ref="B326:B327"/>
    <x:mergeCell ref="A329:A330"/>
    <x:mergeCell ref="B329:B330"/>
    <x:mergeCell ref="A214:A215"/>
    <x:mergeCell ref="B214:B215"/>
    <x:mergeCell ref="A217:A218"/>
    <x:mergeCell ref="B217:B218"/>
    <x:mergeCell ref="A223:A224"/>
    <x:mergeCell ref="B223:B224"/>
    <x:mergeCell ref="A186:A187"/>
    <x:mergeCell ref="B186:B187"/>
    <x:mergeCell ref="A189:A190"/>
    <x:mergeCell ref="B189:B190"/>
    <x:mergeCell ref="A211:A212"/>
    <x:mergeCell ref="B211:B212"/>
    <x:mergeCell ref="A73:A74"/>
    <x:mergeCell ref="B73:B74"/>
    <x:mergeCell ref="A76:A77"/>
    <x:mergeCell ref="B76:B77"/>
    <x:mergeCell ref="A79:A80"/>
    <x:mergeCell ref="B79:B80"/>
    <x:mergeCell ref="A82:A83"/>
    <x:mergeCell ref="B82:B83"/>
    <x:mergeCell ref="A183:A184"/>
    <x:mergeCell ref="B183:B184"/>
    <x:mergeCell ref="A220:A221"/>
    <x:mergeCell ref="B220:B221"/>
    <x:mergeCell ref="A85:A86"/>
    <x:mergeCell ref="B85:B86"/>
    <x:mergeCell ref="A88:A89"/>
    <x:mergeCell ref="B88:B89"/>
    <x:mergeCell ref="A174:A175"/>
    <x:mergeCell ref="B174:B175"/>
    <x:mergeCell ref="A177:A178"/>
    <x:mergeCell ref="B177:B178"/>
    <x:mergeCell ref="A180:A181"/>
    <x:mergeCell ref="B180:B181"/>
  </x:mergeCells>
  <x:conditionalFormatting sqref="D75:D89 D174:D190 D211:D227 D326:D342 D361:D377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3">
        <x:f>SUM(F9:G9)</x:f>
        <x:v>1719872614</x:v>
      </x:c>
      <x:c r="G10" s="784"/>
      <x:c r="H10" s="783">
        <x:f>SUM(H9:I9)</x:f>
        <x:v>1719872614</x:v>
      </x:c>
      <x:c r="I10" s="784"/>
      <x:c r="J10" s="783">
        <x:f>SUM(J9:K9)</x:f>
        <x:v>1719872614</x:v>
      </x:c>
      <x:c r="K10" s="784"/>
      <x:c r="L10" s="783">
        <x:f>SUM(L9:M9)</x:f>
        <x:v>1719872614</x:v>
      </x:c>
      <x:c r="M10" s="784"/>
      <x:c r="N10" s="783">
        <x:f>SUM(N9:O9)</x:f>
        <x:v>1719872614</x:v>
      </x:c>
      <x:c r="O10" s="784"/>
      <x:c r="P10" s="783">
        <x:f>SUM(P9:Q9)</x:f>
        <x:v>1719872614</x:v>
      </x:c>
      <x:c r="Q10" s="784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3">
        <x:f>SUM(F20:G20)</x:f>
        <x:v>1719872614</x:v>
      </x:c>
      <x:c r="G21" s="784">
        <x:v>1191383498</x:v>
      </x:c>
      <x:c r="H21" s="783">
        <x:f>SUM(H20:I20)</x:f>
        <x:v>1719872614</x:v>
      </x:c>
      <x:c r="I21" s="784">
        <x:v>1191383498</x:v>
      </x:c>
      <x:c r="J21" s="783">
        <x:f>SUM(J20:K20)</x:f>
        <x:v>1719872614</x:v>
      </x:c>
      <x:c r="K21" s="784">
        <x:v>1191383498</x:v>
      </x:c>
      <x:c r="L21" s="783">
        <x:f>SUM(L20:M20)</x:f>
        <x:v>1719872614</x:v>
      </x:c>
      <x:c r="M21" s="784">
        <x:v>1191383498</x:v>
      </x:c>
      <x:c r="N21" s="783">
        <x:f>SUM(N20:O20)</x:f>
        <x:v>1719872614</x:v>
      </x:c>
      <x:c r="O21" s="784">
        <x:v>1191383498</x:v>
      </x:c>
      <x:c r="P21" s="783">
        <x:f>SUM(P20:Q20)</x:f>
        <x:v>1719872614</x:v>
      </x:c>
      <x:c r="Q21" s="784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R1'!F105*$D$24</x:f>
        <x:v>0</x:v>
      </x:c>
      <x:c r="E12" s="424">
        <x:f>'Reporte Componentes R1'!G105*$D$24</x:f>
        <x:v>0</x:v>
      </x:c>
      <x:c r="F12" s="425">
        <x:f>'Reporte Componentes R1'!H105*$D$24</x:f>
        <x:v>0</x:v>
      </x:c>
      <x:c r="G12" s="425">
        <x:f>'Reporte Componentes R1'!I105*$D$24</x:f>
        <x:v>0</x:v>
      </x:c>
      <x:c r="H12" s="425">
        <x:f>'Reporte Componentes R1'!J105*$D$24</x:f>
        <x:v>0</x:v>
      </x:c>
      <x:c r="I12" s="425">
        <x:f>'Reporte Componentes R1'!K105*$D$24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R1'!M105*$P$24</x:f>
        <x:v>0</x:v>
      </x:c>
      <x:c r="Q12" s="430">
        <x:f>'Reporte Componentes R1'!N105*$P$24</x:f>
        <x:v>0</x:v>
      </x:c>
      <x:c r="R12" s="430">
        <x:f>'Reporte Componentes R1'!O105*$P$24</x:f>
        <x:v>0</x:v>
      </x:c>
      <x:c r="S12" s="430">
        <x:f>'Reporte Componentes R1'!P105*$P$24</x:f>
        <x:v>0</x:v>
      </x:c>
      <x:c r="T12" s="430">
        <x:f>'Reporte Componentes R1'!Q105*$P$24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R1'!F284*$D$24</x:f>
        <x:v>0</x:v>
      </x:c>
      <x:c r="E13" s="425">
        <x:f>'Reporte Componentes R1'!G284*$D$24</x:f>
        <x:v>0</x:v>
      </x:c>
      <x:c r="F13" s="425">
        <x:f>'Reporte Componentes R1'!H284*$D$24</x:f>
        <x:v>0</x:v>
      </x:c>
      <x:c r="G13" s="425">
        <x:f>'Reporte Componentes R1'!I284*$D$24</x:f>
        <x:v>0</x:v>
      </x:c>
      <x:c r="H13" s="425">
        <x:f>'Reporte Componentes R1'!J284*$D$24</x:f>
        <x:v>0</x:v>
      </x:c>
      <x:c r="I13" s="425">
        <x:f>'Reporte Componentes R1'!K284*$D$24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R1'!M284*$P$24</x:f>
        <x:v>0</x:v>
      </x:c>
      <x:c r="Q13" s="435">
        <x:f>'Reporte Componentes R1'!N284*$P$24</x:f>
        <x:v>0</x:v>
      </x:c>
      <x:c r="R13" s="435">
        <x:f>'Reporte Componentes R1'!O284*$P$24</x:f>
        <x:v>0</x:v>
      </x:c>
      <x:c r="S13" s="435">
        <x:f>'Reporte Componentes R1'!P284*$P$24</x:f>
        <x:v>0</x:v>
      </x:c>
      <x:c r="T13" s="435">
        <x:f>'Reporte Componentes R1'!Q284*$P$24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R1'!F445*$D$24</x:f>
        <x:v>0</x:v>
      </x:c>
      <x:c r="E14" s="424">
        <x:f>'Reporte Componentes R1'!G445*$D$24</x:f>
        <x:v>0</x:v>
      </x:c>
      <x:c r="F14" s="424">
        <x:f>'Reporte Componentes R1'!H445*$D$24</x:f>
        <x:v>0</x:v>
      </x:c>
      <x:c r="G14" s="424">
        <x:f>'Reporte Componentes R1'!I445*$D$24</x:f>
        <x:v>0</x:v>
      </x:c>
      <x:c r="H14" s="424">
        <x:f>'Reporte Componentes R1'!J445*$D$24</x:f>
        <x:v>0</x:v>
      </x:c>
      <x:c r="I14" s="424">
        <x:f>'Reporte Componentes R1'!K445*$D$24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R1'!M445*$P$24</x:f>
        <x:v>0</x:v>
      </x:c>
      <x:c r="Q14" s="435">
        <x:f>'Reporte Componentes R1'!N445*$P$24</x:f>
        <x:v>0</x:v>
      </x:c>
      <x:c r="R14" s="435">
        <x:f>'Reporte Componentes R1'!O445*$P$24</x:f>
        <x:v>0</x:v>
      </x:c>
      <x:c r="S14" s="435">
        <x:f>'Reporte Componentes R1'!P445*$P$24</x:f>
        <x:v>0</x:v>
      </x:c>
      <x:c r="T14" s="435">
        <x:f>'Reporte Componentes R1'!Q445*$P$24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R1'!F598*$D$24</x:f>
        <x:v>0</x:v>
      </x:c>
      <x:c r="E15" s="425">
        <x:f>'Reporte Componentes R1'!G598*$D$24</x:f>
        <x:v>0</x:v>
      </x:c>
      <x:c r="F15" s="425">
        <x:f>'Reporte Componentes R1'!H598*$D$24</x:f>
        <x:v>0</x:v>
      </x:c>
      <x:c r="G15" s="425">
        <x:f>'Reporte Componentes R1'!I598*$D$24</x:f>
        <x:v>0</x:v>
      </x:c>
      <x:c r="H15" s="425">
        <x:f>'Reporte Componentes R1'!J598*$D$24</x:f>
        <x:v>0</x:v>
      </x:c>
      <x:c r="I15" s="425">
        <x:f>'Reporte Componentes R1'!K598*$D$24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R1'!M598*$P$24</x:f>
        <x:v>0</x:v>
      </x:c>
      <x:c r="Q15" s="435">
        <x:f>'Reporte Componentes R1'!N598*$P$24</x:f>
        <x:v>0</x:v>
      </x:c>
      <x:c r="R15" s="435">
        <x:f>'Reporte Componentes R1'!O598*$P$24</x:f>
        <x:v>0</x:v>
      </x:c>
      <x:c r="S15" s="435">
        <x:f>'Reporte Componentes R1'!P598*$P$24</x:f>
        <x:v>0</x:v>
      </x:c>
      <x:c r="T15" s="435">
        <x:f>'Reporte Componentes R1'!Q598*$P$24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R1'!F710*$D$24</x:f>
        <x:v>0</x:v>
      </x:c>
      <x:c r="E16" s="439">
        <x:f>'Reporte Componentes R1'!G710*$D$24</x:f>
        <x:v>0</x:v>
      </x:c>
      <x:c r="F16" s="439">
        <x:f>'Reporte Componentes R1'!H710*$D$24</x:f>
        <x:v>0</x:v>
      </x:c>
      <x:c r="G16" s="439">
        <x:f>'Reporte Componentes R1'!I710*$D$24</x:f>
        <x:v>0</x:v>
      </x:c>
      <x:c r="H16" s="439">
        <x:f>'Reporte Componentes R1'!J710*$D$24</x:f>
        <x:v>0</x:v>
      </x:c>
      <x:c r="I16" s="439">
        <x:f>'Reporte Componentes R1'!K710*$D$24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R1'!M710*$P$24</x:f>
        <x:v>0</x:v>
      </x:c>
      <x:c r="Q16" s="439">
        <x:f>'Reporte Componentes R1'!N710*$P$24</x:f>
        <x:v>0</x:v>
      </x:c>
      <x:c r="R16" s="439">
        <x:f>'Reporte Componentes R1'!O710*$P$24</x:f>
        <x:v>0</x:v>
      </x:c>
      <x:c r="S16" s="439">
        <x:f>'Reporte Componentes R1'!P710*$P$24</x:f>
        <x:v>0</x:v>
      </x:c>
      <x:c r="T16" s="439">
        <x:f>'Reporte Componentes R1'!Q710*$P$24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B94" zoomScaleNormal="100" workbookViewId="0">
      <x:selection activeCell="E111" sqref="E1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R1'!F75</x:f>
        <x:v>0</x:v>
      </x:c>
      <x:c r="E9" s="292">
        <x:f>'Reporte Componentes R1'!G75</x:f>
        <x:v>0</x:v>
      </x:c>
      <x:c r="F9" s="292">
        <x:f>'Reporte Componentes R1'!H75</x:f>
        <x:v>0</x:v>
      </x:c>
      <x:c r="G9" s="292">
        <x:f>'Reporte Componentes R1'!I75</x:f>
        <x:v>0</x:v>
      </x:c>
      <x:c r="H9" s="292">
        <x:f>'Reporte Componentes R1'!J75</x:f>
        <x:v>0</x:v>
      </x:c>
      <x:c r="I9" s="292">
        <x:f>'Reporte Componentes R1'!K75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R1'!L75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R1'!M75</x:f>
        <x:v>0</x:v>
      </x:c>
      <x:c r="V9" s="308">
        <x:f>'Reporte Componentes R1'!N75</x:f>
        <x:v>0</x:v>
      </x:c>
      <x:c r="W9" s="308">
        <x:f>'Reporte Componentes R1'!O75</x:f>
        <x:v>0</x:v>
      </x:c>
      <x:c r="X9" s="308">
        <x:f>'Reporte Componentes R1'!P75</x:f>
        <x:v>0</x:v>
      </x:c>
      <x:c r="Y9" s="309">
        <x:f>'Reporte Componentes R1'!Q75</x:f>
        <x:v>0</x:v>
      </x:c>
      <x:c r="Z9" s="310">
        <x:f>L9*-1</x:f>
        <x:v>-189185988</x:v>
      </x:c>
      <x:c r="AA9" s="311">
        <x:f>'Reporte Componentes R1'!R75+'Reporte Componentes R1'!U75+'Reporte Componentes R1'!V75</x:f>
        <x:v>0</x:v>
      </x:c>
      <x:c r="AB9" s="312">
        <x:f>N9</x:f>
        <x:v>0</x:v>
      </x:c>
      <x:c r="AC9" s="320">
        <x:f>'Reporte Componentes R1'!T75+'Reporte Componentes R1'!W75+'Reporte Componentes R1'!X75+'Reporte Componentes R1'!Y75+'Reporte Componentes R1'!Z75+'Reporte Componentes R1'!S75</x:f>
        <x:v>0</x:v>
      </x:c>
      <x:c r="AD9" s="291">
        <x:f>-J9+AE9</x:f>
        <x:v>0</x:v>
      </x:c>
      <x:c r="AE9" s="291">
        <x:f>'Reporte Componentes R1'!F76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R1'!F254</x:f>
        <x:v>0</x:v>
      </x:c>
      <x:c r="E10" s="292">
        <x:f>'Reporte Componentes R1'!G254</x:f>
        <x:v>0</x:v>
      </x:c>
      <x:c r="F10" s="292">
        <x:f>'Reporte Componentes R1'!H254</x:f>
        <x:v>0</x:v>
      </x:c>
      <x:c r="G10" s="292">
        <x:f>'Reporte Componentes R1'!I254</x:f>
        <x:v>0</x:v>
      </x:c>
      <x:c r="H10" s="292">
        <x:f>'Reporte Componentes R1'!J254</x:f>
        <x:v>0</x:v>
      </x:c>
      <x:c r="I10" s="292">
        <x:f>'Reporte Componentes R1'!K254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R1'!L254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R1'!M254</x:f>
        <x:v>0</x:v>
      </x:c>
      <x:c r="V10" s="317">
        <x:f>'Reporte Componentes R1'!N254</x:f>
        <x:v>0</x:v>
      </x:c>
      <x:c r="W10" s="317">
        <x:f>'Reporte Componentes R1'!O254</x:f>
        <x:v>0</x:v>
      </x:c>
      <x:c r="X10" s="317">
        <x:f>'Reporte Componentes R1'!P254</x:f>
        <x:v>0</x:v>
      </x:c>
      <x:c r="Y10" s="318">
        <x:f>'Reporte Componentes R1'!Q254</x:f>
        <x:v>0</x:v>
      </x:c>
      <x:c r="Z10" s="319">
        <x:f>L10*-1</x:f>
        <x:v>-266580256</x:v>
      </x:c>
      <x:c r="AA10" s="320">
        <x:f>'Reporte Componentes R1'!R254+'Reporte Componentes R1'!U254+'Reporte Componentes R1'!V254</x:f>
        <x:v>0</x:v>
      </x:c>
      <x:c r="AB10" s="321">
        <x:f>N10</x:f>
        <x:v>0</x:v>
      </x:c>
      <x:c r="AC10" s="320">
        <x:f>'Reporte Componentes R1'!T254+'Reporte Componentes R1'!W254+'Reporte Componentes R1'!X254+'Reporte Componentes R1'!Y254+'Reporte Componentes R1'!Z254+'Reporte Componentes R1'!S254</x:f>
        <x:v>0</x:v>
      </x:c>
      <x:c r="AD10" s="291">
        <x:f t="shared" ref="AD10:AD13" si="0">-J10+AE10</x:f>
        <x:v>0</x:v>
      </x:c>
      <x:c r="AE10" s="291">
        <x:f>'Reporte Componentes R1'!F255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R1'!F415</x:f>
        <x:v>0</x:v>
      </x:c>
      <x:c r="E11" s="292">
        <x:f>'Reporte Componentes R1'!G415</x:f>
        <x:v>0</x:v>
      </x:c>
      <x:c r="F11" s="292">
        <x:f>'Reporte Componentes R1'!H415</x:f>
        <x:v>0</x:v>
      </x:c>
      <x:c r="G11" s="292">
        <x:f>'Reporte Componentes R1'!I415</x:f>
        <x:v>0</x:v>
      </x:c>
      <x:c r="H11" s="292">
        <x:f>'Reporte Componentes R1'!J415</x:f>
        <x:v>0</x:v>
      </x:c>
      <x:c r="I11" s="292">
        <x:f>'Reporte Componentes R1'!K415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R1'!L415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R1'!M415</x:f>
        <x:v>0</x:v>
      </x:c>
      <x:c r="V11" s="317">
        <x:f>'Reporte Componentes R1'!N415</x:f>
        <x:v>0</x:v>
      </x:c>
      <x:c r="W11" s="317">
        <x:f>'Reporte Componentes R1'!O415</x:f>
        <x:v>0</x:v>
      </x:c>
      <x:c r="X11" s="317">
        <x:f>'Reporte Componentes R1'!P415</x:f>
        <x:v>0</x:v>
      </x:c>
      <x:c r="Y11" s="318">
        <x:f>'Reporte Componentes R1'!Q415</x:f>
        <x:v>0</x:v>
      </x:c>
      <x:c r="Z11" s="319">
        <x:f>L11*-1</x:f>
        <x:v>-154788536</x:v>
      </x:c>
      <x:c r="AA11" s="320">
        <x:f>'Reporte Componentes R1'!R415+'Reporte Componentes R1'!U415+'Reporte Componentes R1'!V415</x:f>
        <x:v>0</x:v>
      </x:c>
      <x:c r="AB11" s="321">
        <x:f>N11</x:f>
        <x:v>0</x:v>
      </x:c>
      <x:c r="AC11" s="320">
        <x:f>'Reporte Componentes R1'!T415+'Reporte Componentes R1'!W415+'Reporte Componentes R1'!X415+'Reporte Componentes R1'!Y415+'Reporte Componentes R1'!Z415+'Reporte Componentes R1'!S415</x:f>
        <x:v>0</x:v>
      </x:c>
      <x:c r="AD11" s="291">
        <x:f t="shared" si="0"/>
        <x:v>0</x:v>
      </x:c>
      <x:c r="AE11" s="291">
        <x:f>'Reporte Componentes R1'!F416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R1'!F568</x:f>
        <x:v>0</x:v>
      </x:c>
      <x:c r="E12" s="292">
        <x:f>'Reporte Componentes R1'!G568</x:f>
        <x:v>0</x:v>
      </x:c>
      <x:c r="F12" s="292">
        <x:f>'Reporte Componentes R1'!H568</x:f>
        <x:v>0</x:v>
      </x:c>
      <x:c r="G12" s="292">
        <x:f>'Reporte Componentes R1'!I568</x:f>
        <x:v>0</x:v>
      </x:c>
      <x:c r="H12" s="292">
        <x:f>'Reporte Componentes R1'!J568</x:f>
        <x:v>0</x:v>
      </x:c>
      <x:c r="I12" s="292">
        <x:f>'Reporte Componentes R1'!K568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R1'!L568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R1'!M568</x:f>
        <x:v>0</x:v>
      </x:c>
      <x:c r="V12" s="317">
        <x:f>'Reporte Componentes R1'!N568</x:f>
        <x:v>0</x:v>
      </x:c>
      <x:c r="W12" s="317">
        <x:f>'Reporte Componentes R1'!O568</x:f>
        <x:v>0</x:v>
      </x:c>
      <x:c r="X12" s="317">
        <x:f>'Reporte Componentes R1'!P568</x:f>
        <x:v>0</x:v>
      </x:c>
      <x:c r="Y12" s="318">
        <x:f>'Reporte Componentes R1'!Q568</x:f>
        <x:v>0</x:v>
      </x:c>
      <x:c r="Z12" s="319">
        <x:f>L12*-1</x:f>
        <x:v>-120391083</x:v>
      </x:c>
      <x:c r="AA12" s="320">
        <x:f>'Reporte Componentes R1'!R568+'Reporte Componentes R1'!U568+'Reporte Componentes R1'!V568</x:f>
        <x:v>0</x:v>
      </x:c>
      <x:c r="AB12" s="321">
        <x:f>N12</x:f>
        <x:v>0</x:v>
      </x:c>
      <x:c r="AC12" s="320">
        <x:f>'Reporte Componentes R1'!T568+'Reporte Componentes R1'!W568+'Reporte Componentes R1'!X568+'Reporte Componentes R1'!Y568+'Reporte Componentes R1'!Z568+'Reporte Componentes R1'!S568</x:f>
        <x:v>0</x:v>
      </x:c>
      <x:c r="AD12" s="291">
        <x:f t="shared" si="0"/>
        <x:v>0</x:v>
      </x:c>
      <x:c r="AE12" s="291">
        <x:f>'Reporte Componentes R1'!F569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R1'!F680</x:f>
        <x:v>0</x:v>
      </x:c>
      <x:c r="E13" s="297">
        <x:f>'Reporte Componentes R1'!G680</x:f>
        <x:v>0</x:v>
      </x:c>
      <x:c r="F13" s="297">
        <x:f>'Reporte Componentes R1'!H680</x:f>
        <x:v>0</x:v>
      </x:c>
      <x:c r="G13" s="297">
        <x:f>'Reporte Componentes R1'!I680</x:f>
        <x:v>0</x:v>
      </x:c>
      <x:c r="H13" s="297">
        <x:f>'Reporte Componentes R1'!J680</x:f>
        <x:v>0</x:v>
      </x:c>
      <x:c r="I13" s="297">
        <x:f>'Reporte Componentes R1'!K680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R1'!L680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R1'!M680</x:f>
        <x:v>0</x:v>
      </x:c>
      <x:c r="V13" s="297">
        <x:f>'Reporte Componentes R1'!N680</x:f>
        <x:v>0</x:v>
      </x:c>
      <x:c r="W13" s="297">
        <x:f>'Reporte Componentes R1'!O680</x:f>
        <x:v>0</x:v>
      </x:c>
      <x:c r="X13" s="297">
        <x:f>'Reporte Componentes R1'!P680</x:f>
        <x:v>0</x:v>
      </x:c>
      <x:c r="Y13" s="289">
        <x:f>'Reporte Componentes R1'!Q680</x:f>
        <x:v>0</x:v>
      </x:c>
      <x:c r="Z13" s="319">
        <x:f>L13*-1</x:f>
        <x:v>-128990446</x:v>
      </x:c>
      <x:c r="AA13" s="320">
        <x:f>'Reporte Componentes R1'!R680+'Reporte Componentes R1'!U680+'Reporte Componentes R1'!V680</x:f>
        <x:v>0</x:v>
      </x:c>
      <x:c r="AB13" s="321">
        <x:f>N13</x:f>
        <x:v>0</x:v>
      </x:c>
      <x:c r="AC13" s="320">
        <x:f>'Reporte Componentes R1'!T680+'Reporte Componentes R1'!W680+'Reporte Componentes R1'!X680+'Reporte Componentes R1'!Y680+'Reporte Componentes R1'!Z680+'Reporte Componentes R1'!S680</x:f>
        <x:v>0</x:v>
      </x:c>
      <x:c r="AD13" s="291">
        <x:f t="shared" si="0"/>
        <x:v>0</x:v>
      </x:c>
      <x:c r="AE13" s="291">
        <x:f>'Reporte Componentes R1'!F681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R2'!E47</x:f>
        <x:v>0</x:v>
      </x:c>
      <x:c r="E28" s="292">
        <x:f>'Rem. Anticipos R2'!F47</x:f>
        <x:v>0</x:v>
      </x:c>
      <x:c r="F28" s="292">
        <x:f>'Rem. Anticipos R2'!G47</x:f>
        <x:v>0</x:v>
      </x:c>
      <x:c r="G28" s="292">
        <x:f>'Rem. Anticipos R2'!H47</x:f>
        <x:v>0</x:v>
      </x:c>
      <x:c r="H28" s="292">
        <x:f>'Rem. Anticipos R2'!I47</x:f>
        <x:v>0</x:v>
      </x:c>
      <x:c r="I28" s="292">
        <x:f>'Rem. Anticipos R2'!J47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R2'!K47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R2'!L47</x:f>
        <x:v>0</x:v>
      </x:c>
      <x:c r="V28" s="308">
        <x:f>'Rem. Anticipos R2'!M47</x:f>
        <x:v>0</x:v>
      </x:c>
      <x:c r="W28" s="308">
        <x:f>'Rem. Anticipos R2'!N47</x:f>
        <x:v>0</x:v>
      </x:c>
      <x:c r="X28" s="308">
        <x:f>'Rem. Anticipos R2'!O47</x:f>
        <x:v>0</x:v>
      </x:c>
      <x:c r="Y28" s="308">
        <x:f>'Rem. Anticipos R2'!P47</x:f>
        <x:v>0</x:v>
      </x:c>
      <x:c r="Z28" s="310">
        <x:f>L28*-1</x:f>
        <x:v>0</x:v>
      </x:c>
      <x:c r="AA28" s="311">
        <x:f>'Rem. Anticipos R2'!Q47</x:f>
        <x:v>0</x:v>
      </x:c>
      <x:c r="AB28" s="294">
        <x:f>N28</x:f>
        <x:v>0</x:v>
      </x:c>
      <x:c r="AC28" s="311">
        <x:f>'Rem. Anticipos R2'!R47</x:f>
        <x:v>0</x:v>
      </x:c>
      <x:c r="AD28" s="291">
        <x:f>-J28+AE28</x:f>
        <x:v>0</x:v>
      </x:c>
      <x:c r="AE28" s="291">
        <x:f>'Rem. Anticipos R2'!E48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R2'!E155</x:f>
        <x:v>0</x:v>
      </x:c>
      <x:c r="E29" s="292">
        <x:f>'Rem. Anticipos R2'!F155</x:f>
        <x:v>0</x:v>
      </x:c>
      <x:c r="F29" s="292">
        <x:f>'Rem. Anticipos R2'!G155</x:f>
        <x:v>0</x:v>
      </x:c>
      <x:c r="G29" s="292">
        <x:f>'Rem. Anticipos R2'!H155</x:f>
        <x:v>0</x:v>
      </x:c>
      <x:c r="H29" s="292">
        <x:f>'Rem. Anticipos R2'!I155</x:f>
        <x:v>0</x:v>
      </x:c>
      <x:c r="I29" s="292">
        <x:f>'Rem. Anticipos R2'!J155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R2'!K155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R2'!L155</x:f>
        <x:v>0</x:v>
      </x:c>
      <x:c r="V29" s="317">
        <x:f>'Rem. Anticipos R2'!M155</x:f>
        <x:v>0</x:v>
      </x:c>
      <x:c r="W29" s="317">
        <x:f>'Rem. Anticipos R2'!N155</x:f>
        <x:v>0</x:v>
      </x:c>
      <x:c r="X29" s="317">
        <x:f>'Rem. Anticipos R2'!O155</x:f>
        <x:v>0</x:v>
      </x:c>
      <x:c r="Y29" s="318">
        <x:f>'Rem. Anticipos R2'!P155</x:f>
        <x:v>0</x:v>
      </x:c>
      <x:c r="Z29" s="319">
        <x:f>L29*-1</x:f>
        <x:v>0</x:v>
      </x:c>
      <x:c r="AA29" s="320">
        <x:f>'Rem. Anticipos R2'!Q155</x:f>
        <x:v>0</x:v>
      </x:c>
      <x:c r="AB29" s="294">
        <x:f>N29</x:f>
        <x:v>0</x:v>
      </x:c>
      <x:c r="AC29" s="320">
        <x:f>'Rem. Anticipos R2'!R155</x:f>
        <x:v>0</x:v>
      </x:c>
      <x:c r="AD29" s="291">
        <x:f>-J29+AE29</x:f>
        <x:v>0</x:v>
      </x:c>
      <x:c r="AE29" s="291">
        <x:f>'Rem. Anticipos R2'!E156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R2'!E273</x:f>
        <x:v>0</x:v>
      </x:c>
      <x:c r="E30" s="292">
        <x:f>'Rem. Anticipos R2'!F273</x:f>
        <x:v>0</x:v>
      </x:c>
      <x:c r="F30" s="292">
        <x:f>'Rem. Anticipos R2'!G273</x:f>
        <x:v>0</x:v>
      </x:c>
      <x:c r="G30" s="292">
        <x:f>'Rem. Anticipos R2'!H273</x:f>
        <x:v>0</x:v>
      </x:c>
      <x:c r="H30" s="292">
        <x:f>'Rem. Anticipos R2'!I273</x:f>
        <x:v>0</x:v>
      </x:c>
      <x:c r="I30" s="292">
        <x:f>'Rem. Anticipos R2'!J273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R2'!K273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R2'!L273</x:f>
        <x:v>0</x:v>
      </x:c>
      <x:c r="V30" s="317">
        <x:f>'Rem. Anticipos R2'!M273</x:f>
        <x:v>0</x:v>
      </x:c>
      <x:c r="W30" s="317">
        <x:f>'Rem. Anticipos R2'!N273</x:f>
        <x:v>0</x:v>
      </x:c>
      <x:c r="X30" s="317">
        <x:f>'Rem. Anticipos R2'!O273</x:f>
        <x:v>0</x:v>
      </x:c>
      <x:c r="Y30" s="318">
        <x:f>'Rem. Anticipos R2'!P273</x:f>
        <x:v>0</x:v>
      </x:c>
      <x:c r="Z30" s="319">
        <x:f>L30*-1</x:f>
        <x:v>0</x:v>
      </x:c>
      <x:c r="AA30" s="320">
        <x:f>'Rem. Anticipos R2'!Q273</x:f>
        <x:v>0</x:v>
      </x:c>
      <x:c r="AB30" s="294">
        <x:f>N30</x:f>
        <x:v>0</x:v>
      </x:c>
      <x:c r="AC30" s="320">
        <x:f>'Rem. Anticipos R2'!R273</x:f>
        <x:v>0</x:v>
      </x:c>
      <x:c r="AD30" s="291">
        <x:f t="shared" ref="AD30:AD32" si="9">-J30+AE30</x:f>
        <x:v>0</x:v>
      </x:c>
      <x:c r="AE30" s="291">
        <x:f>'Rem. Anticipos R2'!E274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R2'!E384</x:f>
        <x:v>0</x:v>
      </x:c>
      <x:c r="E31" s="292">
        <x:f>'Rem. Anticipos R2'!F384</x:f>
        <x:v>0</x:v>
      </x:c>
      <x:c r="F31" s="292">
        <x:f>'Rem. Anticipos R2'!G384</x:f>
        <x:v>0</x:v>
      </x:c>
      <x:c r="G31" s="292">
        <x:f>'Rem. Anticipos R2'!H384</x:f>
        <x:v>0</x:v>
      </x:c>
      <x:c r="H31" s="292">
        <x:f>'Rem. Anticipos R2'!I384</x:f>
        <x:v>0</x:v>
      </x:c>
      <x:c r="I31" s="292">
        <x:f>'Rem. Anticipos R2'!J384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R2'!K384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R2'!L384</x:f>
        <x:v>0</x:v>
      </x:c>
      <x:c r="V31" s="317">
        <x:f>'Rem. Anticipos R2'!M384</x:f>
        <x:v>0</x:v>
      </x:c>
      <x:c r="W31" s="317">
        <x:f>'Rem. Anticipos R2'!N384</x:f>
        <x:v>0</x:v>
      </x:c>
      <x:c r="X31" s="317">
        <x:f>'Rem. Anticipos R2'!O384</x:f>
        <x:v>0</x:v>
      </x:c>
      <x:c r="Y31" s="318">
        <x:f>'Rem. Anticipos R2'!P384</x:f>
        <x:v>0</x:v>
      </x:c>
      <x:c r="Z31" s="319">
        <x:f>L31*-1</x:f>
        <x:v>0</x:v>
      </x:c>
      <x:c r="AA31" s="320">
        <x:f>'Rem. Anticipos R2'!Q384</x:f>
        <x:v>0</x:v>
      </x:c>
      <x:c r="AB31" s="294">
        <x:f>N31</x:f>
        <x:v>0</x:v>
      </x:c>
      <x:c r="AC31" s="320">
        <x:f>'Rem. Anticipos R2'!R384</x:f>
        <x:v>0</x:v>
      </x:c>
      <x:c r="AD31" s="291">
        <x:f t="shared" si="9"/>
        <x:v>0</x:v>
      </x:c>
      <x:c r="AE31" s="291">
        <x:f>'Rem. Anticipos R2'!E385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R2'!E468</x:f>
        <x:v>0</x:v>
      </x:c>
      <x:c r="E32" s="297">
        <x:f>'Rem. Anticipos R2'!F468</x:f>
        <x:v>0</x:v>
      </x:c>
      <x:c r="F32" s="297">
        <x:f>'Rem. Anticipos R2'!G468</x:f>
        <x:v>0</x:v>
      </x:c>
      <x:c r="G32" s="297">
        <x:f>'Rem. Anticipos R2'!H468</x:f>
        <x:v>0</x:v>
      </x:c>
      <x:c r="H32" s="297">
        <x:f>'Rem. Anticipos R2'!I468</x:f>
        <x:v>0</x:v>
      </x:c>
      <x:c r="I32" s="297">
        <x:f>'Rem. Anticipos R2'!J468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R2'!K468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R2'!L468</x:f>
        <x:v>0</x:v>
      </x:c>
      <x:c r="V32" s="297">
        <x:f>'Rem. Anticipos R2'!M468</x:f>
        <x:v>0</x:v>
      </x:c>
      <x:c r="W32" s="297">
        <x:f>'Rem. Anticipos R2'!N468</x:f>
        <x:v>0</x:v>
      </x:c>
      <x:c r="X32" s="297">
        <x:f>'Rem. Anticipos R2'!O468</x:f>
        <x:v>0</x:v>
      </x:c>
      <x:c r="Y32" s="289">
        <x:f>'Rem. Anticipos R2'!P468</x:f>
        <x:v>0</x:v>
      </x:c>
      <x:c r="Z32" s="319">
        <x:f>L32*-1</x:f>
        <x:v>0</x:v>
      </x:c>
      <x:c r="AA32" s="320">
        <x:f>'Rem. Anticipos R2'!Q468</x:f>
        <x:v>0</x:v>
      </x:c>
      <x:c r="AB32" s="294">
        <x:f>N32</x:f>
        <x:v>0</x:v>
      </x:c>
      <x:c r="AC32" s="320">
        <x:f>'Rem. Anticipos R2'!R468</x:f>
        <x:v>0</x:v>
      </x:c>
      <x:c r="AD32" s="291">
        <x:f t="shared" si="9"/>
        <x:v>0</x:v>
      </x:c>
      <x:c r="AE32" s="291">
        <x:f>'Rem. Anticipos R2'!E469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R1'!F77</x:f>
        <x:v>0</x:v>
      </x:c>
      <x:c r="E47" s="292">
        <x:f>'Reporte Componentes R1'!G77</x:f>
        <x:v>0</x:v>
      </x:c>
      <x:c r="F47" s="292">
        <x:f>'Reporte Componentes R1'!H77</x:f>
        <x:v>0</x:v>
      </x:c>
      <x:c r="G47" s="292">
        <x:f>'Reporte Componentes R1'!I77</x:f>
        <x:v>0</x:v>
      </x:c>
      <x:c r="H47" s="292">
        <x:f>'Reporte Componentes R1'!J77</x:f>
        <x:v>0</x:v>
      </x:c>
      <x:c r="I47" s="292">
        <x:f>'Reporte Componentes R1'!K77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R1'!L77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R1'!M77</x:f>
        <x:v>0</x:v>
      </x:c>
      <x:c r="V47" s="308">
        <x:f>'Reporte Componentes R1'!N77</x:f>
        <x:v>0</x:v>
      </x:c>
      <x:c r="W47" s="308">
        <x:f>'Reporte Componentes R1'!O77</x:f>
        <x:v>0</x:v>
      </x:c>
      <x:c r="X47" s="308">
        <x:f>'Reporte Componentes R1'!P77</x:f>
        <x:v>0</x:v>
      </x:c>
      <x:c r="Y47" s="309">
        <x:f>'Reporte Componentes R1'!Q77</x:f>
        <x:v>0</x:v>
      </x:c>
      <x:c r="Z47" s="310">
        <x:f>-L47</x:f>
        <x:v>0</x:v>
      </x:c>
      <x:c r="AA47" s="320">
        <x:f>'Reporte Componentes R1'!R77+'Reporte Componentes R1'!V77+'Reporte Componentes R1'!U77</x:f>
        <x:v>0</x:v>
      </x:c>
      <x:c r="AB47" s="294">
        <x:f>N47</x:f>
        <x:v>0</x:v>
      </x:c>
      <x:c r="AC47" s="311">
        <x:f>'Reporte Componentes R1'!T77+'Reporte Componentes R1'!W77+'Reporte Componentes R1'!X77+'Reporte Componentes R1'!Y77+'Reporte Componentes R1'!Z77+'Reporte Componentes R1'!S77</x:f>
        <x:v>0</x:v>
      </x:c>
      <x:c r="AD47" s="291">
        <x:f>-J47+AE47</x:f>
        <x:v>0</x:v>
      </x:c>
      <x:c r="AE47" s="291">
        <x:f>'Reporte Componentes R1'!F78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R1'!F256</x:f>
        <x:v>0</x:v>
      </x:c>
      <x:c r="E48" s="292">
        <x:f>'Reporte Componentes R1'!G256</x:f>
        <x:v>0</x:v>
      </x:c>
      <x:c r="F48" s="292">
        <x:f>'Reporte Componentes R1'!H256</x:f>
        <x:v>0</x:v>
      </x:c>
      <x:c r="G48" s="292">
        <x:f>'Reporte Componentes R1'!I256</x:f>
        <x:v>0</x:v>
      </x:c>
      <x:c r="H48" s="292">
        <x:f>'Reporte Componentes R1'!J256</x:f>
        <x:v>0</x:v>
      </x:c>
      <x:c r="I48" s="292">
        <x:f>'Reporte Componentes R1'!K256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R1'!L256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R1'!M256</x:f>
        <x:v>0</x:v>
      </x:c>
      <x:c r="V48" s="317">
        <x:f>'Reporte Componentes R1'!N256</x:f>
        <x:v>0</x:v>
      </x:c>
      <x:c r="W48" s="317">
        <x:f>'Reporte Componentes R1'!O256</x:f>
        <x:v>0</x:v>
      </x:c>
      <x:c r="X48" s="317">
        <x:f>'Reporte Componentes R1'!P256</x:f>
        <x:v>0</x:v>
      </x:c>
      <x:c r="Y48" s="318">
        <x:f>'Reporte Componentes R1'!Q256</x:f>
        <x:v>0</x:v>
      </x:c>
      <x:c r="Z48" s="319">
        <x:f>-L48</x:f>
        <x:v>0</x:v>
      </x:c>
      <x:c r="AA48" s="320">
        <x:f>'Reporte Componentes R1'!R256+'Reporte Componentes R1'!V256+'Reporte Componentes R1'!U256</x:f>
        <x:v>0</x:v>
      </x:c>
      <x:c r="AB48" s="294">
        <x:f>N48</x:f>
        <x:v>0</x:v>
      </x:c>
      <x:c r="AC48" s="320">
        <x:f>'Reporte Componentes R1'!T256+'Reporte Componentes R1'!W256+'Reporte Componentes R1'!X256+'Reporte Componentes R1'!Y256+'Reporte Componentes R1'!Z256+'Reporte Componentes R1'!S256</x:f>
        <x:v>0</x:v>
      </x:c>
      <x:c r="AD48" s="291">
        <x:f t="shared" ref="AD48:AD51" si="18">-J48+AE48</x:f>
        <x:v>0</x:v>
      </x:c>
      <x:c r="AE48" s="291">
        <x:f>'Reporte Componentes R1'!F257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R1'!F417</x:f>
        <x:v>0</x:v>
      </x:c>
      <x:c r="E49" s="292">
        <x:f>'Reporte Componentes R1'!G417</x:f>
        <x:v>0</x:v>
      </x:c>
      <x:c r="F49" s="292">
        <x:f>'Reporte Componentes R1'!H417</x:f>
        <x:v>0</x:v>
      </x:c>
      <x:c r="G49" s="292">
        <x:f>'Reporte Componentes R1'!I417</x:f>
        <x:v>0</x:v>
      </x:c>
      <x:c r="H49" s="292">
        <x:f>'Reporte Componentes R1'!J417</x:f>
        <x:v>0</x:v>
      </x:c>
      <x:c r="I49" s="292">
        <x:f>'Reporte Componentes R1'!K417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R1'!L417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R1'!M417</x:f>
        <x:v>0</x:v>
      </x:c>
      <x:c r="V49" s="317">
        <x:f>'Reporte Componentes R1'!N417</x:f>
        <x:v>0</x:v>
      </x:c>
      <x:c r="W49" s="317">
        <x:f>'Reporte Componentes R1'!O417</x:f>
        <x:v>0</x:v>
      </x:c>
      <x:c r="X49" s="317">
        <x:f>'Reporte Componentes R1'!P417</x:f>
        <x:v>0</x:v>
      </x:c>
      <x:c r="Y49" s="318">
        <x:f>'Reporte Componentes R1'!Q417</x:f>
        <x:v>0</x:v>
      </x:c>
      <x:c r="Z49" s="319">
        <x:f>-L49</x:f>
        <x:v>0</x:v>
      </x:c>
      <x:c r="AA49" s="320">
        <x:f>'Reporte Componentes R1'!R417+'Reporte Componentes R1'!V417+'Reporte Componentes R1'!U417</x:f>
        <x:v>0</x:v>
      </x:c>
      <x:c r="AB49" s="294">
        <x:f>N49</x:f>
        <x:v>0</x:v>
      </x:c>
      <x:c r="AC49" s="320">
        <x:f>'Reporte Componentes R1'!T417+'Reporte Componentes R1'!W417+'Reporte Componentes R1'!X417+'Reporte Componentes R1'!Y417+'Reporte Componentes R1'!Z417+'Reporte Componentes R1'!S417</x:f>
        <x:v>0</x:v>
      </x:c>
      <x:c r="AD49" s="291">
        <x:f t="shared" si="18"/>
        <x:v>0</x:v>
      </x:c>
      <x:c r="AE49" s="291">
        <x:f>'Reporte Componentes R1'!F418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R1'!F570</x:f>
        <x:v>0</x:v>
      </x:c>
      <x:c r="E50" s="292">
        <x:f>'Reporte Componentes R1'!G570</x:f>
        <x:v>0</x:v>
      </x:c>
      <x:c r="F50" s="292">
        <x:f>'Reporte Componentes R1'!H570</x:f>
        <x:v>0</x:v>
      </x:c>
      <x:c r="G50" s="292">
        <x:f>'Reporte Componentes R1'!I570</x:f>
        <x:v>0</x:v>
      </x:c>
      <x:c r="H50" s="292">
        <x:f>'Reporte Componentes R1'!J570</x:f>
        <x:v>0</x:v>
      </x:c>
      <x:c r="I50" s="292">
        <x:f>'Reporte Componentes R1'!K570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R1'!L570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R1'!M570</x:f>
        <x:v>0</x:v>
      </x:c>
      <x:c r="V50" s="317">
        <x:f>'Reporte Componentes R1'!N570</x:f>
        <x:v>0</x:v>
      </x:c>
      <x:c r="W50" s="317">
        <x:f>'Reporte Componentes R1'!O570</x:f>
        <x:v>0</x:v>
      </x:c>
      <x:c r="X50" s="317">
        <x:f>'Reporte Componentes R1'!P570</x:f>
        <x:v>0</x:v>
      </x:c>
      <x:c r="Y50" s="318">
        <x:f>'Reporte Componentes R1'!Q570</x:f>
        <x:v>0</x:v>
      </x:c>
      <x:c r="Z50" s="319">
        <x:f>-L50</x:f>
        <x:v>0</x:v>
      </x:c>
      <x:c r="AA50" s="320">
        <x:f>'Reporte Componentes R1'!R570+'Reporte Componentes R1'!V570+'Reporte Componentes R1'!U570</x:f>
        <x:v>0</x:v>
      </x:c>
      <x:c r="AB50" s="294">
        <x:f>N50</x:f>
        <x:v>0</x:v>
      </x:c>
      <x:c r="AC50" s="320">
        <x:f>'Reporte Componentes R1'!T570+'Reporte Componentes R1'!W570+'Reporte Componentes R1'!X570+'Reporte Componentes R1'!Y570+'Reporte Componentes R1'!Z570+'Reporte Componentes R1'!S570</x:f>
        <x:v>0</x:v>
      </x:c>
      <x:c r="AD50" s="291">
        <x:f t="shared" si="18"/>
        <x:v>0</x:v>
      </x:c>
      <x:c r="AE50" s="291">
        <x:f>'Reporte Componentes R1'!F571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R1'!F682</x:f>
        <x:v>0</x:v>
      </x:c>
      <x:c r="E51" s="297">
        <x:f>'Reporte Componentes R1'!G682</x:f>
        <x:v>0</x:v>
      </x:c>
      <x:c r="F51" s="297">
        <x:f>'Reporte Componentes R1'!H682</x:f>
        <x:v>0</x:v>
      </x:c>
      <x:c r="G51" s="297">
        <x:f>'Reporte Componentes R1'!I682</x:f>
        <x:v>0</x:v>
      </x:c>
      <x:c r="H51" s="297">
        <x:f>'Reporte Componentes R1'!J682</x:f>
        <x:v>0</x:v>
      </x:c>
      <x:c r="I51" s="297">
        <x:f>'Reporte Componentes R1'!K682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R1'!L682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R1'!M682</x:f>
        <x:v>0</x:v>
      </x:c>
      <x:c r="V51" s="297">
        <x:f>'Reporte Componentes R1'!N682</x:f>
        <x:v>0</x:v>
      </x:c>
      <x:c r="W51" s="297">
        <x:f>'Reporte Componentes R1'!O682</x:f>
        <x:v>0</x:v>
      </x:c>
      <x:c r="X51" s="297">
        <x:f>'Reporte Componentes R1'!P682</x:f>
        <x:v>0</x:v>
      </x:c>
      <x:c r="Y51" s="289">
        <x:f>'Reporte Componentes R1'!Q682</x:f>
        <x:v>0</x:v>
      </x:c>
      <x:c r="Z51" s="319">
        <x:f>-L51</x:f>
        <x:v>0</x:v>
      </x:c>
      <x:c r="AA51" s="320">
        <x:f>'Reporte Componentes R1'!R682+'Reporte Componentes R1'!V682+'Reporte Componentes R1'!U682</x:f>
        <x:v>0</x:v>
      </x:c>
      <x:c r="AB51" s="294">
        <x:f>N51</x:f>
        <x:v>0</x:v>
      </x:c>
      <x:c r="AC51" s="320">
        <x:f>'Reporte Componentes R1'!T682+'Reporte Componentes R1'!W682+'Reporte Componentes R1'!X682+'Reporte Componentes R1'!Y682+'Reporte Componentes R1'!Z682+'Reporte Componentes R1'!S682</x:f>
        <x:v>0</x:v>
      </x:c>
      <x:c r="AD51" s="291">
        <x:f t="shared" si="18"/>
        <x:v>0</x:v>
      </x:c>
      <x:c r="AE51" s="291">
        <x:f>'Reporte Componentes R1'!F683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R4'!D73</x:f>
        <x:v>0</x:v>
      </x:c>
      <x:c r="E66" s="292">
        <x:f>'Reversion Pagos R4'!E73</x:f>
        <x:v>0</x:v>
      </x:c>
      <x:c r="F66" s="292">
        <x:f>'Reversion Pagos R4'!F73</x:f>
        <x:v>0</x:v>
      </x:c>
      <x:c r="G66" s="292">
        <x:f>'Reversion Pagos R4'!G73</x:f>
        <x:v>0</x:v>
      </x:c>
      <x:c r="H66" s="292">
        <x:f>'Reversion Pagos R4'!H73</x:f>
        <x:v>0</x:v>
      </x:c>
      <x:c r="I66" s="292">
        <x:f>'Reversion Pagos R4'!I73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R4'!P73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R4'!J73</x:f>
        <x:v>0</x:v>
      </x:c>
      <x:c r="V66" s="308">
        <x:f>'Reversion Pagos R4'!K73</x:f>
        <x:v>0</x:v>
      </x:c>
      <x:c r="W66" s="308">
        <x:f>'Reversion Pagos R4'!L73</x:f>
        <x:v>0</x:v>
      </x:c>
      <x:c r="X66" s="308">
        <x:f>'Reversion Pagos R4'!M73</x:f>
        <x:v>0</x:v>
      </x:c>
      <x:c r="Y66" s="308">
        <x:f>'Reversion Pagos R4'!N73</x:f>
        <x:v>0</x:v>
      </x:c>
      <x:c r="Z66" s="310">
        <x:f>-L66</x:f>
        <x:v>0</x:v>
      </x:c>
      <x:c r="AA66" s="320">
        <x:f>'Reversion Pagos R4'!O73</x:f>
        <x:v>0</x:v>
      </x:c>
      <x:c r="AB66" s="294">
        <x:f>N66</x:f>
        <x:v>0</x:v>
      </x:c>
      <x:c r="AC66" s="320">
        <x:f>+'Reversion Pagos R4'!Q73+'Reversion Pagos R4'!R73</x:f>
        <x:v>0</x:v>
      </x:c>
      <x:c r="AD66" s="291">
        <x:f>-J66+AE66</x:f>
        <x:v>0</x:v>
      </x:c>
      <x:c r="AE66" s="291">
        <x:f>'Reversion Pagos R4'!D74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R4'!D174</x:f>
        <x:v>0</x:v>
      </x:c>
      <x:c r="E67" s="292">
        <x:f>'Reversion Pagos R4'!E174</x:f>
        <x:v>0</x:v>
      </x:c>
      <x:c r="F67" s="292">
        <x:f>'Reversion Pagos R4'!F174</x:f>
        <x:v>0</x:v>
      </x:c>
      <x:c r="G67" s="292">
        <x:f>'Reversion Pagos R4'!G174</x:f>
        <x:v>0</x:v>
      </x:c>
      <x:c r="H67" s="292">
        <x:f>'Reversion Pagos R4'!H174</x:f>
        <x:v>0</x:v>
      </x:c>
      <x:c r="I67" s="292">
        <x:f>'Reversion Pagos R4'!I174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R4'!P174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R4'!J174</x:f>
        <x:v>0</x:v>
      </x:c>
      <x:c r="V67" s="317">
        <x:f>'Reversion Pagos R4'!K174</x:f>
        <x:v>0</x:v>
      </x:c>
      <x:c r="W67" s="317">
        <x:f>'Reversion Pagos R4'!L174</x:f>
        <x:v>0</x:v>
      </x:c>
      <x:c r="X67" s="317">
        <x:f>'Reversion Pagos R4'!M174</x:f>
        <x:v>0</x:v>
      </x:c>
      <x:c r="Y67" s="318">
        <x:f>'Reversion Pagos R4'!N174</x:f>
        <x:v>0</x:v>
      </x:c>
      <x:c r="Z67" s="319">
        <x:f t="shared" ref="Z67:Z70" si="27">-L67</x:f>
        <x:v>0</x:v>
      </x:c>
      <x:c r="AA67" s="320">
        <x:f>'Reversion Pagos R4'!O174</x:f>
        <x:v>0</x:v>
      </x:c>
      <x:c r="AB67" s="294">
        <x:f t="shared" ref="AB67:AB70" si="28">N67</x:f>
        <x:v>0</x:v>
      </x:c>
      <x:c r="AC67" s="320">
        <x:f>+'Reversion Pagos R4'!Q174+'Reversion Pagos R4'!R174</x:f>
        <x:v>0</x:v>
      </x:c>
      <x:c r="AD67" s="291">
        <x:f>-J67+AE67</x:f>
        <x:v>0</x:v>
      </x:c>
      <x:c r="AE67" s="291">
        <x:f>'Reversion Pagos R4'!D175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R4'!D211</x:f>
        <x:v>0</x:v>
      </x:c>
      <x:c r="E68" s="292">
        <x:f>'Reversion Pagos R4'!E211</x:f>
        <x:v>0</x:v>
      </x:c>
      <x:c r="F68" s="292">
        <x:f>'Reversion Pagos R4'!F211</x:f>
        <x:v>0</x:v>
      </x:c>
      <x:c r="G68" s="292">
        <x:f>'Reversion Pagos R4'!G211</x:f>
        <x:v>0</x:v>
      </x:c>
      <x:c r="H68" s="292">
        <x:f>'Reversion Pagos R4'!H211</x:f>
        <x:v>0</x:v>
      </x:c>
      <x:c r="I68" s="292">
        <x:f>'Reversion Pagos R4'!I211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R4'!P211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R4'!J211</x:f>
        <x:v>0</x:v>
      </x:c>
      <x:c r="V68" s="317">
        <x:f>'Reversion Pagos R4'!K211</x:f>
        <x:v>0</x:v>
      </x:c>
      <x:c r="W68" s="317">
        <x:f>'Reversion Pagos R4'!L211</x:f>
        <x:v>0</x:v>
      </x:c>
      <x:c r="X68" s="317">
        <x:f>'Reversion Pagos R4'!M211</x:f>
        <x:v>0</x:v>
      </x:c>
      <x:c r="Y68" s="318">
        <x:f>'Reversion Pagos R4'!N211</x:f>
        <x:v>0</x:v>
      </x:c>
      <x:c r="Z68" s="319">
        <x:f t="shared" si="27"/>
        <x:v>0</x:v>
      </x:c>
      <x:c r="AA68" s="320">
        <x:f>'Reversion Pagos R4'!O211</x:f>
        <x:v>0</x:v>
      </x:c>
      <x:c r="AB68" s="294">
        <x:f t="shared" si="28"/>
        <x:v>0</x:v>
      </x:c>
      <x:c r="AC68" s="320">
        <x:f>+'Reversion Pagos R4'!Q211+'Reversion Pagos R4'!R211</x:f>
        <x:v>0</x:v>
      </x:c>
      <x:c r="AD68" s="291">
        <x:f t="shared" ref="AD68:AD69" si="30">-J68+AE68</x:f>
        <x:v>0</x:v>
      </x:c>
      <x:c r="AE68" s="291">
        <x:f>'Reversion Pagos R4'!D212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R4'!D326</x:f>
        <x:v>0</x:v>
      </x:c>
      <x:c r="E69" s="292">
        <x:f>'Reversion Pagos R4'!E326</x:f>
        <x:v>0</x:v>
      </x:c>
      <x:c r="F69" s="292">
        <x:f>'Reversion Pagos R4'!F326</x:f>
        <x:v>0</x:v>
      </x:c>
      <x:c r="G69" s="292">
        <x:f>'Reversion Pagos R4'!G326</x:f>
        <x:v>0</x:v>
      </x:c>
      <x:c r="H69" s="292">
        <x:f>'Reversion Pagos R4'!H326</x:f>
        <x:v>0</x:v>
      </x:c>
      <x:c r="I69" s="292">
        <x:f>'Reversion Pagos R4'!I326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R4'!P326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R4'!J326</x:f>
        <x:v>0</x:v>
      </x:c>
      <x:c r="V69" s="317">
        <x:f>'Reversion Pagos R4'!K326</x:f>
        <x:v>0</x:v>
      </x:c>
      <x:c r="W69" s="317">
        <x:f>'Reversion Pagos R4'!L326</x:f>
        <x:v>0</x:v>
      </x:c>
      <x:c r="X69" s="317">
        <x:f>'Reversion Pagos R4'!M326</x:f>
        <x:v>0</x:v>
      </x:c>
      <x:c r="Y69" s="318">
        <x:f>'Reversion Pagos R4'!N326</x:f>
        <x:v>0</x:v>
      </x:c>
      <x:c r="Z69" s="319">
        <x:f t="shared" si="27"/>
        <x:v>0</x:v>
      </x:c>
      <x:c r="AA69" s="320">
        <x:f>'Reversion Pagos R4'!O326</x:f>
        <x:v>0</x:v>
      </x:c>
      <x:c r="AB69" s="294">
        <x:f t="shared" si="28"/>
        <x:v>0</x:v>
      </x:c>
      <x:c r="AC69" s="320">
        <x:f>+'Reversion Pagos R4'!Q326+'Reversion Pagos R4'!R326</x:f>
        <x:v>0</x:v>
      </x:c>
      <x:c r="AD69" s="291">
        <x:f t="shared" si="30"/>
        <x:v>0</x:v>
      </x:c>
      <x:c r="AE69" s="291">
        <x:f>'Reversion Pagos R4'!D327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R4'!D361</x:f>
        <x:v>0</x:v>
      </x:c>
      <x:c r="E70" s="297">
        <x:f>'Reversion Pagos R4'!E361</x:f>
        <x:v>0</x:v>
      </x:c>
      <x:c r="F70" s="297">
        <x:f>'Reversion Pagos R4'!F361</x:f>
        <x:v>0</x:v>
      </x:c>
      <x:c r="G70" s="297">
        <x:f>'Reversion Pagos R4'!G361</x:f>
        <x:v>0</x:v>
      </x:c>
      <x:c r="H70" s="297">
        <x:f>'Reversion Pagos R4'!H361</x:f>
        <x:v>0</x:v>
      </x:c>
      <x:c r="I70" s="297">
        <x:f>'Reversion Pagos R4'!I361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R4'!P361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R4'!J361</x:f>
        <x:v>0</x:v>
      </x:c>
      <x:c r="V70" s="297">
        <x:f>'Reversion Pagos R4'!K361</x:f>
        <x:v>0</x:v>
      </x:c>
      <x:c r="W70" s="297">
        <x:f>'Reversion Pagos R4'!L361</x:f>
        <x:v>0</x:v>
      </x:c>
      <x:c r="X70" s="297">
        <x:f>'Reversion Pagos R4'!M361</x:f>
        <x:v>0</x:v>
      </x:c>
      <x:c r="Y70" s="289">
        <x:f>'Reversion Pagos R4'!N361</x:f>
        <x:v>0</x:v>
      </x:c>
      <x:c r="Z70" s="319">
        <x:f t="shared" si="27"/>
        <x:v>0</x:v>
      </x:c>
      <x:c r="AA70" s="320">
        <x:f>'Reversion Pagos R4'!O361</x:f>
        <x:v>0</x:v>
      </x:c>
      <x:c r="AB70" s="294">
        <x:f t="shared" si="28"/>
        <x:v>0</x:v>
      </x:c>
      <x:c r="AC70" s="320">
        <x:f>+'Reversion Pagos R4'!Q361+'Reversion Pagos R4'!R361</x:f>
        <x:v>0</x:v>
      </x:c>
      <x:c r="AD70" s="291">
        <x:f>-J70+AE70</x:f>
        <x:v>0</x:v>
      </x:c>
      <x:c r="AE70" s="291">
        <x:f>'Reversion Pagos R4'!D362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72497949967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R1'!F80</x:f>
        <x:v>0</x:v>
      </x:c>
      <x:c r="E9" s="292">
        <x:f>'Reporte Componentes R1'!G80</x:f>
        <x:v>0</x:v>
      </x:c>
      <x:c r="F9" s="292">
        <x:f>'Reporte Componentes R1'!H80</x:f>
        <x:v>0</x:v>
      </x:c>
      <x:c r="G9" s="292">
        <x:f>'Reporte Componentes R1'!I80</x:f>
        <x:v>0</x:v>
      </x:c>
      <x:c r="H9" s="292">
        <x:f>'Reporte Componentes R1'!J80</x:f>
        <x:v>0</x:v>
      </x:c>
      <x:c r="I9" s="292">
        <x:f>'Reporte Componentes R1'!K80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R1'!L80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R1'!M80</x:f>
        <x:v>0</x:v>
      </x:c>
      <x:c r="V9" s="308">
        <x:f>'Reporte Componentes R1'!N80</x:f>
        <x:v>0</x:v>
      </x:c>
      <x:c r="W9" s="308">
        <x:f>'Reporte Componentes R1'!O80</x:f>
        <x:v>0</x:v>
      </x:c>
      <x:c r="X9" s="308">
        <x:f>'Reporte Componentes R1'!P80</x:f>
        <x:v>0</x:v>
      </x:c>
      <x:c r="Y9" s="309">
        <x:f>'Reporte Componentes R1'!Q80</x:f>
        <x:v>0</x:v>
      </x:c>
      <x:c r="Z9" s="310">
        <x:f>L9*-1</x:f>
        <x:v>0</x:v>
      </x:c>
      <x:c r="AA9" s="311">
        <x:f>'Reporte Componentes R1'!R80+'Reporte Componentes R1'!V80+'Reporte Componentes R1'!U80</x:f>
        <x:v>0</x:v>
      </x:c>
      <x:c r="AB9" s="294">
        <x:f>N9</x:f>
        <x:v>0</x:v>
      </x:c>
      <x:c r="AC9" s="311">
        <x:f>'Reporte Componentes R1'!T80+'Reporte Componentes R1'!W80+'Reporte Componentes R1'!X80+'Reporte Componentes R1'!Y80+'Reporte Componentes R1'!Z80+'Reporte Componentes R1'!S80</x:f>
        <x:v>0</x:v>
      </x:c>
      <x:c r="AD9" s="291">
        <x:f>-J9+AE9</x:f>
        <x:v>0</x:v>
      </x:c>
      <x:c r="AE9" s="291">
        <x:f>'Reporte Componentes R1'!F81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R1'!F259</x:f>
        <x:v>0</x:v>
      </x:c>
      <x:c r="E10" s="292">
        <x:f>'Reporte Componentes R1'!G259</x:f>
        <x:v>0</x:v>
      </x:c>
      <x:c r="F10" s="292">
        <x:f>'Reporte Componentes R1'!H259</x:f>
        <x:v>0</x:v>
      </x:c>
      <x:c r="G10" s="292">
        <x:f>'Reporte Componentes R1'!I259</x:f>
        <x:v>0</x:v>
      </x:c>
      <x:c r="H10" s="292">
        <x:f>'Reporte Componentes R1'!J259</x:f>
        <x:v>0</x:v>
      </x:c>
      <x:c r="I10" s="292">
        <x:f>'Reporte Componentes R1'!K259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R1'!L259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R1'!M259</x:f>
        <x:v>0</x:v>
      </x:c>
      <x:c r="V10" s="317">
        <x:f>'Reporte Componentes R1'!N259</x:f>
        <x:v>0</x:v>
      </x:c>
      <x:c r="W10" s="317">
        <x:f>'Reporte Componentes R1'!O259</x:f>
        <x:v>0</x:v>
      </x:c>
      <x:c r="X10" s="317">
        <x:f>'Reporte Componentes R1'!P259</x:f>
        <x:v>0</x:v>
      </x:c>
      <x:c r="Y10" s="318">
        <x:f>'Reporte Componentes R1'!Q259</x:f>
        <x:v>0</x:v>
      </x:c>
      <x:c r="Z10" s="319">
        <x:f>L10*-1</x:f>
        <x:v>0</x:v>
      </x:c>
      <x:c r="AA10" s="320">
        <x:f>'Reporte Componentes R1'!R259+'Reporte Componentes R1'!V259+'Reporte Componentes R1'!U259</x:f>
        <x:v>0</x:v>
      </x:c>
      <x:c r="AB10" s="294">
        <x:f>N10</x:f>
        <x:v>0</x:v>
      </x:c>
      <x:c r="AC10" s="320">
        <x:f>'Reporte Componentes R1'!T259+'Reporte Componentes R1'!W259+'Reporte Componentes R1'!X259+'Reporte Componentes R1'!Y259+'Reporte Componentes R1'!Z259++'Reporte Componentes R1'!S259</x:f>
        <x:v>0</x:v>
      </x:c>
      <x:c r="AD10" s="291">
        <x:f t="shared" ref="AD10:AD13" si="2">-J10+AE10</x:f>
        <x:v>0</x:v>
      </x:c>
      <x:c r="AE10" s="291">
        <x:f>'Reporte Componentes R1'!F260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R1'!F420</x:f>
        <x:v>0</x:v>
      </x:c>
      <x:c r="E11" s="292">
        <x:f>'Reporte Componentes R1'!G420</x:f>
        <x:v>0</x:v>
      </x:c>
      <x:c r="F11" s="292">
        <x:f>'Reporte Componentes R1'!H420</x:f>
        <x:v>0</x:v>
      </x:c>
      <x:c r="G11" s="292">
        <x:f>'Reporte Componentes R1'!I420</x:f>
        <x:v>0</x:v>
      </x:c>
      <x:c r="H11" s="292">
        <x:f>'Reporte Componentes R1'!J420</x:f>
        <x:v>0</x:v>
      </x:c>
      <x:c r="I11" s="292">
        <x:f>'Reporte Componentes R1'!K420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R1'!L420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R1'!M420</x:f>
        <x:v>0</x:v>
      </x:c>
      <x:c r="V11" s="317">
        <x:f>'Reporte Componentes R1'!N420</x:f>
        <x:v>0</x:v>
      </x:c>
      <x:c r="W11" s="317">
        <x:f>'Reporte Componentes R1'!O420</x:f>
        <x:v>0</x:v>
      </x:c>
      <x:c r="X11" s="317">
        <x:f>'Reporte Componentes R1'!P420</x:f>
        <x:v>0</x:v>
      </x:c>
      <x:c r="Y11" s="318">
        <x:f>'Reporte Componentes R1'!Q420</x:f>
        <x:v>0</x:v>
      </x:c>
      <x:c r="Z11" s="319">
        <x:f>L11*-1</x:f>
        <x:v>0</x:v>
      </x:c>
      <x:c r="AA11" s="320">
        <x:f>'Reporte Componentes R1'!R420+'Reporte Componentes R1'!V420+'Reporte Componentes R1'!U420</x:f>
        <x:v>0</x:v>
      </x:c>
      <x:c r="AB11" s="294">
        <x:f>N11</x:f>
        <x:v>0</x:v>
      </x:c>
      <x:c r="AC11" s="320">
        <x:f>'Reporte Componentes R1'!T420+'Reporte Componentes R1'!W420+'Reporte Componentes R1'!X420+'Reporte Componentes R1'!Y420+'Reporte Componentes R1'!Z420++'Reporte Componentes R1'!S420</x:f>
        <x:v>0</x:v>
      </x:c>
      <x:c r="AD11" s="291">
        <x:f t="shared" si="2"/>
        <x:v>0</x:v>
      </x:c>
      <x:c r="AE11" s="291">
        <x:f>'Reporte Componentes R1'!F421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R1'!F573</x:f>
        <x:v>0</x:v>
      </x:c>
      <x:c r="E12" s="292">
        <x:f>'Reporte Componentes R1'!G573</x:f>
        <x:v>0</x:v>
      </x:c>
      <x:c r="F12" s="292">
        <x:f>'Reporte Componentes R1'!H573</x:f>
        <x:v>0</x:v>
      </x:c>
      <x:c r="G12" s="292">
        <x:f>'Reporte Componentes R1'!I573</x:f>
        <x:v>0</x:v>
      </x:c>
      <x:c r="H12" s="292">
        <x:f>'Reporte Componentes R1'!J573</x:f>
        <x:v>0</x:v>
      </x:c>
      <x:c r="I12" s="292">
        <x:f>'Reporte Componentes R1'!K573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R1'!L573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R1'!M573</x:f>
        <x:v>0</x:v>
      </x:c>
      <x:c r="V12" s="317">
        <x:f>'Reporte Componentes R1'!N573</x:f>
        <x:v>0</x:v>
      </x:c>
      <x:c r="W12" s="317">
        <x:f>'Reporte Componentes R1'!O573</x:f>
        <x:v>0</x:v>
      </x:c>
      <x:c r="X12" s="317">
        <x:f>'Reporte Componentes R1'!P573</x:f>
        <x:v>0</x:v>
      </x:c>
      <x:c r="Y12" s="318">
        <x:f>'Reporte Componentes R1'!Q573</x:f>
        <x:v>0</x:v>
      </x:c>
      <x:c r="Z12" s="319">
        <x:f>L12*-1</x:f>
        <x:v>0</x:v>
      </x:c>
      <x:c r="AA12" s="320">
        <x:f>'Reporte Componentes R1'!R573+'Reporte Componentes R1'!V573+'Reporte Componentes R1'!U573</x:f>
        <x:v>0</x:v>
      </x:c>
      <x:c r="AB12" s="294">
        <x:f>N12</x:f>
        <x:v>0</x:v>
      </x:c>
      <x:c r="AC12" s="320">
        <x:f>'Reporte Componentes R1'!T573+'Reporte Componentes R1'!W573+'Reporte Componentes R1'!X573+'Reporte Componentes R1'!Y573+'Reporte Componentes R1'!Z573++'Reporte Componentes R1'!S573</x:f>
        <x:v>0</x:v>
      </x:c>
      <x:c r="AD12" s="291">
        <x:f t="shared" si="2"/>
        <x:v>0</x:v>
      </x:c>
      <x:c r="AE12" s="291">
        <x:f>'Reporte Componentes R1'!F574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R1'!F685</x:f>
        <x:v>0</x:v>
      </x:c>
      <x:c r="E13" s="297">
        <x:f>'Reporte Componentes R1'!G685</x:f>
        <x:v>0</x:v>
      </x:c>
      <x:c r="F13" s="297">
        <x:f>'Reporte Componentes R1'!H685</x:f>
        <x:v>0</x:v>
      </x:c>
      <x:c r="G13" s="297">
        <x:f>'Reporte Componentes R1'!I685</x:f>
        <x:v>0</x:v>
      </x:c>
      <x:c r="H13" s="297">
        <x:f>'Reporte Componentes R1'!J685</x:f>
        <x:v>0</x:v>
      </x:c>
      <x:c r="I13" s="297">
        <x:f>'Reporte Componentes R1'!K685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R1'!L685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R1'!M685</x:f>
        <x:v>0</x:v>
      </x:c>
      <x:c r="V13" s="297">
        <x:f>'Reporte Componentes R1'!N685</x:f>
        <x:v>0</x:v>
      </x:c>
      <x:c r="W13" s="297">
        <x:f>'Reporte Componentes R1'!O685</x:f>
        <x:v>0</x:v>
      </x:c>
      <x:c r="X13" s="297">
        <x:f>'Reporte Componentes R1'!P685</x:f>
        <x:v>0</x:v>
      </x:c>
      <x:c r="Y13" s="289">
        <x:f>'Reporte Componentes R1'!Q685</x:f>
        <x:v>0</x:v>
      </x:c>
      <x:c r="Z13" s="319">
        <x:f>L13*-1</x:f>
        <x:v>0</x:v>
      </x:c>
      <x:c r="AA13" s="320">
        <x:f>'Reporte Componentes R1'!R685+'Reporte Componentes R1'!V685+'Reporte Componentes R1'!U685</x:f>
        <x:v>0</x:v>
      </x:c>
      <x:c r="AB13" s="294">
        <x:f>N13</x:f>
        <x:v>0</x:v>
      </x:c>
      <x:c r="AC13" s="320">
        <x:f>'Reporte Componentes R1'!T685+'Reporte Componentes R1'!W685+'Reporte Componentes R1'!X685+'Reporte Componentes R1'!Y685+'Reporte Componentes R1'!Z685+'Reporte Componentes R1'!S685</x:f>
        <x:v>0</x:v>
      </x:c>
      <x:c r="AD13" s="291">
        <x:f t="shared" si="2"/>
        <x:v>0</x:v>
      </x:c>
      <x:c r="AE13" s="291">
        <x:f>'Reporte Componentes R1'!F686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R2'!E50</x:f>
        <x:v>0</x:v>
      </x:c>
      <x:c r="E28" s="292">
        <x:f>'Rem. Anticipos R2'!F50</x:f>
        <x:v>0</x:v>
      </x:c>
      <x:c r="F28" s="292">
        <x:f>'Rem. Anticipos R2'!G50</x:f>
        <x:v>0</x:v>
      </x:c>
      <x:c r="G28" s="292">
        <x:f>'Rem. Anticipos R2'!H50</x:f>
        <x:v>0</x:v>
      </x:c>
      <x:c r="H28" s="292">
        <x:f>'Rem. Anticipos R2'!I50</x:f>
        <x:v>0</x:v>
      </x:c>
      <x:c r="I28" s="292">
        <x:f>'Rem. Anticipos R2'!J50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R2'!L50</x:f>
        <x:v>0</x:v>
      </x:c>
      <x:c r="V28" s="308">
        <x:f>'Rem. Anticipos R2'!M50</x:f>
        <x:v>0</x:v>
      </x:c>
      <x:c r="W28" s="308">
        <x:f>'Rem. Anticipos R2'!N50</x:f>
        <x:v>0</x:v>
      </x:c>
      <x:c r="X28" s="308">
        <x:f>'Rem. Anticipos R2'!O50</x:f>
        <x:v>0</x:v>
      </x:c>
      <x:c r="Y28" s="309">
        <x:f>'Rem. Anticipos R2'!P50</x:f>
        <x:v>0</x:v>
      </x:c>
      <x:c r="Z28" s="310">
        <x:f>L28*-1</x:f>
        <x:v>0</x:v>
      </x:c>
      <x:c r="AA28" s="311">
        <x:f>'Rem. Anticipos R2'!Q50</x:f>
        <x:v>0</x:v>
      </x:c>
      <x:c r="AB28" s="294">
        <x:f>N28</x:f>
        <x:v>0</x:v>
      </x:c>
      <x:c r="AC28" s="311">
        <x:f>'Rem. Anticipos R2'!R50</x:f>
        <x:v>0</x:v>
      </x:c>
      <x:c r="AD28" s="291">
        <x:f>-J28+AE28</x:f>
        <x:v>0</x:v>
      </x:c>
      <x:c r="AE28" s="291">
        <x:f>'Rem. Anticipos R2'!E51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R2'!E158</x:f>
        <x:v>0</x:v>
      </x:c>
      <x:c r="E29" s="292">
        <x:f>'Rem. Anticipos R2'!F158</x:f>
        <x:v>0</x:v>
      </x:c>
      <x:c r="F29" s="292">
        <x:f>'Rem. Anticipos R2'!G158</x:f>
        <x:v>0</x:v>
      </x:c>
      <x:c r="G29" s="292">
        <x:f>'Rem. Anticipos R2'!H158</x:f>
        <x:v>0</x:v>
      </x:c>
      <x:c r="H29" s="292">
        <x:f>'Rem. Anticipos R2'!I158</x:f>
        <x:v>0</x:v>
      </x:c>
      <x:c r="I29" s="292">
        <x:f>'Rem. Anticipos R2'!J158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R2'!K158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R2'!L158</x:f>
        <x:v>0</x:v>
      </x:c>
      <x:c r="V29" s="317">
        <x:f>'Rem. Anticipos R2'!M158</x:f>
        <x:v>0</x:v>
      </x:c>
      <x:c r="W29" s="317">
        <x:f>'Rem. Anticipos R2'!N158</x:f>
        <x:v>0</x:v>
      </x:c>
      <x:c r="X29" s="317">
        <x:f>'Rem. Anticipos R2'!O158</x:f>
        <x:v>0</x:v>
      </x:c>
      <x:c r="Y29" s="318">
        <x:f>'Rem. Anticipos R2'!P158</x:f>
        <x:v>0</x:v>
      </x:c>
      <x:c r="Z29" s="319">
        <x:f>L29*-1</x:f>
        <x:v>0</x:v>
      </x:c>
      <x:c r="AA29" s="320">
        <x:f>'Rem. Anticipos R2'!Q158</x:f>
        <x:v>0</x:v>
      </x:c>
      <x:c r="AB29" s="294">
        <x:f>N29</x:f>
        <x:v>0</x:v>
      </x:c>
      <x:c r="AC29" s="320">
        <x:f>'Rem. Anticipos R2'!R158</x:f>
        <x:v>0</x:v>
      </x:c>
      <x:c r="AD29" s="291">
        <x:f>-J29+AE29</x:f>
        <x:v>0</x:v>
      </x:c>
      <x:c r="AE29" s="291">
        <x:f>'Rem. Anticipos R2'!E159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R2'!E276</x:f>
        <x:v>0</x:v>
      </x:c>
      <x:c r="E30" s="292">
        <x:f>'Rem. Anticipos R2'!F276</x:f>
        <x:v>0</x:v>
      </x:c>
      <x:c r="F30" s="292">
        <x:f>'Rem. Anticipos R2'!G276</x:f>
        <x:v>0</x:v>
      </x:c>
      <x:c r="G30" s="292">
        <x:f>'Rem. Anticipos R2'!H276</x:f>
        <x:v>0</x:v>
      </x:c>
      <x:c r="H30" s="292">
        <x:f>'Rem. Anticipos R2'!I276</x:f>
        <x:v>0</x:v>
      </x:c>
      <x:c r="I30" s="292">
        <x:f>'Rem. Anticipos R2'!J276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R2'!K276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R2'!L276</x:f>
        <x:v>0</x:v>
      </x:c>
      <x:c r="V30" s="317">
        <x:f>'Rem. Anticipos R2'!M276</x:f>
        <x:v>0</x:v>
      </x:c>
      <x:c r="W30" s="317">
        <x:f>'Rem. Anticipos R2'!N276</x:f>
        <x:v>0</x:v>
      </x:c>
      <x:c r="X30" s="317">
        <x:f>'Rem. Anticipos R2'!O276</x:f>
        <x:v>0</x:v>
      </x:c>
      <x:c r="Y30" s="318">
        <x:f>'Rem. Anticipos R2'!P276</x:f>
        <x:v>0</x:v>
      </x:c>
      <x:c r="Z30" s="319">
        <x:f>L30*-1</x:f>
        <x:v>0</x:v>
      </x:c>
      <x:c r="AA30" s="320">
        <x:f>'Rem. Anticipos R2'!Q276</x:f>
        <x:v>0</x:v>
      </x:c>
      <x:c r="AB30" s="294">
        <x:f>N30</x:f>
        <x:v>0</x:v>
      </x:c>
      <x:c r="AC30" s="320">
        <x:f>'Rem. Anticipos R2'!R276</x:f>
        <x:v>0</x:v>
      </x:c>
      <x:c r="AD30" s="291">
        <x:f t="shared" ref="AD30:AD32" si="10">-J30+AE30</x:f>
        <x:v>0</x:v>
      </x:c>
      <x:c r="AE30" s="291">
        <x:f>'Rem. Anticipos R2'!E277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R2'!E387</x:f>
        <x:v>0</x:v>
      </x:c>
      <x:c r="E31" s="292">
        <x:f>'Rem. Anticipos R2'!F387</x:f>
        <x:v>0</x:v>
      </x:c>
      <x:c r="F31" s="292">
        <x:f>'Rem. Anticipos R2'!G387</x:f>
        <x:v>0</x:v>
      </x:c>
      <x:c r="G31" s="292">
        <x:f>'Rem. Anticipos R2'!H387</x:f>
        <x:v>0</x:v>
      </x:c>
      <x:c r="H31" s="292">
        <x:f>'Rem. Anticipos R2'!I387</x:f>
        <x:v>0</x:v>
      </x:c>
      <x:c r="I31" s="292">
        <x:f>'Rem. Anticipos R2'!J387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R2'!K387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R2'!L387</x:f>
        <x:v>0</x:v>
      </x:c>
      <x:c r="V31" s="317">
        <x:f>'Rem. Anticipos R2'!M387</x:f>
        <x:v>0</x:v>
      </x:c>
      <x:c r="W31" s="317">
        <x:f>'Rem. Anticipos R2'!N387</x:f>
        <x:v>0</x:v>
      </x:c>
      <x:c r="X31" s="317">
        <x:f>'Rem. Anticipos R2'!O387</x:f>
        <x:v>0</x:v>
      </x:c>
      <x:c r="Y31" s="318">
        <x:f>'Rem. Anticipos R2'!P387</x:f>
        <x:v>0</x:v>
      </x:c>
      <x:c r="Z31" s="319">
        <x:f>L31*-1</x:f>
        <x:v>0</x:v>
      </x:c>
      <x:c r="AA31" s="320">
        <x:f>'Rem. Anticipos R2'!Q387</x:f>
        <x:v>0</x:v>
      </x:c>
      <x:c r="AB31" s="294">
        <x:f>N31</x:f>
        <x:v>0</x:v>
      </x:c>
      <x:c r="AC31" s="320">
        <x:f>'Rem. Anticipos R2'!R387</x:f>
        <x:v>0</x:v>
      </x:c>
      <x:c r="AD31" s="291">
        <x:f t="shared" si="10"/>
        <x:v>0</x:v>
      </x:c>
      <x:c r="AE31" s="291">
        <x:f>'Rem. Anticipos R2'!E388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R2'!E471</x:f>
        <x:v>0</x:v>
      </x:c>
      <x:c r="E32" s="297">
        <x:f>'Rem. Anticipos R2'!F471</x:f>
        <x:v>0</x:v>
      </x:c>
      <x:c r="F32" s="297">
        <x:f>'Rem. Anticipos R2'!G471</x:f>
        <x:v>0</x:v>
      </x:c>
      <x:c r="G32" s="297">
        <x:f>'Rem. Anticipos R2'!H471</x:f>
        <x:v>0</x:v>
      </x:c>
      <x:c r="H32" s="297">
        <x:f>'Rem. Anticipos R2'!I471</x:f>
        <x:v>0</x:v>
      </x:c>
      <x:c r="I32" s="297">
        <x:f>'Rem. Anticipos R2'!J471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R2'!K471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R2'!L471</x:f>
        <x:v>0</x:v>
      </x:c>
      <x:c r="V32" s="297">
        <x:f>'Rem. Anticipos R2'!M471</x:f>
        <x:v>0</x:v>
      </x:c>
      <x:c r="W32" s="297">
        <x:f>'Rem. Anticipos R2'!N471</x:f>
        <x:v>0</x:v>
      </x:c>
      <x:c r="X32" s="297">
        <x:f>'Rem. Anticipos R2'!O471</x:f>
        <x:v>0</x:v>
      </x:c>
      <x:c r="Y32" s="289">
        <x:f>'Rem. Anticipos R2'!P471</x:f>
        <x:v>0</x:v>
      </x:c>
      <x:c r="Z32" s="319">
        <x:f>L32*-1</x:f>
        <x:v>0</x:v>
      </x:c>
      <x:c r="AA32" s="320">
        <x:f>'Rem. Anticipos R2'!Q471</x:f>
        <x:v>0</x:v>
      </x:c>
      <x:c r="AB32" s="294">
        <x:f>N32</x:f>
        <x:v>0</x:v>
      </x:c>
      <x:c r="AC32" s="320">
        <x:f>'Rem. Anticipos R2'!R471</x:f>
        <x:v>0</x:v>
      </x:c>
      <x:c r="AD32" s="291">
        <x:f t="shared" si="10"/>
        <x:v>0</x:v>
      </x:c>
      <x:c r="AE32" s="291">
        <x:f>'Rem. Anticipos R2'!E472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R1'!F82</x:f>
        <x:v>0</x:v>
      </x:c>
      <x:c r="E47" s="292">
        <x:f>'Reporte Componentes R1'!G82</x:f>
        <x:v>0</x:v>
      </x:c>
      <x:c r="F47" s="292">
        <x:f>'Reporte Componentes R1'!H82</x:f>
        <x:v>0</x:v>
      </x:c>
      <x:c r="G47" s="292">
        <x:f>'Reporte Componentes R1'!I82</x:f>
        <x:v>0</x:v>
      </x:c>
      <x:c r="H47" s="292">
        <x:f>'Reporte Componentes R1'!J82</x:f>
        <x:v>0</x:v>
      </x:c>
      <x:c r="I47" s="292">
        <x:f>'Reporte Componentes R1'!K82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R1'!M82</x:f>
        <x:v>0</x:v>
      </x:c>
      <x:c r="V47" s="308">
        <x:f>'Reporte Componentes R1'!N82</x:f>
        <x:v>0</x:v>
      </x:c>
      <x:c r="W47" s="308">
        <x:f>'Reporte Componentes R1'!O82</x:f>
        <x:v>0</x:v>
      </x:c>
      <x:c r="X47" s="308">
        <x:f>'Reporte Componentes R1'!P82</x:f>
        <x:v>0</x:v>
      </x:c>
      <x:c r="Y47" s="309">
        <x:f>'Reporte Componentes R1'!Q82</x:f>
        <x:v>0</x:v>
      </x:c>
      <x:c r="Z47" s="310">
        <x:f>-L47</x:f>
        <x:v>0</x:v>
      </x:c>
      <x:c r="AA47" s="311">
        <x:f>'Reporte Componentes R1'!R82+'Reporte Componentes R1'!V82+'Reporte Componentes R1'!U82</x:f>
        <x:v>0</x:v>
      </x:c>
      <x:c r="AB47" s="294">
        <x:f>N47</x:f>
        <x:v>0</x:v>
      </x:c>
      <x:c r="AC47" s="311">
        <x:f>'Reporte Componentes R1'!T82+'Reporte Componentes R1'!W82+'Reporte Componentes R1'!X82+'Reporte Componentes R1'!Y82+'Reporte Componentes R1'!Z82+'Reporte Componentes R1'!S82</x:f>
        <x:v>0</x:v>
      </x:c>
      <x:c r="AD47" s="291">
        <x:f>-J47+AE47</x:f>
        <x:v>0</x:v>
      </x:c>
      <x:c r="AE47" s="291">
        <x:f>'Reporte Componentes R1'!F83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R1'!F261</x:f>
        <x:v>0</x:v>
      </x:c>
      <x:c r="E48" s="292">
        <x:f>'Reporte Componentes R1'!G261</x:f>
        <x:v>0</x:v>
      </x:c>
      <x:c r="F48" s="292">
        <x:f>'Reporte Componentes R1'!H261</x:f>
        <x:v>0</x:v>
      </x:c>
      <x:c r="G48" s="292">
        <x:f>'Reporte Componentes R1'!I261</x:f>
        <x:v>0</x:v>
      </x:c>
      <x:c r="H48" s="292">
        <x:f>'Reporte Componentes R1'!J261</x:f>
        <x:v>0</x:v>
      </x:c>
      <x:c r="I48" s="292">
        <x:f>'Reporte Componentes R1'!K261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R1'!L261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R1'!M261</x:f>
        <x:v>0</x:v>
      </x:c>
      <x:c r="V48" s="317">
        <x:f>'Reporte Componentes R1'!N261</x:f>
        <x:v>0</x:v>
      </x:c>
      <x:c r="W48" s="317">
        <x:f>'Reporte Componentes R1'!O261</x:f>
        <x:v>0</x:v>
      </x:c>
      <x:c r="X48" s="317">
        <x:f>'Reporte Componentes R1'!P261</x:f>
        <x:v>0</x:v>
      </x:c>
      <x:c r="Y48" s="318">
        <x:f>'Reporte Componentes R1'!Q261</x:f>
        <x:v>0</x:v>
      </x:c>
      <x:c r="Z48" s="319">
        <x:f>-L48</x:f>
        <x:v>0</x:v>
      </x:c>
      <x:c r="AA48" s="320">
        <x:f>'Reporte Componentes R1'!R261+'Reporte Componentes R1'!V261+'Reporte Componentes R1'!U261</x:f>
        <x:v>0</x:v>
      </x:c>
      <x:c r="AB48" s="294">
        <x:f>N48</x:f>
        <x:v>0</x:v>
      </x:c>
      <x:c r="AC48" s="320">
        <x:f>'Reporte Componentes R1'!T261+'Reporte Componentes R1'!W261+'Reporte Componentes R1'!X261+'Reporte Componentes R1'!Y261+'Reporte Componentes R1'!Z261+'Reporte Componentes R1'!S261</x:f>
        <x:v>0</x:v>
      </x:c>
      <x:c r="AD48" s="291">
        <x:f t="shared" ref="AD48:AD51" si="18">-J48+AE48</x:f>
        <x:v>0</x:v>
      </x:c>
      <x:c r="AE48" s="291">
        <x:f>'Reporte Componentes R1'!F262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R1'!F422</x:f>
        <x:v>0</x:v>
      </x:c>
      <x:c r="E49" s="292">
        <x:f>'Reporte Componentes R1'!G422</x:f>
        <x:v>0</x:v>
      </x:c>
      <x:c r="F49" s="292">
        <x:f>'Reporte Componentes R1'!H422</x:f>
        <x:v>0</x:v>
      </x:c>
      <x:c r="G49" s="292">
        <x:f>'Reporte Componentes R1'!I422</x:f>
        <x:v>0</x:v>
      </x:c>
      <x:c r="H49" s="292">
        <x:f>'Reporte Componentes R1'!J422</x:f>
        <x:v>0</x:v>
      </x:c>
      <x:c r="I49" s="292">
        <x:f>'Reporte Componentes R1'!K422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R1'!L422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R1'!M422</x:f>
        <x:v>0</x:v>
      </x:c>
      <x:c r="V49" s="317">
        <x:f>'Reporte Componentes R1'!N422</x:f>
        <x:v>0</x:v>
      </x:c>
      <x:c r="W49" s="317">
        <x:f>'Reporte Componentes R1'!O422</x:f>
        <x:v>0</x:v>
      </x:c>
      <x:c r="X49" s="317">
        <x:f>'Reporte Componentes R1'!P422</x:f>
        <x:v>0</x:v>
      </x:c>
      <x:c r="Y49" s="318">
        <x:f>'Reporte Componentes R1'!Q422</x:f>
        <x:v>0</x:v>
      </x:c>
      <x:c r="Z49" s="319">
        <x:f>-L49</x:f>
        <x:v>0</x:v>
      </x:c>
      <x:c r="AA49" s="320">
        <x:f>'Reporte Componentes R1'!R422+'Reporte Componentes R1'!V422+'Reporte Componentes R1'!U422</x:f>
        <x:v>0</x:v>
      </x:c>
      <x:c r="AB49" s="294">
        <x:f>N49</x:f>
        <x:v>0</x:v>
      </x:c>
      <x:c r="AC49" s="320">
        <x:f>'Reporte Componentes R1'!T422+'Reporte Componentes R1'!W422+'Reporte Componentes R1'!X422+'Reporte Componentes R1'!Y422+'Reporte Componentes R1'!Z422+'Reporte Componentes R1'!S422</x:f>
        <x:v>0</x:v>
      </x:c>
      <x:c r="AD49" s="291">
        <x:f t="shared" si="18"/>
        <x:v>0</x:v>
      </x:c>
      <x:c r="AE49" s="291">
        <x:f>'Reporte Componentes R1'!F423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R1'!F575</x:f>
        <x:v>0</x:v>
      </x:c>
      <x:c r="E50" s="292">
        <x:f>'Reporte Componentes R1'!G575</x:f>
        <x:v>0</x:v>
      </x:c>
      <x:c r="F50" s="292">
        <x:f>'Reporte Componentes R1'!H575</x:f>
        <x:v>0</x:v>
      </x:c>
      <x:c r="G50" s="292">
        <x:f>'Reporte Componentes R1'!I575</x:f>
        <x:v>0</x:v>
      </x:c>
      <x:c r="H50" s="292">
        <x:f>'Reporte Componentes R1'!J575</x:f>
        <x:v>0</x:v>
      </x:c>
      <x:c r="I50" s="292">
        <x:f>'Reporte Componentes R1'!K575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R1'!L575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R1'!M575</x:f>
        <x:v>0</x:v>
      </x:c>
      <x:c r="V50" s="317">
        <x:f>'Reporte Componentes R1'!N575</x:f>
        <x:v>0</x:v>
      </x:c>
      <x:c r="W50" s="317">
        <x:f>'Reporte Componentes R1'!O575</x:f>
        <x:v>0</x:v>
      </x:c>
      <x:c r="X50" s="317">
        <x:f>'Reporte Componentes R1'!P575</x:f>
        <x:v>0</x:v>
      </x:c>
      <x:c r="Y50" s="318">
        <x:f>'Reporte Componentes R1'!Q575</x:f>
        <x:v>0</x:v>
      </x:c>
      <x:c r="Z50" s="319">
        <x:f>-L50</x:f>
        <x:v>0</x:v>
      </x:c>
      <x:c r="AA50" s="320">
        <x:f>'Reporte Componentes R1'!R575+'Reporte Componentes R1'!V575+'Reporte Componentes R1'!U575</x:f>
        <x:v>0</x:v>
      </x:c>
      <x:c r="AB50" s="294">
        <x:f>N50</x:f>
        <x:v>0</x:v>
      </x:c>
      <x:c r="AC50" s="320">
        <x:f>'Reporte Componentes R1'!T575+'Reporte Componentes R1'!W575+'Reporte Componentes R1'!X575+'Reporte Componentes R1'!Y575+'Reporte Componentes R1'!Z575+'Reporte Componentes R1'!S575</x:f>
        <x:v>0</x:v>
      </x:c>
      <x:c r="AD50" s="291">
        <x:f t="shared" si="18"/>
        <x:v>0</x:v>
      </x:c>
      <x:c r="AE50" s="291">
        <x:f>'Reporte Componentes R1'!F576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R1'!F687</x:f>
        <x:v>0</x:v>
      </x:c>
      <x:c r="E51" s="297">
        <x:f>'Reporte Componentes R1'!G687</x:f>
        <x:v>0</x:v>
      </x:c>
      <x:c r="F51" s="297">
        <x:f>'Reporte Componentes R1'!H687</x:f>
        <x:v>0</x:v>
      </x:c>
      <x:c r="G51" s="297">
        <x:f>'Reporte Componentes R1'!I687</x:f>
        <x:v>0</x:v>
      </x:c>
      <x:c r="H51" s="297">
        <x:f>'Reporte Componentes R1'!J687</x:f>
        <x:v>0</x:v>
      </x:c>
      <x:c r="I51" s="297">
        <x:f>'Reporte Componentes R1'!K687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R1'!L687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R1'!M687</x:f>
        <x:v>0</x:v>
      </x:c>
      <x:c r="V51" s="297">
        <x:f>'Reporte Componentes R1'!N687</x:f>
        <x:v>0</x:v>
      </x:c>
      <x:c r="W51" s="297">
        <x:f>'Reporte Componentes R1'!O687</x:f>
        <x:v>0</x:v>
      </x:c>
      <x:c r="X51" s="297">
        <x:f>'Reporte Componentes R1'!P687</x:f>
        <x:v>0</x:v>
      </x:c>
      <x:c r="Y51" s="289">
        <x:f>'Reporte Componentes R1'!Q687</x:f>
        <x:v>0</x:v>
      </x:c>
      <x:c r="Z51" s="319">
        <x:f>-L51</x:f>
        <x:v>0</x:v>
      </x:c>
      <x:c r="AA51" s="320">
        <x:f>'Reporte Componentes R1'!R687+'Reporte Componentes R1'!V687+'Reporte Componentes R1'!U687</x:f>
        <x:v>0</x:v>
      </x:c>
      <x:c r="AB51" s="294">
        <x:f>N51</x:f>
        <x:v>0</x:v>
      </x:c>
      <x:c r="AC51" s="320">
        <x:f>'Reporte Componentes R1'!T687+'Reporte Componentes R1'!W687+'Reporte Componentes R1'!X687+'Reporte Componentes R1'!Y687+'Reporte Componentes R1'!Z687+'Reporte Componentes R1'!S687</x:f>
        <x:v>0</x:v>
      </x:c>
      <x:c r="AD51" s="291">
        <x:f t="shared" si="18"/>
        <x:v>0</x:v>
      </x:c>
      <x:c r="AE51" s="291">
        <x:f>'Reporte Componentes R1'!F688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R4'!D76</x:f>
        <x:v>0</x:v>
      </x:c>
      <x:c r="E66" s="292">
        <x:f>'Reversion Pagos R4'!E76</x:f>
        <x:v>0</x:v>
      </x:c>
      <x:c r="F66" s="292">
        <x:f>'Reversion Pagos R4'!F76</x:f>
        <x:v>0</x:v>
      </x:c>
      <x:c r="G66" s="292">
        <x:f>'Reversion Pagos R4'!G76</x:f>
        <x:v>0</x:v>
      </x:c>
      <x:c r="H66" s="292">
        <x:f>'Reversion Pagos R4'!H76</x:f>
        <x:v>0</x:v>
      </x:c>
      <x:c r="I66" s="292">
        <x:f>'Reversion Pagos R4'!I76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R4'!P76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R4'!J76</x:f>
        <x:v>0</x:v>
      </x:c>
      <x:c r="V66" s="308">
        <x:f>'Reversion Pagos R4'!K76</x:f>
        <x:v>0</x:v>
      </x:c>
      <x:c r="W66" s="308">
        <x:f>'Reversion Pagos R4'!L76</x:f>
        <x:v>0</x:v>
      </x:c>
      <x:c r="X66" s="308">
        <x:f>'Reversion Pagos R4'!M76</x:f>
        <x:v>0</x:v>
      </x:c>
      <x:c r="Y66" s="309">
        <x:f>'Reversion Pagos R4'!N76</x:f>
        <x:v>0</x:v>
      </x:c>
      <x:c r="Z66" s="310">
        <x:f>-L66</x:f>
        <x:v>0</x:v>
      </x:c>
      <x:c r="AA66" s="320">
        <x:f>'Reversion Pagos R4'!O76</x:f>
        <x:v>0</x:v>
      </x:c>
      <x:c r="AB66" s="294">
        <x:f>N66</x:f>
        <x:v>0</x:v>
      </x:c>
      <x:c r="AC66" s="320">
        <x:f>+'Reversion Pagos R4'!Q76+'Reversion Pagos R4'!R76</x:f>
        <x:v>0</x:v>
      </x:c>
      <x:c r="AD66" s="291">
        <x:f>-J66+AE66</x:f>
        <x:v>0</x:v>
      </x:c>
      <x:c r="AE66" s="291">
        <x:f>'Reversion Pagos R4'!D77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R4'!D177</x:f>
        <x:v>0</x:v>
      </x:c>
      <x:c r="E67" s="292">
        <x:f>'Reversion Pagos R4'!E177</x:f>
        <x:v>0</x:v>
      </x:c>
      <x:c r="F67" s="292">
        <x:f>'Reversion Pagos R4'!F177</x:f>
        <x:v>0</x:v>
      </x:c>
      <x:c r="G67" s="292">
        <x:f>'Reversion Pagos R4'!G177</x:f>
        <x:v>0</x:v>
      </x:c>
      <x:c r="H67" s="292">
        <x:f>'Reversion Pagos R4'!H177</x:f>
        <x:v>0</x:v>
      </x:c>
      <x:c r="I67" s="292">
        <x:f>'Reversion Pagos R4'!I177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R4'!P177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R4'!J177</x:f>
        <x:v>0</x:v>
      </x:c>
      <x:c r="V67" s="317">
        <x:f>'Reversion Pagos R4'!K177</x:f>
        <x:v>0</x:v>
      </x:c>
      <x:c r="W67" s="317">
        <x:f>'Reversion Pagos R4'!L177</x:f>
        <x:v>0</x:v>
      </x:c>
      <x:c r="X67" s="317">
        <x:f>'Reversion Pagos R4'!M177</x:f>
        <x:v>0</x:v>
      </x:c>
      <x:c r="Y67" s="318">
        <x:f>'Reversion Pagos R4'!N177</x:f>
        <x:v>0</x:v>
      </x:c>
      <x:c r="Z67" s="319">
        <x:f t="shared" ref="Z67:Z70" si="27">-L67</x:f>
        <x:v>0</x:v>
      </x:c>
      <x:c r="AA67" s="320">
        <x:f>'Reversion Pagos R4'!O177</x:f>
        <x:v>0</x:v>
      </x:c>
      <x:c r="AB67" s="294">
        <x:f t="shared" ref="AB67:AB70" si="28">N67</x:f>
        <x:v>0</x:v>
      </x:c>
      <x:c r="AC67" s="320">
        <x:f>+'Reversion Pagos R4'!Q177+'Reversion Pagos R4'!R177</x:f>
        <x:v>0</x:v>
      </x:c>
      <x:c r="AD67" s="291">
        <x:f t="shared" ref="AD67:AD70" si="29">-J67+AE67</x:f>
        <x:v>0</x:v>
      </x:c>
      <x:c r="AE67" s="291">
        <x:f>'Reversion Pagos R4'!D178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R4'!D214</x:f>
        <x:v>0</x:v>
      </x:c>
      <x:c r="E68" s="292">
        <x:f>'Reversion Pagos R4'!E214</x:f>
        <x:v>0</x:v>
      </x:c>
      <x:c r="F68" s="292">
        <x:f>'Reversion Pagos R4'!F214</x:f>
        <x:v>0</x:v>
      </x:c>
      <x:c r="G68" s="292">
        <x:f>'Reversion Pagos R4'!G214</x:f>
        <x:v>0</x:v>
      </x:c>
      <x:c r="H68" s="292">
        <x:f>'Reversion Pagos R4'!H214</x:f>
        <x:v>0</x:v>
      </x:c>
      <x:c r="I68" s="292">
        <x:f>'Reversion Pagos R4'!I214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R4'!P214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R4'!J214</x:f>
        <x:v>0</x:v>
      </x:c>
      <x:c r="V68" s="317">
        <x:f>'Reversion Pagos R4'!K214</x:f>
        <x:v>0</x:v>
      </x:c>
      <x:c r="W68" s="317">
        <x:f>'Reversion Pagos R4'!L214</x:f>
        <x:v>0</x:v>
      </x:c>
      <x:c r="X68" s="317">
        <x:f>'Reversion Pagos R4'!M214</x:f>
        <x:v>0</x:v>
      </x:c>
      <x:c r="Y68" s="318">
        <x:f>'Reversion Pagos R4'!N214</x:f>
        <x:v>0</x:v>
      </x:c>
      <x:c r="Z68" s="319">
        <x:f t="shared" si="27"/>
        <x:v>0</x:v>
      </x:c>
      <x:c r="AA68" s="320">
        <x:f>'Reversion Pagos R4'!O214</x:f>
        <x:v>0</x:v>
      </x:c>
      <x:c r="AB68" s="294">
        <x:f t="shared" si="28"/>
        <x:v>0</x:v>
      </x:c>
      <x:c r="AC68" s="320">
        <x:f>+'Reversion Pagos R4'!Q214+'Reversion Pagos R4'!R214</x:f>
        <x:v>0</x:v>
      </x:c>
      <x:c r="AD68" s="291">
        <x:f t="shared" si="29"/>
        <x:v>0</x:v>
      </x:c>
      <x:c r="AE68" s="291">
        <x:f>'Reversion Pagos R4'!D215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R4'!D329</x:f>
        <x:v>0</x:v>
      </x:c>
      <x:c r="E69" s="292">
        <x:f>'Reversion Pagos R4'!E329</x:f>
        <x:v>0</x:v>
      </x:c>
      <x:c r="F69" s="292">
        <x:f>'Reversion Pagos R4'!F329</x:f>
        <x:v>0</x:v>
      </x:c>
      <x:c r="G69" s="292">
        <x:f>'Reversion Pagos R4'!G329</x:f>
        <x:v>0</x:v>
      </x:c>
      <x:c r="H69" s="292">
        <x:f>'Reversion Pagos R4'!H329</x:f>
        <x:v>0</x:v>
      </x:c>
      <x:c r="I69" s="292">
        <x:f>'Reversion Pagos R4'!I329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R4'!P329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R4'!J329</x:f>
        <x:v>0</x:v>
      </x:c>
      <x:c r="V69" s="317">
        <x:f>'Reversion Pagos R4'!K329</x:f>
        <x:v>0</x:v>
      </x:c>
      <x:c r="W69" s="317">
        <x:f>'Reversion Pagos R4'!L329</x:f>
        <x:v>0</x:v>
      </x:c>
      <x:c r="X69" s="317">
        <x:f>'Reversion Pagos R4'!M329</x:f>
        <x:v>0</x:v>
      </x:c>
      <x:c r="Y69" s="318">
        <x:f>'Reversion Pagos R4'!N329</x:f>
        <x:v>0</x:v>
      </x:c>
      <x:c r="Z69" s="319">
        <x:f t="shared" si="27"/>
        <x:v>0</x:v>
      </x:c>
      <x:c r="AA69" s="320">
        <x:f>'Reversion Pagos R4'!O329</x:f>
        <x:v>0</x:v>
      </x:c>
      <x:c r="AB69" s="294">
        <x:f t="shared" si="28"/>
        <x:v>0</x:v>
      </x:c>
      <x:c r="AC69" s="320">
        <x:f>+'Reversion Pagos R4'!Q329+'Reversion Pagos R4'!R329</x:f>
        <x:v>0</x:v>
      </x:c>
      <x:c r="AD69" s="291">
        <x:f t="shared" si="29"/>
        <x:v>0</x:v>
      </x:c>
      <x:c r="AE69" s="291">
        <x:f>'Reversion Pagos R4'!D330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R4'!D364</x:f>
        <x:v>0</x:v>
      </x:c>
      <x:c r="E70" s="297">
        <x:f>'Reversion Pagos R4'!E364</x:f>
        <x:v>0</x:v>
      </x:c>
      <x:c r="F70" s="297">
        <x:f>'Reversion Pagos R4'!F364</x:f>
        <x:v>0</x:v>
      </x:c>
      <x:c r="G70" s="297">
        <x:f>'Reversion Pagos R4'!G364</x:f>
        <x:v>0</x:v>
      </x:c>
      <x:c r="H70" s="297">
        <x:f>'Reversion Pagos R4'!H364</x:f>
        <x:v>0</x:v>
      </x:c>
      <x:c r="I70" s="297">
        <x:f>'Reversion Pagos R4'!I364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R4'!P364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R4'!J364</x:f>
        <x:v>0</x:v>
      </x:c>
      <x:c r="V70" s="297">
        <x:f>'Reversion Pagos R4'!K364</x:f>
        <x:v>0</x:v>
      </x:c>
      <x:c r="W70" s="297">
        <x:f>'Reversion Pagos R4'!L364</x:f>
        <x:v>0</x:v>
      </x:c>
      <x:c r="X70" s="297">
        <x:f>'Reversion Pagos R4'!M364</x:f>
        <x:v>0</x:v>
      </x:c>
      <x:c r="Y70" s="289">
        <x:f>'Reversion Pagos R4'!N364</x:f>
        <x:v>0</x:v>
      </x:c>
      <x:c r="Z70" s="319">
        <x:f t="shared" si="27"/>
        <x:v>0</x:v>
      </x:c>
      <x:c r="AA70" s="320">
        <x:f>'Reversion Pagos R4'!O364</x:f>
        <x:v>0</x:v>
      </x:c>
      <x:c r="AB70" s="294">
        <x:f t="shared" si="28"/>
        <x:v>0</x:v>
      </x:c>
      <x:c r="AC70" s="320">
        <x:f>+'Reversion Pagos R4'!Q364+'Reversion Pagos R4'!R364</x:f>
        <x:v>0</x:v>
      </x:c>
      <x:c r="AD70" s="291">
        <x:f t="shared" si="29"/>
        <x:v>0</x:v>
      </x:c>
      <x:c r="AE70" s="291">
        <x:f>'Reversion Pagos R4'!D365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R1'!F85</x:f>
        <x:v>0</x:v>
      </x:c>
      <x:c r="E9" s="292">
        <x:f>'Reporte Componentes R1'!G85</x:f>
        <x:v>0</x:v>
      </x:c>
      <x:c r="F9" s="292">
        <x:f>'Reporte Componentes R1'!H85</x:f>
        <x:v>0</x:v>
      </x:c>
      <x:c r="G9" s="292">
        <x:f>'Reporte Componentes R1'!I85</x:f>
        <x:v>0</x:v>
      </x:c>
      <x:c r="H9" s="292">
        <x:f>'Reporte Componentes R1'!J85</x:f>
        <x:v>0</x:v>
      </x:c>
      <x:c r="I9" s="292">
        <x:f>'Reporte Componentes R1'!K85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R1'!L85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R1'!M85</x:f>
        <x:v>0</x:v>
      </x:c>
      <x:c r="V9" s="308">
        <x:f>'Reporte Componentes R1'!N85</x:f>
        <x:v>0</x:v>
      </x:c>
      <x:c r="W9" s="308">
        <x:f>'Reporte Componentes R1'!O85</x:f>
        <x:v>0</x:v>
      </x:c>
      <x:c r="X9" s="308">
        <x:f>'Reporte Componentes R1'!P85</x:f>
        <x:v>0</x:v>
      </x:c>
      <x:c r="Y9" s="309">
        <x:f>'Reporte Componentes R1'!Q85</x:f>
        <x:v>0</x:v>
      </x:c>
      <x:c r="Z9" s="310">
        <x:f>L9*-1</x:f>
        <x:v>-189185988</x:v>
      </x:c>
      <x:c r="AA9" s="311">
        <x:f>'Reporte Componentes R1'!R85+'Reporte Componentes R1'!V85+'Reporte Componentes R1'!U85</x:f>
        <x:v>0</x:v>
      </x:c>
      <x:c r="AB9" s="294">
        <x:f>N9</x:f>
        <x:v>0</x:v>
      </x:c>
      <x:c r="AC9" s="311">
        <x:f>'Reporte Componentes R1'!T85+'Reporte Componentes R1'!W85+'Reporte Componentes R1'!X85+'Reporte Componentes R1'!Y85+'Reporte Componentes R1'!Z85+'Reporte Componentes R1'!S85</x:f>
        <x:v>0</x:v>
      </x:c>
      <x:c r="AD9" s="291">
        <x:f>-J9+AE9</x:f>
        <x:v>0</x:v>
      </x:c>
      <x:c r="AE9" s="291">
        <x:f>'Reporte Componentes R1'!F86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R1'!F264</x:f>
        <x:v>0</x:v>
      </x:c>
      <x:c r="E10" s="292">
        <x:f>'Reporte Componentes R1'!G264</x:f>
        <x:v>0</x:v>
      </x:c>
      <x:c r="F10" s="292">
        <x:f>'Reporte Componentes R1'!H264</x:f>
        <x:v>0</x:v>
      </x:c>
      <x:c r="G10" s="292">
        <x:f>'Reporte Componentes R1'!I264</x:f>
        <x:v>0</x:v>
      </x:c>
      <x:c r="H10" s="292">
        <x:f>'Reporte Componentes R1'!J264</x:f>
        <x:v>0</x:v>
      </x:c>
      <x:c r="I10" s="292">
        <x:f>'Reporte Componentes R1'!K264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R1'!L264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R1'!M264</x:f>
        <x:v>0</x:v>
      </x:c>
      <x:c r="V10" s="317">
        <x:f>'Reporte Componentes R1'!N264</x:f>
        <x:v>0</x:v>
      </x:c>
      <x:c r="W10" s="317">
        <x:f>'Reporte Componentes R1'!O264</x:f>
        <x:v>0</x:v>
      </x:c>
      <x:c r="X10" s="317">
        <x:f>'Reporte Componentes R1'!P264</x:f>
        <x:v>0</x:v>
      </x:c>
      <x:c r="Y10" s="318">
        <x:f>'Reporte Componentes R1'!Q264</x:f>
        <x:v>0</x:v>
      </x:c>
      <x:c r="Z10" s="319">
        <x:f>L10*-1</x:f>
        <x:v>-266580256</x:v>
      </x:c>
      <x:c r="AA10" s="320">
        <x:f>'Reporte Componentes R1'!R264+'Reporte Componentes R1'!V264+'Reporte Componentes R1'!U264</x:f>
        <x:v>0</x:v>
      </x:c>
      <x:c r="AB10" s="294">
        <x:f>N10</x:f>
        <x:v>0</x:v>
      </x:c>
      <x:c r="AC10" s="320">
        <x:f>'Reporte Componentes R1'!T264+'Reporte Componentes R1'!W264+'Reporte Componentes R1'!X264+'Reporte Componentes R1'!Y264+'Reporte Componentes R1'!Z264+'Reporte Componentes R1'!S264</x:f>
        <x:v>0</x:v>
      </x:c>
      <x:c r="AD10" s="291">
        <x:f t="shared" ref="AD10:AD13" si="1">-J10+AE10</x:f>
        <x:v>0</x:v>
      </x:c>
      <x:c r="AE10" s="291">
        <x:f>'Reporte Componentes R1'!F265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R1'!F425</x:f>
        <x:v>0</x:v>
      </x:c>
      <x:c r="E11" s="292">
        <x:f>'Reporte Componentes R1'!G425</x:f>
        <x:v>0</x:v>
      </x:c>
      <x:c r="F11" s="292">
        <x:f>'Reporte Componentes R1'!H425</x:f>
        <x:v>0</x:v>
      </x:c>
      <x:c r="G11" s="292">
        <x:f>'Reporte Componentes R1'!I425</x:f>
        <x:v>0</x:v>
      </x:c>
      <x:c r="H11" s="292">
        <x:f>'Reporte Componentes R1'!J425</x:f>
        <x:v>0</x:v>
      </x:c>
      <x:c r="I11" s="292">
        <x:f>'Reporte Componentes R1'!K425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R1'!L425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R1'!M425</x:f>
        <x:v>0</x:v>
      </x:c>
      <x:c r="V11" s="317">
        <x:f>'Reporte Componentes R1'!N425</x:f>
        <x:v>0</x:v>
      </x:c>
      <x:c r="W11" s="317">
        <x:f>'Reporte Componentes R1'!O425</x:f>
        <x:v>0</x:v>
      </x:c>
      <x:c r="X11" s="317">
        <x:f>'Reporte Componentes R1'!P425</x:f>
        <x:v>0</x:v>
      </x:c>
      <x:c r="Y11" s="318">
        <x:f>'Reporte Componentes R1'!Q425</x:f>
        <x:v>0</x:v>
      </x:c>
      <x:c r="Z11" s="319">
        <x:f>L11*-1</x:f>
        <x:v>-154788536</x:v>
      </x:c>
      <x:c r="AA11" s="320">
        <x:f>'Reporte Componentes R1'!R425+'Reporte Componentes R1'!V425+'Reporte Componentes R1'!U425</x:f>
        <x:v>0</x:v>
      </x:c>
      <x:c r="AB11" s="294">
        <x:f>N11</x:f>
        <x:v>0</x:v>
      </x:c>
      <x:c r="AC11" s="320">
        <x:f>'Reporte Componentes R1'!T425+'Reporte Componentes R1'!W425+'Reporte Componentes R1'!X425+'Reporte Componentes R1'!Y425+'Reporte Componentes R1'!Z425+'Reporte Componentes R1'!S425</x:f>
        <x:v>0</x:v>
      </x:c>
      <x:c r="AD11" s="291">
        <x:f t="shared" si="1"/>
        <x:v>0</x:v>
      </x:c>
      <x:c r="AE11" s="291">
        <x:f>'Reporte Componentes R1'!F426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R1'!F578</x:f>
        <x:v>0</x:v>
      </x:c>
      <x:c r="E12" s="292">
        <x:f>'Reporte Componentes R1'!G578</x:f>
        <x:v>0</x:v>
      </x:c>
      <x:c r="F12" s="292">
        <x:f>'Reporte Componentes R1'!H578</x:f>
        <x:v>0</x:v>
      </x:c>
      <x:c r="G12" s="292">
        <x:f>'Reporte Componentes R1'!I578</x:f>
        <x:v>0</x:v>
      </x:c>
      <x:c r="H12" s="292">
        <x:f>'Reporte Componentes R1'!J578</x:f>
        <x:v>0</x:v>
      </x:c>
      <x:c r="I12" s="292">
        <x:f>'Reporte Componentes R1'!K578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R1'!L578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R1'!M578</x:f>
        <x:v>0</x:v>
      </x:c>
      <x:c r="V12" s="317">
        <x:f>'Reporte Componentes R1'!N578</x:f>
        <x:v>0</x:v>
      </x:c>
      <x:c r="W12" s="317">
        <x:f>'Reporte Componentes R1'!O578</x:f>
        <x:v>0</x:v>
      </x:c>
      <x:c r="X12" s="317">
        <x:f>'Reporte Componentes R1'!P578</x:f>
        <x:v>0</x:v>
      </x:c>
      <x:c r="Y12" s="318">
        <x:f>'Reporte Componentes R1'!Q578</x:f>
        <x:v>0</x:v>
      </x:c>
      <x:c r="Z12" s="319">
        <x:f>L12*-1</x:f>
        <x:v>-120391083</x:v>
      </x:c>
      <x:c r="AA12" s="320">
        <x:f>'Reporte Componentes R1'!R578+'Reporte Componentes R1'!V578+'Reporte Componentes R1'!U578</x:f>
        <x:v>0</x:v>
      </x:c>
      <x:c r="AB12" s="294">
        <x:f>N12</x:f>
        <x:v>0</x:v>
      </x:c>
      <x:c r="AC12" s="320">
        <x:f>'Reporte Componentes R1'!T578+'Reporte Componentes R1'!W578+'Reporte Componentes R1'!X578+'Reporte Componentes R1'!Y578+'Reporte Componentes R1'!Z578+'Reporte Componentes R1'!S578</x:f>
        <x:v>0</x:v>
      </x:c>
      <x:c r="AD12" s="291">
        <x:f t="shared" si="1"/>
        <x:v>0</x:v>
      </x:c>
      <x:c r="AE12" s="291">
        <x:f>'Reporte Componentes R1'!F579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R1'!F690</x:f>
        <x:v>0</x:v>
      </x:c>
      <x:c r="E13" s="297">
        <x:f>'Reporte Componentes R1'!G690</x:f>
        <x:v>0</x:v>
      </x:c>
      <x:c r="F13" s="297">
        <x:f>'Reporte Componentes R1'!H690</x:f>
        <x:v>0</x:v>
      </x:c>
      <x:c r="G13" s="297">
        <x:f>'Reporte Componentes R1'!I690</x:f>
        <x:v>0</x:v>
      </x:c>
      <x:c r="H13" s="297">
        <x:f>'Reporte Componentes R1'!J690</x:f>
        <x:v>0</x:v>
      </x:c>
      <x:c r="I13" s="297">
        <x:f>'Reporte Componentes R1'!K690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R1'!L690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R1'!M690</x:f>
        <x:v>0</x:v>
      </x:c>
      <x:c r="V13" s="297">
        <x:f>'Reporte Componentes R1'!N690</x:f>
        <x:v>0</x:v>
      </x:c>
      <x:c r="W13" s="297">
        <x:f>'Reporte Componentes R1'!O690</x:f>
        <x:v>0</x:v>
      </x:c>
      <x:c r="X13" s="297">
        <x:f>'Reporte Componentes R1'!P690</x:f>
        <x:v>0</x:v>
      </x:c>
      <x:c r="Y13" s="289">
        <x:f>'Reporte Componentes R1'!Q690</x:f>
        <x:v>0</x:v>
      </x:c>
      <x:c r="Z13" s="319">
        <x:f>L13*-1</x:f>
        <x:v>-128990446</x:v>
      </x:c>
      <x:c r="AA13" s="320">
        <x:f>'Reporte Componentes R1'!R690+'Reporte Componentes R1'!V690+'Reporte Componentes R1'!U690</x:f>
        <x:v>0</x:v>
      </x:c>
      <x:c r="AB13" s="294">
        <x:f>N13</x:f>
        <x:v>0</x:v>
      </x:c>
      <x:c r="AC13" s="320">
        <x:f>'Reporte Componentes R1'!T690+'Reporte Componentes R1'!W690+'Reporte Componentes R1'!X690+'Reporte Componentes R1'!Y690+'Reporte Componentes R1'!Z690+'Reporte Componentes R1'!S690</x:f>
        <x:v>0</x:v>
      </x:c>
      <x:c r="AD13" s="291">
        <x:f t="shared" si="1"/>
        <x:v>0</x:v>
      </x:c>
      <x:c r="AE13" s="291">
        <x:f>'Reporte Componentes R1'!F691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R2'!E53</x:f>
        <x:v>0</x:v>
      </x:c>
      <x:c r="E28" s="292">
        <x:f>'Rem. Anticipos R2'!F53</x:f>
        <x:v>0</x:v>
      </x:c>
      <x:c r="F28" s="292">
        <x:f>'Rem. Anticipos R2'!G53</x:f>
        <x:v>0</x:v>
      </x:c>
      <x:c r="G28" s="292">
        <x:f>'Rem. Anticipos R2'!H53</x:f>
        <x:v>0</x:v>
      </x:c>
      <x:c r="H28" s="292">
        <x:f>'Rem. Anticipos R2'!I53</x:f>
        <x:v>0</x:v>
      </x:c>
      <x:c r="I28" s="292">
        <x:f>'Rem. Anticipos R2'!J53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R2'!L53</x:f>
        <x:v>0</x:v>
      </x:c>
      <x:c r="V28" s="308">
        <x:f>'Rem. Anticipos R2'!M53</x:f>
        <x:v>0</x:v>
      </x:c>
      <x:c r="W28" s="308">
        <x:f>'Rem. Anticipos R2'!N53</x:f>
        <x:v>0</x:v>
      </x:c>
      <x:c r="X28" s="308">
        <x:f>'Rem. Anticipos R2'!O53</x:f>
        <x:v>0</x:v>
      </x:c>
      <x:c r="Y28" s="309">
        <x:f>'Rem. Anticipos R2'!P53</x:f>
        <x:v>0</x:v>
      </x:c>
      <x:c r="Z28" s="310">
        <x:f>L28*-1</x:f>
        <x:v>0</x:v>
      </x:c>
      <x:c r="AA28" s="311">
        <x:f>'Rem. Anticipos R2'!Q53</x:f>
        <x:v>0</x:v>
      </x:c>
      <x:c r="AB28" s="294">
        <x:f>N28</x:f>
        <x:v>0</x:v>
      </x:c>
      <x:c r="AC28" s="311">
        <x:f>'Rem. Anticipos R2'!R53</x:f>
        <x:v>0</x:v>
      </x:c>
      <x:c r="AD28" s="291">
        <x:f>-J28+AE28</x:f>
        <x:v>0</x:v>
      </x:c>
      <x:c r="AE28" s="291">
        <x:f>'Rem. Anticipos R2'!E54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R2'!E161</x:f>
        <x:v>0</x:v>
      </x:c>
      <x:c r="E29" s="292">
        <x:f>'Rem. Anticipos R2'!F161</x:f>
        <x:v>0</x:v>
      </x:c>
      <x:c r="F29" s="292">
        <x:f>'Rem. Anticipos R2'!G161</x:f>
        <x:v>0</x:v>
      </x:c>
      <x:c r="G29" s="292">
        <x:f>'Rem. Anticipos R2'!H161</x:f>
        <x:v>0</x:v>
      </x:c>
      <x:c r="H29" s="292">
        <x:f>'Rem. Anticipos R2'!I161</x:f>
        <x:v>0</x:v>
      </x:c>
      <x:c r="I29" s="292">
        <x:f>'Rem. Anticipos R2'!J161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R2'!L161</x:f>
        <x:v>0</x:v>
      </x:c>
      <x:c r="V29" s="317">
        <x:f>'Rem. Anticipos R2'!M161</x:f>
        <x:v>0</x:v>
      </x:c>
      <x:c r="W29" s="317">
        <x:f>'Rem. Anticipos R2'!N161</x:f>
        <x:v>0</x:v>
      </x:c>
      <x:c r="X29" s="317">
        <x:f>'Rem. Anticipos R2'!O161</x:f>
        <x:v>0</x:v>
      </x:c>
      <x:c r="Y29" s="318">
        <x:f>'Rem. Anticipos R2'!P161</x:f>
        <x:v>0</x:v>
      </x:c>
      <x:c r="Z29" s="319">
        <x:f>L29*-1</x:f>
        <x:v>0</x:v>
      </x:c>
      <x:c r="AA29" s="320">
        <x:f>'Rem. Anticipos R2'!Q161</x:f>
        <x:v>0</x:v>
      </x:c>
      <x:c r="AB29" s="294">
        <x:f>N29</x:f>
        <x:v>0</x:v>
      </x:c>
      <x:c r="AC29" s="320">
        <x:f>'Rem. Anticipos R2'!R161</x:f>
        <x:v>0</x:v>
      </x:c>
      <x:c r="AD29" s="291">
        <x:f>-J29+AE29</x:f>
        <x:v>0</x:v>
      </x:c>
      <x:c r="AE29" s="291">
        <x:f>'Rem. Anticipos R2'!E162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R2'!E279</x:f>
        <x:v>0</x:v>
      </x:c>
      <x:c r="E30" s="292">
        <x:f>'Rem. Anticipos R2'!F279</x:f>
        <x:v>0</x:v>
      </x:c>
      <x:c r="F30" s="292">
        <x:f>'Rem. Anticipos R2'!G279</x:f>
        <x:v>0</x:v>
      </x:c>
      <x:c r="G30" s="292">
        <x:f>'Rem. Anticipos R2'!H279</x:f>
        <x:v>0</x:v>
      </x:c>
      <x:c r="H30" s="292">
        <x:f>'Rem. Anticipos R2'!I279</x:f>
        <x:v>0</x:v>
      </x:c>
      <x:c r="I30" s="292">
        <x:f>'Rem. Anticipos R2'!J279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R2'!K279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R2'!L279</x:f>
        <x:v>0</x:v>
      </x:c>
      <x:c r="V30" s="317">
        <x:f>'Rem. Anticipos R2'!M279</x:f>
        <x:v>0</x:v>
      </x:c>
      <x:c r="W30" s="317">
        <x:f>'Rem. Anticipos R2'!N279</x:f>
        <x:v>0</x:v>
      </x:c>
      <x:c r="X30" s="317">
        <x:f>'Rem. Anticipos R2'!O279</x:f>
        <x:v>0</x:v>
      </x:c>
      <x:c r="Y30" s="318">
        <x:f>'Rem. Anticipos R2'!P279</x:f>
        <x:v>0</x:v>
      </x:c>
      <x:c r="Z30" s="319">
        <x:f>L30*-1</x:f>
        <x:v>0</x:v>
      </x:c>
      <x:c r="AA30" s="320">
        <x:f>'Rem. Anticipos R2'!Q279</x:f>
        <x:v>0</x:v>
      </x:c>
      <x:c r="AB30" s="294">
        <x:f>N30</x:f>
        <x:v>0</x:v>
      </x:c>
      <x:c r="AC30" s="320">
        <x:f>'Rem. Anticipos R2'!R279</x:f>
        <x:v>0</x:v>
      </x:c>
      <x:c r="AD30" s="291">
        <x:f t="shared" ref="AD30:AD32" si="10">-J30+AE30</x:f>
        <x:v>0</x:v>
      </x:c>
      <x:c r="AE30" s="291">
        <x:f>'Rem. Anticipos R2'!E280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R2'!E390</x:f>
        <x:v>0</x:v>
      </x:c>
      <x:c r="E31" s="292">
        <x:f>'Rem. Anticipos R2'!F390</x:f>
        <x:v>0</x:v>
      </x:c>
      <x:c r="F31" s="292">
        <x:f>'Rem. Anticipos R2'!G390</x:f>
        <x:v>0</x:v>
      </x:c>
      <x:c r="G31" s="292">
        <x:f>'Rem. Anticipos R2'!H390</x:f>
        <x:v>0</x:v>
      </x:c>
      <x:c r="H31" s="292">
        <x:f>'Rem. Anticipos R2'!I390</x:f>
        <x:v>0</x:v>
      </x:c>
      <x:c r="I31" s="292">
        <x:f>'Rem. Anticipos R2'!J390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R2'!K390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R2'!L390</x:f>
        <x:v>0</x:v>
      </x:c>
      <x:c r="V31" s="317">
        <x:f>'Rem. Anticipos R2'!M390</x:f>
        <x:v>0</x:v>
      </x:c>
      <x:c r="W31" s="317">
        <x:f>'Rem. Anticipos R2'!N390</x:f>
        <x:v>0</x:v>
      </x:c>
      <x:c r="X31" s="317">
        <x:f>'Rem. Anticipos R2'!O390</x:f>
        <x:v>0</x:v>
      </x:c>
      <x:c r="Y31" s="318">
        <x:f>'Rem. Anticipos R2'!P390</x:f>
        <x:v>0</x:v>
      </x:c>
      <x:c r="Z31" s="319">
        <x:f>L31*-1</x:f>
        <x:v>0</x:v>
      </x:c>
      <x:c r="AA31" s="320">
        <x:f>'Rem. Anticipos R2'!Q390</x:f>
        <x:v>0</x:v>
      </x:c>
      <x:c r="AB31" s="294">
        <x:f>N31</x:f>
        <x:v>0</x:v>
      </x:c>
      <x:c r="AC31" s="320">
        <x:f>'Rem. Anticipos R2'!R390</x:f>
        <x:v>0</x:v>
      </x:c>
      <x:c r="AD31" s="291">
        <x:f t="shared" si="10"/>
        <x:v>0</x:v>
      </x:c>
      <x:c r="AE31" s="291">
        <x:f>'Rem. Anticipos R2'!E391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R2'!E474</x:f>
        <x:v>0</x:v>
      </x:c>
      <x:c r="E32" s="297">
        <x:f>'Rem. Anticipos R2'!F474</x:f>
        <x:v>0</x:v>
      </x:c>
      <x:c r="F32" s="297">
        <x:f>'Rem. Anticipos R2'!G474</x:f>
        <x:v>0</x:v>
      </x:c>
      <x:c r="G32" s="297">
        <x:f>'Rem. Anticipos R2'!H474</x:f>
        <x:v>0</x:v>
      </x:c>
      <x:c r="H32" s="297">
        <x:f>'Rem. Anticipos R2'!I474</x:f>
        <x:v>0</x:v>
      </x:c>
      <x:c r="I32" s="297">
        <x:f>'Rem. Anticipos R2'!J474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R2'!K474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R2'!L474</x:f>
        <x:v>0</x:v>
      </x:c>
      <x:c r="V32" s="297">
        <x:f>'Rem. Anticipos R2'!M474</x:f>
        <x:v>0</x:v>
      </x:c>
      <x:c r="W32" s="297">
        <x:f>'Rem. Anticipos R2'!N474</x:f>
        <x:v>0</x:v>
      </x:c>
      <x:c r="X32" s="297">
        <x:f>'Rem. Anticipos R2'!O474</x:f>
        <x:v>0</x:v>
      </x:c>
      <x:c r="Y32" s="289">
        <x:f>'Rem. Anticipos R2'!P474</x:f>
        <x:v>0</x:v>
      </x:c>
      <x:c r="Z32" s="319">
        <x:f>L32*-1</x:f>
        <x:v>0</x:v>
      </x:c>
      <x:c r="AA32" s="320">
        <x:f>'Rem. Anticipos R2'!Q474</x:f>
        <x:v>0</x:v>
      </x:c>
      <x:c r="AB32" s="294">
        <x:f>N32</x:f>
        <x:v>0</x:v>
      </x:c>
      <x:c r="AC32" s="320">
        <x:f>'Rem. Anticipos R2'!R474</x:f>
        <x:v>0</x:v>
      </x:c>
      <x:c r="AD32" s="291">
        <x:f t="shared" si="10"/>
        <x:v>0</x:v>
      </x:c>
      <x:c r="AE32" s="291">
        <x:f>'Rem. Anticipos R2'!E475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R1'!F87</x:f>
        <x:v>0</x:v>
      </x:c>
      <x:c r="E47" s="292">
        <x:f>'Reporte Componentes R1'!G87</x:f>
        <x:v>0</x:v>
      </x:c>
      <x:c r="F47" s="292">
        <x:f>'Reporte Componentes R1'!H87</x:f>
        <x:v>0</x:v>
      </x:c>
      <x:c r="G47" s="292">
        <x:f>'Reporte Componentes R1'!I87</x:f>
        <x:v>0</x:v>
      </x:c>
      <x:c r="H47" s="292">
        <x:f>'Reporte Componentes R1'!J87</x:f>
        <x:v>0</x:v>
      </x:c>
      <x:c r="I47" s="292">
        <x:f>'Reporte Componentes R1'!K87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R1'!L87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R1'!M87</x:f>
        <x:v>0</x:v>
      </x:c>
      <x:c r="V47" s="308">
        <x:f>'Reporte Componentes R1'!N87</x:f>
        <x:v>0</x:v>
      </x:c>
      <x:c r="W47" s="308">
        <x:f>'Reporte Componentes R1'!O87</x:f>
        <x:v>0</x:v>
      </x:c>
      <x:c r="X47" s="308">
        <x:f>'Reporte Componentes R1'!P87</x:f>
        <x:v>0</x:v>
      </x:c>
      <x:c r="Y47" s="309">
        <x:f>'Reporte Componentes R1'!Q87</x:f>
        <x:v>0</x:v>
      </x:c>
      <x:c r="Z47" s="310">
        <x:f>-L47</x:f>
        <x:v>0</x:v>
      </x:c>
      <x:c r="AA47" s="320">
        <x:f>'Reporte Componentes R1'!R87+'Reporte Componentes R1'!V87+'Reporte Componentes R1'!U87</x:f>
        <x:v>0</x:v>
      </x:c>
      <x:c r="AB47" s="294">
        <x:f>N47</x:f>
        <x:v>0</x:v>
      </x:c>
      <x:c r="AC47" s="311">
        <x:f>'Reporte Componentes R1'!T87+'Reporte Componentes R1'!W87+'Reporte Componentes R1'!X87+'Reporte Componentes R1'!Y87+'Reporte Componentes R1'!Z87+'Reporte Componentes R1'!S87</x:f>
        <x:v>0</x:v>
      </x:c>
      <x:c r="AD47" s="291">
        <x:f>-J47+AE47</x:f>
        <x:v>0</x:v>
      </x:c>
      <x:c r="AE47" s="291">
        <x:f>'Reporte Componentes R1'!F88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R1'!F266</x:f>
        <x:v>0</x:v>
      </x:c>
      <x:c r="E48" s="292">
        <x:f>'Reporte Componentes R1'!G266</x:f>
        <x:v>0</x:v>
      </x:c>
      <x:c r="F48" s="292">
        <x:f>'Reporte Componentes R1'!H266</x:f>
        <x:v>0</x:v>
      </x:c>
      <x:c r="G48" s="292">
        <x:f>'Reporte Componentes R1'!I266</x:f>
        <x:v>0</x:v>
      </x:c>
      <x:c r="H48" s="292">
        <x:f>'Reporte Componentes R1'!J266</x:f>
        <x:v>0</x:v>
      </x:c>
      <x:c r="I48" s="292">
        <x:f>'Reporte Componentes R1'!K266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R1'!L266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R1'!M266</x:f>
        <x:v>0</x:v>
      </x:c>
      <x:c r="V48" s="317">
        <x:f>'Reporte Componentes R1'!N266</x:f>
        <x:v>0</x:v>
      </x:c>
      <x:c r="W48" s="317">
        <x:f>'Reporte Componentes R1'!O266</x:f>
        <x:v>0</x:v>
      </x:c>
      <x:c r="X48" s="317">
        <x:f>'Reporte Componentes R1'!P266</x:f>
        <x:v>0</x:v>
      </x:c>
      <x:c r="Y48" s="318">
        <x:f>'Reporte Componentes R1'!Q266</x:f>
        <x:v>0</x:v>
      </x:c>
      <x:c r="Z48" s="319">
        <x:f>-L48</x:f>
        <x:v>0</x:v>
      </x:c>
      <x:c r="AA48" s="320">
        <x:f>'Reporte Componentes R1'!R266+'Reporte Componentes R1'!V266+'Reporte Componentes R1'!U266</x:f>
        <x:v>0</x:v>
      </x:c>
      <x:c r="AB48" s="294">
        <x:f>N48</x:f>
        <x:v>0</x:v>
      </x:c>
      <x:c r="AC48" s="320">
        <x:f>'Reporte Componentes R1'!T266+'Reporte Componentes R1'!W266+'Reporte Componentes R1'!X266+'Reporte Componentes R1'!Y266+'Reporte Componentes R1'!Z266+'Reporte Componentes R1'!S266</x:f>
        <x:v>0</x:v>
      </x:c>
      <x:c r="AD48" s="291">
        <x:f t="shared" ref="AD48:AD51" si="17">-J48+AE48</x:f>
        <x:v>0</x:v>
      </x:c>
      <x:c r="AE48" s="291">
        <x:f>'Reporte Componentes R1'!F267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R1'!F427</x:f>
        <x:v>0</x:v>
      </x:c>
      <x:c r="E49" s="292">
        <x:f>'Reporte Componentes R1'!G427</x:f>
        <x:v>0</x:v>
      </x:c>
      <x:c r="F49" s="292">
        <x:f>'Reporte Componentes R1'!H427</x:f>
        <x:v>0</x:v>
      </x:c>
      <x:c r="G49" s="292">
        <x:f>'Reporte Componentes R1'!I427</x:f>
        <x:v>0</x:v>
      </x:c>
      <x:c r="H49" s="292">
        <x:f>'Reporte Componentes R1'!J427</x:f>
        <x:v>0</x:v>
      </x:c>
      <x:c r="I49" s="292">
        <x:f>'Reporte Componentes R1'!K427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R1'!L427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R1'!M427</x:f>
        <x:v>0</x:v>
      </x:c>
      <x:c r="V49" s="317">
        <x:f>'Reporte Componentes R1'!N427</x:f>
        <x:v>0</x:v>
      </x:c>
      <x:c r="W49" s="317">
        <x:f>'Reporte Componentes R1'!O427</x:f>
        <x:v>0</x:v>
      </x:c>
      <x:c r="X49" s="317">
        <x:f>'Reporte Componentes R1'!P427</x:f>
        <x:v>0</x:v>
      </x:c>
      <x:c r="Y49" s="318">
        <x:f>'Reporte Componentes R1'!Q427</x:f>
        <x:v>0</x:v>
      </x:c>
      <x:c r="Z49" s="319">
        <x:f>-L49</x:f>
        <x:v>0</x:v>
      </x:c>
      <x:c r="AA49" s="320">
        <x:f>'Reporte Componentes R1'!R427+'Reporte Componentes R1'!V427+'Reporte Componentes R1'!U427</x:f>
        <x:v>0</x:v>
      </x:c>
      <x:c r="AB49" s="294">
        <x:f>N49</x:f>
        <x:v>0</x:v>
      </x:c>
      <x:c r="AC49" s="320">
        <x:f>'Reporte Componentes R1'!T427+'Reporte Componentes R1'!W427+'Reporte Componentes R1'!X427+'Reporte Componentes R1'!Y427+'Reporte Componentes R1'!Z427+'Reporte Componentes R1'!S427</x:f>
        <x:v>0</x:v>
      </x:c>
      <x:c r="AD49" s="291">
        <x:f t="shared" si="17"/>
        <x:v>0</x:v>
      </x:c>
      <x:c r="AE49" s="291">
        <x:f>'Reporte Componentes R1'!F428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R1'!F580</x:f>
        <x:v>0</x:v>
      </x:c>
      <x:c r="E50" s="292">
        <x:f>'Reporte Componentes R1'!G580</x:f>
        <x:v>0</x:v>
      </x:c>
      <x:c r="F50" s="292">
        <x:f>'Reporte Componentes R1'!H580</x:f>
        <x:v>0</x:v>
      </x:c>
      <x:c r="G50" s="292">
        <x:f>'Reporte Componentes R1'!I580</x:f>
        <x:v>0</x:v>
      </x:c>
      <x:c r="H50" s="292">
        <x:f>'Reporte Componentes R1'!J580</x:f>
        <x:v>0</x:v>
      </x:c>
      <x:c r="I50" s="292">
        <x:f>'Reporte Componentes R1'!K580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R1'!L580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R1'!M580</x:f>
        <x:v>0</x:v>
      </x:c>
      <x:c r="V50" s="317">
        <x:f>'Reporte Componentes R1'!N580</x:f>
        <x:v>0</x:v>
      </x:c>
      <x:c r="W50" s="317">
        <x:f>'Reporte Componentes R1'!O580</x:f>
        <x:v>0</x:v>
      </x:c>
      <x:c r="X50" s="317">
        <x:f>'Reporte Componentes R1'!P580</x:f>
        <x:v>0</x:v>
      </x:c>
      <x:c r="Y50" s="318">
        <x:f>'Reporte Componentes R1'!Q580</x:f>
        <x:v>0</x:v>
      </x:c>
      <x:c r="Z50" s="319">
        <x:f>-L50</x:f>
        <x:v>0</x:v>
      </x:c>
      <x:c r="AA50" s="320">
        <x:f>'Reporte Componentes R1'!R580+'Reporte Componentes R1'!V580+'Reporte Componentes R1'!U580</x:f>
        <x:v>0</x:v>
      </x:c>
      <x:c r="AB50" s="294">
        <x:f>N50</x:f>
        <x:v>0</x:v>
      </x:c>
      <x:c r="AC50" s="320">
        <x:f>'Reporte Componentes R1'!T580+'Reporte Componentes R1'!W580+'Reporte Componentes R1'!X580+'Reporte Componentes R1'!Y580+'Reporte Componentes R1'!Z580+'Reporte Componentes R1'!S580</x:f>
        <x:v>0</x:v>
      </x:c>
      <x:c r="AD50" s="291">
        <x:f t="shared" si="17"/>
        <x:v>0</x:v>
      </x:c>
      <x:c r="AE50" s="291">
        <x:f>'Reporte Componentes R1'!F581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R1'!F692</x:f>
        <x:v>0</x:v>
      </x:c>
      <x:c r="E51" s="297">
        <x:f>'Reporte Componentes R1'!G692</x:f>
        <x:v>0</x:v>
      </x:c>
      <x:c r="F51" s="297">
        <x:f>'Reporte Componentes R1'!H692</x:f>
        <x:v>0</x:v>
      </x:c>
      <x:c r="G51" s="297">
        <x:f>'Reporte Componentes R1'!I692</x:f>
        <x:v>0</x:v>
      </x:c>
      <x:c r="H51" s="297">
        <x:f>'Reporte Componentes R1'!J692</x:f>
        <x:v>0</x:v>
      </x:c>
      <x:c r="I51" s="297">
        <x:f>'Reporte Componentes R1'!K692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R1'!L692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R1'!M692</x:f>
        <x:v>0</x:v>
      </x:c>
      <x:c r="V51" s="297">
        <x:f>'Reporte Componentes R1'!N692</x:f>
        <x:v>0</x:v>
      </x:c>
      <x:c r="W51" s="297">
        <x:f>'Reporte Componentes R1'!O692</x:f>
        <x:v>0</x:v>
      </x:c>
      <x:c r="X51" s="297">
        <x:f>'Reporte Componentes R1'!P692</x:f>
        <x:v>0</x:v>
      </x:c>
      <x:c r="Y51" s="289">
        <x:f>'Reporte Componentes R1'!Q692</x:f>
        <x:v>0</x:v>
      </x:c>
      <x:c r="Z51" s="319">
        <x:f>-L51</x:f>
        <x:v>0</x:v>
      </x:c>
      <x:c r="AA51" s="320">
        <x:f>'Reporte Componentes R1'!R692+'Reporte Componentes R1'!V692+'Reporte Componentes R1'!U692</x:f>
        <x:v>0</x:v>
      </x:c>
      <x:c r="AB51" s="294">
        <x:f>N51</x:f>
        <x:v>0</x:v>
      </x:c>
      <x:c r="AC51" s="320">
        <x:f>'Reporte Componentes R1'!T692+'Reporte Componentes R1'!W692+'Reporte Componentes R1'!X692+'Reporte Componentes R1'!Y692+'Reporte Componentes R1'!Z692+'Reporte Componentes R1'!S692</x:f>
        <x:v>0</x:v>
      </x:c>
      <x:c r="AD51" s="291">
        <x:f t="shared" si="17"/>
        <x:v>0</x:v>
      </x:c>
      <x:c r="AE51" s="291">
        <x:f>'Reporte Componentes R1'!F693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9">
        <x:f>'Reversion Pagos R4'!N79</x:f>
        <x:v>0</x:v>
      </x:c>
      <x:c r="Z66" s="310">
        <x:f>-L66</x:f>
        <x:v>0</x:v>
      </x:c>
      <x:c r="AA66" s="311">
        <x:f>+'Reversion Pagos R4'!O79</x:f>
        <x:v>0</x:v>
      </x:c>
      <x:c r="AB66" s="294">
        <x:f>N66</x:f>
        <x:v>0</x:v>
      </x:c>
      <x:c r="AC66" s="311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6">-L67</x:f>
        <x:v>0</x:v>
      </x:c>
      <x:c r="AA67" s="320">
        <x:f>'Reversion Pagos R4'!O180</x:f>
        <x:v>0</x:v>
      </x:c>
      <x:c r="AB67" s="294">
        <x:f t="shared" ref="AB67:AB70" si="27">N67</x:f>
        <x:v>0</x:v>
      </x:c>
      <x:c r="AC67" s="320">
        <x:f>'Reversion Pagos R4'!Q180+'Reversion Pagos R4'!R180</x:f>
        <x:v>0</x:v>
      </x:c>
      <x:c r="AD67" s="291">
        <x:f t="shared" ref="AD67:AD70" si="28">-J67+AE67</x:f>
        <x:v>0</x:v>
      </x:c>
      <x:c r="AE67" s="291">
        <x:f>'Reversion Pagos R4'!D181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6"/>
        <x:v>0</x:v>
      </x:c>
      <x:c r="AA68" s="320">
        <x:f>'Reversion Pagos R4'!O217</x:f>
        <x:v>0</x:v>
      </x:c>
      <x:c r="AB68" s="294">
        <x:f t="shared" si="27"/>
        <x:v>0</x:v>
      </x:c>
      <x:c r="AC68" s="320">
        <x:f>'Reversion Pagos R4'!Q217+'Reversion Pagos R4'!R217</x:f>
        <x:v>0</x:v>
      </x:c>
      <x:c r="AD68" s="291">
        <x:f t="shared" si="28"/>
        <x:v>0</x:v>
      </x:c>
      <x:c r="AE68" s="291">
        <x:f>'Reversion Pagos R4'!D218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6"/>
        <x:v>0</x:v>
      </x:c>
      <x:c r="AA69" s="320">
        <x:f>'Reversion Pagos R4'!O332</x:f>
        <x:v>0</x:v>
      </x:c>
      <x:c r="AB69" s="294">
        <x:f t="shared" si="27"/>
        <x:v>0</x:v>
      </x:c>
      <x:c r="AC69" s="320">
        <x:f>'Reversion Pagos R4'!Q332+'Reversion Pagos R4'!R332</x:f>
        <x:v>0</x:v>
      </x:c>
      <x:c r="AD69" s="291">
        <x:f t="shared" si="28"/>
        <x:v>0</x:v>
      </x:c>
      <x:c r="AE69" s="291">
        <x:f>'Reversion Pagos R4'!D333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R4'!D367</x:f>
        <x:v>0</x:v>
      </x:c>
      <x:c r="E70" s="297">
        <x:f>'Reversion Pagos R4'!E367</x:f>
        <x:v>0</x:v>
      </x:c>
      <x:c r="F70" s="297">
        <x:f>'Reversion Pagos R4'!F367</x:f>
        <x:v>0</x:v>
      </x:c>
      <x:c r="G70" s="297">
        <x:f>'Reversion Pagos R4'!G367</x:f>
        <x:v>0</x:v>
      </x:c>
      <x:c r="H70" s="297">
        <x:f>'Reversion Pagos R4'!H367</x:f>
        <x:v>0</x:v>
      </x:c>
      <x:c r="I70" s="297">
        <x:f>'Reversion Pagos R4'!I367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R4'!P367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R4'!J367</x:f>
        <x:v>0</x:v>
      </x:c>
      <x:c r="V70" s="297">
        <x:f>'Reversion Pagos R4'!K367</x:f>
        <x:v>0</x:v>
      </x:c>
      <x:c r="W70" s="297">
        <x:f>'Reversion Pagos R4'!L367</x:f>
        <x:v>0</x:v>
      </x:c>
      <x:c r="X70" s="297">
        <x:f>'Reversion Pagos R4'!M367</x:f>
        <x:v>0</x:v>
      </x:c>
      <x:c r="Y70" s="289">
        <x:f>'Reversion Pagos R4'!N367</x:f>
        <x:v>0</x:v>
      </x:c>
      <x:c r="Z70" s="319">
        <x:f t="shared" si="26"/>
        <x:v>0</x:v>
      </x:c>
      <x:c r="AA70" s="320">
        <x:f>'Reversion Pagos R4'!O367</x:f>
        <x:v>0</x:v>
      </x:c>
      <x:c r="AB70" s="294">
        <x:f t="shared" si="27"/>
        <x:v>0</x:v>
      </x:c>
      <x:c r="AC70" s="320">
        <x:f>'Reversion Pagos R4'!Q367+'Reversion Pagos R4'!R367</x:f>
        <x:v>0</x:v>
      </x:c>
      <x:c r="AD70" s="291">
        <x:f t="shared" si="28"/>
        <x:v>0</x:v>
      </x:c>
      <x:c r="AE70" s="291">
        <x:f>'Reversion Pagos R4'!D368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R1'!F90</x:f>
        <x:v>0</x:v>
      </x:c>
      <x:c r="E9" s="291">
        <x:f>'Reporte Componentes R1'!G90</x:f>
        <x:v>0</x:v>
      </x:c>
      <x:c r="F9" s="291">
        <x:f>'Reporte Componentes R1'!H90</x:f>
        <x:v>0</x:v>
      </x:c>
      <x:c r="G9" s="291">
        <x:f>'Reporte Componentes R1'!I90</x:f>
        <x:v>0</x:v>
      </x:c>
      <x:c r="H9" s="291">
        <x:f>'Reporte Componentes R1'!J90</x:f>
        <x:v>0</x:v>
      </x:c>
      <x:c r="I9" s="291">
        <x:f>'Reporte Componentes R1'!K90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R1'!M90</x:f>
        <x:v>0</x:v>
      </x:c>
      <x:c r="V9" s="307">
        <x:f>'Reporte Componentes R1'!N90</x:f>
        <x:v>0</x:v>
      </x:c>
      <x:c r="W9" s="307">
        <x:f>'Reporte Componentes R1'!O90</x:f>
        <x:v>0</x:v>
      </x:c>
      <x:c r="X9" s="307">
        <x:f>'Reporte Componentes R1'!P90</x:f>
        <x:v>0</x:v>
      </x:c>
      <x:c r="Y9" s="307">
        <x:f>'Reporte Componentes R1'!Q90</x:f>
        <x:v>0</x:v>
      </x:c>
      <x:c r="Z9" s="319">
        <x:f>L9*-1</x:f>
        <x:v>0</x:v>
      </x:c>
      <x:c r="AA9" s="320">
        <x:f>'Reporte Componentes R1'!R90+'Reporte Componentes R1'!V235+'Reporte Componentes R1'!U90</x:f>
        <x:v>0</x:v>
      </x:c>
      <x:c r="AB9" s="294">
        <x:f>N9</x:f>
        <x:v>0</x:v>
      </x:c>
      <x:c r="AC9" s="320">
        <x:f>'Reporte Componentes R1'!T90+'Reporte Componentes R1'!W90+'Reporte Componentes R1'!X90+'Reporte Componentes R1'!Y90+'Reporte Componentes R1'!Z90+'Reporte Componentes R1'!S90</x:f>
        <x:v>0</x:v>
      </x:c>
      <x:c r="AD9" s="291">
        <x:f>-J9+AE9</x:f>
        <x:v>0</x:v>
      </x:c>
      <x:c r="AE9" s="291">
        <x:f>'Reporte Componentes R1'!F91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R1'!F269</x:f>
        <x:v>0</x:v>
      </x:c>
      <x:c r="E10" s="291">
        <x:f>'Reporte Componentes R1'!G269</x:f>
        <x:v>0</x:v>
      </x:c>
      <x:c r="F10" s="291">
        <x:f>'Reporte Componentes R1'!H269</x:f>
        <x:v>0</x:v>
      </x:c>
      <x:c r="G10" s="291">
        <x:f>'Reporte Componentes R1'!I269</x:f>
        <x:v>0</x:v>
      </x:c>
      <x:c r="H10" s="291">
        <x:f>'Reporte Componentes R1'!J269</x:f>
        <x:v>0</x:v>
      </x:c>
      <x:c r="I10" s="291">
        <x:f>'Reporte Componentes R1'!K269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R1'!L269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R1'!M269</x:f>
        <x:v>0</x:v>
      </x:c>
      <x:c r="V10" s="316">
        <x:f>'Reporte Componentes R1'!N269</x:f>
        <x:v>0</x:v>
      </x:c>
      <x:c r="W10" s="316">
        <x:f>'Reporte Componentes R1'!O269</x:f>
        <x:v>0</x:v>
      </x:c>
      <x:c r="X10" s="316">
        <x:f>'Reporte Componentes R1'!P269</x:f>
        <x:v>0</x:v>
      </x:c>
      <x:c r="Y10" s="316">
        <x:f>'Reporte Componentes R1'!Q269</x:f>
        <x:v>0</x:v>
      </x:c>
      <x:c r="Z10" s="319">
        <x:f>L10*-1</x:f>
        <x:v>0</x:v>
      </x:c>
      <x:c r="AA10" s="320">
        <x:f>'Reporte Componentes R1'!R269+'Reporte Componentes R1'!V269+'Reporte Componentes R1'!U269</x:f>
        <x:v>0</x:v>
      </x:c>
      <x:c r="AB10" s="294">
        <x:f>N10</x:f>
        <x:v>0</x:v>
      </x:c>
      <x:c r="AC10" s="320">
        <x:f>'Reporte Componentes R1'!T370+'Reporte Componentes R1'!W370+'Reporte Componentes R1'!X370+'Reporte Componentes R1'!Y370+'Reporte Componentes R1'!Z370+'Reporte Componentes R1'!S370</x:f>
        <x:v>0</x:v>
      </x:c>
      <x:c r="AD10" s="291">
        <x:f t="shared" ref="AD10:AD13" si="2">-J10+AE10</x:f>
        <x:v>0</x:v>
      </x:c>
      <x:c r="AE10" s="291">
        <x:f>'Reporte Componentes R1'!F270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R1'!F430</x:f>
        <x:v>0</x:v>
      </x:c>
      <x:c r="E11" s="291">
        <x:f>'Reporte Componentes R1'!G430</x:f>
        <x:v>0</x:v>
      </x:c>
      <x:c r="F11" s="291">
        <x:f>'Reporte Componentes R1'!H430</x:f>
        <x:v>0</x:v>
      </x:c>
      <x:c r="G11" s="291">
        <x:f>'Reporte Componentes R1'!I430</x:f>
        <x:v>0</x:v>
      </x:c>
      <x:c r="H11" s="291">
        <x:f>'Reporte Componentes R1'!J430</x:f>
        <x:v>0</x:v>
      </x:c>
      <x:c r="I11" s="291">
        <x:f>'Reporte Componentes R1'!K430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R1'!M430</x:f>
        <x:v>0</x:v>
      </x:c>
      <x:c r="V11" s="316">
        <x:f>'Reporte Componentes R1'!N430</x:f>
        <x:v>0</x:v>
      </x:c>
      <x:c r="W11" s="316">
        <x:f>'Reporte Componentes R1'!O430</x:f>
        <x:v>0</x:v>
      </x:c>
      <x:c r="X11" s="316">
        <x:f>'Reporte Componentes R1'!P430</x:f>
        <x:v>0</x:v>
      </x:c>
      <x:c r="Y11" s="316">
        <x:f>'Reporte Componentes R1'!Q430</x:f>
        <x:v>0</x:v>
      </x:c>
      <x:c r="Z11" s="319">
        <x:f>L11*-1</x:f>
        <x:v>0</x:v>
      </x:c>
      <x:c r="AA11" s="320">
        <x:f>'Reporte Componentes R1'!R430+'Reporte Componentes R1'!V430+'Reporte Componentes R1'!U430</x:f>
        <x:v>0</x:v>
      </x:c>
      <x:c r="AB11" s="294">
        <x:f>N11</x:f>
        <x:v>0</x:v>
      </x:c>
      <x:c r="AC11" s="320">
        <x:f>'Reporte Componentes R1'!T430+'Reporte Componentes R1'!W430+'Reporte Componentes R1'!X430+'Reporte Componentes R1'!Y430+'Reporte Componentes R1'!Z430+'Reporte Componentes R1'!S430</x:f>
        <x:v>0</x:v>
      </x:c>
      <x:c r="AD11" s="291">
        <x:f t="shared" si="2"/>
        <x:v>0</x:v>
      </x:c>
      <x:c r="AE11" s="291">
        <x:f>'Reporte Componentes R1'!F431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R1'!F583</x:f>
        <x:v>0</x:v>
      </x:c>
      <x:c r="E12" s="291">
        <x:f>'Reporte Componentes R1'!G583</x:f>
        <x:v>0</x:v>
      </x:c>
      <x:c r="F12" s="291">
        <x:f>'Reporte Componentes R1'!H583</x:f>
        <x:v>0</x:v>
      </x:c>
      <x:c r="G12" s="291">
        <x:f>'Reporte Componentes R1'!I583</x:f>
        <x:v>0</x:v>
      </x:c>
      <x:c r="H12" s="291">
        <x:f>'Reporte Componentes R1'!J583</x:f>
        <x:v>0</x:v>
      </x:c>
      <x:c r="I12" s="291">
        <x:f>'Reporte Componentes R1'!K583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R1'!M583</x:f>
        <x:v>0</x:v>
      </x:c>
      <x:c r="V12" s="316">
        <x:f>'Reporte Componentes R1'!N583</x:f>
        <x:v>0</x:v>
      </x:c>
      <x:c r="W12" s="316">
        <x:f>'Reporte Componentes R1'!O583</x:f>
        <x:v>0</x:v>
      </x:c>
      <x:c r="X12" s="316">
        <x:f>'Reporte Componentes R1'!P583</x:f>
        <x:v>0</x:v>
      </x:c>
      <x:c r="Y12" s="316">
        <x:f>'Reporte Componentes R1'!Q583</x:f>
        <x:v>0</x:v>
      </x:c>
      <x:c r="Z12" s="319">
        <x:f>L12*-1</x:f>
        <x:v>0</x:v>
      </x:c>
      <x:c r="AA12" s="320">
        <x:f>'Reporte Componentes R1'!R583+'Reporte Componentes R1'!V583+'Reporte Componentes R1'!U583</x:f>
        <x:v>0</x:v>
      </x:c>
      <x:c r="AB12" s="294">
        <x:f>N12</x:f>
        <x:v>0</x:v>
      </x:c>
      <x:c r="AC12" s="320">
        <x:f>'Reporte Componentes R1'!T583+'Reporte Componentes R1'!W583+'Reporte Componentes R1'!X583+'Reporte Componentes R1'!Y583+'Reporte Componentes R1'!Z583+'Reporte Componentes R1'!S583</x:f>
        <x:v>0</x:v>
      </x:c>
      <x:c r="AD12" s="291">
        <x:f t="shared" si="2"/>
        <x:v>0</x:v>
      </x:c>
      <x:c r="AE12" s="291">
        <x:f>'Reporte Componentes R1'!F584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R1'!F695</x:f>
        <x:v>0</x:v>
      </x:c>
      <x:c r="E13" s="296">
        <x:f>'Reporte Componentes R1'!G695</x:f>
        <x:v>0</x:v>
      </x:c>
      <x:c r="F13" s="296">
        <x:f>'Reporte Componentes R1'!H695</x:f>
        <x:v>0</x:v>
      </x:c>
      <x:c r="G13" s="296">
        <x:f>'Reporte Componentes R1'!I695</x:f>
        <x:v>0</x:v>
      </x:c>
      <x:c r="H13" s="296">
        <x:f>'Reporte Componentes R1'!J695</x:f>
        <x:v>0</x:v>
      </x:c>
      <x:c r="I13" s="296">
        <x:f>'Reporte Componentes R1'!K695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R1'!L695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R1'!M695</x:f>
        <x:v>0</x:v>
      </x:c>
      <x:c r="V13" s="296">
        <x:f>'Reporte Componentes R1'!N695</x:f>
        <x:v>0</x:v>
      </x:c>
      <x:c r="W13" s="296">
        <x:f>'Reporte Componentes R1'!O695</x:f>
        <x:v>0</x:v>
      </x:c>
      <x:c r="X13" s="296">
        <x:f>'Reporte Componentes R1'!P695</x:f>
        <x:v>0</x:v>
      </x:c>
      <x:c r="Y13" s="296">
        <x:f>'Reporte Componentes R1'!Q695</x:f>
        <x:v>0</x:v>
      </x:c>
      <x:c r="Z13" s="319">
        <x:f>L13*-1</x:f>
        <x:v>0</x:v>
      </x:c>
      <x:c r="AA13" s="320">
        <x:f>'Reporte Componentes R1'!R695+'Reporte Componentes R1'!V695+'Reporte Componentes R1'!U695</x:f>
        <x:v>0</x:v>
      </x:c>
      <x:c r="AB13" s="294">
        <x:f>N13</x:f>
        <x:v>0</x:v>
      </x:c>
      <x:c r="AC13" s="320">
        <x:f>'Reporte Componentes R1'!T695+'Reporte Componentes R1'!W695+'Reporte Componentes R1'!X695+'Reporte Componentes R1'!Y695+'Reporte Componentes R1'!Z695+'Reporte Componentes R1'!S695</x:f>
        <x:v>0</x:v>
      </x:c>
      <x:c r="AD13" s="291">
        <x:f t="shared" si="2"/>
        <x:v>0</x:v>
      </x:c>
      <x:c r="AE13" s="291">
        <x:f>'Reporte Componentes R1'!F696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R2'!E56</x:f>
        <x:v>0</x:v>
      </x:c>
      <x:c r="E28" s="291">
        <x:f>'Rem. Anticipos R2'!F56</x:f>
        <x:v>0</x:v>
      </x:c>
      <x:c r="F28" s="291">
        <x:f>'Rem. Anticipos R2'!G56</x:f>
        <x:v>0</x:v>
      </x:c>
      <x:c r="G28" s="291">
        <x:f>'Rem. Anticipos R2'!H56</x:f>
        <x:v>0</x:v>
      </x:c>
      <x:c r="H28" s="291">
        <x:f>'Rem. Anticipos R2'!I56</x:f>
        <x:v>0</x:v>
      </x:c>
      <x:c r="I28" s="291">
        <x:f>'Rem. Anticipos R2'!J56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R2'!L56</x:f>
        <x:v>0</x:v>
      </x:c>
      <x:c r="V28" s="307">
        <x:f>'Rem. Anticipos R2'!M56</x:f>
        <x:v>0</x:v>
      </x:c>
      <x:c r="W28" s="307">
        <x:f>'Rem. Anticipos R2'!N56</x:f>
        <x:v>0</x:v>
      </x:c>
      <x:c r="X28" s="307">
        <x:f>'Rem. Anticipos R2'!O56</x:f>
        <x:v>0</x:v>
      </x:c>
      <x:c r="Y28" s="307">
        <x:f>'Rem. Anticipos R2'!P56</x:f>
        <x:v>0</x:v>
      </x:c>
      <x:c r="Z28" s="310">
        <x:f>L28*-1</x:f>
        <x:v>0</x:v>
      </x:c>
      <x:c r="AA28" s="311">
        <x:f>'Rem. Anticipos R2'!Q56</x:f>
        <x:v>0</x:v>
      </x:c>
      <x:c r="AB28" s="294">
        <x:f>N28</x:f>
        <x:v>0</x:v>
      </x:c>
      <x:c r="AC28" s="311">
        <x:f>'Rem. Anticipos R2'!R56</x:f>
        <x:v>0</x:v>
      </x:c>
      <x:c r="AD28" s="291">
        <x:f>-J28+AE28</x:f>
        <x:v>0</x:v>
      </x:c>
      <x:c r="AE28" s="291">
        <x:f>'Rem. Anticipos R2'!E57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R2'!E164</x:f>
        <x:v>0</x:v>
      </x:c>
      <x:c r="E29" s="292">
        <x:f>'Rem. Anticipos R2'!F164</x:f>
        <x:v>0</x:v>
      </x:c>
      <x:c r="F29" s="292">
        <x:f>'Rem. Anticipos R2'!G164</x:f>
        <x:v>0</x:v>
      </x:c>
      <x:c r="G29" s="292">
        <x:f>'Rem. Anticipos R2'!H164</x:f>
        <x:v>0</x:v>
      </x:c>
      <x:c r="H29" s="292">
        <x:f>'Rem. Anticipos R2'!I164</x:f>
        <x:v>0</x:v>
      </x:c>
      <x:c r="I29" s="292">
        <x:f>'Rem. Anticipos R2'!J164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R2'!K164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R2'!L164</x:f>
        <x:v>0</x:v>
      </x:c>
      <x:c r="V29" s="317">
        <x:f>'Rem. Anticipos R2'!M164</x:f>
        <x:v>0</x:v>
      </x:c>
      <x:c r="W29" s="317">
        <x:f>'Rem. Anticipos R2'!N164</x:f>
        <x:v>0</x:v>
      </x:c>
      <x:c r="X29" s="317">
        <x:f>'Rem. Anticipos R2'!O164</x:f>
        <x:v>0</x:v>
      </x:c>
      <x:c r="Y29" s="318">
        <x:f>'Rem. Anticipos R2'!P164</x:f>
        <x:v>0</x:v>
      </x:c>
      <x:c r="Z29" s="319">
        <x:f>L29*-1</x:f>
        <x:v>0</x:v>
      </x:c>
      <x:c r="AA29" s="320">
        <x:f>'Rem. Anticipos R2'!Q164</x:f>
        <x:v>0</x:v>
      </x:c>
      <x:c r="AB29" s="294">
        <x:f>N29</x:f>
        <x:v>0</x:v>
      </x:c>
      <x:c r="AC29" s="320">
        <x:f>'Rem. Anticipos R2'!R164</x:f>
        <x:v>0</x:v>
      </x:c>
      <x:c r="AD29" s="291">
        <x:f>-J29+AE29</x:f>
        <x:v>0</x:v>
      </x:c>
      <x:c r="AE29" s="291">
        <x:f>'Rem. Anticipos R2'!E165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R2'!E282</x:f>
        <x:v>0</x:v>
      </x:c>
      <x:c r="E30" s="291">
        <x:f>'Rem. Anticipos R2'!F282</x:f>
        <x:v>0</x:v>
      </x:c>
      <x:c r="F30" s="291">
        <x:f>'Rem. Anticipos R2'!G282</x:f>
        <x:v>0</x:v>
      </x:c>
      <x:c r="G30" s="291">
        <x:f>'Rem. Anticipos R2'!H282</x:f>
        <x:v>0</x:v>
      </x:c>
      <x:c r="H30" s="291">
        <x:f>'Rem. Anticipos R2'!I282</x:f>
        <x:v>0</x:v>
      </x:c>
      <x:c r="I30" s="291">
        <x:f>'Rem. Anticipos R2'!J282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R2'!K282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R2'!L282</x:f>
        <x:v>0</x:v>
      </x:c>
      <x:c r="V30" s="316">
        <x:f>'Rem. Anticipos R2'!M282</x:f>
        <x:v>0</x:v>
      </x:c>
      <x:c r="W30" s="316">
        <x:f>'Rem. Anticipos R2'!N282</x:f>
        <x:v>0</x:v>
      </x:c>
      <x:c r="X30" s="316">
        <x:f>'Rem. Anticipos R2'!O282</x:f>
        <x:v>0</x:v>
      </x:c>
      <x:c r="Y30" s="316">
        <x:f>'Rem. Anticipos R2'!P282</x:f>
        <x:v>0</x:v>
      </x:c>
      <x:c r="Z30" s="319">
        <x:f>L30*-1</x:f>
        <x:v>0</x:v>
      </x:c>
      <x:c r="AA30" s="320">
        <x:f>'Rem. Anticipos R2'!Q282</x:f>
        <x:v>0</x:v>
      </x:c>
      <x:c r="AB30" s="294">
        <x:f>N30</x:f>
        <x:v>0</x:v>
      </x:c>
      <x:c r="AC30" s="320">
        <x:f>'Rem. Anticipos R2'!R282</x:f>
        <x:v>0</x:v>
      </x:c>
      <x:c r="AD30" s="291">
        <x:f t="shared" ref="AD30:AD32" si="10">-J30+AE30</x:f>
        <x:v>0</x:v>
      </x:c>
      <x:c r="AE30" s="291">
        <x:f>'Rem. Anticipos R2'!E283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R2'!E393</x:f>
        <x:v>0</x:v>
      </x:c>
      <x:c r="E31" s="291">
        <x:f>'Rem. Anticipos R2'!F393</x:f>
        <x:v>0</x:v>
      </x:c>
      <x:c r="F31" s="291">
        <x:f>'Rem. Anticipos R2'!G393</x:f>
        <x:v>0</x:v>
      </x:c>
      <x:c r="G31" s="291">
        <x:f>'Rem. Anticipos R2'!H393</x:f>
        <x:v>0</x:v>
      </x:c>
      <x:c r="H31" s="291">
        <x:f>'Rem. Anticipos R2'!I393</x:f>
        <x:v>0</x:v>
      </x:c>
      <x:c r="I31" s="291">
        <x:f>'Rem. Anticipos R2'!J393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R2'!K393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R2'!L393</x:f>
        <x:v>0</x:v>
      </x:c>
      <x:c r="V31" s="316">
        <x:f>'Rem. Anticipos R2'!M393</x:f>
        <x:v>0</x:v>
      </x:c>
      <x:c r="W31" s="316">
        <x:f>'Rem. Anticipos R2'!N393</x:f>
        <x:v>0</x:v>
      </x:c>
      <x:c r="X31" s="316">
        <x:f>'Rem. Anticipos R2'!O393</x:f>
        <x:v>0</x:v>
      </x:c>
      <x:c r="Y31" s="316">
        <x:f>'Rem. Anticipos R2'!P393</x:f>
        <x:v>0</x:v>
      </x:c>
      <x:c r="Z31" s="319">
        <x:f>L31*-1</x:f>
        <x:v>0</x:v>
      </x:c>
      <x:c r="AA31" s="320">
        <x:f>'Rem. Anticipos R2'!Q393</x:f>
        <x:v>0</x:v>
      </x:c>
      <x:c r="AB31" s="294">
        <x:f>N31</x:f>
        <x:v>0</x:v>
      </x:c>
      <x:c r="AC31" s="320">
        <x:f>'Rem. Anticipos R2'!R393</x:f>
        <x:v>0</x:v>
      </x:c>
      <x:c r="AD31" s="291">
        <x:f t="shared" si="10"/>
        <x:v>0</x:v>
      </x:c>
      <x:c r="AE31" s="291">
        <x:f>'Rem. Anticipos R2'!E394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R2'!E477</x:f>
        <x:v>0</x:v>
      </x:c>
      <x:c r="E32" s="296">
        <x:f>'Rem. Anticipos R2'!F477</x:f>
        <x:v>0</x:v>
      </x:c>
      <x:c r="F32" s="296">
        <x:f>'Rem. Anticipos R2'!G477</x:f>
        <x:v>0</x:v>
      </x:c>
      <x:c r="G32" s="296">
        <x:f>'Rem. Anticipos R2'!H477</x:f>
        <x:v>0</x:v>
      </x:c>
      <x:c r="H32" s="296">
        <x:f>'Rem. Anticipos R2'!I477</x:f>
        <x:v>0</x:v>
      </x:c>
      <x:c r="I32" s="296">
        <x:f>'Rem. Anticipos R2'!J477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R2'!K477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R2'!L477</x:f>
        <x:v>0</x:v>
      </x:c>
      <x:c r="V32" s="297">
        <x:f>'Rem. Anticipos R2'!M477</x:f>
        <x:v>0</x:v>
      </x:c>
      <x:c r="W32" s="297">
        <x:f>'Rem. Anticipos R2'!N477</x:f>
        <x:v>0</x:v>
      </x:c>
      <x:c r="X32" s="297">
        <x:f>'Rem. Anticipos R2'!O477</x:f>
        <x:v>0</x:v>
      </x:c>
      <x:c r="Y32" s="289">
        <x:f>'Rem. Anticipos R2'!P477</x:f>
        <x:v>0</x:v>
      </x:c>
      <x:c r="Z32" s="319">
        <x:f>L32*-1</x:f>
        <x:v>0</x:v>
      </x:c>
      <x:c r="AA32" s="320">
        <x:f>'Rem. Anticipos R2'!Q477</x:f>
        <x:v>0</x:v>
      </x:c>
      <x:c r="AB32" s="294">
        <x:f>N32</x:f>
        <x:v>0</x:v>
      </x:c>
      <x:c r="AC32" s="320">
        <x:f>'Rem. Anticipos R2'!R477</x:f>
        <x:v>0</x:v>
      </x:c>
      <x:c r="AD32" s="291">
        <x:f t="shared" si="10"/>
        <x:v>0</x:v>
      </x:c>
      <x:c r="AE32" s="291">
        <x:f>'Rem. Anticipos R2'!E478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R1'!F92</x:f>
        <x:v>0</x:v>
      </x:c>
      <x:c r="E47" s="291">
        <x:f>'Reporte Componentes R1'!G92</x:f>
        <x:v>0</x:v>
      </x:c>
      <x:c r="F47" s="291">
        <x:f>'Reporte Componentes R1'!H92</x:f>
        <x:v>0</x:v>
      </x:c>
      <x:c r="G47" s="291">
        <x:f>'Reporte Componentes R1'!I92</x:f>
        <x:v>0</x:v>
      </x:c>
      <x:c r="H47" s="291">
        <x:f>'Reporte Componentes R1'!J92</x:f>
        <x:v>0</x:v>
      </x:c>
      <x:c r="I47" s="291">
        <x:f>'Reporte Componentes R1'!K92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R1'!M92</x:f>
        <x:v>0</x:v>
      </x:c>
      <x:c r="V47" s="307">
        <x:f>'Reporte Componentes R1'!N92</x:f>
        <x:v>0</x:v>
      </x:c>
      <x:c r="W47" s="307">
        <x:f>'Reporte Componentes R1'!O92</x:f>
        <x:v>0</x:v>
      </x:c>
      <x:c r="X47" s="307">
        <x:f>'Reporte Componentes R1'!P92</x:f>
        <x:v>0</x:v>
      </x:c>
      <x:c r="Y47" s="307">
        <x:f>'Reporte Componentes R1'!Q92</x:f>
        <x:v>0</x:v>
      </x:c>
      <x:c r="Z47" s="310">
        <x:f>-L47</x:f>
        <x:v>0</x:v>
      </x:c>
      <x:c r="AA47" s="320">
        <x:f>'Reporte Componentes R1'!R92+'Reporte Componentes R1'!V92+'Reporte Componentes R1'!U92</x:f>
        <x:v>0</x:v>
      </x:c>
      <x:c r="AB47" s="294">
        <x:f>N47</x:f>
        <x:v>0</x:v>
      </x:c>
      <x:c r="AC47" s="311">
        <x:f>'Reporte Componentes R1'!T92+'Reporte Componentes R1'!W92+'Reporte Componentes R1'!X92+'Reporte Componentes R1'!Y92+'Reporte Componentes R1'!Z92+'Reporte Componentes R1'!S92</x:f>
        <x:v>0</x:v>
      </x:c>
      <x:c r="AD47" s="291">
        <x:f>-J47+AE47</x:f>
        <x:v>0</x:v>
      </x:c>
      <x:c r="AE47" s="291">
        <x:f>'Reporte Componentes R1'!F93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R1'!F271</x:f>
        <x:v>0</x:v>
      </x:c>
      <x:c r="E48" s="291">
        <x:f>'Reporte Componentes R1'!G271</x:f>
        <x:v>0</x:v>
      </x:c>
      <x:c r="F48" s="291">
        <x:f>'Reporte Componentes R1'!H271</x:f>
        <x:v>0</x:v>
      </x:c>
      <x:c r="G48" s="291">
        <x:f>'Reporte Componentes R1'!I271</x:f>
        <x:v>0</x:v>
      </x:c>
      <x:c r="H48" s="291">
        <x:f>'Reporte Componentes R1'!J271</x:f>
        <x:v>0</x:v>
      </x:c>
      <x:c r="I48" s="291">
        <x:f>'Reporte Componentes R1'!K271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R1'!M271</x:f>
        <x:v>0</x:v>
      </x:c>
      <x:c r="V48" s="316">
        <x:f>'Reporte Componentes R1'!N271</x:f>
        <x:v>0</x:v>
      </x:c>
      <x:c r="W48" s="316">
        <x:f>'Reporte Componentes R1'!O271</x:f>
        <x:v>0</x:v>
      </x:c>
      <x:c r="X48" s="316">
        <x:f>'Reporte Componentes R1'!P271</x:f>
        <x:v>0</x:v>
      </x:c>
      <x:c r="Y48" s="316">
        <x:f>'Reporte Componentes R1'!Q271</x:f>
        <x:v>0</x:v>
      </x:c>
      <x:c r="Z48" s="319">
        <x:f>-L48</x:f>
        <x:v>0</x:v>
      </x:c>
      <x:c r="AA48" s="320">
        <x:f>'Reporte Componentes R1'!R271+'Reporte Componentes R1'!V271+'Reporte Componentes R1'!U271</x:f>
        <x:v>0</x:v>
      </x:c>
      <x:c r="AB48" s="294">
        <x:f>N48</x:f>
        <x:v>0</x:v>
      </x:c>
      <x:c r="AC48" s="320">
        <x:f>'Reporte Componentes R1'!T271+'Reporte Componentes R1'!W271+'Reporte Componentes R1'!X271+'Reporte Componentes R1'!Y271+'Reporte Componentes R1'!Z271+'Reporte Componentes R1'!S271</x:f>
        <x:v>0</x:v>
      </x:c>
      <x:c r="AD48" s="291">
        <x:f t="shared" ref="AD48:AD51" si="16">-J48+AE48</x:f>
        <x:v>0</x:v>
      </x:c>
      <x:c r="AE48" s="291">
        <x:f>'Reporte Componentes R1'!F272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R1'!F432</x:f>
        <x:v>0</x:v>
      </x:c>
      <x:c r="E49" s="291">
        <x:f>'Reporte Componentes R1'!G432</x:f>
        <x:v>0</x:v>
      </x:c>
      <x:c r="F49" s="291">
        <x:f>'Reporte Componentes R1'!H432</x:f>
        <x:v>0</x:v>
      </x:c>
      <x:c r="G49" s="291">
        <x:f>'Reporte Componentes R1'!I432</x:f>
        <x:v>0</x:v>
      </x:c>
      <x:c r="H49" s="291">
        <x:f>'Reporte Componentes R1'!J432</x:f>
        <x:v>0</x:v>
      </x:c>
      <x:c r="I49" s="291">
        <x:f>'Reporte Componentes R1'!K432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R1'!M432</x:f>
        <x:v>0</x:v>
      </x:c>
      <x:c r="V49" s="316">
        <x:f>'Reporte Componentes R1'!N432</x:f>
        <x:v>0</x:v>
      </x:c>
      <x:c r="W49" s="316">
        <x:f>'Reporte Componentes R1'!O432</x:f>
        <x:v>0</x:v>
      </x:c>
      <x:c r="X49" s="316">
        <x:f>'Reporte Componentes R1'!P432</x:f>
        <x:v>0</x:v>
      </x:c>
      <x:c r="Y49" s="316">
        <x:f>'Reporte Componentes R1'!Q432</x:f>
        <x:v>0</x:v>
      </x:c>
      <x:c r="Z49" s="319">
        <x:f>-L49</x:f>
        <x:v>0</x:v>
      </x:c>
      <x:c r="AA49" s="320">
        <x:f>'Reporte Componentes R1'!R432+'Reporte Componentes R1'!V432+'Reporte Componentes R1'!U432</x:f>
        <x:v>0</x:v>
      </x:c>
      <x:c r="AB49" s="294">
        <x:f>N49</x:f>
        <x:v>0</x:v>
      </x:c>
      <x:c r="AC49" s="320">
        <x:f>'Reporte Componentes R1'!T432+'Reporte Componentes R1'!W432+'Reporte Componentes R1'!X432+'Reporte Componentes R1'!Y432+'Reporte Componentes R1'!Z432+'Reporte Componentes R1'!S432</x:f>
        <x:v>0</x:v>
      </x:c>
      <x:c r="AD49" s="291">
        <x:f t="shared" si="16"/>
        <x:v>0</x:v>
      </x:c>
      <x:c r="AE49" s="291">
        <x:f>'Reporte Componentes R1'!F433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R1'!F585</x:f>
        <x:v>0</x:v>
      </x:c>
      <x:c r="E50" s="291">
        <x:f>'Reporte Componentes R1'!G585</x:f>
        <x:v>0</x:v>
      </x:c>
      <x:c r="F50" s="291">
        <x:f>'Reporte Componentes R1'!H585</x:f>
        <x:v>0</x:v>
      </x:c>
      <x:c r="G50" s="291">
        <x:f>'Reporte Componentes R1'!I585</x:f>
        <x:v>0</x:v>
      </x:c>
      <x:c r="H50" s="291">
        <x:f>'Reporte Componentes R1'!J585</x:f>
        <x:v>0</x:v>
      </x:c>
      <x:c r="I50" s="291">
        <x:f>'Reporte Componentes R1'!K585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R1'!L585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R1'!M585</x:f>
        <x:v>0</x:v>
      </x:c>
      <x:c r="V50" s="316">
        <x:f>'Reporte Componentes R1'!N585</x:f>
        <x:v>0</x:v>
      </x:c>
      <x:c r="W50" s="316">
        <x:f>'Reporte Componentes R1'!O585</x:f>
        <x:v>0</x:v>
      </x:c>
      <x:c r="X50" s="316">
        <x:f>'Reporte Componentes R1'!P585</x:f>
        <x:v>0</x:v>
      </x:c>
      <x:c r="Y50" s="316">
        <x:f>'Reporte Componentes R1'!Q585</x:f>
        <x:v>0</x:v>
      </x:c>
      <x:c r="Z50" s="319">
        <x:f>-L50</x:f>
        <x:v>0</x:v>
      </x:c>
      <x:c r="AA50" s="320">
        <x:f>'Reporte Componentes R1'!R585+'Reporte Componentes R1'!V585+'Reporte Componentes R1'!U585</x:f>
        <x:v>0</x:v>
      </x:c>
      <x:c r="AB50" s="294">
        <x:f>N50</x:f>
        <x:v>0</x:v>
      </x:c>
      <x:c r="AC50" s="320">
        <x:f>'Reporte Componentes R1'!T585+'Reporte Componentes R1'!W585+'Reporte Componentes R1'!X585+'Reporte Componentes R1'!Y585+'Reporte Componentes R1'!Z585+'Reporte Componentes R1'!S585</x:f>
        <x:v>0</x:v>
      </x:c>
      <x:c r="AD50" s="291">
        <x:f t="shared" si="16"/>
        <x:v>0</x:v>
      </x:c>
      <x:c r="AE50" s="291">
        <x:f>'Reporte Componentes R1'!F586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R1'!F697</x:f>
        <x:v>0</x:v>
      </x:c>
      <x:c r="E51" s="296">
        <x:f>'Reporte Componentes R1'!G697</x:f>
        <x:v>0</x:v>
      </x:c>
      <x:c r="F51" s="296">
        <x:f>'Reporte Componentes R1'!H697</x:f>
        <x:v>0</x:v>
      </x:c>
      <x:c r="G51" s="296">
        <x:f>'Reporte Componentes R1'!I697</x:f>
        <x:v>0</x:v>
      </x:c>
      <x:c r="H51" s="296">
        <x:f>'Reporte Componentes R1'!J697</x:f>
        <x:v>0</x:v>
      </x:c>
      <x:c r="I51" s="296">
        <x:f>'Reporte Componentes R1'!K697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R1'!L697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R1'!M697</x:f>
        <x:v>0</x:v>
      </x:c>
      <x:c r="V51" s="296">
        <x:f>'Reporte Componentes R1'!N697</x:f>
        <x:v>0</x:v>
      </x:c>
      <x:c r="W51" s="296">
        <x:f>'Reporte Componentes R1'!O697</x:f>
        <x:v>0</x:v>
      </x:c>
      <x:c r="X51" s="296">
        <x:f>'Reporte Componentes R1'!P697</x:f>
        <x:v>0</x:v>
      </x:c>
      <x:c r="Y51" s="289">
        <x:f>'Reporte Componentes R1'!Q697</x:f>
        <x:v>0</x:v>
      </x:c>
      <x:c r="Z51" s="319">
        <x:f>-L51</x:f>
        <x:v>0</x:v>
      </x:c>
      <x:c r="AA51" s="320">
        <x:f>'Reporte Componentes R1'!R697+'Reporte Componentes R1'!V697+'Reporte Componentes R1'!U697</x:f>
        <x:v>0</x:v>
      </x:c>
      <x:c r="AB51" s="294">
        <x:f>N51</x:f>
        <x:v>0</x:v>
      </x:c>
      <x:c r="AC51" s="320">
        <x:f>'Reporte Componentes R1'!T697+'Reporte Componentes R1'!W697+'Reporte Componentes R1'!X697+'Reporte Componentes R1'!Y697+'Reporte Componentes R1'!Z697+'Reporte Componentes R1'!S697</x:f>
        <x:v>0</x:v>
      </x:c>
      <x:c r="AD51" s="291">
        <x:f t="shared" si="16"/>
        <x:v>0</x:v>
      </x:c>
      <x:c r="AE51" s="291">
        <x:f>'Reporte Componentes R1'!F698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1">
        <x:f>'Reversion Pagos R4'!E82</x:f>
        <x:v>0</x:v>
      </x:c>
      <x:c r="F66" s="291">
        <x:f>'Reversion Pagos R4'!F82</x:f>
        <x:v>0</x:v>
      </x:c>
      <x:c r="G66" s="291">
        <x:f>'Reversion Pagos R4'!G82</x:f>
        <x:v>0</x:v>
      </x:c>
      <x:c r="H66" s="291">
        <x:f>'Reversion Pagos R4'!H82</x:f>
        <x:v>0</x:v>
      </x:c>
      <x:c r="I66" s="291">
        <x:f>'Reversion Pagos R4'!I82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7">
        <x:f>'Reversion Pagos R4'!K82</x:f>
        <x:v>0</x:v>
      </x:c>
      <x:c r="W66" s="307">
        <x:f>'Reversion Pagos R4'!L82</x:f>
        <x:v>0</x:v>
      </x:c>
      <x:c r="X66" s="307">
        <x:f>'Reversion Pagos R4'!M82</x:f>
        <x:v>0</x:v>
      </x:c>
      <x:c r="Y66" s="307">
        <x:f>'Reversion Pagos R4'!N82</x:f>
        <x:v>0</x:v>
      </x:c>
      <x:c r="Z66" s="310">
        <x:f>-L66</x:f>
        <x:v>0</x:v>
      </x:c>
      <x:c r="AA66" s="311">
        <x:f>+'Reversion Pagos R4'!O82</x:f>
        <x:v>0</x:v>
      </x:c>
      <x:c r="AB66" s="294">
        <x:f>N66</x:f>
        <x:v>0</x:v>
      </x:c>
      <x:c r="AC66" s="311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1">
        <x:f>'Reversion Pagos R4'!E183</x:f>
        <x:v>0</x:v>
      </x:c>
      <x:c r="F67" s="291">
        <x:f>'Reversion Pagos R4'!F183</x:f>
        <x:v>0</x:v>
      </x:c>
      <x:c r="G67" s="291">
        <x:f>'Reversion Pagos R4'!G183</x:f>
        <x:v>0</x:v>
      </x:c>
      <x:c r="H67" s="291">
        <x:f>'Reversion Pagos R4'!H183</x:f>
        <x:v>0</x:v>
      </x:c>
      <x:c r="I67" s="291">
        <x:f>'Reversion Pagos R4'!I183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6">
        <x:f>'Reversion Pagos R4'!K183</x:f>
        <x:v>0</x:v>
      </x:c>
      <x:c r="W67" s="316">
        <x:f>'Reversion Pagos R4'!L183</x:f>
        <x:v>0</x:v>
      </x:c>
      <x:c r="X67" s="316">
        <x:f>'Reversion Pagos R4'!M183</x:f>
        <x:v>0</x:v>
      </x:c>
      <x:c r="Y67" s="316">
        <x:f>'Reversion Pagos R4'!N183</x:f>
        <x:v>0</x:v>
      </x:c>
      <x:c r="Z67" s="319">
        <x:f t="shared" ref="Z67:Z70" si="25">-L67</x:f>
        <x:v>0</x:v>
      </x:c>
      <x:c r="AA67" s="320">
        <x:f>'Reversion Pagos R4'!O183</x:f>
        <x:v>0</x:v>
      </x:c>
      <x:c r="AB67" s="294">
        <x:f t="shared" ref="AB67:AB70" si="26">N67</x:f>
        <x:v>0</x:v>
      </x:c>
      <x:c r="AC67" s="320">
        <x:f>'Reversion Pagos R4'!Q183+'Reversion Pagos R4'!R183</x:f>
        <x:v>0</x:v>
      </x:c>
      <x:c r="AD67" s="291">
        <x:f t="shared" ref="AD67:AD70" si="27">-J67+AE67</x:f>
        <x:v>0</x:v>
      </x:c>
      <x:c r="AE67" s="291">
        <x:f>'Reversion Pagos R4'!D184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1">
        <x:f>'Reversion Pagos R4'!E220</x:f>
        <x:v>0</x:v>
      </x:c>
      <x:c r="F68" s="291">
        <x:f>'Reversion Pagos R4'!F220</x:f>
        <x:v>0</x:v>
      </x:c>
      <x:c r="G68" s="291">
        <x:f>'Reversion Pagos R4'!G220</x:f>
        <x:v>0</x:v>
      </x:c>
      <x:c r="H68" s="291">
        <x:f>'Reversion Pagos R4'!H220</x:f>
        <x:v>0</x:v>
      </x:c>
      <x:c r="I68" s="291">
        <x:f>'Reversion Pagos R4'!I220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6">
        <x:f>'Reversion Pagos R4'!K220</x:f>
        <x:v>0</x:v>
      </x:c>
      <x:c r="W68" s="316">
        <x:f>'Reversion Pagos R4'!L220</x:f>
        <x:v>0</x:v>
      </x:c>
      <x:c r="X68" s="316">
        <x:f>'Reversion Pagos R4'!M220</x:f>
        <x:v>0</x:v>
      </x:c>
      <x:c r="Y68" s="316">
        <x:f>'Reversion Pagos R4'!N220</x:f>
        <x:v>0</x:v>
      </x:c>
      <x:c r="Z68" s="319">
        <x:f t="shared" si="25"/>
        <x:v>0</x:v>
      </x:c>
      <x:c r="AA68" s="320">
        <x:f>'Reversion Pagos R4'!O220</x:f>
        <x:v>0</x:v>
      </x:c>
      <x:c r="AB68" s="294">
        <x:f t="shared" si="26"/>
        <x:v>0</x:v>
      </x:c>
      <x:c r="AC68" s="320">
        <x:f>'Reversion Pagos R4'!Q220+'Reversion Pagos R4'!R220</x:f>
        <x:v>0</x:v>
      </x:c>
      <x:c r="AD68" s="291">
        <x:f t="shared" si="27"/>
        <x:v>0</x:v>
      </x:c>
      <x:c r="AE68" s="291">
        <x:f>'Reversion Pagos R4'!D221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1">
        <x:f>'Reversion Pagos R4'!E335</x:f>
        <x:v>0</x:v>
      </x:c>
      <x:c r="F69" s="291">
        <x:f>'Reversion Pagos R4'!F335</x:f>
        <x:v>0</x:v>
      </x:c>
      <x:c r="G69" s="291">
        <x:f>'Reversion Pagos R4'!G335</x:f>
        <x:v>0</x:v>
      </x:c>
      <x:c r="H69" s="291">
        <x:f>'Reversion Pagos R4'!H335</x:f>
        <x:v>0</x:v>
      </x:c>
      <x:c r="I69" s="291">
        <x:f>'Reversion Pagos R4'!I335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6">
        <x:f>'Reversion Pagos R4'!K335</x:f>
        <x:v>0</x:v>
      </x:c>
      <x:c r="W69" s="316">
        <x:f>'Reversion Pagos R4'!L335</x:f>
        <x:v>0</x:v>
      </x:c>
      <x:c r="X69" s="316">
        <x:f>'Reversion Pagos R4'!M335</x:f>
        <x:v>0</x:v>
      </x:c>
      <x:c r="Y69" s="316">
        <x:f>'Reversion Pagos R4'!N335</x:f>
        <x:v>0</x:v>
      </x:c>
      <x:c r="Z69" s="319">
        <x:f t="shared" si="25"/>
        <x:v>0</x:v>
      </x:c>
      <x:c r="AA69" s="320">
        <x:f>'Reversion Pagos R4'!O335</x:f>
        <x:v>0</x:v>
      </x:c>
      <x:c r="AB69" s="294">
        <x:f t="shared" si="26"/>
        <x:v>0</x:v>
      </x:c>
      <x:c r="AC69" s="320">
        <x:f>'Reversion Pagos R4'!Q335+'Reversion Pagos R4'!R335</x:f>
        <x:v>0</x:v>
      </x:c>
      <x:c r="AD69" s="291">
        <x:f t="shared" si="27"/>
        <x:v>0</x:v>
      </x:c>
      <x:c r="AE69" s="291">
        <x:f>'Reversion Pagos R4'!D336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R4'!D370</x:f>
        <x:v>0</x:v>
      </x:c>
      <x:c r="E70" s="296">
        <x:f>'Reversion Pagos R4'!E370</x:f>
        <x:v>0</x:v>
      </x:c>
      <x:c r="F70" s="296">
        <x:f>'Reversion Pagos R4'!F370</x:f>
        <x:v>0</x:v>
      </x:c>
      <x:c r="G70" s="296">
        <x:f>'Reversion Pagos R4'!G370</x:f>
        <x:v>0</x:v>
      </x:c>
      <x:c r="H70" s="296">
        <x:f>'Reversion Pagos R4'!H370</x:f>
        <x:v>0</x:v>
      </x:c>
      <x:c r="I70" s="296">
        <x:f>'Reversion Pagos R4'!I370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R4'!P370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R4'!J370</x:f>
        <x:v>0</x:v>
      </x:c>
      <x:c r="V70" s="296">
        <x:f>'Reversion Pagos R4'!K370</x:f>
        <x:v>0</x:v>
      </x:c>
      <x:c r="W70" s="296">
        <x:f>'Reversion Pagos R4'!L370</x:f>
        <x:v>0</x:v>
      </x:c>
      <x:c r="X70" s="296">
        <x:f>'Reversion Pagos R4'!M370</x:f>
        <x:v>0</x:v>
      </x:c>
      <x:c r="Y70" s="296">
        <x:f>'Reversion Pagos R4'!N370</x:f>
        <x:v>0</x:v>
      </x:c>
      <x:c r="Z70" s="319">
        <x:f t="shared" si="25"/>
        <x:v>0</x:v>
      </x:c>
      <x:c r="AA70" s="320">
        <x:f>'Reversion Pagos R4'!O370</x:f>
        <x:v>0</x:v>
      </x:c>
      <x:c r="AB70" s="294">
        <x:f t="shared" si="26"/>
        <x:v>0</x:v>
      </x:c>
      <x:c r="AC70" s="320">
        <x:f>'Reversion Pagos R4'!Q370+'Reversion Pagos R4'!R370</x:f>
        <x:v>0</x:v>
      </x:c>
      <x:c r="AD70" s="291">
        <x:f t="shared" si="27"/>
        <x:v>0</x:v>
      </x:c>
      <x:c r="AE70" s="291">
        <x:f>'Reversion Pagos R4'!D371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R1'!F95</x:f>
        <x:v>0</x:v>
      </x:c>
      <x:c r="E9" s="292">
        <x:f>'Reporte Componentes R1'!G95</x:f>
        <x:v>0</x:v>
      </x:c>
      <x:c r="F9" s="292">
        <x:f>'Reporte Componentes R1'!H95</x:f>
        <x:v>0</x:v>
      </x:c>
      <x:c r="G9" s="292">
        <x:f>'Reporte Componentes R1'!I95</x:f>
        <x:v>0</x:v>
      </x:c>
      <x:c r="H9" s="292">
        <x:f>'Reporte Componentes R1'!J95</x:f>
        <x:v>0</x:v>
      </x:c>
      <x:c r="I9" s="292">
        <x:f>'Reporte Componentes R1'!K95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R1'!L95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R1'!M95</x:f>
        <x:v>0</x:v>
      </x:c>
      <x:c r="V9" s="308">
        <x:f>'Reporte Componentes R1'!N95</x:f>
        <x:v>0</x:v>
      </x:c>
      <x:c r="W9" s="308">
        <x:f>'Reporte Componentes R1'!O95</x:f>
        <x:v>0</x:v>
      </x:c>
      <x:c r="X9" s="308">
        <x:f>'Reporte Componentes R1'!P95</x:f>
        <x:v>0</x:v>
      </x:c>
      <x:c r="Y9" s="309">
        <x:f>'Reporte Componentes R1'!Q95</x:f>
        <x:v>0</x:v>
      </x:c>
      <x:c r="Z9" s="310">
        <x:f>L9*-1</x:f>
        <x:v>0</x:v>
      </x:c>
      <x:c r="AA9" s="311">
        <x:f>'Reporte Componentes R1'!R95+'Reporte Componentes R1'!V95+'Reporte Componentes R1'!U95</x:f>
        <x:v>0</x:v>
      </x:c>
      <x:c r="AB9" s="294">
        <x:f>N9</x:f>
        <x:v>0</x:v>
      </x:c>
      <x:c r="AC9" s="311">
        <x:f>'Reporte Componentes R1'!T95+'Reporte Componentes R1'!W95+'Reporte Componentes R1'!X95+'Reporte Componentes R1'!Y95+'Reporte Componentes R1'!Z95+'Reporte Componentes R1'!S95</x:f>
        <x:v>0</x:v>
      </x:c>
      <x:c r="AD9" s="291">
        <x:f>-J9+AE9</x:f>
        <x:v>0</x:v>
      </x:c>
      <x:c r="AE9" s="291">
        <x:f>'Reporte Componentes R1'!F96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R1'!F274</x:f>
        <x:v>0</x:v>
      </x:c>
      <x:c r="E10" s="292">
        <x:f>'Reporte Componentes R1'!G274</x:f>
        <x:v>0</x:v>
      </x:c>
      <x:c r="F10" s="292">
        <x:f>'Reporte Componentes R1'!H274</x:f>
        <x:v>0</x:v>
      </x:c>
      <x:c r="G10" s="292">
        <x:f>'Reporte Componentes R1'!I274</x:f>
        <x:v>0</x:v>
      </x:c>
      <x:c r="H10" s="292">
        <x:f>'Reporte Componentes R1'!J274</x:f>
        <x:v>0</x:v>
      </x:c>
      <x:c r="I10" s="292">
        <x:f>'Reporte Componentes R1'!K274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R1'!L274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R1'!M274</x:f>
        <x:v>0</x:v>
      </x:c>
      <x:c r="V10" s="317">
        <x:f>'Reporte Componentes R1'!N274</x:f>
        <x:v>0</x:v>
      </x:c>
      <x:c r="W10" s="317">
        <x:f>'Reporte Componentes R1'!O274</x:f>
        <x:v>0</x:v>
      </x:c>
      <x:c r="X10" s="317">
        <x:f>'Reporte Componentes R1'!P274</x:f>
        <x:v>0</x:v>
      </x:c>
      <x:c r="Y10" s="318">
        <x:f>'Reporte Componentes R1'!Q274</x:f>
        <x:v>0</x:v>
      </x:c>
      <x:c r="Z10" s="319">
        <x:f>L10*-1</x:f>
        <x:v>0</x:v>
      </x:c>
      <x:c r="AA10" s="320">
        <x:f>'Reporte Componentes R1'!R274+'Reporte Componentes R1'!V274+'Reporte Componentes R1'!U274</x:f>
        <x:v>0</x:v>
      </x:c>
      <x:c r="AB10" s="294">
        <x:f>N10</x:f>
        <x:v>0</x:v>
      </x:c>
      <x:c r="AC10" s="320">
        <x:f>'Reporte Componentes R1'!T274+'Reporte Componentes R1'!W274+'Reporte Componentes R1'!X274+'Reporte Componentes R1'!Y274+'Reporte Componentes R1'!Z274+'Reporte Componentes R1'!S274</x:f>
        <x:v>0</x:v>
      </x:c>
      <x:c r="AD10" s="291">
        <x:f t="shared" ref="AD10:AD13" si="2">-J10+AE10</x:f>
        <x:v>0</x:v>
      </x:c>
      <x:c r="AE10" s="291">
        <x:f>'Reporte Componentes R1'!F275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R1'!F435</x:f>
        <x:v>0</x:v>
      </x:c>
      <x:c r="E11" s="292">
        <x:f>'Reporte Componentes R1'!G435</x:f>
        <x:v>0</x:v>
      </x:c>
      <x:c r="F11" s="292">
        <x:f>'Reporte Componentes R1'!H435</x:f>
        <x:v>0</x:v>
      </x:c>
      <x:c r="G11" s="292">
        <x:f>'Reporte Componentes R1'!I435</x:f>
        <x:v>0</x:v>
      </x:c>
      <x:c r="H11" s="292">
        <x:f>'Reporte Componentes R1'!J435</x:f>
        <x:v>0</x:v>
      </x:c>
      <x:c r="I11" s="292">
        <x:f>'Reporte Componentes R1'!K435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R1'!L435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R1'!M435</x:f>
        <x:v>0</x:v>
      </x:c>
      <x:c r="V11" s="317">
        <x:f>'Reporte Componentes R1'!N435</x:f>
        <x:v>0</x:v>
      </x:c>
      <x:c r="W11" s="317">
        <x:f>'Reporte Componentes R1'!O435</x:f>
        <x:v>0</x:v>
      </x:c>
      <x:c r="X11" s="317">
        <x:f>'Reporte Componentes R1'!P435</x:f>
        <x:v>0</x:v>
      </x:c>
      <x:c r="Y11" s="318">
        <x:f>'Reporte Componentes R1'!Q435</x:f>
        <x:v>0</x:v>
      </x:c>
      <x:c r="Z11" s="319">
        <x:f>L11*-1</x:f>
        <x:v>0</x:v>
      </x:c>
      <x:c r="AA11" s="320">
        <x:f>'Reporte Componentes R1'!R435+'Reporte Componentes R1'!V435+'Reporte Componentes R1'!U435</x:f>
        <x:v>0</x:v>
      </x:c>
      <x:c r="AB11" s="294">
        <x:f>N11</x:f>
        <x:v>0</x:v>
      </x:c>
      <x:c r="AC11" s="320">
        <x:f>'Reporte Componentes R1'!T435+'Reporte Componentes R1'!W435+'Reporte Componentes R1'!X435+'Reporte Componentes R1'!Y435+'Reporte Componentes R1'!Z435+'Reporte Componentes R1'!S435</x:f>
        <x:v>0</x:v>
      </x:c>
      <x:c r="AD11" s="291">
        <x:f t="shared" si="2"/>
        <x:v>0</x:v>
      </x:c>
      <x:c r="AE11" s="291">
        <x:f>'Reporte Componentes R1'!F436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R1'!F588</x:f>
        <x:v>0</x:v>
      </x:c>
      <x:c r="E12" s="292">
        <x:f>'Reporte Componentes R1'!G588</x:f>
        <x:v>0</x:v>
      </x:c>
      <x:c r="F12" s="292">
        <x:f>'Reporte Componentes R1'!H588</x:f>
        <x:v>0</x:v>
      </x:c>
      <x:c r="G12" s="292">
        <x:f>'Reporte Componentes R1'!I588</x:f>
        <x:v>0</x:v>
      </x:c>
      <x:c r="H12" s="292">
        <x:f>'Reporte Componentes R1'!J588</x:f>
        <x:v>0</x:v>
      </x:c>
      <x:c r="I12" s="292">
        <x:f>'Reporte Componentes R1'!K588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R1'!L588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R1'!M588</x:f>
        <x:v>0</x:v>
      </x:c>
      <x:c r="V12" s="317">
        <x:f>'Reporte Componentes R1'!N588</x:f>
        <x:v>0</x:v>
      </x:c>
      <x:c r="W12" s="317">
        <x:f>'Reporte Componentes R1'!O588</x:f>
        <x:v>0</x:v>
      </x:c>
      <x:c r="X12" s="317">
        <x:f>'Reporte Componentes R1'!P588</x:f>
        <x:v>0</x:v>
      </x:c>
      <x:c r="Y12" s="318">
        <x:f>'Reporte Componentes R1'!Q588</x:f>
        <x:v>0</x:v>
      </x:c>
      <x:c r="Z12" s="319">
        <x:f>L12*-1</x:f>
        <x:v>0</x:v>
      </x:c>
      <x:c r="AA12" s="320">
        <x:f>'Reporte Componentes R1'!R588+'Reporte Componentes R1'!V588+'Reporte Componentes R1'!U588</x:f>
        <x:v>0</x:v>
      </x:c>
      <x:c r="AB12" s="294">
        <x:f>N12</x:f>
        <x:v>0</x:v>
      </x:c>
      <x:c r="AC12" s="320">
        <x:f>'Reporte Componentes R1'!T588+'Reporte Componentes R1'!W588+'Reporte Componentes R1'!X588+'Reporte Componentes R1'!Y588+'Reporte Componentes R1'!Z588+'Reporte Componentes R1'!S588</x:f>
        <x:v>0</x:v>
      </x:c>
      <x:c r="AD12" s="291">
        <x:f t="shared" si="2"/>
        <x:v>0</x:v>
      </x:c>
      <x:c r="AE12" s="291">
        <x:f>'Reporte Componentes R1'!F589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R1'!F700</x:f>
        <x:v>0</x:v>
      </x:c>
      <x:c r="E13" s="297">
        <x:f>'Reporte Componentes R1'!G700</x:f>
        <x:v>0</x:v>
      </x:c>
      <x:c r="F13" s="297">
        <x:f>'Reporte Componentes R1'!H700</x:f>
        <x:v>0</x:v>
      </x:c>
      <x:c r="G13" s="297">
        <x:f>'Reporte Componentes R1'!I700</x:f>
        <x:v>0</x:v>
      </x:c>
      <x:c r="H13" s="297">
        <x:f>'Reporte Componentes R1'!J700</x:f>
        <x:v>0</x:v>
      </x:c>
      <x:c r="I13" s="297">
        <x:f>'Reporte Componentes R1'!K700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R1'!L700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R1'!M700</x:f>
        <x:v>0</x:v>
      </x:c>
      <x:c r="V13" s="297">
        <x:f>'Reporte Componentes R1'!N700</x:f>
        <x:v>0</x:v>
      </x:c>
      <x:c r="W13" s="297">
        <x:f>'Reporte Componentes R1'!O700</x:f>
        <x:v>0</x:v>
      </x:c>
      <x:c r="X13" s="297">
        <x:f>'Reporte Componentes R1'!P700</x:f>
        <x:v>0</x:v>
      </x:c>
      <x:c r="Y13" s="289">
        <x:f>'Reporte Componentes R1'!Q700</x:f>
        <x:v>0</x:v>
      </x:c>
      <x:c r="Z13" s="319">
        <x:f>L13*-1</x:f>
        <x:v>0</x:v>
      </x:c>
      <x:c r="AA13" s="320">
        <x:f>'Reporte Componentes R1'!R700+'Reporte Componentes R1'!V700+'Reporte Componentes R1'!U700</x:f>
        <x:v>0</x:v>
      </x:c>
      <x:c r="AB13" s="294">
        <x:f>N13</x:f>
        <x:v>0</x:v>
      </x:c>
      <x:c r="AC13" s="320">
        <x:f>'Reporte Componentes R1'!T700+'Reporte Componentes R1'!W700+'Reporte Componentes R1'!X700+'Reporte Componentes R1'!Y700+'Reporte Componentes R1'!Z700+'Reporte Componentes R1'!S700</x:f>
        <x:v>0</x:v>
      </x:c>
      <x:c r="AD13" s="291">
        <x:f t="shared" si="2"/>
        <x:v>0</x:v>
      </x:c>
      <x:c r="AE13" s="291">
        <x:f>'Reporte Componentes R1'!F701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R2'!E59</x:f>
        <x:v>0</x:v>
      </x:c>
      <x:c r="E28" s="292">
        <x:f>'Rem. Anticipos R2'!F59</x:f>
        <x:v>0</x:v>
      </x:c>
      <x:c r="F28" s="292">
        <x:f>'Rem. Anticipos R2'!G59</x:f>
        <x:v>0</x:v>
      </x:c>
      <x:c r="G28" s="292">
        <x:f>'Rem. Anticipos R2'!H59</x:f>
        <x:v>0</x:v>
      </x:c>
      <x:c r="H28" s="292">
        <x:f>'Rem. Anticipos R2'!I59</x:f>
        <x:v>0</x:v>
      </x:c>
      <x:c r="I28" s="292">
        <x:f>'Rem. Anticipos R2'!J59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R2'!L59</x:f>
        <x:v>0</x:v>
      </x:c>
      <x:c r="V28" s="308">
        <x:f>'Rem. Anticipos R2'!M59</x:f>
        <x:v>0</x:v>
      </x:c>
      <x:c r="W28" s="308">
        <x:f>'Rem. Anticipos R2'!N59</x:f>
        <x:v>0</x:v>
      </x:c>
      <x:c r="X28" s="308">
        <x:f>'Rem. Anticipos R2'!O59</x:f>
        <x:v>0</x:v>
      </x:c>
      <x:c r="Y28" s="308">
        <x:f>'Rem. Anticipos R2'!P59</x:f>
        <x:v>0</x:v>
      </x:c>
      <x:c r="Z28" s="310">
        <x:f>L28*-1</x:f>
        <x:v>0</x:v>
      </x:c>
      <x:c r="AA28" s="311">
        <x:f>'Rem. Anticipos R2'!Q59</x:f>
        <x:v>0</x:v>
      </x:c>
      <x:c r="AB28" s="294">
        <x:f>N28</x:f>
        <x:v>0</x:v>
      </x:c>
      <x:c r="AC28" s="311">
        <x:f>'Rem. Anticipos R2'!R59</x:f>
        <x:v>0</x:v>
      </x:c>
      <x:c r="AD28" s="291">
        <x:f>-J28+AE28</x:f>
        <x:v>0</x:v>
      </x:c>
      <x:c r="AE28" s="291">
        <x:f>'Rem. Anticipos R2'!E60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R2'!E167</x:f>
        <x:v>0</x:v>
      </x:c>
      <x:c r="E29" s="292">
        <x:f>'Rem. Anticipos R2'!F167</x:f>
        <x:v>0</x:v>
      </x:c>
      <x:c r="F29" s="292">
        <x:f>'Rem. Anticipos R2'!G167</x:f>
        <x:v>0</x:v>
      </x:c>
      <x:c r="G29" s="292">
        <x:f>'Rem. Anticipos R2'!H167</x:f>
        <x:v>0</x:v>
      </x:c>
      <x:c r="H29" s="292">
        <x:f>'Rem. Anticipos R2'!I167</x:f>
        <x:v>0</x:v>
      </x:c>
      <x:c r="I29" s="292">
        <x:f>'Rem. Anticipos R2'!J167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R2'!K167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R2'!L167</x:f>
        <x:v>0</x:v>
      </x:c>
      <x:c r="V29" s="317">
        <x:f>'Rem. Anticipos R2'!M167</x:f>
        <x:v>0</x:v>
      </x:c>
      <x:c r="W29" s="317">
        <x:f>'Rem. Anticipos R2'!N167</x:f>
        <x:v>0</x:v>
      </x:c>
      <x:c r="X29" s="317">
        <x:f>'Rem. Anticipos R2'!O167</x:f>
        <x:v>0</x:v>
      </x:c>
      <x:c r="Y29" s="318">
        <x:f>'Rem. Anticipos R2'!P167</x:f>
        <x:v>0</x:v>
      </x:c>
      <x:c r="Z29" s="319">
        <x:f>L29*-1</x:f>
        <x:v>0</x:v>
      </x:c>
      <x:c r="AA29" s="320">
        <x:f>'Rem. Anticipos R2'!Q167</x:f>
        <x:v>0</x:v>
      </x:c>
      <x:c r="AB29" s="294">
        <x:f>N29</x:f>
        <x:v>0</x:v>
      </x:c>
      <x:c r="AC29" s="320">
        <x:f>'Rem. Anticipos R2'!R167</x:f>
        <x:v>0</x:v>
      </x:c>
      <x:c r="AD29" s="291">
        <x:f>-J29+AE29</x:f>
        <x:v>0</x:v>
      </x:c>
      <x:c r="AE29" s="291">
        <x:f>'Rem. Anticipos R2'!E168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R2'!E285</x:f>
        <x:v>0</x:v>
      </x:c>
      <x:c r="E30" s="292">
        <x:f>'Rem. Anticipos R2'!F285</x:f>
        <x:v>0</x:v>
      </x:c>
      <x:c r="F30" s="292">
        <x:f>'Rem. Anticipos R2'!G285</x:f>
        <x:v>0</x:v>
      </x:c>
      <x:c r="G30" s="292">
        <x:f>'Rem. Anticipos R2'!H285</x:f>
        <x:v>0</x:v>
      </x:c>
      <x:c r="H30" s="292">
        <x:f>'Rem. Anticipos R2'!I285</x:f>
        <x:v>0</x:v>
      </x:c>
      <x:c r="I30" s="292">
        <x:f>'Rem. Anticipos R2'!J285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R2'!L285</x:f>
        <x:v>0</x:v>
      </x:c>
      <x:c r="V30" s="317">
        <x:f>'Rem. Anticipos R2'!M285</x:f>
        <x:v>0</x:v>
      </x:c>
      <x:c r="W30" s="317">
        <x:f>'Rem. Anticipos R2'!N285</x:f>
        <x:v>0</x:v>
      </x:c>
      <x:c r="X30" s="317">
        <x:f>'Rem. Anticipos R2'!O285</x:f>
        <x:v>0</x:v>
      </x:c>
      <x:c r="Y30" s="318">
        <x:f>'Rem. Anticipos R2'!P285</x:f>
        <x:v>0</x:v>
      </x:c>
      <x:c r="Z30" s="319">
        <x:f>L30*-1</x:f>
        <x:v>0</x:v>
      </x:c>
      <x:c r="AA30" s="320">
        <x:f>'Rem. Anticipos R2'!Q285</x:f>
        <x:v>0</x:v>
      </x:c>
      <x:c r="AB30" s="294">
        <x:f>N30</x:f>
        <x:v>0</x:v>
      </x:c>
      <x:c r="AC30" s="320">
        <x:f>'Rem. Anticipos R2'!R285</x:f>
        <x:v>0</x:v>
      </x:c>
      <x:c r="AD30" s="291">
        <x:f t="shared" ref="AD30:AD32" si="10">-J30+AE30</x:f>
        <x:v>0</x:v>
      </x:c>
      <x:c r="AE30" s="291">
        <x:f>'Rem. Anticipos R2'!E286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R2'!E396</x:f>
        <x:v>0</x:v>
      </x:c>
      <x:c r="E31" s="292">
        <x:f>'Rem. Anticipos R2'!F396</x:f>
        <x:v>0</x:v>
      </x:c>
      <x:c r="F31" s="292">
        <x:f>'Rem. Anticipos R2'!G396</x:f>
        <x:v>0</x:v>
      </x:c>
      <x:c r="G31" s="292">
        <x:f>'Rem. Anticipos R2'!H396</x:f>
        <x:v>0</x:v>
      </x:c>
      <x:c r="H31" s="292">
        <x:f>'Rem. Anticipos R2'!I396</x:f>
        <x:v>0</x:v>
      </x:c>
      <x:c r="I31" s="292">
        <x:f>'Rem. Anticipos R2'!J396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R2'!L396</x:f>
        <x:v>0</x:v>
      </x:c>
      <x:c r="V31" s="317">
        <x:f>'Rem. Anticipos R2'!M396</x:f>
        <x:v>0</x:v>
      </x:c>
      <x:c r="W31" s="317">
        <x:f>'Rem. Anticipos R2'!N396</x:f>
        <x:v>0</x:v>
      </x:c>
      <x:c r="X31" s="317">
        <x:f>'Rem. Anticipos R2'!O396</x:f>
        <x:v>0</x:v>
      </x:c>
      <x:c r="Y31" s="318">
        <x:f>'Rem. Anticipos R2'!P396</x:f>
        <x:v>0</x:v>
      </x:c>
      <x:c r="Z31" s="319">
        <x:f>L31*-1</x:f>
        <x:v>0</x:v>
      </x:c>
      <x:c r="AA31" s="320">
        <x:f>'Rem. Anticipos R2'!Q396</x:f>
        <x:v>0</x:v>
      </x:c>
      <x:c r="AB31" s="294">
        <x:f>N31</x:f>
        <x:v>0</x:v>
      </x:c>
      <x:c r="AC31" s="320">
        <x:f>'Rem. Anticipos R2'!R396</x:f>
        <x:v>0</x:v>
      </x:c>
      <x:c r="AD31" s="291">
        <x:f t="shared" si="10"/>
        <x:v>0</x:v>
      </x:c>
      <x:c r="AE31" s="291">
        <x:f>'Rem. Anticipos R2'!E397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R2'!E480</x:f>
        <x:v>0</x:v>
      </x:c>
      <x:c r="E32" s="297">
        <x:f>'Rem. Anticipos R2'!F480</x:f>
        <x:v>0</x:v>
      </x:c>
      <x:c r="F32" s="297">
        <x:f>'Rem. Anticipos R2'!G480</x:f>
        <x:v>0</x:v>
      </x:c>
      <x:c r="G32" s="297">
        <x:f>'Rem. Anticipos R2'!H480</x:f>
        <x:v>0</x:v>
      </x:c>
      <x:c r="H32" s="297">
        <x:f>'Rem. Anticipos R2'!I480</x:f>
        <x:v>0</x:v>
      </x:c>
      <x:c r="I32" s="297">
        <x:f>'Rem. Anticipos R2'!J480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R2'!K480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R2'!L480</x:f>
        <x:v>0</x:v>
      </x:c>
      <x:c r="V32" s="297">
        <x:f>'Rem. Anticipos R2'!M480</x:f>
        <x:v>0</x:v>
      </x:c>
      <x:c r="W32" s="297">
        <x:f>'Rem. Anticipos R2'!N480</x:f>
        <x:v>0</x:v>
      </x:c>
      <x:c r="X32" s="297">
        <x:f>'Rem. Anticipos R2'!O480</x:f>
        <x:v>0</x:v>
      </x:c>
      <x:c r="Y32" s="289">
        <x:f>'Rem. Anticipos R2'!P480</x:f>
        <x:v>0</x:v>
      </x:c>
      <x:c r="Z32" s="319">
        <x:f>L32*-1</x:f>
        <x:v>0</x:v>
      </x:c>
      <x:c r="AA32" s="320">
        <x:f>'Rem. Anticipos R2'!Q480</x:f>
        <x:v>0</x:v>
      </x:c>
      <x:c r="AB32" s="294">
        <x:f>N32</x:f>
        <x:v>0</x:v>
      </x:c>
      <x:c r="AC32" s="320">
        <x:f>'Rem. Anticipos R2'!R480</x:f>
        <x:v>0</x:v>
      </x:c>
      <x:c r="AD32" s="291">
        <x:f t="shared" si="10"/>
        <x:v>0</x:v>
      </x:c>
      <x:c r="AE32" s="291">
        <x:f>'Rem. Anticipos R2'!E481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R1'!F97</x:f>
        <x:v>0</x:v>
      </x:c>
      <x:c r="E47" s="292">
        <x:f>'Reporte Componentes R1'!G97</x:f>
        <x:v>0</x:v>
      </x:c>
      <x:c r="F47" s="292">
        <x:f>'Reporte Componentes R1'!H97</x:f>
        <x:v>0</x:v>
      </x:c>
      <x:c r="G47" s="292">
        <x:f>'Reporte Componentes R1'!I97</x:f>
        <x:v>0</x:v>
      </x:c>
      <x:c r="H47" s="292">
        <x:f>'Reporte Componentes R1'!J97</x:f>
        <x:v>0</x:v>
      </x:c>
      <x:c r="I47" s="292">
        <x:f>'Reporte Componentes R1'!K97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R1'!L97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R1'!M97</x:f>
        <x:v>0</x:v>
      </x:c>
      <x:c r="V47" s="308">
        <x:f>'Reporte Componentes R1'!N97</x:f>
        <x:v>0</x:v>
      </x:c>
      <x:c r="W47" s="308">
        <x:f>'Reporte Componentes R1'!O97</x:f>
        <x:v>0</x:v>
      </x:c>
      <x:c r="X47" s="308">
        <x:f>'Reporte Componentes R1'!P97</x:f>
        <x:v>0</x:v>
      </x:c>
      <x:c r="Y47" s="309">
        <x:f>'Reporte Componentes R1'!Q97</x:f>
        <x:v>0</x:v>
      </x:c>
      <x:c r="Z47" s="310">
        <x:f>-L47</x:f>
        <x:v>0</x:v>
      </x:c>
      <x:c r="AA47" s="311">
        <x:f>'Reporte Componentes R1'!R97+'Reporte Componentes R1'!V97+'Reporte Componentes R1'!U97</x:f>
        <x:v>0</x:v>
      </x:c>
      <x:c r="AB47" s="294">
        <x:f>N47</x:f>
        <x:v>0</x:v>
      </x:c>
      <x:c r="AC47" s="311">
        <x:f>'Reporte Componentes R1'!T97+'Reporte Componentes R1'!S97+'Reporte Componentes R1'!W97+'Reporte Componentes R1'!X97+'Reporte Componentes R1'!Y97+'Reporte Componentes R1'!Z97</x:f>
        <x:v>0</x:v>
      </x:c>
      <x:c r="AD47" s="291">
        <x:f>-J47+AE47</x:f>
        <x:v>0</x:v>
      </x:c>
      <x:c r="AE47" s="291">
        <x:f>'Reporte Componentes R1'!F98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R1'!F276</x:f>
        <x:v>0</x:v>
      </x:c>
      <x:c r="E48" s="292">
        <x:f>'Reporte Componentes R1'!G276</x:f>
        <x:v>0</x:v>
      </x:c>
      <x:c r="F48" s="292">
        <x:f>'Reporte Componentes R1'!H276</x:f>
        <x:v>0</x:v>
      </x:c>
      <x:c r="G48" s="292">
        <x:f>'Reporte Componentes R1'!I276</x:f>
        <x:v>0</x:v>
      </x:c>
      <x:c r="H48" s="292">
        <x:f>'Reporte Componentes R1'!J276</x:f>
        <x:v>0</x:v>
      </x:c>
      <x:c r="I48" s="292">
        <x:f>'Reporte Componentes R1'!K276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R1'!L276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R1'!M276</x:f>
        <x:v>0</x:v>
      </x:c>
      <x:c r="V48" s="317">
        <x:f>'Reporte Componentes R1'!N276</x:f>
        <x:v>0</x:v>
      </x:c>
      <x:c r="W48" s="317">
        <x:f>'Reporte Componentes R1'!O276</x:f>
        <x:v>0</x:v>
      </x:c>
      <x:c r="X48" s="317">
        <x:f>'Reporte Componentes R1'!P276</x:f>
        <x:v>0</x:v>
      </x:c>
      <x:c r="Y48" s="318">
        <x:f>'Reporte Componentes R1'!Q276</x:f>
        <x:v>0</x:v>
      </x:c>
      <x:c r="Z48" s="319">
        <x:f>-L48</x:f>
        <x:v>0</x:v>
      </x:c>
      <x:c r="AA48" s="320">
        <x:f>'Reporte Componentes R1'!R276+'Reporte Componentes R1'!V276+'Reporte Componentes R1'!U276</x:f>
        <x:v>0</x:v>
      </x:c>
      <x:c r="AB48" s="294">
        <x:f>N48</x:f>
        <x:v>0</x:v>
      </x:c>
      <x:c r="AC48" s="320">
        <x:f>'Reporte Componentes R1'!T276+'Reporte Componentes R1'!S276+'Reporte Componentes R1'!W276+'Reporte Componentes R1'!X276+'Reporte Componentes R1'!Y276+'Reporte Componentes R1'!Z276</x:f>
        <x:v>0</x:v>
      </x:c>
      <x:c r="AD48" s="291">
        <x:f t="shared" ref="AD48:AD51" si="16">-J48+AE48</x:f>
        <x:v>0</x:v>
      </x:c>
      <x:c r="AE48" s="291">
        <x:f>'Reporte Componentes R1'!F277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R1'!F437</x:f>
        <x:v>0</x:v>
      </x:c>
      <x:c r="E49" s="292">
        <x:f>'Reporte Componentes R1'!G437</x:f>
        <x:v>0</x:v>
      </x:c>
      <x:c r="F49" s="292">
        <x:f>'Reporte Componentes R1'!H437</x:f>
        <x:v>0</x:v>
      </x:c>
      <x:c r="G49" s="292">
        <x:f>'Reporte Componentes R1'!I437</x:f>
        <x:v>0</x:v>
      </x:c>
      <x:c r="H49" s="292">
        <x:f>'Reporte Componentes R1'!J437</x:f>
        <x:v>0</x:v>
      </x:c>
      <x:c r="I49" s="292">
        <x:f>'Reporte Componentes R1'!K437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R1'!L437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R1'!M437</x:f>
        <x:v>0</x:v>
      </x:c>
      <x:c r="V49" s="317">
        <x:f>'Reporte Componentes R1'!N437</x:f>
        <x:v>0</x:v>
      </x:c>
      <x:c r="W49" s="317">
        <x:f>'Reporte Componentes R1'!O437</x:f>
        <x:v>0</x:v>
      </x:c>
      <x:c r="X49" s="317">
        <x:f>'Reporte Componentes R1'!P437</x:f>
        <x:v>0</x:v>
      </x:c>
      <x:c r="Y49" s="318">
        <x:f>'Reporte Componentes R1'!Q437</x:f>
        <x:v>0</x:v>
      </x:c>
      <x:c r="Z49" s="319">
        <x:f>-L49</x:f>
        <x:v>0</x:v>
      </x:c>
      <x:c r="AA49" s="320">
        <x:f>'Reporte Componentes R1'!R437+'Reporte Componentes R1'!V437+'Reporte Componentes R1'!U437</x:f>
        <x:v>0</x:v>
      </x:c>
      <x:c r="AB49" s="294">
        <x:f>N49</x:f>
        <x:v>0</x:v>
      </x:c>
      <x:c r="AC49" s="320">
        <x:f>'Reporte Componentes R1'!T437+'Reporte Componentes R1'!S437+'Reporte Componentes R1'!W437+'Reporte Componentes R1'!X437+'Reporte Componentes R1'!Y437+'Reporte Componentes R1'!Z437</x:f>
        <x:v>0</x:v>
      </x:c>
      <x:c r="AD49" s="291">
        <x:f t="shared" si="16"/>
        <x:v>0</x:v>
      </x:c>
      <x:c r="AE49" s="291">
        <x:f>'Reporte Componentes R1'!F438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R1'!F590</x:f>
        <x:v>0</x:v>
      </x:c>
      <x:c r="E50" s="292">
        <x:f>'Reporte Componentes R1'!G590</x:f>
        <x:v>0</x:v>
      </x:c>
      <x:c r="F50" s="292">
        <x:f>'Reporte Componentes R1'!H590</x:f>
        <x:v>0</x:v>
      </x:c>
      <x:c r="G50" s="292">
        <x:f>'Reporte Componentes R1'!I590</x:f>
        <x:v>0</x:v>
      </x:c>
      <x:c r="H50" s="292">
        <x:f>'Reporte Componentes R1'!J590</x:f>
        <x:v>0</x:v>
      </x:c>
      <x:c r="I50" s="292">
        <x:f>'Reporte Componentes R1'!K590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R1'!L590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R1'!M590</x:f>
        <x:v>0</x:v>
      </x:c>
      <x:c r="V50" s="317">
        <x:f>'Reporte Componentes R1'!N590</x:f>
        <x:v>0</x:v>
      </x:c>
      <x:c r="W50" s="317">
        <x:f>'Reporte Componentes R1'!O590</x:f>
        <x:v>0</x:v>
      </x:c>
      <x:c r="X50" s="317">
        <x:f>'Reporte Componentes R1'!P590</x:f>
        <x:v>0</x:v>
      </x:c>
      <x:c r="Y50" s="318">
        <x:f>'Reporte Componentes R1'!Q590</x:f>
        <x:v>0</x:v>
      </x:c>
      <x:c r="Z50" s="319">
        <x:f>-L50</x:f>
        <x:v>0</x:v>
      </x:c>
      <x:c r="AA50" s="320">
        <x:f>'Reporte Componentes R1'!R590+'Reporte Componentes R1'!V590+'Reporte Componentes R1'!U590</x:f>
        <x:v>0</x:v>
      </x:c>
      <x:c r="AB50" s="294">
        <x:f>N50</x:f>
        <x:v>0</x:v>
      </x:c>
      <x:c r="AC50" s="320">
        <x:f>'Reporte Componentes R1'!T590+'Reporte Componentes R1'!S590+'Reporte Componentes R1'!W590+'Reporte Componentes R1'!X590+'Reporte Componentes R1'!Y590+'Reporte Componentes R1'!Z590</x:f>
        <x:v>0</x:v>
      </x:c>
      <x:c r="AD50" s="291">
        <x:f t="shared" si="16"/>
        <x:v>0</x:v>
      </x:c>
      <x:c r="AE50" s="291">
        <x:f>'Reporte Componentes R1'!F591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R1'!F702</x:f>
        <x:v>0</x:v>
      </x:c>
      <x:c r="E51" s="297">
        <x:f>'Reporte Componentes R1'!G702</x:f>
        <x:v>0</x:v>
      </x:c>
      <x:c r="F51" s="297">
        <x:f>'Reporte Componentes R1'!H702</x:f>
        <x:v>0</x:v>
      </x:c>
      <x:c r="G51" s="297">
        <x:f>'Reporte Componentes R1'!I702</x:f>
        <x:v>0</x:v>
      </x:c>
      <x:c r="H51" s="297">
        <x:f>'Reporte Componentes R1'!J702</x:f>
        <x:v>0</x:v>
      </x:c>
      <x:c r="I51" s="297">
        <x:f>'Reporte Componentes R1'!K702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R1'!L702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R1'!M702</x:f>
        <x:v>0</x:v>
      </x:c>
      <x:c r="V51" s="297">
        <x:f>'Reporte Componentes R1'!N702</x:f>
        <x:v>0</x:v>
      </x:c>
      <x:c r="W51" s="297">
        <x:f>'Reporte Componentes R1'!O702</x:f>
        <x:v>0</x:v>
      </x:c>
      <x:c r="X51" s="297">
        <x:f>'Reporte Componentes R1'!P702</x:f>
        <x:v>0</x:v>
      </x:c>
      <x:c r="Y51" s="289">
        <x:f>'Reporte Componentes R1'!Q702</x:f>
        <x:v>0</x:v>
      </x:c>
      <x:c r="Z51" s="319">
        <x:f>-L51</x:f>
        <x:v>0</x:v>
      </x:c>
      <x:c r="AA51" s="320">
        <x:f>'Reporte Componentes R1'!R702+'Reporte Componentes R1'!V702+'Reporte Componentes R1'!U702</x:f>
        <x:v>0</x:v>
      </x:c>
      <x:c r="AB51" s="294">
        <x:f>N51</x:f>
        <x:v>0</x:v>
      </x:c>
      <x:c r="AC51" s="320">
        <x:f>'Reporte Componentes R1'!T702+'Reporte Componentes R1'!S702+'Reporte Componentes R1'!W702+'Reporte Componentes R1'!X702+'Reporte Componentes R1'!Y702+'Reporte Componentes R1'!Z702</x:f>
        <x:v>0</x:v>
      </x:c>
      <x:c r="AD51" s="291">
        <x:f t="shared" si="16"/>
        <x:v>0</x:v>
      </x:c>
      <x:c r="AE51" s="291">
        <x:f>'Reporte Componentes R1'!F703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8">
        <x:f>'Reversion Pagos R4'!N85</x:f>
        <x:v>0</x:v>
      </x:c>
      <x:c r="Z66" s="310">
        <x:f>-L66</x:f>
        <x:v>0</x:v>
      </x:c>
      <x:c r="AA66" s="320">
        <x:f>'Reversion Pagos R4'!O85</x:f>
        <x:v>0</x:v>
      </x:c>
      <x:c r="AB66" s="294">
        <x:f>N66</x:f>
        <x:v>0</x:v>
      </x:c>
      <x:c r="AC66" s="320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+'Reversion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+'Reversion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+'Reversion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6"/>
        <x:v>0</x:v>
      </x:c>
      <x:c r="AA70" s="320">
        <x:f>'Reversion Pagos R4'!O373</x:f>
        <x:v>0</x:v>
      </x:c>
      <x:c r="AB70" s="294">
        <x:f t="shared" si="27"/>
        <x:v>0</x:v>
      </x:c>
      <x:c r="AC70" s="320">
        <x:f>+'Reversion Pagos R4'!Q373+'Reversion Pagos R4'!R373</x:f>
        <x:v>0</x:v>
      </x:c>
      <x:c r="AD70" s="291">
        <x:f t="shared" si="28"/>
        <x:v>0</x:v>
      </x:c>
      <x:c r="AE70" s="291">
        <x:f>'Reversion Pagos R4'!D374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R1'!F100</x:f>
        <x:v>0</x:v>
      </x:c>
      <x:c r="E9" s="292">
        <x:f>'Reporte Componentes R1'!G100</x:f>
        <x:v>0</x:v>
      </x:c>
      <x:c r="F9" s="292">
        <x:f>'Reporte Componentes R1'!H100</x:f>
        <x:v>0</x:v>
      </x:c>
      <x:c r="G9" s="292">
        <x:f>'Reporte Componentes R1'!I100</x:f>
        <x:v>0</x:v>
      </x:c>
      <x:c r="H9" s="292">
        <x:f>'Reporte Componentes R1'!J100</x:f>
        <x:v>0</x:v>
      </x:c>
      <x:c r="I9" s="292">
        <x:f>'Reporte Componentes R1'!K100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R1'!L100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R1'!M100</x:f>
        <x:v>0</x:v>
      </x:c>
      <x:c r="V9" s="308">
        <x:f>'Reporte Componentes R1'!N100</x:f>
        <x:v>0</x:v>
      </x:c>
      <x:c r="W9" s="308">
        <x:f>'Reporte Componentes R1'!O100</x:f>
        <x:v>0</x:v>
      </x:c>
      <x:c r="X9" s="308">
        <x:f>'Reporte Componentes R1'!P100</x:f>
        <x:v>0</x:v>
      </x:c>
      <x:c r="Y9" s="309">
        <x:f>'Reporte Componentes R1'!Q100</x:f>
        <x:v>0</x:v>
      </x:c>
      <x:c r="Z9" s="310">
        <x:f>L9*-1</x:f>
        <x:v>0</x:v>
      </x:c>
      <x:c r="AA9" s="311">
        <x:f>'Reporte Componentes R1'!R100+'Reporte Componentes R1'!S100</x:f>
        <x:v>0</x:v>
      </x:c>
      <x:c r="AB9" s="294">
        <x:f>N9</x:f>
        <x:v>0</x:v>
      </x:c>
      <x:c r="AC9" s="311">
        <x:f>'Reporte Componentes R1'!Z100</x:f>
        <x:v>0</x:v>
      </x:c>
      <x:c r="AD9" s="291">
        <x:f>-J9+AE9</x:f>
        <x:v>0</x:v>
      </x:c>
      <x:c r="AE9" s="291">
        <x:f>'Reporte Componentes R1'!F101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R1'!F279</x:f>
        <x:v>0</x:v>
      </x:c>
      <x:c r="E10" s="292">
        <x:f>'Reporte Componentes R1'!G279</x:f>
        <x:v>0</x:v>
      </x:c>
      <x:c r="F10" s="292">
        <x:f>'Reporte Componentes R1'!H279</x:f>
        <x:v>0</x:v>
      </x:c>
      <x:c r="G10" s="292">
        <x:f>'Reporte Componentes R1'!I279</x:f>
        <x:v>0</x:v>
      </x:c>
      <x:c r="H10" s="292">
        <x:f>'Reporte Componentes R1'!J279</x:f>
        <x:v>0</x:v>
      </x:c>
      <x:c r="I10" s="292">
        <x:f>'Reporte Componentes R1'!K279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R1'!L279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R1'!M279</x:f>
        <x:v>0</x:v>
      </x:c>
      <x:c r="V10" s="317">
        <x:f>'Reporte Componentes R1'!N279</x:f>
        <x:v>0</x:v>
      </x:c>
      <x:c r="W10" s="317">
        <x:f>'Reporte Componentes R1'!O279</x:f>
        <x:v>0</x:v>
      </x:c>
      <x:c r="X10" s="317">
        <x:f>'Reporte Componentes R1'!P279</x:f>
        <x:v>0</x:v>
      </x:c>
      <x:c r="Y10" s="318">
        <x:f>'Reporte Componentes R1'!Q279</x:f>
        <x:v>0</x:v>
      </x:c>
      <x:c r="Z10" s="319">
        <x:f>L10*-1</x:f>
        <x:v>0</x:v>
      </x:c>
      <x:c r="AA10" s="320">
        <x:f>'Reporte Componentes R1'!R279+'Reporte Componentes R1'!S279+'Reporte Componentes R1'!T279</x:f>
        <x:v>0</x:v>
      </x:c>
      <x:c r="AB10" s="294">
        <x:f>N10</x:f>
        <x:v>0</x:v>
      </x:c>
      <x:c r="AC10" s="320">
        <x:f>'Reporte Componentes R1'!Z279</x:f>
        <x:v>0</x:v>
      </x:c>
      <x:c r="AD10" s="291">
        <x:f t="shared" ref="AD10:AD13" si="2">-J10+AE10</x:f>
        <x:v>0</x:v>
      </x:c>
      <x:c r="AE10" s="291">
        <x:f>'Reporte Componentes R1'!F280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R1'!F440</x:f>
        <x:v>0</x:v>
      </x:c>
      <x:c r="E11" s="292">
        <x:f>'Reporte Componentes R1'!G440</x:f>
        <x:v>0</x:v>
      </x:c>
      <x:c r="F11" s="292">
        <x:f>'Reporte Componentes R1'!H440</x:f>
        <x:v>0</x:v>
      </x:c>
      <x:c r="G11" s="292">
        <x:f>'Reporte Componentes R1'!I440</x:f>
        <x:v>0</x:v>
      </x:c>
      <x:c r="H11" s="292">
        <x:f>'Reporte Componentes R1'!J440</x:f>
        <x:v>0</x:v>
      </x:c>
      <x:c r="I11" s="292">
        <x:f>'Reporte Componentes R1'!K440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R1'!L440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R1'!M440</x:f>
        <x:v>0</x:v>
      </x:c>
      <x:c r="V11" s="317">
        <x:f>'Reporte Componentes R1'!N440</x:f>
        <x:v>0</x:v>
      </x:c>
      <x:c r="W11" s="317">
        <x:f>'Reporte Componentes R1'!O440</x:f>
        <x:v>0</x:v>
      </x:c>
      <x:c r="X11" s="317">
        <x:f>'Reporte Componentes R1'!P440</x:f>
        <x:v>0</x:v>
      </x:c>
      <x:c r="Y11" s="318">
        <x:f>'Reporte Componentes R1'!Q440</x:f>
        <x:v>0</x:v>
      </x:c>
      <x:c r="Z11" s="319">
        <x:f>L11*-1</x:f>
        <x:v>0</x:v>
      </x:c>
      <x:c r="AA11" s="320">
        <x:f>'Reporte Componentes R1'!R440+'Reporte Componentes R1'!S440+'Reporte Componentes R1'!T440</x:f>
        <x:v>0</x:v>
      </x:c>
      <x:c r="AB11" s="294">
        <x:f>N11</x:f>
        <x:v>0</x:v>
      </x:c>
      <x:c r="AC11" s="320">
        <x:f>'Reporte Componentes R1'!X440</x:f>
        <x:v>0</x:v>
      </x:c>
      <x:c r="AD11" s="291">
        <x:f t="shared" si="2"/>
        <x:v>0</x:v>
      </x:c>
      <x:c r="AE11" s="291">
        <x:f>'Reporte Componentes R1'!F441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R1'!F593</x:f>
        <x:v>0</x:v>
      </x:c>
      <x:c r="E12" s="292">
        <x:f>'Reporte Componentes R1'!G593</x:f>
        <x:v>0</x:v>
      </x:c>
      <x:c r="F12" s="292">
        <x:f>'Reporte Componentes R1'!H593</x:f>
        <x:v>0</x:v>
      </x:c>
      <x:c r="G12" s="292">
        <x:f>'Reporte Componentes R1'!I593</x:f>
        <x:v>0</x:v>
      </x:c>
      <x:c r="H12" s="292">
        <x:f>'Reporte Componentes R1'!J593</x:f>
        <x:v>0</x:v>
      </x:c>
      <x:c r="I12" s="292">
        <x:f>'Reporte Componentes R1'!K593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R1'!L593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R1'!M593</x:f>
        <x:v>0</x:v>
      </x:c>
      <x:c r="V12" s="317">
        <x:f>'Reporte Componentes R1'!N593</x:f>
        <x:v>0</x:v>
      </x:c>
      <x:c r="W12" s="317">
        <x:f>'Reporte Componentes R1'!O593</x:f>
        <x:v>0</x:v>
      </x:c>
      <x:c r="X12" s="317">
        <x:f>'Reporte Componentes R1'!P593</x:f>
        <x:v>0</x:v>
      </x:c>
      <x:c r="Y12" s="318">
        <x:f>'Reporte Componentes R1'!Q593</x:f>
        <x:v>0</x:v>
      </x:c>
      <x:c r="Z12" s="319">
        <x:f>L12*-1</x:f>
        <x:v>0</x:v>
      </x:c>
      <x:c r="AA12" s="320">
        <x:f>'Reporte Componentes R1'!R593+'Reporte Componentes R1'!S593</x:f>
        <x:v>0</x:v>
      </x:c>
      <x:c r="AB12" s="294">
        <x:f>N12</x:f>
        <x:v>0</x:v>
      </x:c>
      <x:c r="AC12" s="320">
        <x:f>'Reporte Componentes R1'!X593</x:f>
        <x:v>0</x:v>
      </x:c>
      <x:c r="AD12" s="291">
        <x:f t="shared" si="2"/>
        <x:v>0</x:v>
      </x:c>
      <x:c r="AE12" s="291">
        <x:f>'Reporte Componentes R1'!F594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R1'!F705</x:f>
        <x:v>0</x:v>
      </x:c>
      <x:c r="E13" s="297">
        <x:f>'Reporte Componentes R1'!G705</x:f>
        <x:v>0</x:v>
      </x:c>
      <x:c r="F13" s="297">
        <x:f>'Reporte Componentes R1'!H705</x:f>
        <x:v>0</x:v>
      </x:c>
      <x:c r="G13" s="297">
        <x:f>'Reporte Componentes R1'!I705</x:f>
        <x:v>0</x:v>
      </x:c>
      <x:c r="H13" s="297">
        <x:f>'Reporte Componentes R1'!J705</x:f>
        <x:v>0</x:v>
      </x:c>
      <x:c r="I13" s="297">
        <x:f>'Reporte Componentes R1'!K705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R1'!L705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R1'!M705</x:f>
        <x:v>0</x:v>
      </x:c>
      <x:c r="V13" s="297">
        <x:f>'Reporte Componentes R1'!N705</x:f>
        <x:v>0</x:v>
      </x:c>
      <x:c r="W13" s="297">
        <x:f>'Reporte Componentes R1'!O705</x:f>
        <x:v>0</x:v>
      </x:c>
      <x:c r="X13" s="297">
        <x:f>'Reporte Componentes R1'!P705</x:f>
        <x:v>0</x:v>
      </x:c>
      <x:c r="Y13" s="289">
        <x:f>'Reporte Componentes R1'!Q705</x:f>
        <x:v>0</x:v>
      </x:c>
      <x:c r="Z13" s="319">
        <x:f>L13*-1</x:f>
        <x:v>0</x:v>
      </x:c>
      <x:c r="AA13" s="320">
        <x:f>'Reporte Componentes R1'!R705+'Reporte Componentes R1'!S705+'Reporte Componentes R1'!T705</x:f>
        <x:v>0</x:v>
      </x:c>
      <x:c r="AB13" s="294">
        <x:f>N13</x:f>
        <x:v>0</x:v>
      </x:c>
      <x:c r="AC13" s="320">
        <x:f>'Reporte Componentes R1'!X705</x:f>
        <x:v>0</x:v>
      </x:c>
      <x:c r="AD13" s="291">
        <x:f t="shared" si="2"/>
        <x:v>0</x:v>
      </x:c>
      <x:c r="AE13" s="291">
        <x:f>'Reporte Componentes R1'!F706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R2'!E62</x:f>
        <x:v>0</x:v>
      </x:c>
      <x:c r="E28" s="292">
        <x:f>'Rem. Anticipos R2'!F62</x:f>
        <x:v>0</x:v>
      </x:c>
      <x:c r="F28" s="292">
        <x:f>'Rem. Anticipos R2'!G62</x:f>
        <x:v>0</x:v>
      </x:c>
      <x:c r="G28" s="292">
        <x:f>'Rem. Anticipos R2'!H62</x:f>
        <x:v>0</x:v>
      </x:c>
      <x:c r="H28" s="292">
        <x:f>'Rem. Anticipos R2'!I62</x:f>
        <x:v>0</x:v>
      </x:c>
      <x:c r="I28" s="292">
        <x:f>'Rem. Anticipos R2'!J62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R2'!L62</x:f>
        <x:v>0</x:v>
      </x:c>
      <x:c r="V28" s="308">
        <x:f>'Rem. Anticipos R2'!M62</x:f>
        <x:v>0</x:v>
      </x:c>
      <x:c r="W28" s="308">
        <x:f>'Rem. Anticipos R2'!N62</x:f>
        <x:v>0</x:v>
      </x:c>
      <x:c r="X28" s="308">
        <x:f>'Rem. Anticipos R2'!O62</x:f>
        <x:v>0</x:v>
      </x:c>
      <x:c r="Y28" s="308">
        <x:f>'Rem. Anticipos R2'!P62</x:f>
        <x:v>0</x:v>
      </x:c>
      <x:c r="Z28" s="310">
        <x:f>L28*-1</x:f>
        <x:v>0</x:v>
      </x:c>
      <x:c r="AA28" s="311">
        <x:f>'Rem. Anticipos R2'!Q62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R2'!E63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R2'!E170</x:f>
        <x:v>0</x:v>
      </x:c>
      <x:c r="E29" s="292">
        <x:f>'Rem. Anticipos R2'!F170</x:f>
        <x:v>0</x:v>
      </x:c>
      <x:c r="F29" s="292">
        <x:f>'Rem. Anticipos R2'!G170</x:f>
        <x:v>0</x:v>
      </x:c>
      <x:c r="G29" s="292">
        <x:f>'Rem. Anticipos R2'!H170</x:f>
        <x:v>0</x:v>
      </x:c>
      <x:c r="H29" s="292">
        <x:f>'Rem. Anticipos R2'!I170</x:f>
        <x:v>0</x:v>
      </x:c>
      <x:c r="I29" s="292">
        <x:f>'Rem. Anticipos R2'!J170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R2'!L170</x:f>
        <x:v>0</x:v>
      </x:c>
      <x:c r="V29" s="317">
        <x:f>'Rem. Anticipos R2'!M170</x:f>
        <x:v>0</x:v>
      </x:c>
      <x:c r="W29" s="317">
        <x:f>'Rem. Anticipos R2'!N170</x:f>
        <x:v>0</x:v>
      </x:c>
      <x:c r="X29" s="317">
        <x:f>'Rem. Anticipos R2'!O170</x:f>
        <x:v>0</x:v>
      </x:c>
      <x:c r="Y29" s="318">
        <x:f>'Rem. Anticipos R2'!P170</x:f>
        <x:v>0</x:v>
      </x:c>
      <x:c r="Z29" s="319">
        <x:f>L29*-1</x:f>
        <x:v>0</x:v>
      </x:c>
      <x:c r="AA29" s="320">
        <x:f>'Rem. Anticipos R2'!Q170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R2'!E171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R2'!E288</x:f>
        <x:v>0</x:v>
      </x:c>
      <x:c r="E30" s="292">
        <x:f>'Rem. Anticipos R2'!F288</x:f>
        <x:v>0</x:v>
      </x:c>
      <x:c r="F30" s="292">
        <x:f>'Rem. Anticipos R2'!G288</x:f>
        <x:v>0</x:v>
      </x:c>
      <x:c r="G30" s="292">
        <x:f>'Rem. Anticipos R2'!H288</x:f>
        <x:v>0</x:v>
      </x:c>
      <x:c r="H30" s="292">
        <x:f>'Rem. Anticipos R2'!I288</x:f>
        <x:v>0</x:v>
      </x:c>
      <x:c r="I30" s="292">
        <x:f>'Rem. Anticipos R2'!J288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R2'!K288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R2'!L288</x:f>
        <x:v>0</x:v>
      </x:c>
      <x:c r="V30" s="317">
        <x:f>'Rem. Anticipos R2'!M288</x:f>
        <x:v>0</x:v>
      </x:c>
      <x:c r="W30" s="317">
        <x:f>'Rem. Anticipos R2'!N288</x:f>
        <x:v>0</x:v>
      </x:c>
      <x:c r="X30" s="317">
        <x:f>'Rem. Anticipos R2'!O288</x:f>
        <x:v>0</x:v>
      </x:c>
      <x:c r="Y30" s="318">
        <x:f>'Rem. Anticipos R2'!P288</x:f>
        <x:v>0</x:v>
      </x:c>
      <x:c r="Z30" s="319">
        <x:f>L30*-1</x:f>
        <x:v>0</x:v>
      </x:c>
      <x:c r="AA30" s="320">
        <x:f>'Rem. Anticipos R2'!Q288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R2'!E289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R2'!E399</x:f>
        <x:v>0</x:v>
      </x:c>
      <x:c r="E31" s="292">
        <x:f>'Rem. Anticipos R2'!F399</x:f>
        <x:v>0</x:v>
      </x:c>
      <x:c r="F31" s="292">
        <x:f>'Rem. Anticipos R2'!G399</x:f>
        <x:v>0</x:v>
      </x:c>
      <x:c r="G31" s="292">
        <x:f>'Rem. Anticipos R2'!H399</x:f>
        <x:v>0</x:v>
      </x:c>
      <x:c r="H31" s="292">
        <x:f>'Rem. Anticipos R2'!I399</x:f>
        <x:v>0</x:v>
      </x:c>
      <x:c r="I31" s="292">
        <x:f>'Rem. Anticipos R2'!J399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R2'!K399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R2'!L399</x:f>
        <x:v>0</x:v>
      </x:c>
      <x:c r="V31" s="317">
        <x:f>'Rem. Anticipos R2'!M399</x:f>
        <x:v>0</x:v>
      </x:c>
      <x:c r="W31" s="317">
        <x:f>'Rem. Anticipos R2'!N399</x:f>
        <x:v>0</x:v>
      </x:c>
      <x:c r="X31" s="317">
        <x:f>'Rem. Anticipos R2'!O399</x:f>
        <x:v>0</x:v>
      </x:c>
      <x:c r="Y31" s="318">
        <x:f>'Rem. Anticipos R2'!P399</x:f>
        <x:v>0</x:v>
      </x:c>
      <x:c r="Z31" s="319">
        <x:f>L31*-1</x:f>
        <x:v>0</x:v>
      </x:c>
      <x:c r="AA31" s="320">
        <x:f>'Rem. Anticipos R2'!Q399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R2'!E400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R2'!E483</x:f>
        <x:v>0</x:v>
      </x:c>
      <x:c r="E32" s="297">
        <x:f>'Rem. Anticipos R2'!F483</x:f>
        <x:v>0</x:v>
      </x:c>
      <x:c r="F32" s="297">
        <x:f>'Rem. Anticipos R2'!G483</x:f>
        <x:v>0</x:v>
      </x:c>
      <x:c r="G32" s="297">
        <x:f>'Rem. Anticipos R2'!H483</x:f>
        <x:v>0</x:v>
      </x:c>
      <x:c r="H32" s="297">
        <x:f>'Rem. Anticipos R2'!I483</x:f>
        <x:v>0</x:v>
      </x:c>
      <x:c r="I32" s="297">
        <x:f>'Rem. Anticipos R2'!J483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R2'!K483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R2'!L483</x:f>
        <x:v>0</x:v>
      </x:c>
      <x:c r="V32" s="297">
        <x:f>'Rem. Anticipos R2'!M483</x:f>
        <x:v>0</x:v>
      </x:c>
      <x:c r="W32" s="297">
        <x:f>'Rem. Anticipos R2'!N483</x:f>
        <x:v>0</x:v>
      </x:c>
      <x:c r="X32" s="297">
        <x:f>'Rem. Anticipos R2'!O483</x:f>
        <x:v>0</x:v>
      </x:c>
      <x:c r="Y32" s="289">
        <x:f>'Rem. Anticipos R2'!P483</x:f>
        <x:v>0</x:v>
      </x:c>
      <x:c r="Z32" s="319">
        <x:f>L32*-1</x:f>
        <x:v>0</x:v>
      </x:c>
      <x:c r="AA32" s="320">
        <x:f>'Rem. Anticipos R2'!Q483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R2'!E484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R1'!F102</x:f>
        <x:v>0</x:v>
      </x:c>
      <x:c r="E47" s="292">
        <x:f>'Reporte Componentes R1'!G102</x:f>
        <x:v>0</x:v>
      </x:c>
      <x:c r="F47" s="292">
        <x:f>'Reporte Componentes R1'!H102</x:f>
        <x:v>0</x:v>
      </x:c>
      <x:c r="G47" s="292">
        <x:f>'Reporte Componentes R1'!I102</x:f>
        <x:v>0</x:v>
      </x:c>
      <x:c r="H47" s="292">
        <x:f>'Reporte Componentes R1'!J102</x:f>
        <x:v>0</x:v>
      </x:c>
      <x:c r="I47" s="292">
        <x:f>'Reporte Componentes R1'!K102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R1'!L102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R1'!M102</x:f>
        <x:v>0</x:v>
      </x:c>
      <x:c r="V47" s="308">
        <x:f>'Reporte Componentes R1'!N102</x:f>
        <x:v>0</x:v>
      </x:c>
      <x:c r="W47" s="308">
        <x:f>'Reporte Componentes R1'!O102</x:f>
        <x:v>0</x:v>
      </x:c>
      <x:c r="X47" s="308">
        <x:f>'Reporte Componentes R1'!P102</x:f>
        <x:v>0</x:v>
      </x:c>
      <x:c r="Y47" s="309">
        <x:f>'Reporte Componentes R1'!Q102</x:f>
        <x:v>0</x:v>
      </x:c>
      <x:c r="Z47" s="310">
        <x:f>-L47</x:f>
        <x:v>0</x:v>
      </x:c>
      <x:c r="AA47" s="311">
        <x:f>'Reporte Componentes R1'!R102+'Reporte Componentes R1'!S102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R1'!F103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R1'!F281</x:f>
        <x:v>0</x:v>
      </x:c>
      <x:c r="E48" s="292">
        <x:f>'Reporte Componentes R1'!G281</x:f>
        <x:v>0</x:v>
      </x:c>
      <x:c r="F48" s="292">
        <x:f>'Reporte Componentes R1'!H281</x:f>
        <x:v>0</x:v>
      </x:c>
      <x:c r="G48" s="292">
        <x:f>'Reporte Componentes R1'!I281</x:f>
        <x:v>0</x:v>
      </x:c>
      <x:c r="H48" s="292">
        <x:f>'Reporte Componentes R1'!J281</x:f>
        <x:v>0</x:v>
      </x:c>
      <x:c r="I48" s="292">
        <x:f>'Reporte Componentes R1'!K281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R1'!L281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R1'!M281</x:f>
        <x:v>0</x:v>
      </x:c>
      <x:c r="V48" s="317">
        <x:f>'Reporte Componentes R1'!N281</x:f>
        <x:v>0</x:v>
      </x:c>
      <x:c r="W48" s="317">
        <x:f>'Reporte Componentes R1'!O281</x:f>
        <x:v>0</x:v>
      </x:c>
      <x:c r="X48" s="317">
        <x:f>'Reporte Componentes R1'!P281</x:f>
        <x:v>0</x:v>
      </x:c>
      <x:c r="Y48" s="318">
        <x:f>'Reporte Componentes R1'!Q281</x:f>
        <x:v>0</x:v>
      </x:c>
      <x:c r="Z48" s="319">
        <x:f>-L48</x:f>
        <x:v>0</x:v>
      </x:c>
      <x:c r="AA48" s="320">
        <x:f>'Reporte Componentes R1'!R281+'Reporte Componentes R1'!S281+'Reporte Componentes R1'!T281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R1'!F282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R1'!F442</x:f>
        <x:v>0</x:v>
      </x:c>
      <x:c r="E49" s="292">
        <x:f>'Reporte Componentes R1'!G442</x:f>
        <x:v>0</x:v>
      </x:c>
      <x:c r="F49" s="292">
        <x:f>'Reporte Componentes R1'!H442</x:f>
        <x:v>0</x:v>
      </x:c>
      <x:c r="G49" s="292">
        <x:f>'Reporte Componentes R1'!I442</x:f>
        <x:v>0</x:v>
      </x:c>
      <x:c r="H49" s="292">
        <x:f>'Reporte Componentes R1'!J442</x:f>
        <x:v>0</x:v>
      </x:c>
      <x:c r="I49" s="292">
        <x:f>'Reporte Componentes R1'!K442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R1'!L442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R1'!M442</x:f>
        <x:v>0</x:v>
      </x:c>
      <x:c r="V49" s="317">
        <x:f>'Reporte Componentes R1'!N442</x:f>
        <x:v>0</x:v>
      </x:c>
      <x:c r="W49" s="317">
        <x:f>'Reporte Componentes R1'!O442</x:f>
        <x:v>0</x:v>
      </x:c>
      <x:c r="X49" s="317">
        <x:f>'Reporte Componentes R1'!P442</x:f>
        <x:v>0</x:v>
      </x:c>
      <x:c r="Y49" s="318">
        <x:f>'Reporte Componentes R1'!Q442</x:f>
        <x:v>0</x:v>
      </x:c>
      <x:c r="Z49" s="319">
        <x:f>-L49</x:f>
        <x:v>0</x:v>
      </x:c>
      <x:c r="AA49" s="320">
        <x:f>'Reporte Componentes R1'!R442+'Reporte Componentes R1'!S442+'Reporte Componentes R1'!T442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R1'!F443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R1'!F595</x:f>
        <x:v>0</x:v>
      </x:c>
      <x:c r="E50" s="292">
        <x:f>'Reporte Componentes R1'!G595</x:f>
        <x:v>0</x:v>
      </x:c>
      <x:c r="F50" s="292">
        <x:f>'Reporte Componentes R1'!H595</x:f>
        <x:v>0</x:v>
      </x:c>
      <x:c r="G50" s="292">
        <x:f>'Reporte Componentes R1'!I595</x:f>
        <x:v>0</x:v>
      </x:c>
      <x:c r="H50" s="292">
        <x:f>'Reporte Componentes R1'!J595</x:f>
        <x:v>0</x:v>
      </x:c>
      <x:c r="I50" s="292">
        <x:f>'Reporte Componentes R1'!K595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R1'!L595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R1'!M595</x:f>
        <x:v>0</x:v>
      </x:c>
      <x:c r="V50" s="317">
        <x:f>'Reporte Componentes R1'!N595</x:f>
        <x:v>0</x:v>
      </x:c>
      <x:c r="W50" s="317">
        <x:f>'Reporte Componentes R1'!O595</x:f>
        <x:v>0</x:v>
      </x:c>
      <x:c r="X50" s="317">
        <x:f>'Reporte Componentes R1'!P595</x:f>
        <x:v>0</x:v>
      </x:c>
      <x:c r="Y50" s="318">
        <x:f>'Reporte Componentes R1'!Q595</x:f>
        <x:v>0</x:v>
      </x:c>
      <x:c r="Z50" s="319">
        <x:f>-L50</x:f>
        <x:v>0</x:v>
      </x:c>
      <x:c r="AA50" s="320">
        <x:f>'Reporte Componentes R1'!R595+'Reporte Componentes R1'!S595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R1'!F596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R1'!F707</x:f>
        <x:v>0</x:v>
      </x:c>
      <x:c r="E51" s="297">
        <x:f>'Reporte Componentes R1'!G707</x:f>
        <x:v>0</x:v>
      </x:c>
      <x:c r="F51" s="297">
        <x:f>'Reporte Componentes R1'!H707</x:f>
        <x:v>0</x:v>
      </x:c>
      <x:c r="G51" s="297">
        <x:f>'Reporte Componentes R1'!I707</x:f>
        <x:v>0</x:v>
      </x:c>
      <x:c r="H51" s="297">
        <x:f>'Reporte Componentes R1'!J707</x:f>
        <x:v>0</x:v>
      </x:c>
      <x:c r="I51" s="297">
        <x:f>'Reporte Componentes R1'!K707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R1'!L707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R1'!M707</x:f>
        <x:v>0</x:v>
      </x:c>
      <x:c r="V51" s="297">
        <x:f>'Reporte Componentes R1'!N707</x:f>
        <x:v>0</x:v>
      </x:c>
      <x:c r="W51" s="297">
        <x:f>'Reporte Componentes R1'!O707</x:f>
        <x:v>0</x:v>
      </x:c>
      <x:c r="X51" s="297">
        <x:f>'Reporte Componentes R1'!P707</x:f>
        <x:v>0</x:v>
      </x:c>
      <x:c r="Y51" s="289">
        <x:f>'Reporte Componentes R1'!Q707</x:f>
        <x:v>0</x:v>
      </x:c>
      <x:c r="Z51" s="319">
        <x:f>-L51</x:f>
        <x:v>0</x:v>
      </x:c>
      <x:c r="AA51" s="320">
        <x:f>'Reporte Componentes R1'!R707+'Reporte Componentes R1'!S707+'Reporte Componentes R1'!T707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R1'!F708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2">
        <x:f>'Reversion Pagos R4'!E88</x:f>
        <x:v>0</x:v>
      </x:c>
      <x:c r="F66" s="292">
        <x:f>'Reversion Pagos R4'!F88</x:f>
        <x:v>0</x:v>
      </x:c>
      <x:c r="G66" s="292">
        <x:f>'Reversion Pagos R4'!G88</x:f>
        <x:v>0</x:v>
      </x:c>
      <x:c r="H66" s="292">
        <x:f>'Reversion Pagos R4'!H88</x:f>
        <x:v>0</x:v>
      </x:c>
      <x:c r="I66" s="292">
        <x:f>'Reversion Pagos R4'!I88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8">
        <x:f>'Reversion Pagos R4'!K88</x:f>
        <x:v>0</x:v>
      </x:c>
      <x:c r="W66" s="308">
        <x:f>'Reversion Pagos R4'!L88</x:f>
        <x:v>0</x:v>
      </x:c>
      <x:c r="X66" s="308">
        <x:f>'Reversion Pagos R4'!M88</x:f>
        <x:v>0</x:v>
      </x:c>
      <x:c r="Y66" s="308">
        <x:f>'Reversion Pagos R4'!N88</x:f>
        <x:v>0</x:v>
      </x:c>
      <x:c r="Z66" s="310">
        <x:f>-L66</x:f>
        <x:v>0</x:v>
      </x:c>
      <x:c r="AA66" s="311">
        <x:f>'Reversion Pagos R4'!O88+'Reversion Pagos R4'!Q88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2">
        <x:f>'Reversion Pagos R4'!E189</x:f>
        <x:v>0</x:v>
      </x:c>
      <x:c r="F67" s="292">
        <x:f>'Reversion Pagos R4'!F189</x:f>
        <x:v>0</x:v>
      </x:c>
      <x:c r="G67" s="292">
        <x:f>'Reversion Pagos R4'!G189</x:f>
        <x:v>0</x:v>
      </x:c>
      <x:c r="H67" s="292">
        <x:f>'Reversion Pagos R4'!H189</x:f>
        <x:v>0</x:v>
      </x:c>
      <x:c r="I67" s="292">
        <x:f>'Reversion Pagos R4'!I189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7">
        <x:f>'Reversion Pagos R4'!K189</x:f>
        <x:v>0</x:v>
      </x:c>
      <x:c r="W67" s="317">
        <x:f>'Reversion Pagos R4'!L189</x:f>
        <x:v>0</x:v>
      </x:c>
      <x:c r="X67" s="317">
        <x:f>'Reversion Pagos R4'!M189</x:f>
        <x:v>0</x:v>
      </x:c>
      <x:c r="Y67" s="318">
        <x:f>'Reversion Pagos R4'!N189</x:f>
        <x:v>0</x:v>
      </x:c>
      <x:c r="Z67" s="319">
        <x:f t="shared" ref="Z67:Z70" si="26">-L67</x:f>
        <x:v>0</x:v>
      </x:c>
      <x:c r="AA67" s="320">
        <x:f>'Reversion Pagos R4'!O189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2">
        <x:f>'Reversion Pagos R4'!E226</x:f>
        <x:v>0</x:v>
      </x:c>
      <x:c r="F68" s="292">
        <x:f>'Reversion Pagos R4'!F226</x:f>
        <x:v>0</x:v>
      </x:c>
      <x:c r="G68" s="292">
        <x:f>'Reversion Pagos R4'!G226</x:f>
        <x:v>0</x:v>
      </x:c>
      <x:c r="H68" s="292">
        <x:f>'Reversion Pagos R4'!H226</x:f>
        <x:v>0</x:v>
      </x:c>
      <x:c r="I68" s="292">
        <x:f>'Reversion Pagos R4'!I226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7">
        <x:f>'Reversion Pagos R4'!K226</x:f>
        <x:v>0</x:v>
      </x:c>
      <x:c r="W68" s="317">
        <x:f>'Reversion Pagos R4'!L226</x:f>
        <x:v>0</x:v>
      </x:c>
      <x:c r="X68" s="317">
        <x:f>'Reversion Pagos R4'!M226</x:f>
        <x:v>0</x:v>
      </x:c>
      <x:c r="Y68" s="318">
        <x:f>'Reversion Pagos R4'!N226</x:f>
        <x:v>0</x:v>
      </x:c>
      <x:c r="Z68" s="319">
        <x:f t="shared" si="26"/>
        <x:v>0</x:v>
      </x:c>
      <x:c r="AA68" s="320">
        <x:f>'Reversion Pagos R4'!O226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R4'!D227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2">
        <x:f>'Reversion Pagos R4'!E341</x:f>
        <x:v>0</x:v>
      </x:c>
      <x:c r="F69" s="292">
        <x:f>'Reversion Pagos R4'!F341</x:f>
        <x:v>0</x:v>
      </x:c>
      <x:c r="G69" s="292">
        <x:f>'Reversion Pagos R4'!G341</x:f>
        <x:v>0</x:v>
      </x:c>
      <x:c r="H69" s="292">
        <x:f>'Reversion Pagos R4'!H341</x:f>
        <x:v>0</x:v>
      </x:c>
      <x:c r="I69" s="292">
        <x:f>'Reversion Pagos R4'!I341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7">
        <x:f>'Reversion Pagos R4'!K341</x:f>
        <x:v>0</x:v>
      </x:c>
      <x:c r="W69" s="317">
        <x:f>'Reversion Pagos R4'!L341</x:f>
        <x:v>0</x:v>
      </x:c>
      <x:c r="X69" s="317">
        <x:f>'Reversion Pagos R4'!M341</x:f>
        <x:v>0</x:v>
      </x:c>
      <x:c r="Y69" s="318">
        <x:f>'Reversion Pagos R4'!N341</x:f>
        <x:v>0</x:v>
      </x:c>
      <x:c r="Z69" s="319">
        <x:f t="shared" si="26"/>
        <x:v>0</x:v>
      </x:c>
      <x:c r="AA69" s="320">
        <x:f>'Reversion Pagos R4'!O341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6"/>
        <x:v>0</x:v>
      </x:c>
      <x:c r="AA70" s="320">
        <x:f>'Reversion Pagos R4'!O376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R4'!D377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">
      <x:c r="F4" s="660" t="s">
        <x:v>29</x:v>
      </x:c>
    </x:row>
    <x:row r="5" spans="2:20" customFormat="1" x14ac:dyDescent="0.2">
      <x:c r="F5" s="660" t="s">
        <x:v>228</x:v>
      </x:c>
    </x:row>
    <x:row r="6" spans="2:20" customFormat="1" x14ac:dyDescent="0.2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5" x14ac:dyDescent="0.2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2.75" x14ac:dyDescent="0.2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2.75" x14ac:dyDescent="0.2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2.75" x14ac:dyDescent="0.2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2.75" x14ac:dyDescent="0.2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2.75" x14ac:dyDescent="0.2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-1293384652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2.75" x14ac:dyDescent="0.2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2.75" x14ac:dyDescent="0.2"/>
    <x:row r="16" spans="2:20" customFormat="1" ht="12.75" x14ac:dyDescent="0.2">
      <x:c r="C16" s="662" t="s">
        <x:v>323</x:v>
      </x:c>
    </x:row>
    <x:row r="18" spans="2:15" x14ac:dyDescent="0.25">
      <x:c r="E18" s="611" t="s">
        <x:v>249</x:v>
      </x:c>
    </x:row>
    <x:row r="19" spans="2:15" x14ac:dyDescent="0.25">
      <x:c r="F19" s="611" t="s">
        <x:v>25</x:v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R1'!F75+'Rem. Anticipos R2'!E47+'Reversion Pagos R4'!D73+'Reporte Componentes R1'!F77+'AJUSTES - SF-T'!D47=D9</x:f>
        <x:v>1</x:v>
      </x:c>
      <x:c r="E32" s="651" t="b">
        <x:f>+E23+'Reporte Componentes R1'!G75+'Rem. Anticipos R2'!F47+'Reversion Pagos R4'!E73+'Reporte Componentes R1'!G77+'AJUSTES - SF-T'!E47=E9</x:f>
        <x:v>1</x:v>
      </x:c>
      <x:c r="F32" s="651" t="b">
        <x:f>+F23+'Reporte Componentes R1'!H75+'Rem. Anticipos R2'!G47+'Reversion Pagos R4'!F73+'Reporte Componentes R1'!H77+'AJUSTES - SF-T'!F47=F9</x:f>
        <x:v>1</x:v>
      </x:c>
      <x:c r="G32" s="651" t="b">
        <x:f>+G23+'Reporte Componentes R1'!I75+'Rem. Anticipos R2'!H47+'Reversion Pagos R4'!G73+'Reporte Componentes R1'!I77+'AJUSTES - SF-T'!G47=G9</x:f>
        <x:v>1</x:v>
      </x:c>
      <x:c r="H32" s="651" t="b">
        <x:f>+H23+'Reporte Componentes R1'!J75+'Rem. Anticipos R2'!I47+'Reversion Pagos R4'!H73+'Reporte Componentes R1'!J77+'AJUSTES - SF-T'!H47=H9</x:f>
        <x:v>1</x:v>
      </x:c>
      <x:c r="I32" s="651" t="b">
        <x:f>+I23+'Reporte Componentes R1'!K75+'Rem. Anticipos R2'!J47+'Reversion Pagos R4'!I73+'Reporte Componentes R1'!K77+'AJUSTES - SF-T'!I47=I9</x:f>
        <x:v>1</x:v>
      </x:c>
      <x:c r="J32" s="651" t="b">
        <x:f>+'BCE SC POR FACT.'!F3+J23=J9</x:f>
        <x:v>1</x:v>
      </x:c>
      <x:c r="K32" s="651" t="b">
        <x: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x:f>
        <x:v>1</x:v>
      </x:c>
      <x:c r="N32" s="648" t="b">
        <x:f>'Reporte Componentes R1'!L75+'Rem. Anticipos R2'!K47+'Reversion Pagos R4'!P73+'Reporte Componentes R1'!L77+N23=N9</x:f>
        <x:v>1</x:v>
      </x:c>
      <x:c r="O32" s="648" t="b">
        <x: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R1'!F254+'Rem. Anticipos R2'!E155+'Reversion Pagos R4'!D174+'Reporte Componentes R1'!F256+'AJUSTES - SF-T'!D48=D10</x:f>
        <x:v>1</x:v>
      </x:c>
      <x:c r="E33" s="651" t="b">
        <x:f>+E24+'Reporte Componentes R1'!G254+'Rem. Anticipos R2'!F155+'Reversion Pagos R4'!E174+'Reporte Componentes R1'!G256+'AJUSTES - SF-T'!E48=E10</x:f>
        <x:v>1</x:v>
      </x:c>
      <x:c r="F33" s="651" t="b">
        <x:f>+F24+'Reporte Componentes R1'!H254+'Rem. Anticipos R2'!G155+'Reversion Pagos R4'!F174+'Reporte Componentes R1'!H256+'AJUSTES - SF-T'!F48=F10</x:f>
        <x:v>1</x:v>
      </x:c>
      <x:c r="G33" s="651" t="b">
        <x:f>+G24+'Reporte Componentes R1'!I254+'Rem. Anticipos R2'!H155+'Reversion Pagos R4'!G174+'Reporte Componentes R1'!I256+'AJUSTES - SF-T'!G48=G10</x:f>
        <x:v>1</x:v>
      </x:c>
      <x:c r="H33" s="651" t="b">
        <x:f>+H24+'Reporte Componentes R1'!J254+'Rem. Anticipos R2'!I155+'Reversion Pagos R4'!H174+'Reporte Componentes R1'!J256+'AJUSTES - SF-T'!H48=H10</x:f>
        <x:v>1</x:v>
      </x:c>
      <x:c r="I33" s="651" t="b">
        <x:f>+I24+'Reporte Componentes R1'!K254+'Rem. Anticipos R2'!J155+'Reversion Pagos R4'!I174+'Reporte Componentes R1'!K256+'AJUSTES - SF-T'!I48=I10</x:f>
        <x:v>1</x:v>
      </x:c>
      <x:c r="J33" s="651" t="b">
        <x:f>+'BCE SC POR FACT.'!F4+J24=J10</x:f>
        <x:v>1</x:v>
      </x:c>
      <x:c r="K33" s="648" t="b">
        <x: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x:f>
        <x:v>1</x:v>
      </x:c>
      <x:c r="N33" s="648" t="b">
        <x:f>+'Reporte Componentes R1'!L254+'Rem. Anticipos R2'!K155+'Reversion Pagos R4'!P174+'Reporte Componentes R1'!L256+N24=N10</x:f>
        <x:v>1</x:v>
      </x:c>
      <x:c r="O33" s="648" t="b">
        <x: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FACT.'!F4)))-INTERVENTORIA!M27)+O24+'Reporte Componentes R1'!L254+'Rem. Anticipos R2'!K155+'Reversion Pagos R4'!P174+'Reporte Componentes R1'!L256+'AJUSTES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R1'!F415+'Reporte Componentes R1'!F417+'Rem. Anticipos R2'!E273+'Reversion Pagos R4'!D211+D25+'AJUSTES - SF-T'!D49=D11</x:f>
        <x:v>1</x:v>
      </x:c>
      <x:c r="E34" s="651" t="b">
        <x:f>+'Reporte Componentes R1'!G415+'Reporte Componentes R1'!G417+'Rem. Anticipos R2'!F273+'Reversion Pagos R4'!E211+E25+'AJUSTES - SF-T'!E49=E11</x:f>
        <x:v>1</x:v>
      </x:c>
      <x:c r="F34" s="651" t="b">
        <x:f>+'Reporte Componentes R1'!H415+'Reporte Componentes R1'!H417+'Rem. Anticipos R2'!G273+'Reversion Pagos R4'!F211+F25+'AJUSTES - SF-T'!F49=F11</x:f>
        <x:v>1</x:v>
      </x:c>
      <x:c r="G34" s="651" t="b">
        <x:f>+'Reporte Componentes R1'!I415+'Reporte Componentes R1'!I417+'Rem. Anticipos R2'!H273+'Reversion Pagos R4'!G211+G25+'AJUSTES - SF-T'!G49=G11</x:f>
        <x:v>1</x:v>
      </x:c>
      <x:c r="H34" s="651" t="b">
        <x:f>+'Reporte Componentes R1'!J415+'Reporte Componentes R1'!J417+'Rem. Anticipos R2'!I273+'Reversion Pagos R4'!H211+H25+'AJUSTES - SF-T'!H49=H11</x:f>
        <x:v>1</x:v>
      </x:c>
      <x:c r="I34" s="651" t="b">
        <x:f>+'Reporte Componentes R1'!K415+'Reporte Componentes R1'!K417+'Rem. Anticipos R2'!J273+'Reversion Pagos R4'!I211+I25+'AJUSTES - SF-T'!I49=I11</x:f>
        <x:v>1</x:v>
      </x:c>
      <x:c r="J34" s="651" t="b">
        <x:f>+'BCE SC POR FACT.'!F5+J25=J11</x:f>
        <x:v>1</x:v>
      </x:c>
      <x:c r="K34" s="648" t="b">
        <x: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x:f>
        <x:v>1</x:v>
      </x:c>
      <x:c r="N34" s="648" t="b">
        <x:f>+'Reporte Componentes R1'!L415+'Reporte Componentes R1'!L417+'Rem. Anticipos R2'!K273+'Reversion Pagos R4'!P211+N25=N11</x:f>
        <x:v>1</x:v>
      </x:c>
      <x:c r="O34" s="648" t="b">
        <x: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FACT.'!F5)))-INTERVENTORIA!M28)++'Reporte Componentes R1'!L415+'Reporte Componentes R1'!L417+'Rem. Anticipos R2'!K273+'Reversion Pagos R4'!P211+O25+'AJUSTES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R1'!F568+'Reporte Componentes R1'!F570+'Rem. Anticipos R2'!E384+'Reversion Pagos R4'!D326+D26+'AJUSTES - SF-T'!D50=D12</x:f>
        <x:v>1</x:v>
      </x:c>
      <x:c r="E35" s="651" t="b">
        <x:f>+'Reporte Componentes R1'!G568+'Reporte Componentes R1'!G570+'Rem. Anticipos R2'!F384+'Reversion Pagos R4'!E326+E26+'AJUSTES - SF-T'!E50=E12</x:f>
        <x:v>1</x:v>
      </x:c>
      <x:c r="F35" s="651" t="b">
        <x:f>+'Reporte Componentes R1'!H568+'Reporte Componentes R1'!H570+'Rem. Anticipos R2'!G384+'Reversion Pagos R4'!F326+F26+'AJUSTES - SF-T'!F50=F12</x:f>
        <x:v>1</x:v>
      </x:c>
      <x:c r="G35" s="651" t="b">
        <x:f>+'Reporte Componentes R1'!I568+'Reporte Componentes R1'!I570+'Rem. Anticipos R2'!H384+'Reversion Pagos R4'!G326+G26+'AJUSTES - SF-T'!G50=G12</x:f>
        <x:v>1</x:v>
      </x:c>
      <x:c r="H35" s="651" t="b">
        <x:f>+'Reporte Componentes R1'!J568+'Reporte Componentes R1'!J570+'Rem. Anticipos R2'!I384+'Reversion Pagos R4'!H326+H26+'AJUSTES - SF-T'!H50=H12</x:f>
        <x:v>1</x:v>
      </x:c>
      <x:c r="I35" s="651" t="b">
        <x:f>+'Reporte Componentes R1'!K568+'Reporte Componentes R1'!K570+'Rem. Anticipos R2'!J384+'Reversion Pagos R4'!I326+I26+'AJUSTES - SF-T'!I50=I12</x:f>
        <x:v>1</x:v>
      </x:c>
      <x:c r="J35" s="651" t="b">
        <x:f>+J26+'BCE SC POR FACT.'!F6=J12</x:f>
        <x:v>1</x:v>
      </x:c>
      <x:c r="K35" s="648" t="b">
        <x: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x:f>
        <x:v>1</x:v>
      </x:c>
      <x:c r="N35" s="648" t="b">
        <x:f>+'Reporte Componentes R1'!L568+'Reporte Componentes R1'!L570+'Rem. Anticipos R2'!K384+'Reversion Pagos R4'!P326+N26=N12</x:f>
        <x:v>1</x:v>
      </x:c>
      <x:c r="O35" s="648" t="b">
        <x: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FACT.'!F6)))-INTERVENTORIA!M29)+'Reporte Componentes R1'!L568+'Reporte Componentes R1'!L570+'Rem. Anticipos R2'!K384+'Reversion Pagos R4'!P326+O26+'AJUSTES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R1'!F680+'Reporte Componentes R1'!F682+'Rem. Anticipos R2'!E468+'Reversion Pagos R4'!D361+'AJUSTES - SF-T'!D51=D13</x:f>
        <x:v>1</x:v>
      </x:c>
      <x:c r="E36" s="651" t="b">
        <x:f>+E27+'Reporte Componentes R1'!G680+'Reporte Componentes R1'!G682+'Rem. Anticipos R2'!F468+'Reversion Pagos R4'!E361+'AJUSTES - SF-T'!E51=E13</x:f>
        <x:v>1</x:v>
      </x:c>
      <x:c r="F36" s="651" t="b">
        <x:f>+F27+'Reporte Componentes R1'!H680+'Reporte Componentes R1'!H682+'Rem. Anticipos R2'!G468+'Reversion Pagos R4'!F361+'AJUSTES - SF-T'!F51=F13</x:f>
        <x:v>1</x:v>
      </x:c>
      <x:c r="G36" s="651" t="b">
        <x:f>+G27+'Reporte Componentes R1'!I680+'Reporte Componentes R1'!I682+'Rem. Anticipos R2'!H468+'Reversion Pagos R4'!G361+'AJUSTES - SF-T'!G51=G13</x:f>
        <x:v>1</x:v>
      </x:c>
      <x:c r="H36" s="651" t="b">
        <x:f>+H27+'Reporte Componentes R1'!J680+'Reporte Componentes R1'!J682+'Rem. Anticipos R2'!I468+'Reversion Pagos R4'!H361+'AJUSTES - SF-T'!H51=H13</x:f>
        <x:v>1</x:v>
      </x:c>
      <x:c r="I36" s="651" t="b">
        <x:f>+I27+'Reporte Componentes R1'!K680+'Reporte Componentes R1'!K682+'Rem. Anticipos R2'!J468+'Reversion Pagos R4'!I361+'AJUSTES - SF-T'!I51=I13</x:f>
        <x:v>1</x:v>
      </x:c>
      <x:c r="J36" s="651" t="b">
        <x:f>+'BCE SC POR FACT.'!F7+J27=J13</x:f>
        <x:v>1</x:v>
      </x:c>
      <x:c r="K36" s="648" t="b">
        <x: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x:f>
        <x:v>1</x:v>
      </x:c>
      <x:c r="N36" s="648" t="b">
        <x:f>+'Reporte Componentes R1'!L680+'Reporte Componentes R1'!L682+'Rem. Anticipos R2'!K468+'Reversion Pagos R4'!P361+N27=N13</x:f>
        <x:v>1</x:v>
      </x:c>
      <x:c r="O36" s="648" t="b">
        <x: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FACT.'!F7)))-INTERVENTORIA!M30)+'Reporte Componentes R1'!L680+'Reporte Componentes R1'!L682+'Rem. Anticipos R2'!K468+'Reversion Pagos R4'!P361+O27+'AJUSTES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">
      <x:c r="F4" s="660" t="s">
        <x:v>29</x:v>
      </x:c>
    </x:row>
    <x:row r="5" spans="2:15" customFormat="1" x14ac:dyDescent="0.2">
      <x:c r="F5" s="660" t="s">
        <x:v>228</x:v>
      </x:c>
    </x:row>
    <x:row r="6" spans="2:15" customFormat="1" x14ac:dyDescent="0.2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5" x14ac:dyDescent="0.2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2.75" x14ac:dyDescent="0.2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2.75" x14ac:dyDescent="0.2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2.75" x14ac:dyDescent="0.2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2.75" x14ac:dyDescent="0.2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2.75" x14ac:dyDescent="0.2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2.75" x14ac:dyDescent="0.2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R1'!M75+'Reporte Componentes R1'!M77+'Rem. Anticipos R2'!L47+'Reversion Pagos R4'!J73+D16+'AJUSTES - SF-T'!U47=D9</x:f>
        <x:v>1</x:v>
      </x:c>
      <x:c r="E24" s="648" t="b">
        <x:f>+'Reporte Componentes R1'!N75+'Reporte Componentes R1'!N77+'Rem. Anticipos R2'!M47+'Reversion Pagos R4'!K73+E16+'AJUSTES - SF-T'!V47=E9</x:f>
        <x:v>1</x:v>
      </x:c>
      <x:c r="F24" s="648" t="b">
        <x:f>+'Reporte Componentes R1'!O75+'Reporte Componentes R1'!O77+'Rem. Anticipos R2'!N47+'Reversion Pagos R4'!L73+F16+'AJUSTES - SF-T'!W47=F9</x:f>
        <x:v>1</x:v>
      </x:c>
      <x:c r="G24" s="648" t="b">
        <x:f>+'Reporte Componentes R1'!P75+'Reporte Componentes R1'!P77+'Rem. Anticipos R2'!O47+'Reversion Pagos R4'!M73+G16+'AJUSTES - SF-T'!X47=G9</x:f>
        <x:v>1</x:v>
      </x:c>
      <x:c r="H24" s="648" t="b">
        <x:f>+'Reporte Componentes R1'!Q75+'Reporte Componentes R1'!Q77+'Rem. Anticipos R2'!P47+'Reversion Pagos R4'!N73+H16+'AJUSTES - SF-T'!Y47=H9</x:f>
        <x:v>1</x:v>
      </x:c>
      <x:c r="I24" s="698" t="b">
        <x:f>-INTERVENTORIA!M26+I16=I9</x:f>
        <x:v>1</x:v>
      </x:c>
      <x:c r="J24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x:f>
        <x:v>1</x:v>
      </x:c>
      <x:c r="K24" s="648" t="b">
        <x:f>+DetRetri2026072!N32</x:f>
        <x:v>1</x:v>
      </x:c>
      <x:c r="L24" s="648" t="b">
        <x:f>'Reporte Componentes R1'!F76+'Rem. Anticipos R2'!E48+'Reporte Componentes R1'!F78+'Reversion Pagos R4'!D74+'AJUSTES - SF-T'!AD47+L16=L9</x:f>
        <x:v>1</x:v>
      </x:c>
      <x:c r="M24" s="648" t="b">
        <x:f>-'BCE SC POR FACT.'!F3+'Reporte Componentes R1'!F76+'Rem. Anticipos R2'!E48+'Reporte Componentes R1'!F78+'Reversion Pagos R4'!D74+'AJUSTES - SF-T'!AD47+M16=M9</x:f>
        <x:v>1</x:v>
      </x:c>
      <x:c r="N24" s="648" t="b">
        <x:f>'Reporte Componentes R1'!F76+'Rem. Anticipos R2'!E48+'Reporte Componentes R1'!F78+'Reversion Pagos R4'!D74+'AJUSTES - SF-T'!AD47+L16=L9</x:f>
        <x:v>1</x:v>
      </x:c>
      <x:c r="O24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R1'!M254+'Rem. Anticipos R2'!L155+'Reversion Pagos R4'!J174+'Reporte Componentes R1'!M256+D17+'AJUSTES - SF-T'!U48=D10</x:f>
        <x:v>1</x:v>
      </x:c>
      <x:c r="E25" s="654" t="b">
        <x:f>+'Reporte Componentes R1'!N254+'Rem. Anticipos R2'!M155+'Reversion Pagos R4'!K174+'Reporte Componentes R1'!N256+E17+'AJUSTES - SF-T'!V48=E10</x:f>
        <x:v>1</x:v>
      </x:c>
      <x:c r="F25" s="654" t="b">
        <x:f>+'Reporte Componentes R1'!O254+'Rem. Anticipos R2'!N155+'Reversion Pagos R4'!L174+'Reporte Componentes R1'!O256+F17+'AJUSTES - SF-T'!W48=F10</x:f>
        <x:v>1</x:v>
      </x:c>
      <x:c r="G25" s="654" t="b">
        <x:f>+'Reporte Componentes R1'!P254+'Rem. Anticipos R2'!O155+'Reversion Pagos R4'!M174+'Reporte Componentes R1'!P256+G17+'AJUSTES - SF-T'!X48=G10</x:f>
        <x:v>1</x:v>
      </x:c>
      <x:c r="H25" s="654" t="b">
        <x:f>+'Reporte Componentes R1'!Q254+'Rem. Anticipos R2'!P155+'Reversion Pagos R4'!N174+'Reporte Componentes R1'!Q256+H17+'AJUSTES - SF-T'!Y48=H10</x:f>
        <x:v>1</x:v>
      </x:c>
      <x:c r="I25" s="698" t="b">
        <x:f>-INTERVENTORIA!M27+I17=I10</x:f>
        <x:v>1</x:v>
      </x:c>
      <x:c r="J25" s="654" t="b">
        <x: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x:f>
        <x:v>1</x:v>
      </x:c>
      <x:c r="K25" s="654" t="b">
        <x:f>+DetRetri2026072!N33</x:f>
        <x:v>1</x:v>
      </x:c>
      <x:c r="L25" s="648" t="b">
        <x:f>+'Reporte Componentes R1'!F255+'Rem. Anticipos R2'!E156+'Reporte Componentes R1'!F257+'Reversion Pagos R4'!D175+'AJUSTES - SF-T'!AD48+L17=L10</x:f>
        <x:v>1</x:v>
      </x:c>
      <x:c r="M25" s="715">
        <x:f>-'BCE SC POR FACT.'!F4+'Reporte Componentes R1'!F255+'Rem. Anticipos R2'!E156+'Reporte Componentes R1'!F257+'Reversion Pagos R4'!D175+'AJUSTES - SF-T'!AD48+M17-M10</x:f>
        <x:v>0</x:v>
      </x:c>
      <x:c r="N25" s="648" t="b">
        <x:f>'Reporte Componentes R1'!F255+'Rem. Anticipos R2'!E156+'Reporte Componentes R1'!F257+'Reversion Pagos R4'!D175+'AJUSTES - SF-T'!AD48+L17=L10</x:f>
        <x:v>1</x:v>
      </x:c>
      <x:c r="O25" s="648" t="b">
        <x: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R1'!M415+'Reporte Componentes R1'!M417+'Rem. Anticipos R2'!L273+'Reversion Pagos R4'!J211+D18+'AJUSTES - SF-T'!U49=D11</x:f>
        <x:v>1</x:v>
      </x:c>
      <x:c r="E26" s="648" t="b">
        <x:f>+'Reporte Componentes R1'!N415+'Reporte Componentes R1'!N417+'Rem. Anticipos R2'!M273+'Reversion Pagos R4'!K211+E18+'AJUSTES - SF-T'!V49=E11</x:f>
        <x:v>1</x:v>
      </x:c>
      <x:c r="F26" s="648" t="b">
        <x:f>+'Reporte Componentes R1'!O415+'Reporte Componentes R1'!O417+'Rem. Anticipos R2'!N273+'Reversion Pagos R4'!L211+F18+'AJUSTES - SF-T'!W49=F11</x:f>
        <x:v>1</x:v>
      </x:c>
      <x:c r="G26" s="648" t="b">
        <x:f>+'Reporte Componentes R1'!P415+'Reporte Componentes R1'!P417+'Rem. Anticipos R2'!O273+'Reversion Pagos R4'!M211+G18+'AJUSTES - SF-T'!X49=G11</x:f>
        <x:v>1</x:v>
      </x:c>
      <x:c r="H26" s="648" t="b">
        <x:f>+'Reporte Componentes R1'!Q415+'Reporte Componentes R1'!Q417+'Rem. Anticipos R2'!P273+'Reversion Pagos R4'!N211+H18+'AJUSTES - SF-T'!Y49=H11</x:f>
        <x:v>1</x:v>
      </x:c>
      <x:c r="I26" s="698" t="b">
        <x:f>-INTERVENTORIA!M28+I18=I11</x:f>
        <x:v>1</x:v>
      </x:c>
      <x:c r="J26" s="648" t="b">
        <x: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x:f>
        <x:v>1</x:v>
      </x:c>
      <x:c r="K26" s="648" t="b">
        <x:f>+DetRetri2026072!N34</x:f>
        <x:v>1</x:v>
      </x:c>
      <x:c r="L26" s="648" t="b">
        <x:f>+'Reporte Componentes R1'!F416+'Rem. Anticipos R2'!E274+'Reporte Componentes R1'!F418+'Reversion Pagos R4'!D212+'AJUSTES - SF-T'!AD49+L18=L11</x:f>
        <x:v>1</x:v>
      </x:c>
      <x:c r="M26" s="715">
        <x:f>-'BCE SC POR FACT.'!F5+'Reporte Componentes R1'!F416+'Rem. Anticipos R2'!E274+'Reporte Componentes R1'!F418+'Reversion Pagos R4'!D212+'AJUSTES - SF-T'!AD49+M18-M11</x:f>
        <x:v>0</x:v>
      </x:c>
      <x:c r="N26" s="648" t="b">
        <x:f>'Reporte Componentes R1'!F416+'Rem. Anticipos R2'!E274+'Reporte Componentes R1'!F418+'Reversion Pagos R4'!D212+'AJUSTES - SF-T'!AD49+L18=L11</x:f>
        <x:v>1</x:v>
      </x:c>
      <x:c r="O26" s="712" t="b">
        <x: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R1'!M568+'Reporte Componentes R1'!M570+'Rem. Anticipos R2'!L384+'Reversion Pagos R4'!J326+D19+'AJUSTES - SF-T'!U50=D12</x:f>
        <x:v>1</x:v>
      </x:c>
      <x:c r="E27" s="648" t="b">
        <x:f>+'Reporte Componentes R1'!N568+'Reporte Componentes R1'!N570+'Rem. Anticipos R2'!M384+'Reversion Pagos R4'!K326+E19+'AJUSTES - SF-T'!V50=E12</x:f>
        <x:v>1</x:v>
      </x:c>
      <x:c r="F27" s="648" t="b">
        <x:f>+'Reporte Componentes R1'!O568+'Reporte Componentes R1'!O570+'Rem. Anticipos R2'!N384+'Reversion Pagos R4'!L326+F19+'AJUSTES - SF-T'!W50=F12</x:f>
        <x:v>1</x:v>
      </x:c>
      <x:c r="G27" s="648" t="b">
        <x:f>+'Reporte Componentes R1'!P568+'Reporte Componentes R1'!P570+'Rem. Anticipos R2'!O384+'Reversion Pagos R4'!M326+G19+'AJUSTES - SF-T'!X50=G12</x:f>
        <x:v>1</x:v>
      </x:c>
      <x:c r="H27" s="648" t="b">
        <x:f>+'Reporte Componentes R1'!Q568+'Reporte Componentes R1'!Q570+'Rem. Anticipos R2'!P384+'Reversion Pagos R4'!N326+H19+'AJUSTES - SF-T'!Y50=H12</x:f>
        <x:v>1</x:v>
      </x:c>
      <x:c r="I27" s="698" t="b">
        <x:f>-INTERVENTORIA!M29+I19=I12</x:f>
        <x:v>1</x:v>
      </x:c>
      <x:c r="J27" s="648" t="b">
        <x: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x:f>
        <x:v>1</x:v>
      </x:c>
      <x:c r="K27" s="648" t="b">
        <x:f>+DetRetri2026072!N35</x:f>
        <x:v>1</x:v>
      </x:c>
      <x:c r="L27" s="648" t="b">
        <x:f>+'Reporte Componentes R1'!F569+'Rem. Anticipos R2'!E385+'Reporte Componentes R1'!F571+'Reversion Pagos R4'!D327+'AJUSTES - SF-T'!AD50+L19=L12</x:f>
        <x:v>1</x:v>
      </x:c>
      <x:c r="M27" s="715">
        <x:f>-'BCE SC POR FACT.'!F6+'Reporte Componentes R1'!F569+'Rem. Anticipos R2'!E385+'Reporte Componentes R1'!F571+'Reversion Pagos R4'!D327+'AJUSTES - SF-T'!AD50+M19-M12</x:f>
        <x:v>0</x:v>
      </x:c>
      <x:c r="N27" s="648" t="b">
        <x:f>'Reporte Componentes R1'!F569+'Rem. Anticipos R2'!E385+'Reporte Componentes R1'!F571+'Reversion Pagos R4'!D327+'AJUSTES - SF-T'!AD50+L19=L12</x:f>
        <x:v>1</x:v>
      </x:c>
      <x:c r="O27" s="712" t="b">
        <x: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R1'!M680+'Reporte Componentes R1'!M682+'Rem. Anticipos R2'!L468+'Reversion Pagos R4'!J361+D20+'AJUSTES - SF-T'!U51=D13</x:f>
        <x:v>1</x:v>
      </x:c>
      <x:c r="E28" s="648" t="b">
        <x:f>+'Reporte Componentes R1'!N680+'Reporte Componentes R1'!N682+'Rem. Anticipos R2'!M468+'Reversion Pagos R4'!K361+E20+'AJUSTES - SF-T'!V51=E13</x:f>
        <x:v>1</x:v>
      </x:c>
      <x:c r="F28" s="648" t="b">
        <x:f>+'Reporte Componentes R1'!O680+'Reporte Componentes R1'!O682+'Rem. Anticipos R2'!N468+'Reversion Pagos R4'!L361+F20+'AJUSTES - SF-T'!W51=F13</x:f>
        <x:v>1</x:v>
      </x:c>
      <x:c r="G28" s="648" t="b">
        <x:f>+'Reporte Componentes R1'!P680+'Reporte Componentes R1'!P682+'Rem. Anticipos R2'!O468+'Reversion Pagos R4'!M361+G20+'AJUSTES - SF-T'!X51=G13</x:f>
        <x:v>1</x:v>
      </x:c>
      <x:c r="H28" s="648" t="b">
        <x:f>+'Reporte Componentes R1'!Q680+'Reporte Componentes R1'!Q682+'Rem. Anticipos R2'!P468+'Reversion Pagos R4'!N361+H20+'AJUSTES - SF-T'!Y51=H13</x:f>
        <x:v>1</x:v>
      </x:c>
      <x:c r="I28" s="698" t="b">
        <x:f>-INTERVENTORIA!M30+I20=I13</x:f>
        <x:v>1</x:v>
      </x:c>
      <x:c r="J28" s="650" t="b">
        <x: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x:f>
        <x:v>1</x:v>
      </x:c>
      <x:c r="K28" s="648" t="b">
        <x:f>+DetRetri2026072!N36</x:f>
        <x:v>1</x:v>
      </x:c>
      <x:c r="L28" s="648" t="b">
        <x:f>+'Reporte Componentes R1'!F681+'Rem. Anticipos R2'!E469+'Reporte Componentes R1'!F683+'Reversion Pagos R4'!D362+'AJUSTES - SF-T'!AD51+L20=L13</x:f>
        <x:v>1</x:v>
      </x:c>
      <x:c r="M28" s="648" t="b">
        <x:f>-'BCE SC POR FACT.'!F7+'Reporte Componentes R1'!F681+'Rem. Anticipos R2'!E469+'Reporte Componentes R1'!F683+'Reversion Pagos R4'!D362+'AJUSTES - SF-T'!AD51+M20=M13</x:f>
        <x:v>1</x:v>
      </x:c>
      <x:c r="N28" s="648" t="b">
        <x:f>'Reporte Componentes R1'!F681+'Rem. Anticipos R2'!E469+'Reporte Componentes R1'!F683+'Reversion Pagos R4'!D362+'AJUSTES - SF-T'!AD51+L20=L13</x:f>
        <x:v>1</x:v>
      </x:c>
      <x:c r="O28" s="648" t="b">
        <x: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x:f>
        <x:v>1</x:v>
      </x:c>
      <x:c r="E29" s="648" t="b">
        <x: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x:f>
        <x:v>1</x:v>
      </x:c>
      <x:c r="F29" s="648" t="b">
        <x: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x:f>
        <x:v>1</x:v>
      </x:c>
      <x:c r="G29" s="648" t="b">
        <x: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x:f>
        <x:v>1</x:v>
      </x:c>
      <x:c r="H29" s="648" t="b">
        <x: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x:f>
        <x:v>1</x:v>
      </x:c>
      <x:c r="I29" s="698" t="b">
        <x:f>-INTERVENTORIA!M31+I21=I14</x:f>
        <x:v>1</x:v>
      </x:c>
      <x:c r="J29" s="648" t="b">
        <x: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x:f>
        <x:v>1</x:v>
      </x:c>
      <x:c r="K29" s="648" t="b">
        <x: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x:f>
        <x:v>1</x:v>
      </x:c>
      <x:c r="L29" s="711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M29" s="648" t="b">
        <x: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x:f>
        <x:v>1</x:v>
      </x:c>
      <x:c r="N29" s="648" t="b">
        <x: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x:f>
        <x:v>1</x:v>
      </x:c>
      <x:c r="O29" s="648" t="b">
        <x: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68144618192</x:v>
      </x:c>
      <x:c r="E7" s="533" t="n">
        <x:f>SUM(D7:D9)</x:f>
        <x:v>68213380915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28645323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40117400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4284569052</x:v>
      </x:c>
      <x:c r="E10" s="535" t="n">
        <x:f>SUM(D10)</x:f>
        <x:v>4284569052</x:v>
      </x:c>
      <x:c r="F10" s="536" t="n">
        <x:f>E7+E10</x:f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2026-10-19T03:16:33Z</dcterms:modified>
</cp:coreProperties>
</file>