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x:bookViews>
    <x:workbookView xWindow="-108" yWindow="-108" windowWidth="23256" windowHeight="1245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<x:sst xmlns:x="http://schemas.openxmlformats.org/spreadsheetml/2006/main" count="7750" uniqueCount="345">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</x:sst>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90" zoomScaleNormal="90" workbookViewId="0">
      <x:pane ySplit="5" topLeftCell="A669" activePane="bottomLeft" state="frozen"/>
      <x:selection activeCell="D22" sqref="D22"/>
      <x:selection pane="bottomLeft" activeCell="E606" sqref="E606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5">
      <x:c r="E9" s="89" t="s">
        <x:v>72</x:v>
      </x:c>
      <x:c r="F9" s="371" t="n">
        <x:v>-4108.55</x:v>
      </x:c>
      <x:c r="G9" s="90" t="n">
        <x:v>-263.4</x:v>
      </x:c>
      <x:c r="H9" s="90" t="n">
        <x:v>-111.9</x:v>
      </x:c>
      <x:c r="I9" s="90" t="n">
        <x:v>-48.87</x:v>
      </x:c>
      <x:c r="J9" s="90" t="n">
        <x:v>-738.89</x:v>
      </x:c>
      <x:c r="K9" s="90" t="n">
        <x:v>-47.75</x:v>
      </x:c>
      <x:c r="L9" s="90" t="n">
        <x:v>0</x:v>
      </x:c>
      <x:c r="M9" s="90" t="n">
        <x:v>-418.8</x:v>
      </x:c>
      <x:c r="N9" s="90" t="n">
        <x:v>-350.5</x:v>
      </x:c>
      <x:c r="O9" s="90" t="n">
        <x:v>-1399.09</x:v>
      </x:c>
      <x:c r="P9" s="90" t="n">
        <x:v>-651.44</x:v>
      </x:c>
      <x:c r="Q9" s="90" t="n">
        <x:v>-77.91</x:v>
      </x:c>
      <x:c r="R9" s="90" t="n">
        <x:v>0</x:v>
      </x:c>
      <x:c r="S9" s="90" t="n">
        <x:v>0</x:v>
      </x:c>
      <x:c r="T9" s="90" t="n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 t="n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5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5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5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5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5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5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5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5">
      <x:c r="E29" t="s">
        <x:v>81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5">
      <x:c r="D30" t="s">
        <x:v>87</x:v>
      </x:c>
      <x:c r="E30" s="89" t="s">
        <x:v>70</x:v>
      </x:c>
      <x:c r="F30" s="371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5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5">
      <x:c r="B32" s="378" t="s">
        <x:v>122</x:v>
      </x:c>
      <x:c r="C32" s="378" t="s">
        <x:v>70</x:v>
      </x:c>
      <x:c r="E32" s="376"/>
      <x:c r="F32" s="710" t="n">
        <x:v>9215.69</x:v>
      </x:c>
      <x:c r="G32" s="377" t="n">
        <x:v>2007.44</x:v>
      </x:c>
      <x:c r="H32" s="377" t="n">
        <x:v>1133.38</x:v>
      </x:c>
      <x:c r="I32" s="377" t="n">
        <x:v>594.88</x:v>
      </x:c>
      <x:c r="J32" s="377" t="n">
        <x:v>0</x:v>
      </x:c>
      <x:c r="K32" s="377" t="n">
        <x:v>0</x:v>
      </x:c>
      <x:c r="L32" s="377" t="n">
        <x:v>0</x:v>
      </x:c>
      <x:c r="M32" s="377" t="n">
        <x:v>0</x:v>
      </x:c>
      <x:c r="N32" s="377" t="n">
        <x:v>0</x:v>
      </x:c>
      <x:c r="O32" s="377" t="n">
        <x:v>0</x:v>
      </x:c>
      <x:c r="P32" s="377" t="n">
        <x:v>5482.6</x:v>
      </x:c>
      <x:c r="Q32" s="377" t="n">
        <x:v>0</x:v>
      </x:c>
      <x:c r="R32" s="377" t="n">
        <x:v>-2.61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25">
      <x:c r="E33" s="89" t="s">
        <x:v>72</x:v>
      </x:c>
      <x:c r="F33" s="371" t="n">
        <x:v>15311909420.24</x:v>
      </x:c>
      <x:c r="G33" s="90" t="n">
        <x:v>801363799.02</x:v>
      </x:c>
      <x:c r="H33" s="90" t="n">
        <x:v>452181651.89</x:v>
      </x:c>
      <x:c r="I33" s="90" t="n">
        <x:v>237576696.14</x:v>
      </x:c>
      <x:c r="J33" s="90" t="n">
        <x:v>3742603268.77</x:v>
      </x:c>
      <x:c r="K33" s="90" t="n">
        <x:v>131872455.84</x:v>
      </x:c>
      <x:c r="L33" s="90" t="n">
        <x:v>16515975.94</x:v>
      </x:c>
      <x:c r="M33" s="90" t="n">
        <x:v>1160229364.58</x:v>
      </x:c>
      <x:c r="N33" s="90" t="n">
        <x:v>1113178184.5</x:v>
      </x:c>
      <x:c r="O33" s="90" t="n">
        <x:v>5269855575.68</x:v>
      </x:c>
      <x:c r="P33" s="90" t="n">
        <x:v>2171371078.07</x:v>
      </x:c>
      <x:c r="Q33" s="90" t="n">
        <x:v>215178442.49</x:v>
      </x:c>
      <x:c r="R33" s="90" t="n">
        <x:v>-17072.68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25">
      <x:c r="E34" s="89" t="s">
        <x:v>81</x:v>
      </x:c>
      <x:c r="F34" s="90" t="n">
        <x:v>4090440.92</x:v>
      </x:c>
      <x:c r="G34" s="90" t="n">
        <x:v>281733.24</x:v>
      </x:c>
      <x:c r="H34" s="90" t="n">
        <x:v>147454.73</x:v>
      </x:c>
      <x:c r="I34" s="90" t="n">
        <x:v>76550.04</x:v>
      </x:c>
      <x:c r="J34" s="90" t="n">
        <x:v>796420.04</x:v>
      </x:c>
      <x:c r="K34" s="90" t="n">
        <x:v>36830.11</x:v>
      </x:c>
      <x:c r="L34" s="90" t="n">
        <x:v>516.31</x:v>
      </x:c>
      <x:c r="M34" s="90" t="n">
        <x:v>325736.63</x:v>
      </x:c>
      <x:c r="N34" s="90" t="n">
        <x:v>292484.52</x:v>
      </x:c>
      <x:c r="O34" s="90" t="n">
        <x:v>1313250.69</x:v>
      </x:c>
      <x:c r="P34" s="90" t="n">
        <x:v>758517.98</x:v>
      </x:c>
      <x:c r="Q34" s="90" t="n">
        <x:v>60116.44</x:v>
      </x:c>
      <x:c r="R34" s="90" t="n">
        <x:v>308.42</x:v>
      </x:c>
      <x:c r="S34" s="90" t="n">
        <x:v>0</x:v>
      </x:c>
      <x:c r="T34" s="90" t="n">
        <x:v>521.8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-0.03</x:v>
      </x:c>
    </x:row>
    <x:row r="35" spans="1:26" ht="12.75" customHeight="1" x14ac:dyDescent="0.25">
      <x:c r="D35" t="s">
        <x:v>156</x:v>
      </x:c>
      <x:c r="E35" s="89" t="s">
        <x:v>70</x:v>
      </x:c>
      <x:c r="F35" s="89" t="n">
        <x:v>15315999861.16</x:v>
      </x:c>
      <x:c r="G35" s="90" t="n">
        <x:v>801645532.26</x:v>
      </x:c>
      <x:c r="H35" s="90" t="n">
        <x:v>452329106.62</x:v>
      </x:c>
      <x:c r="I35" s="90" t="n">
        <x:v>237653246.18</x:v>
      </x:c>
      <x:c r="J35" s="90" t="n">
        <x:v>3743399688.81</x:v>
      </x:c>
      <x:c r="K35" s="90" t="n">
        <x:v>131909285.95</x:v>
      </x:c>
      <x:c r="L35" s="90" t="n">
        <x:v>16516492.25</x:v>
      </x:c>
      <x:c r="M35" s="90" t="n">
        <x:v>1160555101.21</x:v>
      </x:c>
      <x:c r="N35" s="90" t="n">
        <x:v>1113470669.02</x:v>
      </x:c>
      <x:c r="O35" s="90" t="n">
        <x:v>5271168826.37</x:v>
      </x:c>
      <x:c r="P35" s="90" t="n">
        <x:v>2172129596.05</x:v>
      </x:c>
      <x:c r="Q35" s="90" t="n">
        <x:v>215238558.93</x:v>
      </x:c>
      <x:c r="R35" s="90" t="n">
        <x:v>-16764.26</x:v>
      </x:c>
      <x:c r="S35" s="90" t="n">
        <x:v>0</x:v>
      </x:c>
      <x:c r="T35" s="90" t="n">
        <x:v>521.8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-0.03</x:v>
      </x:c>
    </x:row>
    <x:row r="36" spans="1:26" s="286" customFormat="1" ht="12.75" customHeight="1" x14ac:dyDescent="0.25">
      <x:c r="C36" s="286" t="s">
        <x:v>155</x:v>
      </x:c>
      <x:c r="D36" s="286" t="s">
        <x:v>70</x:v>
      </x:c>
      <x:c r="E36" s="229"/>
      <x:c r="F36" s="229" t="n">
        <x:v>15315999861.16</x:v>
      </x:c>
      <x:c r="G36" s="230" t="n">
        <x:v>801645532.26</x:v>
      </x:c>
      <x:c r="H36" s="230" t="n">
        <x:v>452329106.62</x:v>
      </x:c>
      <x:c r="I36" s="230" t="n">
        <x:v>237653246.18</x:v>
      </x:c>
      <x:c r="J36" s="230" t="n">
        <x:v>3743399688.81</x:v>
      </x:c>
      <x:c r="K36" s="230" t="n">
        <x:v>131909285.95</x:v>
      </x:c>
      <x:c r="L36" s="230" t="n">
        <x:v>16516492.25</x:v>
      </x:c>
      <x:c r="M36" s="230" t="n">
        <x:v>1160555101.21</x:v>
      </x:c>
      <x:c r="N36" s="230" t="n">
        <x:v>1113470669.02</x:v>
      </x:c>
      <x:c r="O36" s="230" t="n">
        <x:v>5271168826.37</x:v>
      </x:c>
      <x:c r="P36" s="230" t="n">
        <x:v>2172129596.05</x:v>
      </x:c>
      <x:c r="Q36" s="230" t="n">
        <x:v>215238558.93</x:v>
      </x:c>
      <x:c r="R36" s="230" t="n">
        <x:v>-16764.26</x:v>
      </x:c>
      <x:c r="S36" s="230" t="n">
        <x:v>0</x:v>
      </x:c>
      <x:c r="T36" s="230" t="n">
        <x:v>521.8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-0.03</x:v>
      </x:c>
    </x:row>
    <x:row r="37" spans="1:26" ht="12.75" customHeight="1" x14ac:dyDescent="0.25">
      <x:c r="E37" s="89" t="s">
        <x:v>72</x:v>
      </x:c>
      <x:c r="F37" s="89" t="n">
        <x:v>32531853.02</x:v>
      </x:c>
      <x:c r="G37" s="90" t="n">
        <x:v>2591273.87</x:v>
      </x:c>
      <x:c r="H37" s="90" t="n">
        <x:v>1444146.45</x:v>
      </x:c>
      <x:c r="I37" s="90" t="n">
        <x:v>758108.3</x:v>
      </x:c>
      <x:c r="J37" s="90" t="n">
        <x:v>6042578.81</x:v>
      </x:c>
      <x:c r="K37" s="90" t="n">
        <x:v>205824.68</x:v>
      </x:c>
      <x:c r="L37" s="90" t="n">
        <x:v>0</x:v>
      </x:c>
      <x:c r="M37" s="90" t="n">
        <x:v>1805861.64</x:v>
      </x:c>
      <x:c r="N37" s="90" t="n">
        <x:v>2163115.53</x:v>
      </x:c>
      <x:c r="O37" s="90" t="n">
        <x:v>10120979.77</x:v>
      </x:c>
      <x:c r="P37" s="90" t="n">
        <x:v>7063994.12</x:v>
      </x:c>
      <x:c r="Q37" s="90" t="n">
        <x:v>335853.33</x:v>
      </x:c>
      <x:c r="R37" s="90" t="n">
        <x:v>116.52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25">
      <x:c r="E38" s="89" t="s">
        <x:v>81</x:v>
      </x:c>
      <x:c r="F38" s="90" t="n">
        <x:v>70410.78</x:v>
      </x:c>
      <x:c r="G38" s="90" t="n">
        <x:v>4075.34</x:v>
      </x:c>
      <x:c r="H38" s="90" t="n">
        <x:v>2009.42</x:v>
      </x:c>
      <x:c r="I38" s="90" t="n">
        <x:v>1036.19</x:v>
      </x:c>
      <x:c r="J38" s="90" t="n">
        <x:v>14956.08</x:v>
      </x:c>
      <x:c r="K38" s="90" t="n">
        <x:v>634.42</x:v>
      </x:c>
      <x:c r="L38" s="90" t="n">
        <x:v>0</x:v>
      </x:c>
      <x:c r="M38" s="90" t="n">
        <x:v>5556.36</x:v>
      </x:c>
      <x:c r="N38" s="90" t="n">
        <x:v>5429.24</x:v>
      </x:c>
      <x:c r="O38" s="90" t="n">
        <x:v>24704.76</x:v>
      </x:c>
      <x:c r="P38" s="90" t="n">
        <x:v>10925.02</x:v>
      </x:c>
      <x:c r="Q38" s="90" t="n">
        <x:v>1033.93</x:v>
      </x:c>
      <x:c r="R38" s="90" t="n">
        <x:v>49.75</x:v>
      </x:c>
      <x:c r="S38" s="90" t="n">
        <x:v>0</x:v>
      </x:c>
      <x:c r="T38" s="90" t="n">
        <x:v>0.27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25">
      <x:c r="D39" s="89" t="s">
        <x:v>82</x:v>
      </x:c>
      <x:c r="E39" s="89" t="s">
        <x:v>70</x:v>
      </x:c>
      <x:c r="F39" s="90" t="n">
        <x:v>32602263.8</x:v>
      </x:c>
      <x:c r="G39" s="90" t="n">
        <x:v>2595349.21</x:v>
      </x:c>
      <x:c r="H39" s="90" t="n">
        <x:v>1446155.87</x:v>
      </x:c>
      <x:c r="I39" s="90" t="n">
        <x:v>759144.49</x:v>
      </x:c>
      <x:c r="J39" s="90" t="n">
        <x:v>6057534.89</x:v>
      </x:c>
      <x:c r="K39" s="90" t="n">
        <x:v>206459.1</x:v>
      </x:c>
      <x:c r="L39" s="90" t="n">
        <x:v>0</x:v>
      </x:c>
      <x:c r="M39" s="90" t="n">
        <x:v>1811418</x:v>
      </x:c>
      <x:c r="N39" s="90" t="n">
        <x:v>2168544.77</x:v>
      </x:c>
      <x:c r="O39" s="90" t="n">
        <x:v>10145684.53</x:v>
      </x:c>
      <x:c r="P39" s="90" t="n">
        <x:v>7074919.14</x:v>
      </x:c>
      <x:c r="Q39" s="90" t="n">
        <x:v>336887.26</x:v>
      </x:c>
      <x:c r="R39" s="90" t="n">
        <x:v>166.27</x:v>
      </x:c>
      <x:c r="S39" s="90" t="n">
        <x:v>0</x:v>
      </x:c>
      <x:c r="T39" s="90" t="n">
        <x:v>0.27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25">
      <x:c r="E40" s="89" t="s">
        <x:v>72</x:v>
      </x:c>
      <x:c r="F40" s="90" t="n">
        <x:v>142718615.59</x:v>
      </x:c>
      <x:c r="G40" s="90" t="n">
        <x:v>16226922.74</x:v>
      </x:c>
      <x:c r="H40" s="90" t="n">
        <x:v>8978685.11</x:v>
      </x:c>
      <x:c r="I40" s="90" t="n">
        <x:v>4682686.13</x:v>
      </x:c>
      <x:c r="J40" s="90" t="n">
        <x:v>17356715.97</x:v>
      </x:c>
      <x:c r="K40" s="90" t="n">
        <x:v>717148.94</x:v>
      </x:c>
      <x:c r="L40" s="90" t="n">
        <x:v>4122672</x:v>
      </x:c>
      <x:c r="M40" s="90" t="n">
        <x:v>6303944.33</x:v>
      </x:c>
      <x:c r="N40" s="90" t="n">
        <x:v>6897057.04</x:v>
      </x:c>
      <x:c r="O40" s="90" t="n">
        <x:v>32134628.15</x:v>
      </x:c>
      <x:c r="P40" s="90" t="n">
        <x:v>44127363.81</x:v>
      </x:c>
      <x:c r="Q40" s="90" t="n">
        <x:v>1171009.75</x:v>
      </x:c>
      <x:c r="R40" s="90" t="n">
        <x:v>-218.38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25">
      <x:c r="E41" s="89" t="s">
        <x:v>81</x:v>
      </x:c>
      <x:c r="F41" s="90" t="n">
        <x:v>700269.72</x:v>
      </x:c>
      <x:c r="G41" s="90" t="n">
        <x:v>40116.7</x:v>
      </x:c>
      <x:c r="H41" s="90" t="n">
        <x:v>19139.89</x:v>
      </x:c>
      <x:c r="I41" s="90" t="n">
        <x:v>10101.16</x:v>
      </x:c>
      <x:c r="J41" s="90" t="n">
        <x:v>153132.53</x:v>
      </x:c>
      <x:c r="K41" s="90" t="n">
        <x:v>7303.27</x:v>
      </x:c>
      <x:c r="L41" s="90" t="n">
        <x:v>0</x:v>
      </x:c>
      <x:c r="M41" s="90" t="n">
        <x:v>64029.13</x:v>
      </x:c>
      <x:c r="N41" s="90" t="n">
        <x:v>56965.87</x:v>
      </x:c>
      <x:c r="O41" s="90" t="n">
        <x:v>230260.01</x:v>
      </x:c>
      <x:c r="P41" s="90" t="n">
        <x:v>107283.27</x:v>
      </x:c>
      <x:c r="Q41" s="90" t="n">
        <x:v>11912.73</x:v>
      </x:c>
      <x:c r="R41" s="90" t="n">
        <x:v>27.3</x:v>
      </x:c>
      <x:c r="S41" s="90" t="n">
        <x:v>-2.32</x:v>
      </x:c>
      <x:c r="T41" s="90" t="n">
        <x:v>0.18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25">
      <x:c r="D42" s="89" t="s">
        <x:v>86</x:v>
      </x:c>
      <x:c r="E42" s="89" t="s">
        <x:v>70</x:v>
      </x:c>
      <x:c r="F42" s="90" t="n">
        <x:v>143418885.31</x:v>
      </x:c>
      <x:c r="G42" s="90" t="n">
        <x:v>16267039.44</x:v>
      </x:c>
      <x:c r="H42" s="90" t="n">
        <x:v>8997825</x:v>
      </x:c>
      <x:c r="I42" s="90" t="n">
        <x:v>4692787.29</x:v>
      </x:c>
      <x:c r="J42" s="90" t="n">
        <x:v>17509848.5</x:v>
      </x:c>
      <x:c r="K42" s="90" t="n">
        <x:v>724452.21</x:v>
      </x:c>
      <x:c r="L42" s="90" t="n">
        <x:v>4122672</x:v>
      </x:c>
      <x:c r="M42" s="90" t="n">
        <x:v>6367973.46</x:v>
      </x:c>
      <x:c r="N42" s="90" t="n">
        <x:v>6954022.91</x:v>
      </x:c>
      <x:c r="O42" s="90" t="n">
        <x:v>32364888.16</x:v>
      </x:c>
      <x:c r="P42" s="90" t="n">
        <x:v>44234647.08</x:v>
      </x:c>
      <x:c r="Q42" s="90" t="n">
        <x:v>1182922.48</x:v>
      </x:c>
      <x:c r="R42" s="90" t="n">
        <x:v>-191.08</x:v>
      </x:c>
      <x:c r="S42" s="90" t="n">
        <x:v>-2.32</x:v>
      </x:c>
      <x:c r="T42" s="90" t="n">
        <x:v>0.18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25">
      <x:c r="C43" s="89"/>
      <x:c r="D43" s="89"/>
      <x:c r="E43" t="s">
        <x:v>72</x:v>
      </x:c>
      <x:c r="F43" s="90" t="n">
        <x:v>443299915.67</x:v>
      </x:c>
      <x:c r="G43" s="90" t="n">
        <x:v>77621929.12</x:v>
      </x:c>
      <x:c r="H43" s="90" t="n">
        <x:v>43739696.54</x:v>
      </x:c>
      <x:c r="I43" s="90" t="n">
        <x:v>23002911.08</x:v>
      </x:c>
      <x:c r="J43" s="90" t="n">
        <x:v>27531678.22</x:v>
      </x:c>
      <x:c r="K43" s="90" t="n">
        <x:v>700778.07</x:v>
      </x:c>
      <x:c r="L43" s="90" t="n">
        <x:v>4638006</x:v>
      </x:c>
      <x:c r="M43" s="90" t="n">
        <x:v>6178734.52</x:v>
      </x:c>
      <x:c r="N43" s="90" t="n">
        <x:v>8275304.75</x:v>
      </x:c>
      <x:c r="O43" s="90" t="n">
        <x:v>38410843.78</x:v>
      </x:c>
      <x:c r="P43" s="90" t="n">
        <x:v>212057412.17</x:v>
      </x:c>
      <x:c r="Q43" s="90" t="n">
        <x:v>1143387.66</x:v>
      </x:c>
      <x:c r="R43" s="90" t="n">
        <x:v>-766.24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25">
      <x:c r="B44" s="89"/>
      <x:c r="C44" s="89"/>
      <x:c r="E44" t="s">
        <x:v>81</x:v>
      </x:c>
      <x:c r="F44" s="90" t="n">
        <x:v>613877.45</x:v>
      </x:c>
      <x:c r="G44" s="90" t="n">
        <x:v>94058.21</x:v>
      </x:c>
      <x:c r="H44" s="90" t="n">
        <x:v>48331.99</x:v>
      </x:c>
      <x:c r="I44" s="90" t="n">
        <x:v>26441.83</x:v>
      </x:c>
      <x:c r="J44" s="90" t="n">
        <x:v>61251.38</x:v>
      </x:c>
      <x:c r="K44" s="90" t="n">
        <x:v>1855.3</x:v>
      </x:c>
      <x:c r="L44" s="90" t="n">
        <x:v>146.01</x:v>
      </x:c>
      <x:c r="M44" s="90" t="n">
        <x:v>16384.73</x:v>
      </x:c>
      <x:c r="N44" s="90" t="n">
        <x:v>20507.08</x:v>
      </x:c>
      <x:c r="O44" s="90" t="n">
        <x:v>89016.81</x:v>
      </x:c>
      <x:c r="P44" s="90" t="n">
        <x:v>254956.79</x:v>
      </x:c>
      <x:c r="Q44" s="90" t="n">
        <x:v>3029.72</x:v>
      </x:c>
      <x:c r="R44" s="90" t="n">
        <x:v>10.11</x:v>
      </x:c>
      <x:c r="S44" s="90" t="n">
        <x:v>-2112.51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25">
      <x:c r="C45" s="89"/>
      <x:c r="D45" s="89" t="s">
        <x:v>87</x:v>
      </x:c>
      <x:c r="E45" t="s">
        <x:v>70</x:v>
      </x:c>
      <x:c r="F45" s="90" t="n">
        <x:v>443913793.12</x:v>
      </x:c>
      <x:c r="G45" s="90" t="n">
        <x:v>77715987.33</x:v>
      </x:c>
      <x:c r="H45" s="90" t="n">
        <x:v>43788028.53</x:v>
      </x:c>
      <x:c r="I45" s="90" t="n">
        <x:v>23029352.91</x:v>
      </x:c>
      <x:c r="J45" s="90" t="n">
        <x:v>27592929.6</x:v>
      </x:c>
      <x:c r="K45" s="90" t="n">
        <x:v>702633.37</x:v>
      </x:c>
      <x:c r="L45" s="90" t="n">
        <x:v>4638152.01</x:v>
      </x:c>
      <x:c r="M45" s="90" t="n">
        <x:v>6195119.25</x:v>
      </x:c>
      <x:c r="N45" s="90" t="n">
        <x:v>8295811.83</x:v>
      </x:c>
      <x:c r="O45" s="90" t="n">
        <x:v>38499860.59</x:v>
      </x:c>
      <x:c r="P45" s="90" t="n">
        <x:v>212312368.96</x:v>
      </x:c>
      <x:c r="Q45" s="90" t="n">
        <x:v>1146417.38</x:v>
      </x:c>
      <x:c r="R45" s="90" t="n">
        <x:v>-756.13</x:v>
      </x:c>
      <x:c r="S45" s="90" t="n">
        <x:v>-2112.51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25">
      <x:c r="C46" s="101" t="s">
        <x:v>119</x:v>
      </x:c>
      <x:c r="D46" s="101" t="s">
        <x:v>70</x:v>
      </x:c>
      <x:c r="F46" s="93" t="n">
        <x:v>619934942.23</x:v>
      </x:c>
      <x:c r="G46" s="93" t="n">
        <x:v>96578375.98</x:v>
      </x:c>
      <x:c r="H46" s="93" t="n">
        <x:v>54232009.4</x:v>
      </x:c>
      <x:c r="I46" s="93" t="n">
        <x:v>28481284.69</x:v>
      </x:c>
      <x:c r="J46" s="93" t="n">
        <x:v>51160312.99</x:v>
      </x:c>
      <x:c r="K46" s="93" t="n">
        <x:v>1633544.68</x:v>
      </x:c>
      <x:c r="L46" s="93" t="n">
        <x:v>8760824.01</x:v>
      </x:c>
      <x:c r="M46" s="93" t="n">
        <x:v>14374510.71</x:v>
      </x:c>
      <x:c r="N46" s="93" t="n">
        <x:v>17418379.51</x:v>
      </x:c>
      <x:c r="O46" s="93" t="n">
        <x:v>81010433.28</x:v>
      </x:c>
      <x:c r="P46" s="93" t="n">
        <x:v>263621935.18</x:v>
      </x:c>
      <x:c r="Q46" s="93" t="n">
        <x:v>2666227.12</x:v>
      </x:c>
      <x:c r="R46" s="93" t="n">
        <x:v>-780.94</x:v>
      </x:c>
      <x:c r="S46" s="93" t="n">
        <x:v>-2114.83</x:v>
      </x:c>
      <x:c r="T46" s="93" t="n">
        <x:v>0.45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25">
      <x:c r="B47" s="98" t="s">
        <x:v>112</x:v>
      </x:c>
      <x:c r="C47" s="98" t="s">
        <x:v>70</x:v>
      </x:c>
      <x:c r="F47" s="100" t="n">
        <x:v>15935934803.39</x:v>
      </x:c>
      <x:c r="G47" s="100" t="n">
        <x:v>898223908.24</x:v>
      </x:c>
      <x:c r="H47" s="100" t="n">
        <x:v>506561116.02</x:v>
      </x:c>
      <x:c r="I47" s="100" t="n">
        <x:v>266134530.87</x:v>
      </x:c>
      <x:c r="J47" s="100" t="n">
        <x:v>3794560001.8</x:v>
      </x:c>
      <x:c r="K47" s="100" t="n">
        <x:v>133542830.63</x:v>
      </x:c>
      <x:c r="L47" s="100" t="n">
        <x:v>25277316.26</x:v>
      </x:c>
      <x:c r="M47" s="100" t="n">
        <x:v>1174929611.92</x:v>
      </x:c>
      <x:c r="N47" s="100" t="n">
        <x:v>1130889048.53</x:v>
      </x:c>
      <x:c r="O47" s="100" t="n">
        <x:v>5352179259.65</x:v>
      </x:c>
      <x:c r="P47" s="100" t="n">
        <x:v>2435751531.23</x:v>
      </x:c>
      <x:c r="Q47" s="100" t="n">
        <x:v>217904786.05</x:v>
      </x:c>
      <x:c r="R47" s="100" t="n">
        <x:v>-17545.2</x:v>
      </x:c>
      <x:c r="S47" s="100" t="n">
        <x:v>-2114.83</x:v>
      </x:c>
      <x:c r="T47" s="100" t="n">
        <x:v>522.25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-0.03</x:v>
      </x:c>
    </x:row>
    <x:row r="48" spans="1:26" ht="12.6" customHeight="1" x14ac:dyDescent="0.25">
      <x:c r="A48" t="s">
        <x:v>78</x:v>
      </x:c>
      <x:c r="B48" t="s">
        <x:v>70</x:v>
      </x:c>
      <x:c r="E48" s="89"/>
      <x:c r="F48" s="89" t="n">
        <x:v>15935944019.08</x:v>
      </x:c>
      <x:c r="G48" s="90" t="n">
        <x:v>898225915.68</x:v>
      </x:c>
      <x:c r="H48" s="90" t="n">
        <x:v>506562249.4</x:v>
      </x:c>
      <x:c r="I48" s="90" t="n">
        <x:v>266135125.75</x:v>
      </x:c>
      <x:c r="J48" s="90" t="n">
        <x:v>3794560001.8</x:v>
      </x:c>
      <x:c r="K48" s="90" t="n">
        <x:v>133542830.63</x:v>
      </x:c>
      <x:c r="L48" s="90" t="n">
        <x:v>25277316.26</x:v>
      </x:c>
      <x:c r="M48" s="90" t="n">
        <x:v>1174929611.92</x:v>
      </x:c>
      <x:c r="N48" s="90" t="n">
        <x:v>1130889048.53</x:v>
      </x:c>
      <x:c r="O48" s="90" t="n">
        <x:v>5352179259.65</x:v>
      </x:c>
      <x:c r="P48" s="90" t="n">
        <x:v>2435757013.83</x:v>
      </x:c>
      <x:c r="Q48" s="90" t="n">
        <x:v>217904786.05</x:v>
      </x:c>
      <x:c r="R48" s="90" t="n">
        <x:v>-17547.81</x:v>
      </x:c>
      <x:c r="S48" s="90" t="n">
        <x:v>-2114.83</x:v>
      </x:c>
      <x:c r="T48" s="90" t="n">
        <x:v>522.25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-0.03</x:v>
      </x:c>
    </x:row>
    <x:row r="49" spans="2:26" x14ac:dyDescent="0.25">
      <x:c r="E49" t="s">
        <x:v>73</x:v>
      </x:c>
      <x:c r="F49" s="90" t="n">
        <x:v>40364.31</x:v>
      </x:c>
      <x:c r="G49" s="90" t="n">
        <x:v>1974.08</x:v>
      </x:c>
      <x:c r="H49" s="90" t="n">
        <x:v>1114.56</x:v>
      </x:c>
      <x:c r="I49" s="90" t="n">
        <x:v>585</x:v>
      </x:c>
      <x:c r="J49" s="90" t="n">
        <x:v>9457.65</x:v>
      </x:c>
      <x:c r="K49" s="90" t="n">
        <x:v>361.03</x:v>
      </x:c>
      <x:c r="L49" s="90" t="n">
        <x:v>0</x:v>
      </x:c>
      <x:c r="M49" s="90" t="n">
        <x:v>3166.94</x:v>
      </x:c>
      <x:c r="N49" s="90" t="n">
        <x:v>3091.65</x:v>
      </x:c>
      <x:c r="O49" s="90" t="n">
        <x:v>14632.85</x:v>
      </x:c>
      <x:c r="P49" s="90" t="n">
        <x:v>5391.5</x:v>
      </x:c>
      <x:c r="Q49" s="90" t="n">
        <x:v>589.05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25">
      <x:c r="D50" t="s">
        <x:v>156</x:v>
      </x:c>
      <x:c r="E50" t="s">
        <x:v>70</x:v>
      </x:c>
      <x:c r="F50" s="90" t="n">
        <x:v>40364.31</x:v>
      </x:c>
      <x:c r="G50" s="90" t="n">
        <x:v>1974.08</x:v>
      </x:c>
      <x:c r="H50" s="90" t="n">
        <x:v>1114.56</x:v>
      </x:c>
      <x:c r="I50" s="90" t="n">
        <x:v>585</x:v>
      </x:c>
      <x:c r="J50" s="90" t="n">
        <x:v>9457.65</x:v>
      </x:c>
      <x:c r="K50" s="90" t="n">
        <x:v>361.03</x:v>
      </x:c>
      <x:c r="L50" s="90" t="n">
        <x:v>0</x:v>
      </x:c>
      <x:c r="M50" s="90" t="n">
        <x:v>3166.94</x:v>
      </x:c>
      <x:c r="N50" s="90" t="n">
        <x:v>3091.65</x:v>
      </x:c>
      <x:c r="O50" s="90" t="n">
        <x:v>14632.85</x:v>
      </x:c>
      <x:c r="P50" s="90" t="n">
        <x:v>5391.5</x:v>
      </x:c>
      <x:c r="Q50" s="90" t="n">
        <x:v>589.05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25">
      <x:c r="C51" s="286" t="s">
        <x:v>155</x:v>
      </x:c>
      <x:c r="D51" s="286" t="s">
        <x:v>70</x:v>
      </x:c>
      <x:c r="E51" s="229"/>
      <x:c r="F51" s="229" t="n">
        <x:v>40364.31</x:v>
      </x:c>
      <x:c r="G51" s="230" t="n">
        <x:v>1974.08</x:v>
      </x:c>
      <x:c r="H51" s="230" t="n">
        <x:v>1114.56</x:v>
      </x:c>
      <x:c r="I51" s="230" t="n">
        <x:v>585</x:v>
      </x:c>
      <x:c r="J51" s="230" t="n">
        <x:v>9457.65</x:v>
      </x:c>
      <x:c r="K51" s="230" t="n">
        <x:v>361.03</x:v>
      </x:c>
      <x:c r="L51" s="230" t="n">
        <x:v>0</x:v>
      </x:c>
      <x:c r="M51" s="230" t="n">
        <x:v>3166.94</x:v>
      </x:c>
      <x:c r="N51" s="230" t="n">
        <x:v>3091.65</x:v>
      </x:c>
      <x:c r="O51" s="230" t="n">
        <x:v>14632.85</x:v>
      </x:c>
      <x:c r="P51" s="230" t="n">
        <x:v>5391.5</x:v>
      </x:c>
      <x:c r="Q51" s="230" t="n">
        <x:v>589.05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25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5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5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5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5">
      <x:c r="E56" t="s">
        <x:v>73</x:v>
      </x:c>
      <x:c r="F56" s="90">
        <x:v>0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5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5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5">
      <x:c r="B59" s="378" t="s">
        <x:v>122</x:v>
      </x:c>
      <x:c r="C59" s="378" t="s">
        <x:v>70</x:v>
      </x:c>
      <x:c r="E59" s="376"/>
      <x:c r="F59" s="710" t="n">
        <x:v>40364.31</x:v>
      </x:c>
      <x:c r="G59" s="377" t="n">
        <x:v>1974.08</x:v>
      </x:c>
      <x:c r="H59" s="377" t="n">
        <x:v>1114.56</x:v>
      </x:c>
      <x:c r="I59" s="377" t="n">
        <x:v>585</x:v>
      </x:c>
      <x:c r="J59" s="377" t="n">
        <x:v>9457.65</x:v>
      </x:c>
      <x:c r="K59" s="377" t="n">
        <x:v>361.03</x:v>
      </x:c>
      <x:c r="L59" s="377" t="n">
        <x:v>0</x:v>
      </x:c>
      <x:c r="M59" s="377" t="n">
        <x:v>3166.94</x:v>
      </x:c>
      <x:c r="N59" s="377" t="n">
        <x:v>3091.65</x:v>
      </x:c>
      <x:c r="O59" s="377" t="n">
        <x:v>14632.85</x:v>
      </x:c>
      <x:c r="P59" s="377" t="n">
        <x:v>5391.5</x:v>
      </x:c>
      <x:c r="Q59" s="377" t="n">
        <x:v>589.05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25">
      <x:c r="E60" s="89" t="s">
        <x:v>73</x:v>
      </x:c>
      <x:c r="F60" s="384" t="n">
        <x:v>1261122890.41</x:v>
      </x:c>
      <x:c r="G60" s="90" t="n">
        <x:v>145017642.29</x:v>
      </x:c>
      <x:c r="H60" s="90" t="n">
        <x:v>81882191.68</x:v>
      </x:c>
      <x:c r="I60" s="90" t="n">
        <x:v>42987613.01</x:v>
      </x:c>
      <x:c r="J60" s="90" t="n">
        <x:v>181283966.8</x:v>
      </x:c>
      <x:c r="K60" s="90" t="n">
        <x:v>6932108.75</x:v>
      </x:c>
      <x:c r="L60" s="90" t="n">
        <x:v>0</x:v>
      </x:c>
      <x:c r="M60" s="90" t="n">
        <x:v>59431479.55</x:v>
      </x:c>
      <x:c r="N60" s="90" t="n">
        <x:v>58073052.67</x:v>
      </x:c>
      <x:c r="O60" s="90" t="n">
        <x:v>274861035.99</x:v>
      </x:c>
      <x:c r="P60" s="90" t="n">
        <x:v>399343193.25</x:v>
      </x:c>
      <x:c r="Q60" s="90" t="n">
        <x:v>11310606.42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25">
      <x:c r="D61" t="s">
        <x:v>156</x:v>
      </x:c>
      <x:c r="E61" s="89" t="s">
        <x:v>70</x:v>
      </x:c>
      <x:c r="F61" s="384" t="n">
        <x:v>1261122890.41</x:v>
      </x:c>
      <x:c r="G61" s="90" t="n">
        <x:v>145017642.29</x:v>
      </x:c>
      <x:c r="H61" s="90" t="n">
        <x:v>81882191.68</x:v>
      </x:c>
      <x:c r="I61" s="90" t="n">
        <x:v>42987613.01</x:v>
      </x:c>
      <x:c r="J61" s="90" t="n">
        <x:v>181283966.8</x:v>
      </x:c>
      <x:c r="K61" s="90" t="n">
        <x:v>6932108.75</x:v>
      </x:c>
      <x:c r="L61" s="90" t="n">
        <x:v>0</x:v>
      </x:c>
      <x:c r="M61" s="90" t="n">
        <x:v>59431479.55</x:v>
      </x:c>
      <x:c r="N61" s="90" t="n">
        <x:v>58073052.67</x:v>
      </x:c>
      <x:c r="O61" s="90" t="n">
        <x:v>274861035.99</x:v>
      </x:c>
      <x:c r="P61" s="90" t="n">
        <x:v>399343193.25</x:v>
      </x:c>
      <x:c r="Q61" s="90" t="n">
        <x:v>11310606.42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25">
      <x:c r="C62" s="286" t="s">
        <x:v>155</x:v>
      </x:c>
      <x:c r="D62" s="286" t="s">
        <x:v>70</x:v>
      </x:c>
      <x:c r="E62" s="229"/>
      <x:c r="F62" s="229" t="n">
        <x:v>1261122890.41</x:v>
      </x:c>
      <x:c r="G62" s="230" t="n">
        <x:v>145017642.29</x:v>
      </x:c>
      <x:c r="H62" s="230" t="n">
        <x:v>81882191.68</x:v>
      </x:c>
      <x:c r="I62" s="230" t="n">
        <x:v>42987613.01</x:v>
      </x:c>
      <x:c r="J62" s="230" t="n">
        <x:v>181283966.8</x:v>
      </x:c>
      <x:c r="K62" s="230" t="n">
        <x:v>6932108.75</x:v>
      </x:c>
      <x:c r="L62" s="230" t="n">
        <x:v>0</x:v>
      </x:c>
      <x:c r="M62" s="230" t="n">
        <x:v>59431479.55</x:v>
      </x:c>
      <x:c r="N62" s="230" t="n">
        <x:v>58073052.67</x:v>
      </x:c>
      <x:c r="O62" s="230" t="n">
        <x:v>274861035.99</x:v>
      </x:c>
      <x:c r="P62" s="230" t="n">
        <x:v>399343193.25</x:v>
      </x:c>
      <x:c r="Q62" s="230" t="n">
        <x:v>11310606.42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25">
      <x:c r="D63" s="89"/>
      <x:c r="E63" s="89" t="s">
        <x:v>73</x:v>
      </x:c>
      <x:c r="F63" s="90" t="n">
        <x:v>6082566.2</x:v>
      </x:c>
      <x:c r="G63" s="90" t="n">
        <x:v>1209162.83</x:v>
      </x:c>
      <x:c r="H63" s="90" t="n">
        <x:v>679361.72</x:v>
      </x:c>
      <x:c r="I63" s="90" t="n">
        <x:v>354481.28</x:v>
      </x:c>
      <x:c r="J63" s="90" t="n">
        <x:v>358187.27</x:v>
      </x:c>
      <x:c r="K63" s="90" t="n">
        <x:v>-4705.56</x:v>
      </x:c>
      <x:c r="L63" s="90" t="n">
        <x:v>0</x:v>
      </x:c>
      <x:c r="M63" s="90" t="n">
        <x:v>-42042.77</x:v>
      </x:c>
      <x:c r="N63" s="90" t="n">
        <x:v>41264.06</x:v>
      </x:c>
      <x:c r="O63" s="90" t="n">
        <x:v>193736.04</x:v>
      </x:c>
      <x:c r="P63" s="90" t="n">
        <x:v>3300638.3</x:v>
      </x:c>
      <x:c r="Q63" s="90" t="n">
        <x:v>-7516.97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25">
      <x:c r="D64" t="s">
        <x:v>82</x:v>
      </x:c>
      <x:c r="E64" s="89" t="s">
        <x:v>70</x:v>
      </x:c>
      <x:c r="F64" s="90" t="n">
        <x:v>6082566.2</x:v>
      </x:c>
      <x:c r="G64" s="90" t="n">
        <x:v>1209162.83</x:v>
      </x:c>
      <x:c r="H64" s="90" t="n">
        <x:v>679361.72</x:v>
      </x:c>
      <x:c r="I64" s="90" t="n">
        <x:v>354481.28</x:v>
      </x:c>
      <x:c r="J64" s="90" t="n">
        <x:v>358187.27</x:v>
      </x:c>
      <x:c r="K64" s="90" t="n">
        <x:v>-4705.56</x:v>
      </x:c>
      <x:c r="L64" s="90" t="n">
        <x:v>0</x:v>
      </x:c>
      <x:c r="M64" s="90" t="n">
        <x:v>-42042.77</x:v>
      </x:c>
      <x:c r="N64" s="90" t="n">
        <x:v>41264.06</x:v>
      </x:c>
      <x:c r="O64" s="90" t="n">
        <x:v>193736.04</x:v>
      </x:c>
      <x:c r="P64" s="90" t="n">
        <x:v>3300638.3</x:v>
      </x:c>
      <x:c r="Q64" s="90" t="n">
        <x:v>-7516.97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25">
      <x:c r="D65" s="89"/>
      <x:c r="E65" s="89" t="s">
        <x:v>73</x:v>
      </x:c>
      <x:c r="F65" s="90" t="n">
        <x:v>29193363.24</x:v>
      </x:c>
      <x:c r="G65" s="90" t="n">
        <x:v>5503604.9</x:v>
      </x:c>
      <x:c r="H65" s="90" t="n">
        <x:v>3036599.6</x:v>
      </x:c>
      <x:c r="I65" s="90" t="n">
        <x:v>1564692.21</x:v>
      </x:c>
      <x:c r="J65" s="90" t="n">
        <x:v>1181412.52</x:v>
      </x:c>
      <x:c r="K65" s="90" t="n">
        <x:v>26083.53</x:v>
      </x:c>
      <x:c r="L65" s="90" t="n">
        <x:v>0</x:v>
      </x:c>
      <x:c r="M65" s="90" t="n">
        <x:v>217934.27</x:v>
      </x:c>
      <x:c r="N65" s="90" t="n">
        <x:v>473929.76</x:v>
      </x:c>
      <x:c r="O65" s="90" t="n">
        <x:v>2182082.49</x:v>
      </x:c>
      <x:c r="P65" s="90" t="n">
        <x:v>14964294.19</x:v>
      </x:c>
      <x:c r="Q65" s="90" t="n">
        <x:v>42729.77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25">
      <x:c r="D66" t="s">
        <x:v>86</x:v>
      </x:c>
      <x:c r="E66" s="89" t="s">
        <x:v>70</x:v>
      </x:c>
      <x:c r="F66" s="90" t="n">
        <x:v>29193363.24</x:v>
      </x:c>
      <x:c r="G66" s="90" t="n">
        <x:v>5503604.9</x:v>
      </x:c>
      <x:c r="H66" s="90" t="n">
        <x:v>3036599.6</x:v>
      </x:c>
      <x:c r="I66" s="90" t="n">
        <x:v>1564692.21</x:v>
      </x:c>
      <x:c r="J66" s="90" t="n">
        <x:v>1181412.52</x:v>
      </x:c>
      <x:c r="K66" s="90" t="n">
        <x:v>26083.53</x:v>
      </x:c>
      <x:c r="L66" s="90" t="n">
        <x:v>0</x:v>
      </x:c>
      <x:c r="M66" s="90" t="n">
        <x:v>217934.27</x:v>
      </x:c>
      <x:c r="N66" s="90" t="n">
        <x:v>473929.76</x:v>
      </x:c>
      <x:c r="O66" s="90" t="n">
        <x:v>2182082.49</x:v>
      </x:c>
      <x:c r="P66" s="90" t="n">
        <x:v>14964294.19</x:v>
      </x:c>
      <x:c r="Q66" s="90" t="n">
        <x:v>42729.77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25">
      <x:c r="D67" s="89"/>
      <x:c r="E67" s="89" t="s">
        <x:v>73</x:v>
      </x:c>
      <x:c r="F67" s="90" t="n">
        <x:v>132748470.25</x:v>
      </x:c>
      <x:c r="G67" s="90" t="n">
        <x:v>23581040.41</x:v>
      </x:c>
      <x:c r="H67" s="90" t="n">
        <x:v>13134900.38</x:v>
      </x:c>
      <x:c r="I67" s="90" t="n">
        <x:v>6932117.97</x:v>
      </x:c>
      <x:c r="J67" s="90" t="n">
        <x:v>8421230.27</x:v>
      </x:c>
      <x:c r="K67" s="90" t="n">
        <x:v>204893.95</x:v>
      </x:c>
      <x:c r="L67" s="90" t="n">
        <x:v>0</x:v>
      </x:c>
      <x:c r="M67" s="90" t="n">
        <x:v>1822856.43</x:v>
      </x:c>
      <x:c r="N67" s="90" t="n">
        <x:v>2503084.31</x:v>
      </x:c>
      <x:c r="O67" s="90" t="n">
        <x:v>11686632.25</x:v>
      </x:c>
      <x:c r="P67" s="90" t="n">
        <x:v>64127779.72</x:v>
      </x:c>
      <x:c r="Q67" s="90" t="n">
        <x:v>333934.56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25">
      <x:c r="C68" s="89"/>
      <x:c r="D68" s="89" t="s">
        <x:v>87</x:v>
      </x:c>
      <x:c r="E68" t="s">
        <x:v>70</x:v>
      </x:c>
      <x:c r="F68" s="90" t="n">
        <x:v>132748470.25</x:v>
      </x:c>
      <x:c r="G68" s="90" t="n">
        <x:v>23581040.41</x:v>
      </x:c>
      <x:c r="H68" s="90" t="n">
        <x:v>13134900.38</x:v>
      </x:c>
      <x:c r="I68" s="90" t="n">
        <x:v>6932117.97</x:v>
      </x:c>
      <x:c r="J68" s="90" t="n">
        <x:v>8421230.27</x:v>
      </x:c>
      <x:c r="K68" s="90" t="n">
        <x:v>204893.95</x:v>
      </x:c>
      <x:c r="L68" s="90" t="n">
        <x:v>0</x:v>
      </x:c>
      <x:c r="M68" s="90" t="n">
        <x:v>1822856.43</x:v>
      </x:c>
      <x:c r="N68" s="90" t="n">
        <x:v>2503084.31</x:v>
      </x:c>
      <x:c r="O68" s="90" t="n">
        <x:v>11686632.25</x:v>
      </x:c>
      <x:c r="P68" s="90" t="n">
        <x:v>64127779.72</x:v>
      </x:c>
      <x:c r="Q68" s="90" t="n">
        <x:v>333934.56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25">
      <x:c r="C69" s="101" t="s">
        <x:v>119</x:v>
      </x:c>
      <x:c r="D69" s="101" t="s">
        <x:v>70</x:v>
      </x:c>
      <x:c r="F69" s="93" t="n">
        <x:v>168024399.69</x:v>
      </x:c>
      <x:c r="G69" s="93" t="n">
        <x:v>30293808.14</x:v>
      </x:c>
      <x:c r="H69" s="93" t="n">
        <x:v>16850861.7</x:v>
      </x:c>
      <x:c r="I69" s="93" t="n">
        <x:v>8851291.46</x:v>
      </x:c>
      <x:c r="J69" s="93" t="n">
        <x:v>9960830.06</x:v>
      </x:c>
      <x:c r="K69" s="93" t="n">
        <x:v>226271.92</x:v>
      </x:c>
      <x:c r="L69" s="93" t="n">
        <x:v>0</x:v>
      </x:c>
      <x:c r="M69" s="93" t="n">
        <x:v>1998747.93</x:v>
      </x:c>
      <x:c r="N69" s="93" t="n">
        <x:v>3018278.13</x:v>
      </x:c>
      <x:c r="O69" s="93" t="n">
        <x:v>14062450.78</x:v>
      </x:c>
      <x:c r="P69" s="93" t="n">
        <x:v>82392712.21</x:v>
      </x:c>
      <x:c r="Q69" s="93" t="n">
        <x:v>369147.36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25">
      <x:c r="B70" s="98" t="s">
        <x:v>112</x:v>
      </x:c>
      <x:c r="C70" s="98" t="s">
        <x:v>70</x:v>
      </x:c>
      <x:c r="F70" s="100" t="n">
        <x:v>1429147290.1</x:v>
      </x:c>
      <x:c r="G70" s="100" t="n">
        <x:v>175311450.43</x:v>
      </x:c>
      <x:c r="H70" s="100" t="n">
        <x:v>98733053.38</x:v>
      </x:c>
      <x:c r="I70" s="100" t="n">
        <x:v>51838904.47</x:v>
      </x:c>
      <x:c r="J70" s="100" t="n">
        <x:v>191244796.86</x:v>
      </x:c>
      <x:c r="K70" s="100" t="n">
        <x:v>7158380.67</x:v>
      </x:c>
      <x:c r="L70" s="100" t="n">
        <x:v>0</x:v>
      </x:c>
      <x:c r="M70" s="100" t="n">
        <x:v>61430227.48</x:v>
      </x:c>
      <x:c r="N70" s="100" t="n">
        <x:v>61091330.8</x:v>
      </x:c>
      <x:c r="O70" s="100" t="n">
        <x:v>288923486.77</x:v>
      </x:c>
      <x:c r="P70" s="100" t="n">
        <x:v>481735905.46</x:v>
      </x:c>
      <x:c r="Q70" s="100" t="n">
        <x:v>11679753.78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25">
      <x:c r="A71" s="89" t="s">
        <x:v>79</x:v>
      </x:c>
      <x:c r="B71" t="s">
        <x:v>70</x:v>
      </x:c>
      <x:c r="F71" s="90" t="n">
        <x:v>1429187654.41</x:v>
      </x:c>
      <x:c r="G71" s="90" t="n">
        <x:v>175313424.51</x:v>
      </x:c>
      <x:c r="H71" s="90" t="n">
        <x:v>98734167.94</x:v>
      </x:c>
      <x:c r="I71" s="90" t="n">
        <x:v>51839489.47</x:v>
      </x:c>
      <x:c r="J71" s="90" t="n">
        <x:v>191254254.51</x:v>
      </x:c>
      <x:c r="K71" s="90" t="n">
        <x:v>7158741.7</x:v>
      </x:c>
      <x:c r="L71" s="90" t="n">
        <x:v>0</x:v>
      </x:c>
      <x:c r="M71" s="90" t="n">
        <x:v>61433394.42</x:v>
      </x:c>
      <x:c r="N71" s="90" t="n">
        <x:v>61094422.45</x:v>
      </x:c>
      <x:c r="O71" s="90" t="n">
        <x:v>288938119.62</x:v>
      </x:c>
      <x:c r="P71" s="90" t="n">
        <x:v>481741296.96</x:v>
      </x:c>
      <x:c r="Q71" s="90" t="n">
        <x:v>11680342.83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25">
      <x:c r="A72" s="89" t="s">
        <x:v>70</x:v>
      </x:c>
      <x:c r="F72" s="90" t="n">
        <x:v>17365120456.12</x:v>
      </x:c>
      <x:c r="G72" s="90" t="n">
        <x:v>1073538573.81</x:v>
      </x:c>
      <x:c r="H72" s="90" t="n">
        <x:v>605296091.75</x:v>
      </x:c>
      <x:c r="I72" s="90" t="n">
        <x:v>317974473.05</x:v>
      </x:c>
      <x:c r="J72" s="90" t="n">
        <x:v>3985812285.94</x:v>
      </x:c>
      <x:c r="K72" s="90" t="n">
        <x:v>140701445.01</x:v>
      </x:c>
      <x:c r="L72" s="90" t="n">
        <x:v>25277316.26</x:v>
      </x:c>
      <x:c r="M72" s="90" t="n">
        <x:v>1236361889.52</x:v>
      </x:c>
      <x:c r="N72" s="90" t="n">
        <x:v>1191982536.31</x:v>
      </x:c>
      <x:c r="O72" s="90" t="n">
        <x:v>5641113648.39</x:v>
      </x:c>
      <x:c r="P72" s="90" t="n">
        <x:v>2917496415.36</x:v>
      </x:c>
      <x:c r="Q72" s="90" t="n">
        <x:v>229584921.14</x:v>
      </x:c>
      <x:c r="R72" s="90" t="n">
        <x:v>-17547.81</x:v>
      </x:c>
      <x:c r="S72" s="90" t="n">
        <x:v>-2114.83</x:v>
      </x:c>
      <x:c r="T72" t="n">
        <x:v>522.25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-0.03</x:v>
      </x:c>
    </x:row>
    <x:row r="73" spans="1:42" ht="12.75" customHeight="1" x14ac:dyDescent="0.25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5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5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5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5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5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5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5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5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5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5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5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5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5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5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5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5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5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5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5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5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5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5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5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5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5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5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5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5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5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5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5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5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5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5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5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5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5">
      <x:c r="E110" t="s">
        <x:v>72</x:v>
      </x:c>
      <x:c r="F110" s="384" t="n">
        <x:v>-381705.66</x:v>
      </x:c>
      <x:c r="G110" s="89" t="n">
        <x:v>-34085.26</x:v>
      </x:c>
      <x:c r="H110" s="89" t="n">
        <x:v>-14480.34</x:v>
      </x:c>
      <x:c r="I110" s="664" t="n">
        <x:v>-6323.59</x:v>
      </x:c>
      <x:c r="J110" s="89" t="n">
        <x:v>-75196.47</x:v>
      </x:c>
      <x:c r="K110" s="89" t="n">
        <x:v>-3165.32</x:v>
      </x:c>
      <x:c r="L110" s="89" t="n">
        <x:v>0</x:v>
      </x:c>
      <x:c r="M110" s="89" t="n">
        <x:v>-27767.22</x:v>
      </x:c>
      <x:c r="N110" s="89" t="n">
        <x:v>-34797.83</x:v>
      </x:c>
      <x:c r="O110" s="89" t="n">
        <x:v>-116911.93</x:v>
      </x:c>
      <x:c r="P110" s="89" t="n">
        <x:v>-63812.98</x:v>
      </x:c>
      <x:c r="Q110" s="89" t="n">
        <x:v>-5164.72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25">
      <x:c r="D111" t="s">
        <x:v>156</x:v>
      </x:c>
      <x:c r="E111" t="s">
        <x:v>70</x:v>
      </x:c>
      <x:c r="F111" s="384" t="n">
        <x:v>-381705.66</x:v>
      </x:c>
      <x:c r="G111" s="89" t="n">
        <x:v>-34085.26</x:v>
      </x:c>
      <x:c r="H111" s="89" t="n">
        <x:v>-14480.34</x:v>
      </x:c>
      <x:c r="I111" s="664" t="n">
        <x:v>-6323.59</x:v>
      </x:c>
      <x:c r="J111" s="89" t="n">
        <x:v>-75196.47</x:v>
      </x:c>
      <x:c r="K111" s="89" t="n">
        <x:v>-3165.32</x:v>
      </x:c>
      <x:c r="L111" s="89" t="n">
        <x:v>0</x:v>
      </x:c>
      <x:c r="M111" s="89" t="n">
        <x:v>-27767.22</x:v>
      </x:c>
      <x:c r="N111" s="89" t="n">
        <x:v>-34797.83</x:v>
      </x:c>
      <x:c r="O111" s="89" t="n">
        <x:v>-116911.93</x:v>
      </x:c>
      <x:c r="P111" s="89" t="n">
        <x:v>-63812.98</x:v>
      </x:c>
      <x:c r="Q111" s="89" t="n">
        <x:v>-5164.72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25">
      <x:c r="C112" s="656" t="s">
        <x:v>155</x:v>
      </x:c>
      <x:c r="D112" s="656" t="s">
        <x:v>70</x:v>
      </x:c>
      <x:c r="F112" s="736" t="n">
        <x:v>-381705.66</x:v>
      </x:c>
      <x:c r="G112" s="657" t="n">
        <x:v>-34085.26</x:v>
      </x:c>
      <x:c r="H112" s="657" t="n">
        <x:v>-14480.34</x:v>
      </x:c>
      <x:c r="I112" s="737" t="n">
        <x:v>-6323.59</x:v>
      </x:c>
      <x:c r="J112" s="657" t="n">
        <x:v>-75196.47</x:v>
      </x:c>
      <x:c r="K112" s="657" t="n">
        <x:v>-3165.32</x:v>
      </x:c>
      <x:c r="L112" s="657" t="n">
        <x:v>0</x:v>
      </x:c>
      <x:c r="M112" s="657" t="n">
        <x:v>-27767.22</x:v>
      </x:c>
      <x:c r="N112" s="657" t="n">
        <x:v>-34797.83</x:v>
      </x:c>
      <x:c r="O112" s="657" t="n">
        <x:v>-116911.93</x:v>
      </x:c>
      <x:c r="P112" s="657" t="n">
        <x:v>-63812.98</x:v>
      </x:c>
      <x:c r="Q112" s="657" t="n">
        <x:v>-5164.72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25">
      <x:c r="E113" s="89" t="s">
        <x:v>72</x:v>
      </x:c>
      <x:c r="F113" s="90" t="n">
        <x:v>-24201.09</x:v>
      </x:c>
      <x:c r="G113" s="90" t="n">
        <x:v>-2167.98</x:v>
      </x:c>
      <x:c r="H113" s="90" t="n">
        <x:v>-921.01</x:v>
      </x:c>
      <x:c r="I113" s="90" t="n">
        <x:v>-402.21</x:v>
      </x:c>
      <x:c r="J113" s="90" t="n">
        <x:v>-4825.89</x:v>
      </x:c>
      <x:c r="K113" s="90" t="n">
        <x:v>-199.14</x:v>
      </x:c>
      <x:c r="L113" s="90" t="n">
        <x:v>0</x:v>
      </x:c>
      <x:c r="M113" s="90" t="n">
        <x:v>-1746.78</x:v>
      </x:c>
      <x:c r="N113" s="90" t="n">
        <x:v>-2190.07</x:v>
      </x:c>
      <x:c r="O113" s="90" t="n">
        <x:v>-7354.7</x:v>
      </x:c>
      <x:c r="P113" s="90" t="n">
        <x:v>-4068.42</x:v>
      </x:c>
      <x:c r="Q113" s="90" t="n">
        <x:v>-324.89</x:v>
      </x:c>
      <x:c r="R113" s="90" t="n">
        <x:v>0</x:v>
      </x:c>
      <x:c r="S113" s="90" t="n">
        <x:v>0</x:v>
      </x:c>
      <x:c r="T113" s="90" t="n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 t="n">
        <x:v>0</x:v>
      </x:c>
    </x:row>
    <x:row r="114" spans="1:26" ht="12.75" customHeight="1" x14ac:dyDescent="0.25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25">
      <x:c r="E115" s="89" t="s">
        <x:v>72</x:v>
      </x:c>
      <x:c r="F115" s="371">
        <x:v>0</x:v>
      </x:c>
      <x:c r="G115" s="90">
        <x:v>0</x:v>
      </x:c>
      <x:c r="H115" s="90">
        <x:v>0</x:v>
      </x:c>
      <x:c r="I115" s="90">
        <x:v>0</x:v>
      </x:c>
      <x:c r="J115" s="90">
        <x:v>0</x:v>
      </x:c>
      <x:c r="K115" s="90">
        <x:v>0</x:v>
      </x:c>
      <x:c r="L115" s="90">
        <x:v>0</x:v>
      </x:c>
      <x:c r="M115" s="90">
        <x:v>0</x:v>
      </x:c>
      <x:c r="N115" s="90">
        <x:v>0</x:v>
      </x:c>
      <x:c r="O115" s="90">
        <x:v>0</x:v>
      </x:c>
      <x:c r="P115" s="90">
        <x:v>0</x:v>
      </x:c>
      <x:c r="Q115" s="90">
        <x:v>0</x:v>
      </x:c>
      <x:c r="R115" s="90">
        <x:v>0</x:v>
      </x:c>
      <x:c r="S115" s="90">
        <x:v>0</x:v>
      </x:c>
      <x:c r="T115" s="90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>
        <x:v>0</x:v>
      </x:c>
    </x:row>
    <x:row r="116" spans="1:26" ht="12.75" customHeight="1" x14ac:dyDescent="0.25">
      <x:c r="D116" t="s">
        <x:v>86</x:v>
      </x:c>
      <x:c r="E116" s="89" t="s">
        <x:v>70</x:v>
      </x:c>
      <x:c r="F116" s="371" t="n">
        <x:v>-24201.09</x:v>
      </x:c>
      <x:c r="G116" s="90" t="n">
        <x:v>-2167.98</x:v>
      </x:c>
      <x:c r="H116" s="90" t="n">
        <x:v>-921.01</x:v>
      </x:c>
      <x:c r="I116" s="90" t="n">
        <x:v>-402.21</x:v>
      </x:c>
      <x:c r="J116" s="90" t="n">
        <x:v>-4825.89</x:v>
      </x:c>
      <x:c r="K116" s="90" t="n">
        <x:v>-199.14</x:v>
      </x:c>
      <x:c r="L116" s="90" t="n">
        <x:v>0</x:v>
      </x:c>
      <x:c r="M116" s="90" t="n">
        <x:v>-1746.78</x:v>
      </x:c>
      <x:c r="N116" s="90" t="n">
        <x:v>-2190.07</x:v>
      </x:c>
      <x:c r="O116" s="90" t="n">
        <x:v>-7354.7</x:v>
      </x:c>
      <x:c r="P116" s="90" t="n">
        <x:v>-4068.42</x:v>
      </x:c>
      <x:c r="Q116" s="90" t="n">
        <x:v>-324.89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25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5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5">
      <x:c r="C119" s="94" t="s">
        <x:v>119</x:v>
      </x:c>
      <x:c r="D119" s="94" t="s">
        <x:v>70</x:v>
      </x:c>
      <x:c r="E119" s="101"/>
      <x:c r="F119" s="93" t="n">
        <x:v>-24201.09</x:v>
      </x:c>
      <x:c r="G119" s="93" t="n">
        <x:v>-2167.98</x:v>
      </x:c>
      <x:c r="H119" s="93" t="n">
        <x:v>-921.01</x:v>
      </x:c>
      <x:c r="I119" s="93" t="n">
        <x:v>-402.21</x:v>
      </x:c>
      <x:c r="J119" s="93" t="n">
        <x:v>-4825.89</x:v>
      </x:c>
      <x:c r="K119" s="93" t="n">
        <x:v>-199.14</x:v>
      </x:c>
      <x:c r="L119" s="93" t="n">
        <x:v>0</x:v>
      </x:c>
      <x:c r="M119" s="93" t="n">
        <x:v>-1746.78</x:v>
      </x:c>
      <x:c r="N119" s="93" t="n">
        <x:v>-2190.07</x:v>
      </x:c>
      <x:c r="O119" s="93" t="n">
        <x:v>-7354.7</x:v>
      </x:c>
      <x:c r="P119" s="93" t="n">
        <x:v>-4068.42</x:v>
      </x:c>
      <x:c r="Q119" s="93" t="n">
        <x:v>-324.89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25">
      <x:c r="B120" s="89" t="s">
        <x:v>112</x:v>
      </x:c>
      <x:c r="C120" s="89" t="s">
        <x:v>70</x:v>
      </x:c>
      <x:c r="F120" s="90" t="n">
        <x:v>-405906.75</x:v>
      </x:c>
      <x:c r="G120" s="90" t="n">
        <x:v>-36253.24</x:v>
      </x:c>
      <x:c r="H120" s="90" t="n">
        <x:v>-15401.35</x:v>
      </x:c>
      <x:c r="I120" s="90" t="n">
        <x:v>-6725.8</x:v>
      </x:c>
      <x:c r="J120" s="90" t="n">
        <x:v>-80022.36</x:v>
      </x:c>
      <x:c r="K120" s="90" t="n">
        <x:v>-3364.46</x:v>
      </x:c>
      <x:c r="L120" s="90" t="n">
        <x:v>0</x:v>
      </x:c>
      <x:c r="M120" s="90" t="n">
        <x:v>-29514</x:v>
      </x:c>
      <x:c r="N120" s="90" t="n">
        <x:v>-36987.9</x:v>
      </x:c>
      <x:c r="O120" s="90" t="n">
        <x:v>-124266.63</x:v>
      </x:c>
      <x:c r="P120" s="90" t="n">
        <x:v>-67881.4</x:v>
      </x:c>
      <x:c r="Q120" s="90" t="n">
        <x:v>-5489.61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25">
      <x:c r="A121" s="458" t="s">
        <x:v>186</x:v>
      </x:c>
      <x:c r="B121" s="459" t="s">
        <x:v>70</x:v>
      </x:c>
      <x:c r="C121" s="459"/>
      <x:c r="F121" s="460" t="n">
        <x:v>-405906.75</x:v>
      </x:c>
      <x:c r="G121" s="460" t="n">
        <x:v>-36253.24</x:v>
      </x:c>
      <x:c r="H121" s="460" t="n">
        <x:v>-15401.35</x:v>
      </x:c>
      <x:c r="I121" s="460" t="n">
        <x:v>-6725.8</x:v>
      </x:c>
      <x:c r="J121" s="460" t="n">
        <x:v>-80022.36</x:v>
      </x:c>
      <x:c r="K121" s="460" t="n">
        <x:v>-3364.46</x:v>
      </x:c>
      <x:c r="L121" s="460" t="n">
        <x:v>0</x:v>
      </x:c>
      <x:c r="M121" s="460" t="n">
        <x:v>-29514</x:v>
      </x:c>
      <x:c r="N121" s="460" t="n">
        <x:v>-36987.9</x:v>
      </x:c>
      <x:c r="O121" s="460" t="n">
        <x:v>-124266.63</x:v>
      </x:c>
      <x:c r="P121" s="460" t="n">
        <x:v>-67881.4</x:v>
      </x:c>
      <x:c r="Q121" s="460" t="n">
        <x:v>-5489.61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25">
      <x:c r="E122" s="89" t="s">
        <x:v>72</x:v>
      </x:c>
      <x:c r="F122" s="371" t="n">
        <x:v>29151843.97</x:v>
      </x:c>
      <x:c r="G122" s="90" t="n">
        <x:v>7443854.02</x:v>
      </x:c>
      <x:c r="H122" s="90" t="n">
        <x:v>4208102.86</x:v>
      </x:c>
      <x:c r="I122" s="90" t="n">
        <x:v>2229592.12</x:v>
      </x:c>
      <x:c r="J122" s="90" t="n">
        <x:v>106030.3</x:v>
      </x:c>
      <x:c r="K122" s="90" t="n">
        <x:v>3346.71</x:v>
      </x:c>
      <x:c r="L122" s="90" t="n">
        <x:v>0</x:v>
      </x:c>
      <x:c r="M122" s="90" t="n">
        <x:v>29357.04</x:v>
      </x:c>
      <x:c r="N122" s="90" t="n">
        <x:v>33413.22</x:v>
      </x:c>
      <x:c r="O122" s="90" t="n">
        <x:v>155851.47</x:v>
      </x:c>
      <x:c r="P122" s="90" t="n">
        <x:v>14936833.09</x:v>
      </x:c>
      <x:c r="Q122" s="90" t="n">
        <x:v>5460.42</x:v>
      </x:c>
      <x:c r="R122" s="90" t="n">
        <x:v>2.72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25">
      <x:c r="E123" s="89" t="s">
        <x:v>81</x:v>
      </x:c>
      <x:c r="F123" s="371" t="n">
        <x:v>992415.4</x:v>
      </x:c>
      <x:c r="G123" s="90" t="n">
        <x:v>253115.22</x:v>
      </x:c>
      <x:c r="H123" s="90" t="n">
        <x:v>143337.73</x:v>
      </x:c>
      <x:c r="I123" s="90" t="n">
        <x:v>76924.18</x:v>
      </x:c>
      <x:c r="J123" s="90" t="n">
        <x:v>1233.39</x:v>
      </x:c>
      <x:c r="K123" s="90" t="n">
        <x:v>29.74</x:v>
      </x:c>
      <x:c r="L123" s="90" t="n">
        <x:v>0</x:v>
      </x:c>
      <x:c r="M123" s="90" t="n">
        <x:v>260.94</x:v>
      </x:c>
      <x:c r="N123" s="90" t="n">
        <x:v>382.11</x:v>
      </x:c>
      <x:c r="O123" s="90" t="n">
        <x:v>1741.16</x:v>
      </x:c>
      <x:c r="P123" s="90" t="n">
        <x:v>515342.29</x:v>
      </x:c>
      <x:c r="Q123" s="90" t="n">
        <x:v>48.53</x:v>
      </x:c>
      <x:c r="R123" s="90" t="n">
        <x:v>0.11</x:v>
      </x:c>
      <x:c r="S123" s="90" t="n">
        <x:v>0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25">
      <x:c r="D124" t="s">
        <x:v>156</x:v>
      </x:c>
      <x:c r="E124" t="s">
        <x:v>70</x:v>
      </x:c>
      <x:c r="F124" s="384" t="n">
        <x:v>30144259.37</x:v>
      </x:c>
      <x:c r="G124" s="89" t="n">
        <x:v>7696969.24</x:v>
      </x:c>
      <x:c r="H124" s="89" t="n">
        <x:v>4351440.59</x:v>
      </x:c>
      <x:c r="I124" s="664" t="n">
        <x:v>2306516.3</x:v>
      </x:c>
      <x:c r="J124" s="89" t="n">
        <x:v>107263.69</x:v>
      </x:c>
      <x:c r="K124" s="89" t="n">
        <x:v>3376.45</x:v>
      </x:c>
      <x:c r="L124" s="89" t="n">
        <x:v>0</x:v>
      </x:c>
      <x:c r="M124" s="89" t="n">
        <x:v>29617.98</x:v>
      </x:c>
      <x:c r="N124" s="89" t="n">
        <x:v>33795.33</x:v>
      </x:c>
      <x:c r="O124" s="89" t="n">
        <x:v>157592.63</x:v>
      </x:c>
      <x:c r="P124" s="89" t="n">
        <x:v>15452175.38</x:v>
      </x:c>
      <x:c r="Q124" s="89" t="n">
        <x:v>5508.95</x:v>
      </x:c>
      <x:c r="R124" s="89" t="n">
        <x:v>2.83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25">
      <x:c r="C125" s="656" t="s">
        <x:v>155</x:v>
      </x:c>
      <x:c r="D125" s="656" t="s">
        <x:v>70</x:v>
      </x:c>
      <x:c r="F125" s="736" t="n">
        <x:v>30144259.37</x:v>
      </x:c>
      <x:c r="G125" s="657" t="n">
        <x:v>7696969.24</x:v>
      </x:c>
      <x:c r="H125" s="657" t="n">
        <x:v>4351440.59</x:v>
      </x:c>
      <x:c r="I125" s="737" t="n">
        <x:v>2306516.3</x:v>
      </x:c>
      <x:c r="J125" s="657" t="n">
        <x:v>107263.69</x:v>
      </x:c>
      <x:c r="K125" s="657" t="n">
        <x:v>3376.45</x:v>
      </x:c>
      <x:c r="L125" s="657" t="n">
        <x:v>0</x:v>
      </x:c>
      <x:c r="M125" s="657" t="n">
        <x:v>29617.98</x:v>
      </x:c>
      <x:c r="N125" s="657" t="n">
        <x:v>33795.33</x:v>
      </x:c>
      <x:c r="O125" s="657" t="n">
        <x:v>157592.63</x:v>
      </x:c>
      <x:c r="P125" s="657" t="n">
        <x:v>15452175.38</x:v>
      </x:c>
      <x:c r="Q125" s="657" t="n">
        <x:v>5508.95</x:v>
      </x:c>
      <x:c r="R125" s="657" t="n">
        <x:v>2.83</x:v>
      </x:c>
      <x:c r="S125" s="657" t="n">
        <x:v>0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25">
      <x:c r="D126" s="89"/>
      <x:c r="E126" s="89" t="s">
        <x:v>72</x:v>
      </x:c>
      <x:c r="F126" s="371" t="n">
        <x:v>188747.7</x:v>
      </x:c>
      <x:c r="G126" s="90" t="n">
        <x:v>8807.75</x:v>
      </x:c>
      <x:c r="H126" s="90" t="n">
        <x:v>4981.6</x:v>
      </x:c>
      <x:c r="I126" s="90" t="n">
        <x:v>2648.47</x:v>
      </x:c>
      <x:c r="J126" s="90" t="n">
        <x:v>50746.9</x:v>
      </x:c>
      <x:c r="K126" s="90" t="n">
        <x:v>1551.38</x:v>
      </x:c>
      <x:c r="L126" s="90" t="n">
        <x:v>0</x:v>
      </x:c>
      <x:c r="M126" s="90" t="n">
        <x:v>13608.5</x:v>
      </x:c>
      <x:c r="N126" s="90" t="n">
        <x:v>15187.5</x:v>
      </x:c>
      <x:c r="O126" s="90" t="n">
        <x:v>70935.25</x:v>
      </x:c>
      <x:c r="P126" s="90" t="n">
        <x:v>17748.1</x:v>
      </x:c>
      <x:c r="Q126" s="90" t="n">
        <x:v>2531.18</x:v>
      </x:c>
      <x:c r="R126" s="90" t="n">
        <x:v>1.07</x:v>
      </x:c>
      <x:c r="S126" s="90" t="n">
        <x:v>0</x:v>
      </x:c>
      <x:c r="T126" s="90" t="n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 t="n">
        <x:v>0</x:v>
      </x:c>
    </x:row>
    <x:row r="127" spans="1:26" ht="12.75" customHeight="1" x14ac:dyDescent="0.25">
      <x:c r="D127" s="89"/>
      <x:c r="E127" s="89" t="s">
        <x:v>81</x:v>
      </x:c>
      <x:c r="F127" s="371" t="n">
        <x:v>529.67</x:v>
      </x:c>
      <x:c r="G127" s="90" t="n">
        <x:v>26.68</x:v>
      </x:c>
      <x:c r="H127" s="90" t="n">
        <x:v>15.11</x:v>
      </x:c>
      <x:c r="I127" s="90" t="n">
        <x:v>8.09</x:v>
      </x:c>
      <x:c r="J127" s="90" t="n">
        <x:v>141.21</x:v>
      </x:c>
      <x:c r="K127" s="90" t="n">
        <x:v>3.52</x:v>
      </x:c>
      <x:c r="L127" s="90" t="n">
        <x:v>0</x:v>
      </x:c>
      <x:c r="M127" s="90" t="n">
        <x:v>30.82</x:v>
      </x:c>
      <x:c r="N127" s="90" t="n">
        <x:v>43.87</x:v>
      </x:c>
      <x:c r="O127" s="90" t="n">
        <x:v>200.36</x:v>
      </x:c>
      <x:c r="P127" s="90" t="n">
        <x:v>54.25</x:v>
      </x:c>
      <x:c r="Q127" s="90" t="n">
        <x:v>5.73</x:v>
      </x:c>
      <x:c r="R127" s="90" t="n">
        <x:v>0.03</x:v>
      </x:c>
      <x:c r="S127" s="90" t="n">
        <x:v>0</x:v>
      </x:c>
      <x:c r="T127" s="90" t="n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 t="n">
        <x:v>0</x:v>
      </x:c>
    </x:row>
    <x:row r="128" spans="1:26" ht="12.75" customHeight="1" x14ac:dyDescent="0.25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5">
      <x:c r="D129" s="89"/>
      <x:c r="E129" s="89" t="s">
        <x:v>72</x:v>
      </x:c>
      <x:c r="F129" s="371" t="n">
        <x:v>59523.21</x:v>
      </x:c>
      <x:c r="G129" s="90" t="n">
        <x:v>3111.79</x:v>
      </x:c>
      <x:c r="H129" s="90" t="n">
        <x:v>1764.74</x:v>
      </x:c>
      <x:c r="I129" s="90" t="n">
        <x:v>956.87</x:v>
      </x:c>
      <x:c r="J129" s="90" t="n">
        <x:v>15677.68</x:v>
      </x:c>
      <x:c r="K129" s="90" t="n">
        <x:v>377.39</x:v>
      </x:c>
      <x:c r="L129" s="90" t="n">
        <x:v>0</x:v>
      </x:c>
      <x:c r="M129" s="90" t="n">
        <x:v>3310.46</x:v>
      </x:c>
      <x:c r="N129" s="90" t="n">
        <x:v>4880.88</x:v>
      </x:c>
      <x:c r="O129" s="90" t="n">
        <x:v>22562.4</x:v>
      </x:c>
      <x:c r="P129" s="90" t="n">
        <x:v>6269.57</x:v>
      </x:c>
      <x:c r="Q129" s="90" t="n">
        <x:v>615.74</x:v>
      </x:c>
      <x:c r="R129" s="90" t="n">
        <x:v>-4.31</x:v>
      </x:c>
      <x:c r="S129" s="90" t="n">
        <x:v>0</x:v>
      </x:c>
      <x:c r="T129" s="90" t="n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 t="n">
        <x:v>0</x:v>
      </x:c>
    </x:row>
    <x:row r="130" spans="3:26" ht="12.75" customHeight="1" x14ac:dyDescent="0.25">
      <x:c r="D130" s="89"/>
      <x:c r="E130" s="89" t="s">
        <x:v>81</x:v>
      </x:c>
      <x:c r="F130" s="90" t="n">
        <x:v>371.68</x:v>
      </x:c>
      <x:c r="G130" s="90" t="n">
        <x:v>19.44</x:v>
      </x:c>
      <x:c r="H130" s="90" t="n">
        <x:v>11.01</x:v>
      </x:c>
      <x:c r="I130" s="90" t="n">
        <x:v>5.98</x:v>
      </x:c>
      <x:c r="J130" s="90" t="n">
        <x:v>97.9</x:v>
      </x:c>
      <x:c r="K130" s="90" t="n">
        <x:v>2.35</x:v>
      </x:c>
      <x:c r="L130" s="90" t="n">
        <x:v>0</x:v>
      </x:c>
      <x:c r="M130" s="90" t="n">
        <x:v>20.67</x:v>
      </x:c>
      <x:c r="N130" s="90" t="n">
        <x:v>30.48</x:v>
      </x:c>
      <x:c r="O130" s="90" t="n">
        <x:v>140.88</x:v>
      </x:c>
      <x:c r="P130" s="90" t="n">
        <x:v>39.15</x:v>
      </x:c>
      <x:c r="Q130" s="90" t="n">
        <x:v>3.85</x:v>
      </x:c>
      <x:c r="R130" s="90" t="n">
        <x:v>-0.03</x:v>
      </x:c>
      <x:c r="S130" s="90" t="n">
        <x:v>0</x:v>
      </x:c>
      <x:c r="T130" s="90" t="n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 t="n">
        <x:v>0</x:v>
      </x:c>
    </x:row>
    <x:row r="131" spans="3:26" ht="12.75" customHeight="1" x14ac:dyDescent="0.25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5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5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5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5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5">
      <x:c r="E136" s="89" t="s">
        <x:v>72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5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5">
      <x:c r="D138" t="s">
        <x:v>82</x:v>
      </x:c>
      <x:c r="E138" s="89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5">
      <x:c r="E139" s="89" t="s">
        <x:v>72</x:v>
      </x:c>
      <x:c r="F139" s="371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ht="12.75" customHeight="1" x14ac:dyDescent="0.25">
      <x:c r="E140" s="89" t="s">
        <x:v>81</x:v>
      </x:c>
      <x:c r="F140" s="371">
        <x:v>0</x:v>
      </x:c>
      <x:c r="G140" s="90">
        <x:v>0</x:v>
      </x:c>
      <x:c r="H140" s="90">
        <x:v>0</x:v>
      </x:c>
      <x:c r="I140" s="90">
        <x:v>0</x:v>
      </x:c>
      <x:c r="J140" s="90">
        <x:v>0</x:v>
      </x:c>
      <x:c r="K140" s="90">
        <x:v>0</x:v>
      </x:c>
      <x:c r="L140" s="90">
        <x:v>0</x:v>
      </x:c>
      <x:c r="M140" s="90">
        <x:v>0</x:v>
      </x:c>
      <x:c r="N140" s="90">
        <x:v>0</x:v>
      </x:c>
      <x:c r="O140" s="90">
        <x:v>0</x:v>
      </x:c>
      <x:c r="P140" s="90">
        <x:v>0</x:v>
      </x:c>
      <x:c r="Q140" s="90">
        <x:v>0</x:v>
      </x:c>
      <x:c r="R140" s="90">
        <x:v>0</x:v>
      </x:c>
      <x:c r="S140" s="90">
        <x:v>0</x:v>
      </x:c>
      <x:c r="T140" s="90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>
        <x:v>0</x:v>
      </x:c>
    </x:row>
    <x:row r="141" spans="3:26" ht="12.75" customHeight="1" x14ac:dyDescent="0.25">
      <x:c r="D141" t="s">
        <x:v>86</x:v>
      </x:c>
      <x:c r="E141" s="89" t="s">
        <x:v>70</x:v>
      </x:c>
      <x:c r="F141" s="371" t="n">
        <x:v>189277.37</x:v>
      </x:c>
      <x:c r="G141" s="90" t="n">
        <x:v>8834.43</x:v>
      </x:c>
      <x:c r="H141" s="90" t="n">
        <x:v>4996.71</x:v>
      </x:c>
      <x:c r="I141" s="90" t="n">
        <x:v>2656.56</x:v>
      </x:c>
      <x:c r="J141" s="90" t="n">
        <x:v>50888.11</x:v>
      </x:c>
      <x:c r="K141" s="90" t="n">
        <x:v>1554.9</x:v>
      </x:c>
      <x:c r="L141" s="90" t="n">
        <x:v>0</x:v>
      </x:c>
      <x:c r="M141" s="90" t="n">
        <x:v>13639.32</x:v>
      </x:c>
      <x:c r="N141" s="90" t="n">
        <x:v>15231.37</x:v>
      </x:c>
      <x:c r="O141" s="90" t="n">
        <x:v>71135.61</x:v>
      </x:c>
      <x:c r="P141" s="90" t="n">
        <x:v>17802.35</x:v>
      </x:c>
      <x:c r="Q141" s="90" t="n">
        <x:v>2536.91</x:v>
      </x:c>
      <x:c r="R141" s="90" t="n">
        <x:v>1.1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25">
      <x:c r="E142" s="89" t="s">
        <x:v>72</x:v>
      </x:c>
      <x:c r="F142" s="371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25">
      <x:c r="E143" t="s">
        <x:v>81</x:v>
      </x:c>
      <x:c r="F143" s="90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25">
      <x:c r="D144" t="s">
        <x:v>87</x:v>
      </x:c>
      <x:c r="E144" s="89" t="s">
        <x:v>70</x:v>
      </x:c>
      <x:c r="F144" s="371" t="n">
        <x:v>59894.89</x:v>
      </x:c>
      <x:c r="G144" s="90" t="n">
        <x:v>3131.23</x:v>
      </x:c>
      <x:c r="H144" s="90" t="n">
        <x:v>1775.75</x:v>
      </x:c>
      <x:c r="I144" s="90" t="n">
        <x:v>962.85</x:v>
      </x:c>
      <x:c r="J144" s="90" t="n">
        <x:v>15775.58</x:v>
      </x:c>
      <x:c r="K144" s="90" t="n">
        <x:v>379.74</x:v>
      </x:c>
      <x:c r="L144" s="90" t="n">
        <x:v>0</x:v>
      </x:c>
      <x:c r="M144" s="90" t="n">
        <x:v>3331.13</x:v>
      </x:c>
      <x:c r="N144" s="90" t="n">
        <x:v>4911.36</x:v>
      </x:c>
      <x:c r="O144" s="90" t="n">
        <x:v>22703.28</x:v>
      </x:c>
      <x:c r="P144" s="90" t="n">
        <x:v>6308.72</x:v>
      </x:c>
      <x:c r="Q144" s="90" t="n">
        <x:v>619.59</x:v>
      </x:c>
      <x:c r="R144" s="90" t="n">
        <x:v>-4.34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 t="n">
        <x:v>0</x:v>
      </x:c>
    </x:row>
    <x:row r="145" spans="2:26" s="94" customFormat="1" ht="12.75" customHeight="1" x14ac:dyDescent="0.25">
      <x:c r="C145" s="94" t="s">
        <x:v>119</x:v>
      </x:c>
      <x:c r="D145" s="94" t="s">
        <x:v>70</x:v>
      </x:c>
      <x:c r="E145" s="101"/>
      <x:c r="F145" s="93" t="n">
        <x:v>249172.26</x:v>
      </x:c>
      <x:c r="G145" s="93" t="n">
        <x:v>11965.66</x:v>
      </x:c>
      <x:c r="H145" s="93" t="n">
        <x:v>6772.46</x:v>
      </x:c>
      <x:c r="I145" s="93" t="n">
        <x:v>3619.41</x:v>
      </x:c>
      <x:c r="J145" s="93" t="n">
        <x:v>66663.69</x:v>
      </x:c>
      <x:c r="K145" s="93" t="n">
        <x:v>1934.64</x:v>
      </x:c>
      <x:c r="L145" s="93" t="n">
        <x:v>0</x:v>
      </x:c>
      <x:c r="M145" s="93" t="n">
        <x:v>16970.45</x:v>
      </x:c>
      <x:c r="N145" s="93" t="n">
        <x:v>20142.73</x:v>
      </x:c>
      <x:c r="O145" s="93" t="n">
        <x:v>93838.89</x:v>
      </x:c>
      <x:c r="P145" s="93" t="n">
        <x:v>24111.07</x:v>
      </x:c>
      <x:c r="Q145" s="93" t="n">
        <x:v>3156.5</x:v>
      </x:c>
      <x:c r="R145" s="93" t="n">
        <x:v>-3.24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25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 t="n">
        <x:v>7708934.9</x:v>
      </x:c>
      <x:c r="H146" s="377" t="n">
        <x:v>4358213.05</x:v>
      </x:c>
      <x:c r="I146" s="377" t="n">
        <x:v>2310135.71</x:v>
      </x:c>
      <x:c r="J146" s="377" t="n">
        <x:v>173927.38</x:v>
      </x:c>
      <x:c r="K146" s="377" t="n">
        <x:v>5311.09</x:v>
      </x:c>
      <x:c r="L146" s="377" t="n">
        <x:v>0</x:v>
      </x:c>
      <x:c r="M146" s="377" t="n">
        <x:v>46588.43</x:v>
      </x:c>
      <x:c r="N146" s="377" t="n">
        <x:v>53938.06</x:v>
      </x:c>
      <x:c r="O146" s="377" t="n">
        <x:v>251431.52</x:v>
      </x:c>
      <x:c r="P146" s="377" t="n">
        <x:v>15476286.45</x:v>
      </x:c>
      <x:c r="Q146" s="377" t="n">
        <x:v>8665.45</x:v>
      </x:c>
      <x:c r="R146" s="377" t="n">
        <x:v>-0.409999999999999</x:v>
      </x:c>
      <x:c r="S146" s="377" t="n">
        <x:v>0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25">
      <x:c r="E147" s="89" t="s">
        <x:v>72</x:v>
      </x:c>
      <x:c r="F147" s="371" t="n">
        <x:v>23902898063.38</x:v>
      </x:c>
      <x:c r="G147" s="90" t="n">
        <x:v>1381350603.32</x:v>
      </x:c>
      <x:c r="H147" s="90" t="n">
        <x:v>776537530.45</x:v>
      </x:c>
      <x:c r="I147" s="90" t="n">
        <x:v>407911355.66</x:v>
      </x:c>
      <x:c r="J147" s="90" t="n">
        <x:v>5537035232.24</x:v>
      </x:c>
      <x:c r="K147" s="90" t="n">
        <x:v>214461078.68</x:v>
      </x:c>
      <x:c r="L147" s="90" t="n">
        <x:v>24255269.25</x:v>
      </x:c>
      <x:c r="M147" s="90" t="n">
        <x:v>1879555764.02</x:v>
      </x:c>
      <x:c r="N147" s="90" t="n">
        <x:v>1854401852.35</x:v>
      </x:c>
      <x:c r="O147" s="90" t="n">
        <x:v>8755909642.47</x:v>
      </x:c>
      <x:c r="P147" s="90" t="n">
        <x:v>2720975584.04</x:v>
      </x:c>
      <x:c r="Q147" s="90" t="n">
        <x:v>350419003.26</x:v>
      </x:c>
      <x:c r="R147" s="90" t="n">
        <x:v>85147.64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25">
      <x:c r="E148" s="89" t="s">
        <x:v>81</x:v>
      </x:c>
      <x:c r="F148" s="90" t="n">
        <x:v>161922359.95</x:v>
      </x:c>
      <x:c r="G148" s="90" t="n">
        <x:v>18825772.87</x:v>
      </x:c>
      <x:c r="H148" s="90" t="n">
        <x:v>8911778.56</x:v>
      </x:c>
      <x:c r="I148" s="90" t="n">
        <x:v>4071687.82</x:v>
      </x:c>
      <x:c r="J148" s="90" t="n">
        <x:v>30018521.53</x:v>
      </x:c>
      <x:c r="K148" s="90" t="n">
        <x:v>1044885.63</x:v>
      </x:c>
      <x:c r="L148" s="90" t="n">
        <x:v>17960.64</x:v>
      </x:c>
      <x:c r="M148" s="90" t="n">
        <x:v>9163599.1</x:v>
      </x:c>
      <x:c r="N148" s="90" t="n">
        <x:v>10764552.54</x:v>
      </x:c>
      <x:c r="O148" s="90" t="n">
        <x:v>40397442.39</x:v>
      </x:c>
      <x:c r="P148" s="90" t="n">
        <x:v>36995764.23</x:v>
      </x:c>
      <x:c r="Q148" s="90" t="n">
        <x:v>1705687.47</x:v>
      </x:c>
      <x:c r="R148" s="90" t="n">
        <x:v>4816.78</x:v>
      </x:c>
      <x:c r="S148" s="90" t="n">
        <x:v>-70.86</x:v>
      </x:c>
      <x:c r="T148" s="90" t="n">
        <x:v>4.14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-42.89</x:v>
      </x:c>
    </x:row>
    <x:row r="149" spans="2:26" ht="12.75" customHeight="1" x14ac:dyDescent="0.25">
      <x:c r="D149" t="s">
        <x:v>156</x:v>
      </x:c>
      <x:c r="E149" s="89" t="s">
        <x:v>70</x:v>
      </x:c>
      <x:c r="F149" s="90" t="n">
        <x:v>24064820423.33</x:v>
      </x:c>
      <x:c r="G149" s="90" t="n">
        <x:v>1400176376.19</x:v>
      </x:c>
      <x:c r="H149" s="90" t="n">
        <x:v>785449309.01</x:v>
      </x:c>
      <x:c r="I149" s="90" t="n">
        <x:v>411983043.48</x:v>
      </x:c>
      <x:c r="J149" s="90" t="n">
        <x:v>5567053753.77</x:v>
      </x:c>
      <x:c r="K149" s="90" t="n">
        <x:v>215505964.31</x:v>
      </x:c>
      <x:c r="L149" s="90" t="n">
        <x:v>24273229.89</x:v>
      </x:c>
      <x:c r="M149" s="90" t="n">
        <x:v>1888719363.12</x:v>
      </x:c>
      <x:c r="N149" s="90" t="n">
        <x:v>1865166404.89</x:v>
      </x:c>
      <x:c r="O149" s="90" t="n">
        <x:v>8796307084.86</x:v>
      </x:c>
      <x:c r="P149" s="90" t="n">
        <x:v>2757971348.27</x:v>
      </x:c>
      <x:c r="Q149" s="90" t="n">
        <x:v>352124690.73</x:v>
      </x:c>
      <x:c r="R149" s="90" t="n">
        <x:v>89964.42</x:v>
      </x:c>
      <x:c r="S149" s="90" t="n">
        <x:v>-70.86</x:v>
      </x:c>
      <x:c r="T149" s="90" t="n">
        <x:v>4.14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-42.89</x:v>
      </x:c>
    </x:row>
    <x:row r="150" spans="2:26" s="656" customFormat="1" ht="12.75" customHeight="1" x14ac:dyDescent="0.25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 t="n">
        <x:v>1400176376.19</x:v>
      </x:c>
      <x:c r="H150" s="658" t="n">
        <x:v>785449309.01</x:v>
      </x:c>
      <x:c r="I150" s="658" t="n">
        <x:v>411983043.48</x:v>
      </x:c>
      <x:c r="J150" s="658" t="n">
        <x:v>5567053753.77</x:v>
      </x:c>
      <x:c r="K150" s="658" t="n">
        <x:v>215505964.31</x:v>
      </x:c>
      <x:c r="L150" s="658" t="n">
        <x:v>24273229.89</x:v>
      </x:c>
      <x:c r="M150" s="658" t="n">
        <x:v>1888719363.12</x:v>
      </x:c>
      <x:c r="N150" s="658" t="n">
        <x:v>1865166404.89</x:v>
      </x:c>
      <x:c r="O150" s="658" t="n">
        <x:v>8796307084.86</x:v>
      </x:c>
      <x:c r="P150" s="658" t="n">
        <x:v>2757971348.27</x:v>
      </x:c>
      <x:c r="Q150" s="658" t="n">
        <x:v>352124690.73</x:v>
      </x:c>
      <x:c r="R150" s="658" t="n">
        <x:v>89964.42</x:v>
      </x:c>
      <x:c r="S150" s="658" t="n">
        <x:v>-70.86</x:v>
      </x:c>
      <x:c r="T150" s="658" t="n">
        <x:v>4.14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-42.89</x:v>
      </x:c>
    </x:row>
    <x:row r="151" spans="2:26" ht="12.75" customHeight="1" x14ac:dyDescent="0.25">
      <x:c r="D151" s="89"/>
      <x:c r="E151" s="89" t="s">
        <x:v>72</x:v>
      </x:c>
      <x:c r="F151" s="371" t="n">
        <x:v>1971431.11</x:v>
      </x:c>
      <x:c r="G151" s="90" t="n">
        <x:v>107001.83</x:v>
      </x:c>
      <x:c r="H151" s="90" t="n">
        <x:v>51575.5</x:v>
      </x:c>
      <x:c r="I151" s="90" t="n">
        <x:v>29270.41</x:v>
      </x:c>
      <x:c r="J151" s="90" t="n">
        <x:v>520554.47</x:v>
      </x:c>
      <x:c r="K151" s="90" t="n">
        <x:v>14389.55</x:v>
      </x:c>
      <x:c r="L151" s="90" t="n">
        <x:v>0</x:v>
      </x:c>
      <x:c r="M151" s="90" t="n">
        <x:v>126225.52</x:v>
      </x:c>
      <x:c r="N151" s="90" t="n">
        <x:v>157541.67</x:v>
      </x:c>
      <x:c r="O151" s="90" t="n">
        <x:v>726381.08</x:v>
      </x:c>
      <x:c r="P151" s="90" t="n">
        <x:v>215014.43</x:v>
      </x:c>
      <x:c r="Q151" s="90" t="n">
        <x:v>23478.09</x:v>
      </x:c>
      <x:c r="R151" s="90" t="n">
        <x:v>-1.44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2:26" ht="12.75" customHeight="1" x14ac:dyDescent="0.25">
      <x:c r="D152" s="89"/>
      <x:c r="E152" s="89" t="s">
        <x:v>81</x:v>
      </x:c>
      <x:c r="F152" s="371" t="n">
        <x:v>45276.38</x:v>
      </x:c>
      <x:c r="G152" s="90" t="n">
        <x:v>3165.1</x:v>
      </x:c>
      <x:c r="H152" s="90" t="n">
        <x:v>1469.01</x:v>
      </x:c>
      <x:c r="I152" s="90" t="n">
        <x:v>833.37</x:v>
      </x:c>
      <x:c r="J152" s="90" t="n">
        <x:v>12201.77</x:v>
      </x:c>
      <x:c r="K152" s="90" t="n">
        <x:v>287.71</x:v>
      </x:c>
      <x:c r="L152" s="90" t="n">
        <x:v>0</x:v>
      </x:c>
      <x:c r="M152" s="90" t="n">
        <x:v>2524.3</x:v>
      </x:c>
      <x:c r="N152" s="90" t="n">
        <x:v>3179.87</x:v>
      </x:c>
      <x:c r="O152" s="90" t="n">
        <x:v>14776.64</x:v>
      </x:c>
      <x:c r="P152" s="90" t="n">
        <x:v>6369.21</x:v>
      </x:c>
      <x:c r="Q152" s="90" t="n">
        <x:v>469.35</x:v>
      </x:c>
      <x:c r="R152" s="90" t="n">
        <x:v>0.12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-0.07</x:v>
      </x:c>
    </x:row>
    <x:row r="153" spans="2:26" ht="12.75" customHeight="1" x14ac:dyDescent="0.25">
      <x:c r="D153" s="89" t="s">
        <x:v>115</x:v>
      </x:c>
      <x:c r="E153" s="89" t="s">
        <x:v>70</x:v>
      </x:c>
      <x:c r="F153" s="371" t="n">
        <x:v>2016707.49</x:v>
      </x:c>
      <x:c r="G153" s="90" t="n">
        <x:v>110166.93</x:v>
      </x:c>
      <x:c r="H153" s="90" t="n">
        <x:v>53044.51</x:v>
      </x:c>
      <x:c r="I153" s="90" t="n">
        <x:v>30103.78</x:v>
      </x:c>
      <x:c r="J153" s="90" t="n">
        <x:v>532756.24</x:v>
      </x:c>
      <x:c r="K153" s="90" t="n">
        <x:v>14677.26</x:v>
      </x:c>
      <x:c r="L153" s="90" t="n">
        <x:v>0</x:v>
      </x:c>
      <x:c r="M153" s="90" t="n">
        <x:v>128749.82</x:v>
      </x:c>
      <x:c r="N153" s="90" t="n">
        <x:v>160721.54</x:v>
      </x:c>
      <x:c r="O153" s="90" t="n">
        <x:v>741157.72</x:v>
      </x:c>
      <x:c r="P153" s="90" t="n">
        <x:v>221383.64</x:v>
      </x:c>
      <x:c r="Q153" s="90" t="n">
        <x:v>23947.44</x:v>
      </x:c>
      <x:c r="R153" s="90" t="n">
        <x:v>-1.32</x:v>
      </x:c>
      <x:c r="S153" s="90" t="n">
        <x:v>0</x:v>
      </x:c>
      <x:c r="T153" s="90" t="n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 t="n">
        <x:v>-0.07</x:v>
      </x:c>
    </x:row>
    <x:row r="154" spans="2:26" ht="12.75" customHeight="1" x14ac:dyDescent="0.25">
      <x:c r="D154" s="89"/>
      <x:c r="E154" s="89" t="s">
        <x:v>72</x:v>
      </x:c>
      <x:c r="F154" s="371" t="n">
        <x:v>419516.23</x:v>
      </x:c>
      <x:c r="G154" s="90" t="n">
        <x:v>25972.88</x:v>
      </x:c>
      <x:c r="H154" s="90" t="n">
        <x:v>12592.54</x:v>
      </x:c>
      <x:c r="I154" s="90" t="n">
        <x:v>6939.94</x:v>
      </x:c>
      <x:c r="J154" s="90" t="n">
        <x:v>120301.92</x:v>
      </x:c>
      <x:c r="K154" s="90" t="n">
        <x:v>2941.24</x:v>
      </x:c>
      <x:c r="L154" s="90" t="n">
        <x:v>0</x:v>
      </x:c>
      <x:c r="M154" s="90" t="n">
        <x:v>25800.7</x:v>
      </x:c>
      <x:c r="N154" s="90" t="n">
        <x:v>30113.79</x:v>
      </x:c>
      <x:c r="O154" s="90" t="n">
        <x:v>139376.88</x:v>
      </x:c>
      <x:c r="P154" s="90" t="n">
        <x:v>50670.06</x:v>
      </x:c>
      <x:c r="Q154" s="90" t="n">
        <x:v>4798.96</x:v>
      </x:c>
      <x:c r="R154" s="90" t="n">
        <x:v>7.32</x:v>
      </x:c>
      <x:c r="S154" s="90" t="n">
        <x:v>0</x:v>
      </x:c>
      <x:c r="T154" s="90" t="n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 t="n">
        <x:v>0</x:v>
      </x:c>
    </x:row>
    <x:row r="155" spans="2:26" ht="12.75" customHeight="1" x14ac:dyDescent="0.25">
      <x:c r="D155" s="89"/>
      <x:c r="E155" s="89" t="s">
        <x:v>81</x:v>
      </x:c>
      <x:c r="F155" s="90" t="n">
        <x:v>7178.99</x:v>
      </x:c>
      <x:c r="G155" s="90" t="n">
        <x:v>374.66</x:v>
      </x:c>
      <x:c r="H155" s="90" t="n">
        <x:v>168.63</x:v>
      </x:c>
      <x:c r="I155" s="90" t="n">
        <x:v>100.33</x:v>
      </x:c>
      <x:c r="J155" s="90" t="n">
        <x:v>2116.03</x:v>
      </x:c>
      <x:c r="K155" s="90" t="n">
        <x:v>48.58</x:v>
      </x:c>
      <x:c r="L155" s="90" t="n">
        <x:v>0</x:v>
      </x:c>
      <x:c r="M155" s="90" t="n">
        <x:v>425.77</x:v>
      </x:c>
      <x:c r="N155" s="90" t="n">
        <x:v>547.15</x:v>
      </x:c>
      <x:c r="O155" s="90" t="n">
        <x:v>2568.7</x:v>
      </x:c>
      <x:c r="P155" s="90" t="n">
        <x:v>749.68</x:v>
      </x:c>
      <x:c r="Q155" s="90" t="n">
        <x:v>79.23</x:v>
      </x:c>
      <x:c r="R155" s="90" t="n">
        <x:v>0.23</x:v>
      </x:c>
      <x:c r="S155" s="90" t="n">
        <x:v>0</x:v>
      </x:c>
      <x:c r="T155" s="90" t="n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 t="n">
        <x:v>0</x:v>
      </x:c>
    </x:row>
    <x:row r="156" spans="2:26" ht="12.75" customHeight="1" x14ac:dyDescent="0.25">
      <x:c r="D156" t="s">
        <x:v>116</x:v>
      </x:c>
      <x:c r="E156" s="89" t="s">
        <x:v>70</x:v>
      </x:c>
      <x:c r="F156" s="90" t="n">
        <x:v>426695.22</x:v>
      </x:c>
      <x:c r="G156" s="90" t="n">
        <x:v>26347.54</x:v>
      </x:c>
      <x:c r="H156" s="90" t="n">
        <x:v>12761.17</x:v>
      </x:c>
      <x:c r="I156" s="90" t="n">
        <x:v>7040.27</x:v>
      </x:c>
      <x:c r="J156" s="90" t="n">
        <x:v>122417.95</x:v>
      </x:c>
      <x:c r="K156" s="90" t="n">
        <x:v>2989.82</x:v>
      </x:c>
      <x:c r="L156" s="90" t="n">
        <x:v>0</x:v>
      </x:c>
      <x:c r="M156" s="90" t="n">
        <x:v>26226.47</x:v>
      </x:c>
      <x:c r="N156" s="90" t="n">
        <x:v>30660.94</x:v>
      </x:c>
      <x:c r="O156" s="90" t="n">
        <x:v>141945.58</x:v>
      </x:c>
      <x:c r="P156" s="90" t="n">
        <x:v>51419.74</x:v>
      </x:c>
      <x:c r="Q156" s="90" t="n">
        <x:v>4878.19</x:v>
      </x:c>
      <x:c r="R156" s="90" t="n">
        <x:v>7.55</x:v>
      </x:c>
      <x:c r="S156" s="90" t="n">
        <x:v>0</x:v>
      </x:c>
      <x:c r="T156" s="90" t="n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 t="n">
        <x:v>0</x:v>
      </x:c>
    </x:row>
    <x:row r="157" spans="2:26" ht="12.75" customHeight="1" x14ac:dyDescent="0.25">
      <x:c r="D157" s="89"/>
      <x:c r="E157" s="89" t="s">
        <x:v>72</x:v>
      </x:c>
      <x:c r="F157" s="90" t="n">
        <x:v>12785198.32</x:v>
      </x:c>
      <x:c r="G157" s="90" t="n">
        <x:v>703609.95</x:v>
      </x:c>
      <x:c r="H157" s="90" t="n">
        <x:v>387545.6</x:v>
      </x:c>
      <x:c r="I157" s="90" t="n">
        <x:v>207630.35</x:v>
      </x:c>
      <x:c r="J157" s="90" t="n">
        <x:v>3187955.94</x:v>
      </x:c>
      <x:c r="K157" s="90" t="n">
        <x:v>106822.11</x:v>
      </x:c>
      <x:c r="L157" s="90" t="n">
        <x:v>0</x:v>
      </x:c>
      <x:c r="M157" s="90" t="n">
        <x:v>942031.97</x:v>
      </x:c>
      <x:c r="N157" s="90" t="n">
        <x:v>1002072.56</x:v>
      </x:c>
      <x:c r="O157" s="90" t="n">
        <x:v>4691016.74</x:v>
      </x:c>
      <x:c r="P157" s="90" t="n">
        <x:v>1381254.47</x:v>
      </x:c>
      <x:c r="Q157" s="90" t="n">
        <x:v>175192.74</x:v>
      </x:c>
      <x:c r="R157" s="90" t="n">
        <x:v>65.89</x:v>
      </x:c>
      <x:c r="S157" s="90" t="n">
        <x:v>0</x:v>
      </x:c>
      <x:c r="T157" s="90" t="n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 t="n">
        <x:v>0</x:v>
      </x:c>
    </x:row>
    <x:row r="158" spans="2:26" ht="12.75" customHeight="1" x14ac:dyDescent="0.25">
      <x:c r="E158" s="89" t="s">
        <x:v>81</x:v>
      </x:c>
      <x:c r="F158" s="90" t="n">
        <x:v>74732.16</x:v>
      </x:c>
      <x:c r="G158" s="90" t="n">
        <x:v>6320.89</x:v>
      </x:c>
      <x:c r="H158" s="90" t="n">
        <x:v>3463.36</x:v>
      </x:c>
      <x:c r="I158" s="90" t="n">
        <x:v>1859.06</x:v>
      </x:c>
      <x:c r="J158" s="90" t="n">
        <x:v>16027.83</x:v>
      </x:c>
      <x:c r="K158" s="90" t="n">
        <x:v>531.94</x:v>
      </x:c>
      <x:c r="L158" s="90" t="n">
        <x:v>0</x:v>
      </x:c>
      <x:c r="M158" s="90" t="n">
        <x:v>4669.95</x:v>
      </x:c>
      <x:c r="N158" s="90" t="n">
        <x:v>5098.07</x:v>
      </x:c>
      <x:c r="O158" s="90" t="n">
        <x:v>23528.73</x:v>
      </x:c>
      <x:c r="P158" s="90" t="n">
        <x:v>12364.11</x:v>
      </x:c>
      <x:c r="Q158" s="90" t="n">
        <x:v>868.28</x:v>
      </x:c>
      <x:c r="R158" s="90" t="n">
        <x:v>-0.06</x:v>
      </x:c>
      <x:c r="S158" s="90" t="n">
        <x:v>0</x:v>
      </x:c>
      <x:c r="T158" s="90" t="n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 t="n">
        <x:v>0</x:v>
      </x:c>
    </x:row>
    <x:row r="159" spans="2:26" ht="12.75" customHeight="1" x14ac:dyDescent="0.25">
      <x:c r="D159" t="s">
        <x:v>118</x:v>
      </x:c>
      <x:c r="E159" s="89" t="s">
        <x:v>70</x:v>
      </x:c>
      <x:c r="F159" s="90" t="n">
        <x:v>12859930.48</x:v>
      </x:c>
      <x:c r="G159" s="90" t="n">
        <x:v>709930.84</x:v>
      </x:c>
      <x:c r="H159" s="90" t="n">
        <x:v>391008.96</x:v>
      </x:c>
      <x:c r="I159" s="90" t="n">
        <x:v>209489.41</x:v>
      </x:c>
      <x:c r="J159" s="90" t="n">
        <x:v>3203983.77</x:v>
      </x:c>
      <x:c r="K159" s="90" t="n">
        <x:v>107354.05</x:v>
      </x:c>
      <x:c r="L159" s="90" t="n">
        <x:v>0</x:v>
      </x:c>
      <x:c r="M159" s="90" t="n">
        <x:v>946701.92</x:v>
      </x:c>
      <x:c r="N159" s="90" t="n">
        <x:v>1007170.63</x:v>
      </x:c>
      <x:c r="O159" s="90" t="n">
        <x:v>4714545.47</x:v>
      </x:c>
      <x:c r="P159" s="90" t="n">
        <x:v>1393618.58</x:v>
      </x:c>
      <x:c r="Q159" s="90" t="n">
        <x:v>176061.02</x:v>
      </x:c>
      <x:c r="R159" s="90" t="n">
        <x:v>65.83</x:v>
      </x:c>
      <x:c r="S159" s="90" t="n">
        <x:v>0</x:v>
      </x:c>
      <x:c r="T159" s="90" t="n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 t="n">
        <x:v>0</x:v>
      </x:c>
    </x:row>
    <x:row r="160" spans="2:26" s="224" customFormat="1" ht="12.75" customHeight="1" x14ac:dyDescent="0.25">
      <x:c r="C160" s="223" t="s">
        <x:v>120</x:v>
      </x:c>
      <x:c r="D160" s="223" t="s">
        <x:v>70</x:v>
      </x:c>
      <x:c r="F160" s="225" t="n">
        <x:v>15303333.19</x:v>
      </x:c>
      <x:c r="G160" s="225" t="n">
        <x:v>846445.31</x:v>
      </x:c>
      <x:c r="H160" s="225" t="n">
        <x:v>456814.64</x:v>
      </x:c>
      <x:c r="I160" s="225" t="n">
        <x:v>246633.46</x:v>
      </x:c>
      <x:c r="J160" s="225" t="n">
        <x:v>3859157.96</x:v>
      </x:c>
      <x:c r="K160" s="225" t="n">
        <x:v>125021.13</x:v>
      </x:c>
      <x:c r="L160" s="225" t="n">
        <x:v>0</x:v>
      </x:c>
      <x:c r="M160" s="225" t="n">
        <x:v>1101678.21</x:v>
      </x:c>
      <x:c r="N160" s="225" t="n">
        <x:v>1198553.11</x:v>
      </x:c>
      <x:c r="O160" s="225" t="n">
        <x:v>5597648.77</x:v>
      </x:c>
      <x:c r="P160" s="225" t="n">
        <x:v>1666421.96</x:v>
      </x:c>
      <x:c r="Q160" s="225" t="n">
        <x:v>204886.65</x:v>
      </x:c>
      <x:c r="R160" s="225" t="n">
        <x:v>72.06</x:v>
      </x:c>
      <x:c r="S160" s="225" t="n">
        <x:v>0</x:v>
      </x:c>
      <x:c r="T160" s="225" t="n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 t="n">
        <x:v>-0.07</x:v>
      </x:c>
    </x:row>
    <x:row r="161" spans="1:26" ht="12.75" customHeight="1" x14ac:dyDescent="0.25">
      <x:c r="C161" s="89"/>
      <x:c r="D161" s="89"/>
      <x:c r="E161" t="s">
        <x:v>72</x:v>
      </x:c>
      <x:c r="F161" s="90" t="n">
        <x:v>455939001.99</x:v>
      </x:c>
      <x:c r="G161" s="90" t="n">
        <x:v>31166168.33</x:v>
      </x:c>
      <x:c r="H161" s="90" t="n">
        <x:v>17414261.35</x:v>
      </x:c>
      <x:c r="I161" s="90" t="n">
        <x:v>9320448.56</x:v>
      </x:c>
      <x:c r="J161" s="90" t="n">
        <x:v>107716548.78</x:v>
      </x:c>
      <x:c r="K161" s="90" t="n">
        <x:v>2778581.48</x:v>
      </x:c>
      <x:c r="L161" s="90" t="n">
        <x:v>223000</x:v>
      </x:c>
      <x:c r="M161" s="90" t="n">
        <x:v>24356285.66</x:v>
      </x:c>
      <x:c r="N161" s="90" t="n">
        <x:v>34967660.87</x:v>
      </x:c>
      <x:c r="O161" s="90" t="n">
        <x:v>161072747.18</x:v>
      </x:c>
      <x:c r="P161" s="90" t="n">
        <x:v>62379437.01</x:v>
      </x:c>
      <x:c r="Q161" s="90" t="n">
        <x:v>4546029.75</x:v>
      </x:c>
      <x:c r="R161" s="90" t="n">
        <x:v>-2166.98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25">
      <x:c r="C162" s="89"/>
      <x:c r="D162" s="89"/>
      <x:c r="E162" t="s">
        <x:v>81</x:v>
      </x:c>
      <x:c r="F162" s="90" t="n">
        <x:v>4505253.39</x:v>
      </x:c>
      <x:c r="G162" s="90" t="n">
        <x:v>686613.92</x:v>
      </x:c>
      <x:c r="H162" s="90" t="n">
        <x:v>335505.83</x:v>
      </x:c>
      <x:c r="I162" s="90" t="n">
        <x:v>186385.59</x:v>
      </x:c>
      <x:c r="J162" s="90" t="n">
        <x:v>633051.63</x:v>
      </x:c>
      <x:c r="K162" s="90" t="n">
        <x:v>16253.71</x:v>
      </x:c>
      <x:c r="L162" s="90" t="n">
        <x:v>423.43</x:v>
      </x:c>
      <x:c r="M162" s="90" t="n">
        <x:v>141566.92</x:v>
      </x:c>
      <x:c r="N162" s="90" t="n">
        <x:v>197973.31</x:v>
      </x:c>
      <x:c r="O162" s="90" t="n">
        <x:v>907304.36</x:v>
      </x:c>
      <x:c r="P162" s="90" t="n">
        <x:v>1373624.55</x:v>
      </x:c>
      <x:c r="Q162" s="90" t="n">
        <x:v>26555.9</x:v>
      </x:c>
      <x:c r="R162" s="90" t="n">
        <x:v>-5.38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-0.38</x:v>
      </x:c>
    </x:row>
    <x:row r="163" spans="1:26" ht="12.75" customHeight="1" x14ac:dyDescent="0.25">
      <x:c r="D163" t="s">
        <x:v>82</x:v>
      </x:c>
      <x:c r="E163" s="89" t="s">
        <x:v>70</x:v>
      </x:c>
      <x:c r="F163" s="90" t="n">
        <x:v>460444255.38</x:v>
      </x:c>
      <x:c r="G163" s="90" t="n">
        <x:v>31852782.25</x:v>
      </x:c>
      <x:c r="H163" s="90" t="n">
        <x:v>17749767.18</x:v>
      </x:c>
      <x:c r="I163" s="90" t="n">
        <x:v>9506834.15</x:v>
      </x:c>
      <x:c r="J163" s="90" t="n">
        <x:v>108349600.41</x:v>
      </x:c>
      <x:c r="K163" s="90" t="n">
        <x:v>2794835.19</x:v>
      </x:c>
      <x:c r="L163" s="90" t="n">
        <x:v>223423.43</x:v>
      </x:c>
      <x:c r="M163" s="90" t="n">
        <x:v>24497852.58</x:v>
      </x:c>
      <x:c r="N163" s="90" t="n">
        <x:v>35165634.18</x:v>
      </x:c>
      <x:c r="O163" s="90" t="n">
        <x:v>161980051.54</x:v>
      </x:c>
      <x:c r="P163" s="90" t="n">
        <x:v>63753061.56</x:v>
      </x:c>
      <x:c r="Q163" s="90" t="n">
        <x:v>4572585.65</x:v>
      </x:c>
      <x:c r="R163" s="90" t="n">
        <x:v>-2172.36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-0.38</x:v>
      </x:c>
    </x:row>
    <x:row r="164" spans="1:26" ht="12.75" customHeight="1" x14ac:dyDescent="0.25">
      <x:c r="E164" s="89" t="s">
        <x:v>72</x:v>
      </x:c>
      <x:c r="F164" s="90" t="n">
        <x:v>193966389.73</x:v>
      </x:c>
      <x:c r="G164" s="90" t="n">
        <x:v>18753395.74</x:v>
      </x:c>
      <x:c r="H164" s="90" t="n">
        <x:v>10057409.18</x:v>
      </x:c>
      <x:c r="I164" s="90" t="n">
        <x:v>5168574.85</x:v>
      </x:c>
      <x:c r="J164" s="90" t="n">
        <x:v>37118799.35</x:v>
      </x:c>
      <x:c r="K164" s="90" t="n">
        <x:v>1216758.52</x:v>
      </x:c>
      <x:c r="L164" s="90" t="n">
        <x:v>1204189.42</x:v>
      </x:c>
      <x:c r="M164" s="90" t="n">
        <x:v>10633285.03</x:v>
      </x:c>
      <x:c r="N164" s="90" t="n">
        <x:v>12932629.94</x:v>
      </x:c>
      <x:c r="O164" s="90" t="n">
        <x:v>57515757.55</x:v>
      </x:c>
      <x:c r="P164" s="90" t="n">
        <x:v>37372824.68</x:v>
      </x:c>
      <x:c r="Q164" s="90" t="n">
        <x:v>1993046.78</x:v>
      </x:c>
      <x:c r="R164" s="90" t="n">
        <x:v>-281.31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25">
      <x:c r="D165" s="89"/>
      <x:c r="E165" s="89" t="s">
        <x:v>81</x:v>
      </x:c>
      <x:c r="F165" s="90" t="n">
        <x:v>9166147.28</x:v>
      </x:c>
      <x:c r="G165" s="90" t="n">
        <x:v>1183506.74</x:v>
      </x:c>
      <x:c r="H165" s="90" t="n">
        <x:v>586131.58</x:v>
      </x:c>
      <x:c r="I165" s="90" t="n">
        <x:v>271123.56</x:v>
      </x:c>
      <x:c r="J165" s="90" t="n">
        <x:v>1563968.47</x:v>
      </x:c>
      <x:c r="K165" s="90" t="n">
        <x:v>53802.28</x:v>
      </x:c>
      <x:c r="L165" s="90" t="n">
        <x:v>0</x:v>
      </x:c>
      <x:c r="M165" s="90" t="n">
        <x:v>473676.04</x:v>
      </x:c>
      <x:c r="N165" s="90" t="n">
        <x:v>570702.61</x:v>
      </x:c>
      <x:c r="O165" s="90" t="n">
        <x:v>2048592.22</x:v>
      </x:c>
      <x:c r="P165" s="90" t="n">
        <x:v>2326821.14</x:v>
      </x:c>
      <x:c r="Q165" s="90" t="n">
        <x:v>87828.33</x:v>
      </x:c>
      <x:c r="R165" s="90" t="n">
        <x:v>7.07</x:v>
      </x:c>
      <x:c r="S165" s="90" t="n">
        <x:v>-12.38</x:v>
      </x:c>
      <x:c r="T165" s="90" t="n">
        <x:v>0.04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-0.42</x:v>
      </x:c>
    </x:row>
    <x:row r="166" spans="1:26" ht="12.75" customHeight="1" x14ac:dyDescent="0.25">
      <x:c r="D166" t="s">
        <x:v>86</x:v>
      </x:c>
      <x:c r="E166" s="89" t="s">
        <x:v>70</x:v>
      </x:c>
      <x:c r="F166" s="90" t="n">
        <x:v>203132537.01</x:v>
      </x:c>
      <x:c r="G166" s="90" t="n">
        <x:v>19936902.48</x:v>
      </x:c>
      <x:c r="H166" s="90" t="n">
        <x:v>10643540.76</x:v>
      </x:c>
      <x:c r="I166" s="90" t="n">
        <x:v>5439698.41</x:v>
      </x:c>
      <x:c r="J166" s="90" t="n">
        <x:v>38682767.82</x:v>
      </x:c>
      <x:c r="K166" s="90" t="n">
        <x:v>1270560.8</x:v>
      </x:c>
      <x:c r="L166" s="90" t="n">
        <x:v>1204189.42</x:v>
      </x:c>
      <x:c r="M166" s="90" t="n">
        <x:v>11106961.07</x:v>
      </x:c>
      <x:c r="N166" s="90" t="n">
        <x:v>13503332.55</x:v>
      </x:c>
      <x:c r="O166" s="90" t="n">
        <x:v>59564349.77</x:v>
      </x:c>
      <x:c r="P166" s="90" t="n">
        <x:v>39699645.82</x:v>
      </x:c>
      <x:c r="Q166" s="90" t="n">
        <x:v>2080875.11</x:v>
      </x:c>
      <x:c r="R166" s="90" t="n">
        <x:v>-274.24</x:v>
      </x:c>
      <x:c r="S166" s="90" t="n">
        <x:v>-12.38</x:v>
      </x:c>
      <x:c r="T166" s="90" t="n">
        <x:v>0.04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-0.42</x:v>
      </x:c>
    </x:row>
    <x:row r="167" spans="1:26" ht="12.75" customHeight="1" x14ac:dyDescent="0.25">
      <x:c r="E167" s="89" t="s">
        <x:v>72</x:v>
      </x:c>
      <x:c r="F167" s="90" t="n">
        <x:v>661355110.55</x:v>
      </x:c>
      <x:c r="G167" s="90" t="n">
        <x:v>121001900.95</x:v>
      </x:c>
      <x:c r="H167" s="90" t="n">
        <x:v>68302622.36</x:v>
      </x:c>
      <x:c r="I167" s="90" t="n">
        <x:v>36083615.55</x:v>
      </x:c>
      <x:c r="J167" s="90" t="n">
        <x:v>52633126.53</x:v>
      </x:c>
      <x:c r="K167" s="90" t="n">
        <x:v>1383826.41</x:v>
      </x:c>
      <x:c r="L167" s="90" t="n">
        <x:v>27689500</x:v>
      </x:c>
      <x:c r="M167" s="90" t="n">
        <x:v>12143895.78</x:v>
      </x:c>
      <x:c r="N167" s="90" t="n">
        <x:v>17276124.08</x:v>
      </x:c>
      <x:c r="O167" s="90" t="n">
        <x:v>82150350.08</x:v>
      </x:c>
      <x:c r="P167" s="90" t="n">
        <x:v>240422477.77</x:v>
      </x:c>
      <x:c r="Q167" s="90" t="n">
        <x:v>2268567.74</x:v>
      </x:c>
      <x:c r="R167" s="90" t="n">
        <x:v>-896.7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25">
      <x:c r="D168" s="89"/>
      <x:c r="E168" s="89" t="s">
        <x:v>81</x:v>
      </x:c>
      <x:c r="F168" s="90" t="n">
        <x:v>6600836.3</x:v>
      </x:c>
      <x:c r="G168" s="90" t="n">
        <x:v>1349445.39</x:v>
      </x:c>
      <x:c r="H168" s="90" t="n">
        <x:v>757512.17</x:v>
      </x:c>
      <x:c r="I168" s="90" t="n">
        <x:v>404376.25</x:v>
      </x:c>
      <x:c r="J168" s="90" t="n">
        <x:v>441370.36</x:v>
      </x:c>
      <x:c r="K168" s="90" t="n">
        <x:v>10958.07</x:v>
      </x:c>
      <x:c r="L168" s="90" t="n">
        <x:v>63878.54</x:v>
      </x:c>
      <x:c r="M168" s="90" t="n">
        <x:v>95989.48</x:v>
      </x:c>
      <x:c r="N168" s="90" t="n">
        <x:v>135954.56</x:v>
      </x:c>
      <x:c r="O168" s="90" t="n">
        <x:v>626871.1</x:v>
      </x:c>
      <x:c r="P168" s="90" t="n">
        <x:v>2696583.37</x:v>
      </x:c>
      <x:c r="Q168" s="90" t="n">
        <x:v>17899.55</x:v>
      </x:c>
      <x:c r="R168" s="90" t="n">
        <x:v>-2.15</x:v>
      </x:c>
      <x:c r="S168" s="90" t="n">
        <x:v>-0.39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25">
      <x:c r="D169" t="s">
        <x:v>87</x:v>
      </x:c>
      <x:c r="E169" s="89" t="s">
        <x:v>70</x:v>
      </x:c>
      <x:c r="F169" s="90" t="n">
        <x:v>667955946.85</x:v>
      </x:c>
      <x:c r="G169" s="90" t="n">
        <x:v>122351346.34</x:v>
      </x:c>
      <x:c r="H169" s="90" t="n">
        <x:v>69060134.53</x:v>
      </x:c>
      <x:c r="I169" s="90" t="n">
        <x:v>36487991.8</x:v>
      </x:c>
      <x:c r="J169" s="90" t="n">
        <x:v>53074496.89</x:v>
      </x:c>
      <x:c r="K169" s="90" t="n">
        <x:v>1394784.48</x:v>
      </x:c>
      <x:c r="L169" s="90" t="n">
        <x:v>27753378.54</x:v>
      </x:c>
      <x:c r="M169" s="90" t="n">
        <x:v>12239885.26</x:v>
      </x:c>
      <x:c r="N169" s="90" t="n">
        <x:v>17412078.64</x:v>
      </x:c>
      <x:c r="O169" s="90" t="n">
        <x:v>82777221.18</x:v>
      </x:c>
      <x:c r="P169" s="90" t="n">
        <x:v>243119061.14</x:v>
      </x:c>
      <x:c r="Q169" s="90" t="n">
        <x:v>2286467.29</x:v>
      </x:c>
      <x:c r="R169" s="90" t="n">
        <x:v>-898.85</x:v>
      </x:c>
      <x:c r="S169" s="90" t="n">
        <x:v>-0.39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25">
      <x:c r="C170" s="94" t="s">
        <x:v>119</x:v>
      </x:c>
      <x:c r="D170" s="94" t="s">
        <x:v>70</x:v>
      </x:c>
      <x:c r="E170" s="101"/>
      <x:c r="F170" s="93" t="n">
        <x:v>1331532739.24</x:v>
      </x:c>
      <x:c r="G170" s="93" t="n">
        <x:v>174141031.07</x:v>
      </x:c>
      <x:c r="H170" s="93" t="n">
        <x:v>97453442.47</x:v>
      </x:c>
      <x:c r="I170" s="93" t="n">
        <x:v>51434524.36</x:v>
      </x:c>
      <x:c r="J170" s="93" t="n">
        <x:v>200106865.12</x:v>
      </x:c>
      <x:c r="K170" s="93" t="n">
        <x:v>5460180.47</x:v>
      </x:c>
      <x:c r="L170" s="93" t="n">
        <x:v>29180991.39</x:v>
      </x:c>
      <x:c r="M170" s="93" t="n">
        <x:v>47844698.91</x:v>
      </x:c>
      <x:c r="N170" s="93" t="n">
        <x:v>66081045.37</x:v>
      </x:c>
      <x:c r="O170" s="93" t="n">
        <x:v>304321622.49</x:v>
      </x:c>
      <x:c r="P170" s="93" t="n">
        <x:v>346571768.52</x:v>
      </x:c>
      <x:c r="Q170" s="93" t="n">
        <x:v>8939928.05</x:v>
      </x:c>
      <x:c r="R170" s="93" t="n">
        <x:v>-3345.45</x:v>
      </x:c>
      <x:c r="S170" s="93" t="n">
        <x:v>-12.77</x:v>
      </x:c>
      <x:c r="T170" s="93" t="n">
        <x:v>0.04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-0.8</x:v>
      </x:c>
    </x:row>
    <x:row r="171" spans="1:26" s="226" customFormat="1" ht="12.75" customHeight="1" x14ac:dyDescent="0.25">
      <x:c r="B171" s="98" t="s">
        <x:v>112</x:v>
      </x:c>
      <x:c r="C171" s="98" t="s">
        <x:v>70</x:v>
      </x:c>
      <x:c r="F171" s="100" t="n">
        <x:v>25411656495.76</x:v>
      </x:c>
      <x:c r="G171" s="100" t="n">
        <x:v>1575163852.57</x:v>
      </x:c>
      <x:c r="H171" s="100" t="n">
        <x:v>883359566.12</x:v>
      </x:c>
      <x:c r="I171" s="100" t="n">
        <x:v>463664201.3</x:v>
      </x:c>
      <x:c r="J171" s="100" t="n">
        <x:v>5771019776.85</x:v>
      </x:c>
      <x:c r="K171" s="100" t="n">
        <x:v>221091165.91</x:v>
      </x:c>
      <x:c r="L171" s="100" t="n">
        <x:v>53454221.28</x:v>
      </x:c>
      <x:c r="M171" s="100" t="n">
        <x:v>1937665740.24</x:v>
      </x:c>
      <x:c r="N171" s="100" t="n">
        <x:v>1932446003.37</x:v>
      </x:c>
      <x:c r="O171" s="100" t="n">
        <x:v>9106226356.12</x:v>
      </x:c>
      <x:c r="P171" s="100" t="n">
        <x:v>3106209538.75</x:v>
      </x:c>
      <x:c r="Q171" s="100" t="n">
        <x:v>361269505.43</x:v>
      </x:c>
      <x:c r="R171" s="100" t="n">
        <x:v>86691.03</x:v>
      </x:c>
      <x:c r="S171" s="100" t="n">
        <x:v>-83.63</x:v>
      </x:c>
      <x:c r="T171" s="100" t="n">
        <x:v>4.18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-43.76</x:v>
      </x:c>
    </x:row>
    <x:row r="172" spans="1:26" ht="12.75" customHeight="1" x14ac:dyDescent="0.25">
      <x:c r="A172" t="s">
        <x:v>78</x:v>
      </x:c>
      <x:c r="B172" s="89" t="s">
        <x:v>70</x:v>
      </x:c>
      <x:c r="C172" s="89"/>
      <x:c r="F172" s="90" t="n">
        <x:v>25442049927.39</x:v>
      </x:c>
      <x:c r="G172" s="90" t="n">
        <x:v>1582872787.47</x:v>
      </x:c>
      <x:c r="H172" s="90" t="n">
        <x:v>887717779.17</x:v>
      </x:c>
      <x:c r="I172" s="90" t="n">
        <x:v>465974337.01</x:v>
      </x:c>
      <x:c r="J172" s="90" t="n">
        <x:v>5771193704.23</x:v>
      </x:c>
      <x:c r="K172" s="90" t="n">
        <x:v>221096477</x:v>
      </x:c>
      <x:c r="L172" s="90" t="n">
        <x:v>53454221.28</x:v>
      </x:c>
      <x:c r="M172" s="90" t="n">
        <x:v>1937712328.67</x:v>
      </x:c>
      <x:c r="N172" s="90" t="n">
        <x:v>1932499941.43</x:v>
      </x:c>
      <x:c r="O172" s="90" t="n">
        <x:v>9106477787.64</x:v>
      </x:c>
      <x:c r="P172" s="90" t="n">
        <x:v>3121685825.2</x:v>
      </x:c>
      <x:c r="Q172" s="90" t="n">
        <x:v>361278170.88</x:v>
      </x:c>
      <x:c r="R172" s="90" t="n">
        <x:v>86690.62</x:v>
      </x:c>
      <x:c r="S172" s="90" t="n">
        <x:v>-83.63</x:v>
      </x:c>
      <x:c r="T172" s="90" t="n">
        <x:v>4.18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-43.76</x:v>
      </x:c>
    </x:row>
    <x:row r="173" spans="1:26" ht="12.75" customHeight="1" x14ac:dyDescent="0.25">
      <x:c r="B173" s="89"/>
      <x:c r="C173" s="89"/>
      <x:c r="E173" t="s">
        <x:v>73</x:v>
      </x:c>
      <x:c r="F173" s="90" t="n">
        <x:v>25934600.63</x:v>
      </x:c>
      <x:c r="G173" s="90" t="n">
        <x:v>6682708.85</x:v>
      </x:c>
      <x:c r="H173" s="90" t="n">
        <x:v>3777829.13</x:v>
      </x:c>
      <x:c r="I173" s="90" t="n">
        <x:v>2001663.41</x:v>
      </x:c>
      <x:c r="J173" s="90" t="n">
        <x:v>21059.44</x:v>
      </x:c>
      <x:c r="K173" s="90" t="n">
        <x:v>388.78</x:v>
      </x:c>
      <x:c r="L173" s="90" t="n">
        <x:v>0</x:v>
      </x:c>
      <x:c r="M173" s="90" t="n">
        <x:v>3410.32</x:v>
      </x:c>
      <x:c r="N173" s="90" t="n">
        <x:v>6455.7</x:v>
      </x:c>
      <x:c r="O173" s="90" t="n">
        <x:v>30601.34</x:v>
      </x:c>
      <x:c r="P173" s="90" t="n">
        <x:v>13409849.35</x:v>
      </x:c>
      <x:c r="Q173" s="90" t="n">
        <x:v>634.31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25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 t="n">
        <x:v>6682708.85</x:v>
      </x:c>
      <x:c r="H174" s="90" t="n">
        <x:v>3777829.13</x:v>
      </x:c>
      <x:c r="I174" s="90" t="n">
        <x:v>2001663.41</x:v>
      </x:c>
      <x:c r="J174" s="90" t="n">
        <x:v>21059.44</x:v>
      </x:c>
      <x:c r="K174" s="90" t="n">
        <x:v>388.78</x:v>
      </x:c>
      <x:c r="L174" s="90" t="n">
        <x:v>0</x:v>
      </x:c>
      <x:c r="M174" s="90" t="n">
        <x:v>3410.32</x:v>
      </x:c>
      <x:c r="N174" s="90" t="n">
        <x:v>6455.7</x:v>
      </x:c>
      <x:c r="O174" s="90" t="n">
        <x:v>30601.34</x:v>
      </x:c>
      <x:c r="P174" s="90" t="n">
        <x:v>13409849.35</x:v>
      </x:c>
      <x:c r="Q174" s="90" t="n">
        <x:v>634.31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25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 t="n">
        <x:v>6682708.85</x:v>
      </x:c>
      <x:c r="H175" s="658" t="n">
        <x:v>3777829.13</x:v>
      </x:c>
      <x:c r="I175" s="658" t="n">
        <x:v>2001663.41</x:v>
      </x:c>
      <x:c r="J175" s="658" t="n">
        <x:v>21059.44</x:v>
      </x:c>
      <x:c r="K175" s="658" t="n">
        <x:v>388.78</x:v>
      </x:c>
      <x:c r="L175" s="658" t="n">
        <x:v>0</x:v>
      </x:c>
      <x:c r="M175" s="658" t="n">
        <x:v>3410.32</x:v>
      </x:c>
      <x:c r="N175" s="658" t="n">
        <x:v>6455.7</x:v>
      </x:c>
      <x:c r="O175" s="658" t="n">
        <x:v>30601.34</x:v>
      </x:c>
      <x:c r="P175" s="658" t="n">
        <x:v>13409849.35</x:v>
      </x:c>
      <x:c r="Q175" s="658" t="n">
        <x:v>634.31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25">
      <x:c r="E176" s="89" t="s">
        <x:v>73</x:v>
      </x:c>
      <x:c r="F176" s="90" t="n">
        <x:v>-128977.37</x:v>
      </x:c>
      <x:c r="G176" s="90" t="n">
        <x:v>-6033.92</x:v>
      </x:c>
      <x:c r="H176" s="90" t="n">
        <x:v>-3410.66</x:v>
      </x:c>
      <x:c r="I176" s="90" t="n">
        <x:v>-1805.06</x:v>
      </x:c>
      <x:c r="J176" s="90" t="n">
        <x:v>-34653.02</x:v>
      </x:c>
      <x:c r="K176" s="90" t="n">
        <x:v>-1065.44</x:v>
      </x:c>
      <x:c r="L176" s="90" t="n">
        <x:v>0</x:v>
      </x:c>
      <x:c r="M176" s="90" t="n">
        <x:v>-9345.88</x:v>
      </x:c>
      <x:c r="N176" s="90" t="n">
        <x:v>-10375.78</x:v>
      </x:c>
      <x:c r="O176" s="90" t="n">
        <x:v>-48453.07</x:v>
      </x:c>
      <x:c r="P176" s="90" t="n">
        <x:v>-12096.2</x:v>
      </x:c>
      <x:c r="Q176" s="90" t="n">
        <x:v>-1738.34</x:v>
      </x:c>
      <x:c r="R176" s="90" t="n">
        <x:v>0</x:v>
      </x:c>
      <x:c r="S176" s="90" t="n">
        <x:v>0</x:v>
      </x:c>
      <x:c r="T176" t="n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 t="n">
        <x:v>0</x:v>
      </x:c>
    </x:row>
    <x:row r="177" spans="2:26" ht="12.75" customHeight="1" x14ac:dyDescent="0.25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5">
      <x:c r="E178" s="89" t="s">
        <x:v>73</x:v>
      </x:c>
      <x:c r="F178" s="371" t="n">
        <x:v>-8984.89</x:v>
      </x:c>
      <x:c r="G178" s="90" t="n">
        <x:v>-469.66</x:v>
      </x:c>
      <x:c r="H178" s="90" t="n">
        <x:v>-266.35</x:v>
      </x:c>
      <x:c r="I178" s="90" t="n">
        <x:v>-144.42</x:v>
      </x:c>
      <x:c r="J178" s="90" t="n">
        <x:v>-2366.48</x:v>
      </x:c>
      <x:c r="K178" s="90" t="n">
        <x:v>-56.96</x:v>
      </x:c>
      <x:c r="L178" s="90" t="n">
        <x:v>0</x:v>
      </x:c>
      <x:c r="M178" s="90" t="n">
        <x:v>-499.71</x:v>
      </x:c>
      <x:c r="N178" s="90" t="n">
        <x:v>-736.71</x:v>
      </x:c>
      <x:c r="O178" s="90" t="n">
        <x:v>-3405.27</x:v>
      </x:c>
      <x:c r="P178" s="90" t="n">
        <x:v>-946.38</x:v>
      </x:c>
      <x:c r="Q178" s="90" t="n">
        <x:v>-92.95</x:v>
      </x:c>
      <x:c r="R178" s="90" t="n">
        <x:v>0</x:v>
      </x:c>
      <x:c r="S178" s="90" t="n">
        <x:v>0</x:v>
      </x:c>
      <x:c r="T178" t="n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 t="n">
        <x:v>0</x:v>
      </x:c>
    </x:row>
    <x:row r="179" spans="2:26" ht="12.75" customHeight="1" x14ac:dyDescent="0.25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5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5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5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5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5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5">
      <x:c r="D185" s="89"/>
      <x:c r="E185" s="89" t="s">
        <x:v>73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>
        <x:v>0</x:v>
      </x:c>
    </x:row>
    <x:row r="186" spans="2:26" ht="12.75" customHeight="1" x14ac:dyDescent="0.25">
      <x:c r="D186" s="89" t="s">
        <x:v>86</x:v>
      </x:c>
      <x:c r="E186" s="89" t="s">
        <x:v>70</x:v>
      </x:c>
      <x:c r="F186" s="371" t="n">
        <x:v>-128977.37</x:v>
      </x:c>
      <x:c r="G186" s="90" t="n">
        <x:v>-6033.92</x:v>
      </x:c>
      <x:c r="H186" s="90" t="n">
        <x:v>-3410.66</x:v>
      </x:c>
      <x:c r="I186" s="90" t="n">
        <x:v>-1805.06</x:v>
      </x:c>
      <x:c r="J186" s="90" t="n">
        <x:v>-34653.02</x:v>
      </x:c>
      <x:c r="K186" s="90" t="n">
        <x:v>-1065.44</x:v>
      </x:c>
      <x:c r="L186" s="90" t="n">
        <x:v>0</x:v>
      </x:c>
      <x:c r="M186" s="90" t="n">
        <x:v>-9345.88</x:v>
      </x:c>
      <x:c r="N186" s="90" t="n">
        <x:v>-10375.78</x:v>
      </x:c>
      <x:c r="O186" s="90" t="n">
        <x:v>-48453.07</x:v>
      </x:c>
      <x:c r="P186" s="90" t="n">
        <x:v>-12096.2</x:v>
      </x:c>
      <x:c r="Q186" s="90" t="n">
        <x:v>-1738.34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25">
      <x:c r="E187" t="s">
        <x:v>73</x:v>
      </x:c>
      <x:c r="F187" s="90">
        <x:v>0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25">
      <x:c r="D188" t="s">
        <x:v>87</x:v>
      </x:c>
      <x:c r="E188" t="s">
        <x:v>70</x:v>
      </x:c>
      <x:c r="F188" s="90" t="n">
        <x:v>-8984.89</x:v>
      </x:c>
      <x:c r="G188" s="90" t="n">
        <x:v>-469.66</x:v>
      </x:c>
      <x:c r="H188" s="90" t="n">
        <x:v>-266.35</x:v>
      </x:c>
      <x:c r="I188" s="90" t="n">
        <x:v>-144.42</x:v>
      </x:c>
      <x:c r="J188" s="90" t="n">
        <x:v>-2366.48</x:v>
      </x:c>
      <x:c r="K188" s="90" t="n">
        <x:v>-56.96</x:v>
      </x:c>
      <x:c r="L188" s="90" t="n">
        <x:v>0</x:v>
      </x:c>
      <x:c r="M188" s="90" t="n">
        <x:v>-499.71</x:v>
      </x:c>
      <x:c r="N188" s="90" t="n">
        <x:v>-736.71</x:v>
      </x:c>
      <x:c r="O188" s="90" t="n">
        <x:v>-3405.27</x:v>
      </x:c>
      <x:c r="P188" s="90" t="n">
        <x:v>-946.38</x:v>
      </x:c>
      <x:c r="Q188" s="90" t="n">
        <x:v>-92.95</x:v>
      </x:c>
      <x:c r="R188" s="90" t="n">
        <x:v>0</x:v>
      </x:c>
      <x:c r="S188" s="90" t="n">
        <x:v>0</x:v>
      </x:c>
      <x:c r="T188" s="90" t="n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 t="n">
        <x:v>0</x:v>
      </x:c>
    </x:row>
    <x:row r="189" spans="2:26" s="94" customFormat="1" ht="12.75" customHeight="1" x14ac:dyDescent="0.25">
      <x:c r="C189" s="94" t="s">
        <x:v>119</x:v>
      </x:c>
      <x:c r="D189" s="94" t="s">
        <x:v>70</x:v>
      </x:c>
      <x:c r="E189" s="101"/>
      <x:c r="F189" s="93" t="n">
        <x:v>-137962.26</x:v>
      </x:c>
      <x:c r="G189" s="93" t="n">
        <x:v>-6503.58</x:v>
      </x:c>
      <x:c r="H189" s="93" t="n">
        <x:v>-3677.01</x:v>
      </x:c>
      <x:c r="I189" s="93" t="n">
        <x:v>-1949.48</x:v>
      </x:c>
      <x:c r="J189" s="93" t="n">
        <x:v>-37019.5</x:v>
      </x:c>
      <x:c r="K189" s="93" t="n">
        <x:v>-1122.4</x:v>
      </x:c>
      <x:c r="L189" s="93" t="n">
        <x:v>0</x:v>
      </x:c>
      <x:c r="M189" s="93" t="n">
        <x:v>-9845.59</x:v>
      </x:c>
      <x:c r="N189" s="93" t="n">
        <x:v>-11112.49</x:v>
      </x:c>
      <x:c r="O189" s="93" t="n">
        <x:v>-51858.34</x:v>
      </x:c>
      <x:c r="P189" s="93" t="n">
        <x:v>-13042.58</x:v>
      </x:c>
      <x:c r="Q189" s="93" t="n">
        <x:v>-1831.29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25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 t="n">
        <x:v>6676205.27</x:v>
      </x:c>
      <x:c r="H190" s="377" t="n">
        <x:v>3774152.12</x:v>
      </x:c>
      <x:c r="I190" s="377" t="n">
        <x:v>1999713.93</x:v>
      </x:c>
      <x:c r="J190" s="377" t="n">
        <x:v>-15960.06</x:v>
      </x:c>
      <x:c r="K190" s="377" t="n">
        <x:v>-733.62</x:v>
      </x:c>
      <x:c r="L190" s="377" t="n">
        <x:v>0</x:v>
      </x:c>
      <x:c r="M190" s="377" t="n">
        <x:v>-6435.27</x:v>
      </x:c>
      <x:c r="N190" s="377" t="n">
        <x:v>-4656.79</x:v>
      </x:c>
      <x:c r="O190" s="377" t="n">
        <x:v>-21257</x:v>
      </x:c>
      <x:c r="P190" s="377" t="n">
        <x:v>13396806.77</x:v>
      </x:c>
      <x:c r="Q190" s="377" t="n">
        <x:v>-1196.98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25">
      <x:c r="E191" s="89" t="s">
        <x:v>73</x:v>
      </x:c>
      <x:c r="F191" s="90" t="n">
        <x:v>-5016640264.67</x:v>
      </x:c>
      <x:c r="G191" s="90" t="n">
        <x:v>-120615699.15</x:v>
      </x:c>
      <x:c r="H191" s="90" t="n">
        <x:v>-67567315.69</x:v>
      </x:c>
      <x:c r="I191" s="90" t="n">
        <x:v>-35149668.94</x:v>
      </x:c>
      <x:c r="J191" s="90" t="n">
        <x:v>-1363592731.79</x:v>
      </x:c>
      <x:c r="K191" s="90" t="n">
        <x:v>-52548443.06</x:v>
      </x:c>
      <x:c r="L191" s="90" t="n">
        <x:v>0</x:v>
      </x:c>
      <x:c r="M191" s="90" t="n">
        <x:v>-460998533.55</x:v>
      </x:c>
      <x:c r="N191" s="90" t="n">
        <x:v>-454669135.03</x:v>
      </x:c>
      <x:c r="O191" s="90" t="n">
        <x:v>-2143895846.29</x:v>
      </x:c>
      <x:c r="P191" s="90" t="n">
        <x:v>-231862522.76</x:v>
      </x:c>
      <x:c r="Q191" s="90" t="n">
        <x:v>-85740368.41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25">
      <x:c r="D192" s="89" t="s">
        <x:v>156</x:v>
      </x:c>
      <x:c r="E192" s="89" t="s">
        <x:v>70</x:v>
      </x:c>
      <x:c r="F192" s="90" t="n">
        <x:v>-5016640264.67</x:v>
      </x:c>
      <x:c r="G192" s="90" t="n">
        <x:v>-120615699.15</x:v>
      </x:c>
      <x:c r="H192" s="90" t="n">
        <x:v>-67567315.69</x:v>
      </x:c>
      <x:c r="I192" s="90" t="n">
        <x:v>-35149668.94</x:v>
      </x:c>
      <x:c r="J192" s="90" t="n">
        <x:v>-1363592731.79</x:v>
      </x:c>
      <x:c r="K192" s="90" t="n">
        <x:v>-52548443.06</x:v>
      </x:c>
      <x:c r="L192" s="90" t="n">
        <x:v>0</x:v>
      </x:c>
      <x:c r="M192" s="90" t="n">
        <x:v>-460998533.55</x:v>
      </x:c>
      <x:c r="N192" s="90" t="n">
        <x:v>-454669135.03</x:v>
      </x:c>
      <x:c r="O192" s="90" t="n">
        <x:v>-2143895846.29</x:v>
      </x:c>
      <x:c r="P192" s="90" t="n">
        <x:v>-231862522.76</x:v>
      </x:c>
      <x:c r="Q192" s="90" t="n">
        <x:v>-85740368.41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25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 t="n">
        <x:v>-120615699.15</x:v>
      </x:c>
      <x:c r="H193" s="658" t="n">
        <x:v>-67567315.69</x:v>
      </x:c>
      <x:c r="I193" s="658" t="n">
        <x:v>-35149668.94</x:v>
      </x:c>
      <x:c r="J193" s="658" t="n">
        <x:v>-1363592731.79</x:v>
      </x:c>
      <x:c r="K193" s="658" t="n">
        <x:v>-52548443.06</x:v>
      </x:c>
      <x:c r="L193" s="658" t="n">
        <x:v>0</x:v>
      </x:c>
      <x:c r="M193" s="658" t="n">
        <x:v>-460998533.55</x:v>
      </x:c>
      <x:c r="N193" s="658" t="n">
        <x:v>-454669135.03</x:v>
      </x:c>
      <x:c r="O193" s="658" t="n">
        <x:v>-2143895846.29</x:v>
      </x:c>
      <x:c r="P193" s="658" t="n">
        <x:v>-231862522.76</x:v>
      </x:c>
      <x:c r="Q193" s="658" t="n">
        <x:v>-85740368.41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25">
      <x:c r="D194" s="89"/>
      <x:c r="E194" s="89" t="s">
        <x:v>73</x:v>
      </x:c>
      <x:c r="F194" s="371" t="n">
        <x:v>-328437.49</x:v>
      </x:c>
      <x:c r="G194" s="90" t="n">
        <x:v>-11613.87</x:v>
      </x:c>
      <x:c r="H194" s="90" t="n">
        <x:v>-5643.65</x:v>
      </x:c>
      <x:c r="I194" s="90" t="n">
        <x:v>-3115.56</x:v>
      </x:c>
      <x:c r="J194" s="90" t="n">
        <x:v>-94908.85</x:v>
      </x:c>
      <x:c r="K194" s="90" t="n">
        <x:v>-2649.28</x:v>
      </x:c>
      <x:c r="L194" s="90" t="n">
        <x:v>0</x:v>
      </x:c>
      <x:c r="M194" s="90" t="n">
        <x:v>-23240.44</x:v>
      </x:c>
      <x:c r="N194" s="90" t="n">
        <x:v>-28376.91</x:v>
      </x:c>
      <x:c r="O194" s="90" t="n">
        <x:v>-131234.69</x:v>
      </x:c>
      <x:c r="P194" s="90" t="n">
        <x:v>-23331.45</x:v>
      </x:c>
      <x:c r="Q194" s="90" t="n">
        <x:v>-4322.79</x:v>
      </x:c>
      <x:c r="R194" s="90" t="n">
        <x:v>0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2:26" ht="12.75" customHeight="1" x14ac:dyDescent="0.25">
      <x:c r="D195" s="89" t="s">
        <x:v>115</x:v>
      </x:c>
      <x:c r="E195" s="89" t="s">
        <x:v>70</x:v>
      </x:c>
      <x:c r="F195" s="371" t="n">
        <x:v>-328437.49</x:v>
      </x:c>
      <x:c r="G195" s="90" t="n">
        <x:v>-11613.87</x:v>
      </x:c>
      <x:c r="H195" s="90" t="n">
        <x:v>-5643.65</x:v>
      </x:c>
      <x:c r="I195" s="90" t="n">
        <x:v>-3115.56</x:v>
      </x:c>
      <x:c r="J195" s="90" t="n">
        <x:v>-94908.85</x:v>
      </x:c>
      <x:c r="K195" s="90" t="n">
        <x:v>-2649.28</x:v>
      </x:c>
      <x:c r="L195" s="90" t="n">
        <x:v>0</x:v>
      </x:c>
      <x:c r="M195" s="90" t="n">
        <x:v>-23240.44</x:v>
      </x:c>
      <x:c r="N195" s="90" t="n">
        <x:v>-28376.91</x:v>
      </x:c>
      <x:c r="O195" s="90" t="n">
        <x:v>-131234.69</x:v>
      </x:c>
      <x:c r="P195" s="90" t="n">
        <x:v>-23331.45</x:v>
      </x:c>
      <x:c r="Q195" s="90" t="n">
        <x:v>-4322.79</x:v>
      </x:c>
      <x:c r="R195" s="90" t="n">
        <x:v>0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2:26" ht="12.75" customHeight="1" x14ac:dyDescent="0.25">
      <x:c r="D196" s="89"/>
      <x:c r="E196" s="89" t="s">
        <x:v>73</x:v>
      </x:c>
      <x:c r="F196" s="371" t="n">
        <x:v>-112415.22</x:v>
      </x:c>
      <x:c r="G196" s="90" t="n">
        <x:v>-4551.45</x:v>
      </x:c>
      <x:c r="H196" s="90" t="n">
        <x:v>-1756.71</x:v>
      </x:c>
      <x:c r="I196" s="90" t="n">
        <x:v>-1018.9</x:v>
      </x:c>
      <x:c r="J196" s="90" t="n">
        <x:v>-37031.17</x:v>
      </x:c>
      <x:c r="K196" s="90" t="n">
        <x:v>-812.03</x:v>
      </x:c>
      <x:c r="L196" s="90" t="n">
        <x:v>0</x:v>
      </x:c>
      <x:c r="M196" s="90" t="n">
        <x:v>-7123.15</x:v>
      </x:c>
      <x:c r="N196" s="90" t="n">
        <x:v>-9135.71</x:v>
      </x:c>
      <x:c r="O196" s="90" t="n">
        <x:v>-41432.52</x:v>
      </x:c>
      <x:c r="P196" s="90" t="n">
        <x:v>-8228.67</x:v>
      </x:c>
      <x:c r="Q196" s="90" t="n">
        <x:v>-1324.91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2:26" ht="12.75" customHeight="1" x14ac:dyDescent="0.25">
      <x:c r="D197" s="89" t="s">
        <x:v>116</x:v>
      </x:c>
      <x:c r="E197" s="89" t="s">
        <x:v>70</x:v>
      </x:c>
      <x:c r="F197" s="371" t="n">
        <x:v>-112415.22</x:v>
      </x:c>
      <x:c r="G197" s="90" t="n">
        <x:v>-4551.45</x:v>
      </x:c>
      <x:c r="H197" s="90" t="n">
        <x:v>-1756.71</x:v>
      </x:c>
      <x:c r="I197" s="90" t="n">
        <x:v>-1018.9</x:v>
      </x:c>
      <x:c r="J197" s="90" t="n">
        <x:v>-37031.17</x:v>
      </x:c>
      <x:c r="K197" s="90" t="n">
        <x:v>-812.03</x:v>
      </x:c>
      <x:c r="L197" s="90" t="n">
        <x:v>0</x:v>
      </x:c>
      <x:c r="M197" s="90" t="n">
        <x:v>-7123.15</x:v>
      </x:c>
      <x:c r="N197" s="90" t="n">
        <x:v>-9135.71</x:v>
      </x:c>
      <x:c r="O197" s="90" t="n">
        <x:v>-41432.52</x:v>
      </x:c>
      <x:c r="P197" s="90" t="n">
        <x:v>-8228.67</x:v>
      </x:c>
      <x:c r="Q197" s="90" t="n">
        <x:v>-1324.91</x:v>
      </x:c>
      <x:c r="R197" s="90" t="n">
        <x:v>0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2:26" ht="12.75" customHeight="1" x14ac:dyDescent="0.25">
      <x:c r="E198" s="89" t="s">
        <x:v>73</x:v>
      </x:c>
      <x:c r="F198" s="90" t="n">
        <x:v>-3451240.48</x:v>
      </x:c>
      <x:c r="G198" s="90" t="n">
        <x:v>-135031.02</x:v>
      </x:c>
      <x:c r="H198" s="90" t="n">
        <x:v>-72868.27</x:v>
      </x:c>
      <x:c r="I198" s="90" t="n">
        <x:v>-38986.63</x:v>
      </x:c>
      <x:c r="J198" s="90" t="n">
        <x:v>-945786.81</x:v>
      </x:c>
      <x:c r="K198" s="90" t="n">
        <x:v>-30905.95</x:v>
      </x:c>
      <x:c r="L198" s="90" t="n">
        <x:v>0</x:v>
      </x:c>
      <x:c r="M198" s="90" t="n">
        <x:v>-271103.17</x:v>
      </x:c>
      <x:c r="N198" s="90" t="n">
        <x:v>-289542.81</x:v>
      </x:c>
      <x:c r="O198" s="90" t="n">
        <x:v>-1357719.27</x:v>
      </x:c>
      <x:c r="P198" s="90" t="n">
        <x:v>-258871.15</x:v>
      </x:c>
      <x:c r="Q198" s="90" t="n">
        <x:v>-50425.4</x:v>
      </x:c>
      <x:c r="R198" s="90" t="n">
        <x:v>0</x:v>
      </x:c>
      <x:c r="S198" s="90" t="n">
        <x:v>0</x:v>
      </x:c>
      <x:c r="T198" s="90" t="n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 t="n">
        <x:v>0</x:v>
      </x:c>
    </x:row>
    <x:row r="199" spans="2:26" ht="12.75" customHeight="1" x14ac:dyDescent="0.25">
      <x:c r="D199" s="89" t="s">
        <x:v>118</x:v>
      </x:c>
      <x:c r="E199" s="89" t="s">
        <x:v>70</x:v>
      </x:c>
      <x:c r="F199" s="90" t="n">
        <x:v>-3451240.48</x:v>
      </x:c>
      <x:c r="G199" s="90" t="n">
        <x:v>-135031.02</x:v>
      </x:c>
      <x:c r="H199" s="90" t="n">
        <x:v>-72868.27</x:v>
      </x:c>
      <x:c r="I199" s="90" t="n">
        <x:v>-38986.63</x:v>
      </x:c>
      <x:c r="J199" s="90" t="n">
        <x:v>-945786.81</x:v>
      </x:c>
      <x:c r="K199" s="90" t="n">
        <x:v>-30905.95</x:v>
      </x:c>
      <x:c r="L199" s="90" t="n">
        <x:v>0</x:v>
      </x:c>
      <x:c r="M199" s="90" t="n">
        <x:v>-271103.17</x:v>
      </x:c>
      <x:c r="N199" s="90" t="n">
        <x:v>-289542.81</x:v>
      </x:c>
      <x:c r="O199" s="90" t="n">
        <x:v>-1357719.27</x:v>
      </x:c>
      <x:c r="P199" s="90" t="n">
        <x:v>-258871.15</x:v>
      </x:c>
      <x:c r="Q199" s="90" t="n">
        <x:v>-50425.4</x:v>
      </x:c>
      <x:c r="R199" s="90" t="n">
        <x:v>0</x:v>
      </x:c>
      <x:c r="S199" s="90" t="n">
        <x:v>0</x:v>
      </x:c>
      <x:c r="T199" s="90" t="n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 t="n">
        <x:v>0</x:v>
      </x:c>
    </x:row>
    <x:row r="200" spans="2:26" s="224" customFormat="1" ht="12.75" customHeight="1" x14ac:dyDescent="0.25">
      <x:c r="C200" s="223" t="s">
        <x:v>120</x:v>
      </x:c>
      <x:c r="D200" s="223" t="s">
        <x:v>70</x:v>
      </x:c>
      <x:c r="F200" s="225" t="n">
        <x:v>-3892093.19</x:v>
      </x:c>
      <x:c r="G200" s="225" t="n">
        <x:v>-151196.34</x:v>
      </x:c>
      <x:c r="H200" s="225" t="n">
        <x:v>-80268.63</x:v>
      </x:c>
      <x:c r="I200" s="225" t="n">
        <x:v>-43121.09</x:v>
      </x:c>
      <x:c r="J200" s="225" t="n">
        <x:v>-1077726.83</x:v>
      </x:c>
      <x:c r="K200" s="225" t="n">
        <x:v>-34367.26</x:v>
      </x:c>
      <x:c r="L200" s="225" t="n">
        <x:v>0</x:v>
      </x:c>
      <x:c r="M200" s="225" t="n">
        <x:v>-301466.76</x:v>
      </x:c>
      <x:c r="N200" s="225" t="n">
        <x:v>-327055.43</x:v>
      </x:c>
      <x:c r="O200" s="225" t="n">
        <x:v>-1530386.48</x:v>
      </x:c>
      <x:c r="P200" s="225" t="n">
        <x:v>-290431.27</x:v>
      </x:c>
      <x:c r="Q200" s="225" t="n">
        <x:v>-56073.1</x:v>
      </x:c>
      <x:c r="R200" s="225" t="n">
        <x:v>0</x:v>
      </x:c>
      <x:c r="S200" s="225" t="n">
        <x:v>0</x:v>
      </x:c>
      <x:c r="T200" s="225" t="n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 t="n">
        <x:v>0</x:v>
      </x:c>
    </x:row>
    <x:row r="201" spans="2:26" ht="12.75" customHeight="1" x14ac:dyDescent="0.25">
      <x:c r="E201" s="89" t="s">
        <x:v>73</x:v>
      </x:c>
      <x:c r="F201" s="90" t="n">
        <x:v>-42013168.38</x:v>
      </x:c>
      <x:c r="G201" s="90" t="n">
        <x:v>1551885.63</x:v>
      </x:c>
      <x:c r="H201" s="90" t="n">
        <x:v>903751.08</x:v>
      </x:c>
      <x:c r="I201" s="90" t="n">
        <x:v>494344.81</x:v>
      </x:c>
      <x:c r="J201" s="90" t="n">
        <x:v>-15659485.85</x:v>
      </x:c>
      <x:c r="K201" s="90" t="n">
        <x:v>-397964.69</x:v>
      </x:c>
      <x:c r="L201" s="90" t="n">
        <x:v>0</x:v>
      </x:c>
      <x:c r="M201" s="90" t="n">
        <x:v>-3500779.72</x:v>
      </x:c>
      <x:c r="N201" s="90" t="n">
        <x:v>-5014588.16</x:v>
      </x:c>
      <x:c r="O201" s="90" t="n">
        <x:v>-23024162.74</x:v>
      </x:c>
      <x:c r="P201" s="90" t="n">
        <x:v>3283440.05</x:v>
      </x:c>
      <x:c r="Q201" s="90" t="n">
        <x:v>-649608.79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25">
      <x:c r="D202" s="89" t="s">
        <x:v>82</x:v>
      </x:c>
      <x:c r="E202" s="89" t="s">
        <x:v>70</x:v>
      </x:c>
      <x:c r="F202" s="90" t="n">
        <x:v>-42013168.38</x:v>
      </x:c>
      <x:c r="G202" s="90" t="n">
        <x:v>1551885.63</x:v>
      </x:c>
      <x:c r="H202" s="90" t="n">
        <x:v>903751.08</x:v>
      </x:c>
      <x:c r="I202" s="90" t="n">
        <x:v>494344.81</x:v>
      </x:c>
      <x:c r="J202" s="90" t="n">
        <x:v>-15659485.85</x:v>
      </x:c>
      <x:c r="K202" s="90" t="n">
        <x:v>-397964.69</x:v>
      </x:c>
      <x:c r="L202" s="90" t="n">
        <x:v>0</x:v>
      </x:c>
      <x:c r="M202" s="90" t="n">
        <x:v>-3500779.72</x:v>
      </x:c>
      <x:c r="N202" s="90" t="n">
        <x:v>-5014588.16</x:v>
      </x:c>
      <x:c r="O202" s="90" t="n">
        <x:v>-23024162.74</x:v>
      </x:c>
      <x:c r="P202" s="90" t="n">
        <x:v>3283440.05</x:v>
      </x:c>
      <x:c r="Q202" s="90" t="n">
        <x:v>-649608.79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25">
      <x:c r="E203" s="89" t="s">
        <x:v>73</x:v>
      </x:c>
      <x:c r="F203" s="90" t="n">
        <x:v>5200539.08</x:v>
      </x:c>
      <x:c r="G203" s="90" t="n">
        <x:v>4284652.66</x:v>
      </x:c>
      <x:c r="H203" s="90" t="n">
        <x:v>2271169.16</x:v>
      </x:c>
      <x:c r="I203" s="90" t="n">
        <x:v>1160829.6</x:v>
      </x:c>
      <x:c r="J203" s="90" t="n">
        <x:v>-3512101.13</x:v>
      </x:c>
      <x:c r="K203" s="90" t="n">
        <x:v>-95526.76</x:v>
      </x:c>
      <x:c r="L203" s="90" t="n">
        <x:v>0</x:v>
      </x:c>
      <x:c r="M203" s="90" t="n">
        <x:v>-838541.47</x:v>
      </x:c>
      <x:c r="N203" s="90" t="n">
        <x:v>-1042638.62</x:v>
      </x:c>
      <x:c r="O203" s="90" t="n">
        <x:v>-5481137.81</x:v>
      </x:c>
      <x:c r="P203" s="90" t="n">
        <x:v>8609797.88</x:v>
      </x:c>
      <x:c r="Q203" s="90" t="n">
        <x:v>-155964.43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25">
      <x:c r="D204" s="89" t="s">
        <x:v>86</x:v>
      </x:c>
      <x:c r="E204" s="89" t="s">
        <x:v>70</x:v>
      </x:c>
      <x:c r="F204" s="90" t="n">
        <x:v>5200539.08</x:v>
      </x:c>
      <x:c r="G204" s="90" t="n">
        <x:v>4284652.66</x:v>
      </x:c>
      <x:c r="H204" s="90" t="n">
        <x:v>2271169.16</x:v>
      </x:c>
      <x:c r="I204" s="90" t="n">
        <x:v>1160829.6</x:v>
      </x:c>
      <x:c r="J204" s="90" t="n">
        <x:v>-3512101.13</x:v>
      </x:c>
      <x:c r="K204" s="90" t="n">
        <x:v>-95526.76</x:v>
      </x:c>
      <x:c r="L204" s="90" t="n">
        <x:v>0</x:v>
      </x:c>
      <x:c r="M204" s="90" t="n">
        <x:v>-838541.47</x:v>
      </x:c>
      <x:c r="N204" s="90" t="n">
        <x:v>-1042638.62</x:v>
      </x:c>
      <x:c r="O204" s="90" t="n">
        <x:v>-5481137.81</x:v>
      </x:c>
      <x:c r="P204" s="90" t="n">
        <x:v>8609797.88</x:v>
      </x:c>
      <x:c r="Q204" s="90" t="n">
        <x:v>-155964.43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25">
      <x:c r="E205" s="89" t="s">
        <x:v>73</x:v>
      </x:c>
      <x:c r="F205" s="90" t="n">
        <x:v>51817160.15</x:v>
      </x:c>
      <x:c r="G205" s="90" t="n">
        <x:v>15021525.93</x:v>
      </x:c>
      <x:c r="H205" s="90" t="n">
        <x:v>8504894.69</x:v>
      </x:c>
      <x:c r="I205" s="90" t="n">
        <x:v>4570984.68</x:v>
      </x:c>
      <x:c r="J205" s="90" t="n">
        <x:v>-1718924.16</x:v>
      </x:c>
      <x:c r="K205" s="90" t="n">
        <x:v>-58626.77</x:v>
      </x:c>
      <x:c r="L205" s="90" t="n">
        <x:v>0</x:v>
      </x:c>
      <x:c r="M205" s="90" t="n">
        <x:v>-521631.88</x:v>
      </x:c>
      <x:c r="N205" s="90" t="n">
        <x:v>-773257.11</x:v>
      </x:c>
      <x:c r="O205" s="90" t="n">
        <x:v>-3589904.61</x:v>
      </x:c>
      <x:c r="P205" s="90" t="n">
        <x:v>30477829.46</x:v>
      </x:c>
      <x:c r="Q205" s="90" t="n">
        <x:v>-95730.08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25">
      <x:c r="D206" s="89" t="s">
        <x:v>87</x:v>
      </x:c>
      <x:c r="E206" s="89" t="s">
        <x:v>70</x:v>
      </x:c>
      <x:c r="F206" s="90" t="n">
        <x:v>51817160.15</x:v>
      </x:c>
      <x:c r="G206" s="90" t="n">
        <x:v>15021525.93</x:v>
      </x:c>
      <x:c r="H206" s="90" t="n">
        <x:v>8504894.69</x:v>
      </x:c>
      <x:c r="I206" s="90" t="n">
        <x:v>4570984.68</x:v>
      </x:c>
      <x:c r="J206" s="90" t="n">
        <x:v>-1718924.16</x:v>
      </x:c>
      <x:c r="K206" s="90" t="n">
        <x:v>-58626.77</x:v>
      </x:c>
      <x:c r="L206" s="90" t="n">
        <x:v>0</x:v>
      </x:c>
      <x:c r="M206" s="90" t="n">
        <x:v>-521631.88</x:v>
      </x:c>
      <x:c r="N206" s="90" t="n">
        <x:v>-773257.11</x:v>
      </x:c>
      <x:c r="O206" s="90" t="n">
        <x:v>-3589904.61</x:v>
      </x:c>
      <x:c r="P206" s="90" t="n">
        <x:v>30477829.46</x:v>
      </x:c>
      <x:c r="Q206" s="90" t="n">
        <x:v>-95730.08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25">
      <x:c r="C207" s="101" t="s">
        <x:v>119</x:v>
      </x:c>
      <x:c r="D207" s="101" t="s">
        <x:v>70</x:v>
      </x:c>
      <x:c r="F207" s="93" t="n">
        <x:v>15004530.85</x:v>
      </x:c>
      <x:c r="G207" s="93" t="n">
        <x:v>20858064.22</x:v>
      </x:c>
      <x:c r="H207" s="93" t="n">
        <x:v>11679814.93</x:v>
      </x:c>
      <x:c r="I207" s="93" t="n">
        <x:v>6226159.09</x:v>
      </x:c>
      <x:c r="J207" s="93" t="n">
        <x:v>-20890511.14</x:v>
      </x:c>
      <x:c r="K207" s="93" t="n">
        <x:v>-552118.22</x:v>
      </x:c>
      <x:c r="L207" s="93" t="n">
        <x:v>0</x:v>
      </x:c>
      <x:c r="M207" s="93" t="n">
        <x:v>-4860953.07</x:v>
      </x:c>
      <x:c r="N207" s="93" t="n">
        <x:v>-6830483.89</x:v>
      </x:c>
      <x:c r="O207" s="93" t="n">
        <x:v>-32095205.16</x:v>
      </x:c>
      <x:c r="P207" s="93" t="n">
        <x:v>42371067.39</x:v>
      </x:c>
      <x:c r="Q207" s="93" t="n">
        <x:v>-901303.3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25">
      <x:c r="B208" s="98" t="s">
        <x:v>112</x:v>
      </x:c>
      <x:c r="C208" s="98" t="s">
        <x:v>70</x:v>
      </x:c>
      <x:c r="F208" s="100" t="n">
        <x:v>-5005527827.01</x:v>
      </x:c>
      <x:c r="G208" s="100" t="n">
        <x:v>-99908831.27</x:v>
      </x:c>
      <x:c r="H208" s="100" t="n">
        <x:v>-55967769.39</x:v>
      </x:c>
      <x:c r="I208" s="100" t="n">
        <x:v>-28966630.94</x:v>
      </x:c>
      <x:c r="J208" s="100" t="n">
        <x:v>-1385560969.76</x:v>
      </x:c>
      <x:c r="K208" s="100" t="n">
        <x:v>-53134928.54</x:v>
      </x:c>
      <x:c r="L208" s="100" t="n">
        <x:v>0</x:v>
      </x:c>
      <x:c r="M208" s="100" t="n">
        <x:v>-466160953.38</x:v>
      </x:c>
      <x:c r="N208" s="100" t="n">
        <x:v>-461826674.35</x:v>
      </x:c>
      <x:c r="O208" s="100" t="n">
        <x:v>-2177521437.93</x:v>
      </x:c>
      <x:c r="P208" s="100" t="n">
        <x:v>-189781886.64</x:v>
      </x:c>
      <x:c r="Q208" s="100" t="n">
        <x:v>-86697744.81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25">
      <x:c r="A209" s="89" t="s">
        <x:v>79</x:v>
      </x:c>
      <x:c r="B209" s="89" t="s">
        <x:v>70</x:v>
      </x:c>
      <x:c r="F209" s="90" t="n">
        <x:v>-4979731188.64</x:v>
      </x:c>
      <x:c r="G209" s="90" t="n">
        <x:v>-93232626</x:v>
      </x:c>
      <x:c r="H209" s="90" t="n">
        <x:v>-52193617.27</x:v>
      </x:c>
      <x:c r="I209" s="90" t="n">
        <x:v>-26966917.01</x:v>
      </x:c>
      <x:c r="J209" s="90" t="n">
        <x:v>-1385576929.82</x:v>
      </x:c>
      <x:c r="K209" s="90" t="n">
        <x:v>-53135662.16</x:v>
      </x:c>
      <x:c r="L209" s="90" t="n">
        <x:v>0</x:v>
      </x:c>
      <x:c r="M209" s="90" t="n">
        <x:v>-466167388.65</x:v>
      </x:c>
      <x:c r="N209" s="90" t="n">
        <x:v>-461831331.14</x:v>
      </x:c>
      <x:c r="O209" s="90" t="n">
        <x:v>-2177542694.93</x:v>
      </x:c>
      <x:c r="P209" s="90" t="n">
        <x:v>-176385079.87</x:v>
      </x:c>
      <x:c r="Q209" s="90" t="n">
        <x:v>-86698941.79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25">
      <x:c r="A210" s="89" t="s">
        <x:v>70</x:v>
      </x:c>
      <x:c r="F210" s="90" t="n">
        <x:v>20461912832</x:v>
      </x:c>
      <x:c r="G210" s="90" t="n">
        <x:v>1489603908.23</x:v>
      </x:c>
      <x:c r="H210" s="90" t="n">
        <x:v>835508760.55</x:v>
      </x:c>
      <x:c r="I210" s="90" t="n">
        <x:v>439000694.2</x:v>
      </x:c>
      <x:c r="J210" s="90" t="n">
        <x:v>4385536752.05</x:v>
      </x:c>
      <x:c r="K210" s="90" t="n">
        <x:v>167957450.38</x:v>
      </x:c>
      <x:c r="L210" s="90" t="n">
        <x:v>53454221.28</x:v>
      </x:c>
      <x:c r="M210" s="90" t="n">
        <x:v>1471515426.02</x:v>
      </x:c>
      <x:c r="N210" s="90" t="n">
        <x:v>1470631622.39</x:v>
      </x:c>
      <x:c r="O210" s="90" t="n">
        <x:v>6928810826.08</x:v>
      </x:c>
      <x:c r="P210" s="90" t="n">
        <x:v>2945232863.93</x:v>
      </x:c>
      <x:c r="Q210" s="90" t="n">
        <x:v>274573739.48</x:v>
      </x:c>
      <x:c r="R210" s="90" t="n">
        <x:v>86690.62</x:v>
      </x:c>
      <x:c r="S210" s="90" t="n">
        <x:v>-83.63</x:v>
      </x:c>
      <x:c r="T210" s="90" t="n">
        <x:v>4.18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-43.76</x:v>
      </x:c>
    </x:row>
    <x:row r="211" spans="1:26" ht="12.75" customHeight="1" x14ac:dyDescent="0.25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5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5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5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5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5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5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5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5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5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5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5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5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5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5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5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5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5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5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5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5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5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5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5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5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5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5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5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5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5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5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5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5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5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5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5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5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5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5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5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5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5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5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5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5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5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5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5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5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5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5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5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5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5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5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5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5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5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5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5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5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5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5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5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5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5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5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5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5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5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5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5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5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5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5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5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5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5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5">
      <x:c r="E289" s="89" t="s">
        <x:v>72</x:v>
      </x:c>
      <x:c r="F289" s="371" t="n">
        <x:v>-16458.46</x:v>
      </x:c>
      <x:c r="G289" s="90" t="n">
        <x:v>-1490.88</x:v>
      </x:c>
      <x:c r="H289" s="90" t="n">
        <x:v>-633.39</x:v>
      </x:c>
      <x:c r="I289" s="90" t="n">
        <x:v>-276.6</x:v>
      </x:c>
      <x:c r="J289" s="90" t="n">
        <x:v>-3142.56</x:v>
      </x:c>
      <x:c r="K289" s="90" t="n">
        <x:v>-129.48</x:v>
      </x:c>
      <x:c r="L289" s="90" t="n">
        <x:v>0</x:v>
      </x:c>
      <x:c r="M289" s="90" t="n">
        <x:v>-1135.68</x:v>
      </x:c>
      <x:c r="N289" s="90" t="n">
        <x:v>-1423.48</x:v>
      </x:c>
      <x:c r="O289" s="90" t="n">
        <x:v>-4781.43</x:v>
      </x:c>
      <x:c r="P289" s="90" t="n">
        <x:v>-3233.73</x:v>
      </x:c>
      <x:c r="Q289" s="90" t="n">
        <x:v>-211.23</x:v>
      </x:c>
      <x:c r="R289" s="90" t="n">
        <x:v>0</x:v>
      </x:c>
      <x:c r="S289" s="90" t="n">
        <x:v>0</x:v>
      </x:c>
      <x:c r="T289" t="n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5">
      <x:c r="D290" t="s">
        <x:v>156</x:v>
      </x:c>
      <x:c r="E290" s="89" t="s">
        <x:v>70</x:v>
      </x:c>
      <x:c r="F290" s="371">
        <x:v>0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5">
      <x:c r="C291" s="286" t="s">
        <x:v>155</x:v>
      </x:c>
      <x:c r="D291" s="286" t="s">
        <x:v>70</x:v>
      </x:c>
      <x:c r="E291" s="229"/>
      <x:c r="F291" s="229">
        <x:v>0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5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5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5">
      <x:c r="E294" s="89" t="s">
        <x:v>72</x:v>
      </x:c>
      <x:c r="F294" s="371">
        <x:v>0</x:v>
      </x:c>
      <x:c r="G294" s="90">
        <x:v>0</x:v>
      </x:c>
      <x:c r="H294" s="90">
        <x:v>0</x:v>
      </x:c>
      <x:c r="I294" s="90">
        <x:v>0</x:v>
      </x:c>
      <x:c r="J294" s="90">
        <x:v>0</x:v>
      </x:c>
      <x:c r="K294" s="90">
        <x:v>0</x:v>
      </x:c>
      <x:c r="L294" s="90">
        <x:v>0</x:v>
      </x:c>
      <x:c r="M294" s="90">
        <x:v>0</x:v>
      </x:c>
      <x:c r="N294" s="90">
        <x:v>0</x:v>
      </x:c>
      <x:c r="O294" s="90">
        <x:v>0</x:v>
      </x:c>
      <x:c r="P294" s="90">
        <x:v>0</x:v>
      </x:c>
      <x:c r="Q294" s="90">
        <x:v>0</x:v>
      </x:c>
      <x:c r="R294" s="90">
        <x:v>0</x:v>
      </x:c>
      <x:c r="S294" s="90">
        <x:v>0</x:v>
      </x:c>
      <x:c r="T294" s="90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5">
      <x:c r="D295" t="s">
        <x:v>86</x:v>
      </x:c>
      <x:c r="E295" s="89" t="s">
        <x:v>70</x:v>
      </x:c>
      <x:c r="F295" s="371" t="n">
        <x:v>-16458.46</x:v>
      </x:c>
      <x:c r="G295" s="90" t="n">
        <x:v>-1490.88</x:v>
      </x:c>
      <x:c r="H295" s="90" t="n">
        <x:v>-633.39</x:v>
      </x:c>
      <x:c r="I295" s="90" t="n">
        <x:v>-276.6</x:v>
      </x:c>
      <x:c r="J295" s="90" t="n">
        <x:v>-3142.56</x:v>
      </x:c>
      <x:c r="K295" s="90" t="n">
        <x:v>-129.48</x:v>
      </x:c>
      <x:c r="L295" s="90" t="n">
        <x:v>0</x:v>
      </x:c>
      <x:c r="M295" s="90" t="n">
        <x:v>-1135.68</x:v>
      </x:c>
      <x:c r="N295" s="90" t="n">
        <x:v>-1423.48</x:v>
      </x:c>
      <x:c r="O295" s="90" t="n">
        <x:v>-4781.43</x:v>
      </x:c>
      <x:c r="P295" s="90" t="n">
        <x:v>-3233.73</x:v>
      </x:c>
      <x:c r="Q295" s="90" t="n">
        <x:v>-211.23</x:v>
      </x:c>
      <x:c r="R295" s="90" t="n">
        <x:v>0</x:v>
      </x:c>
      <x:c r="S295" s="90" t="n">
        <x:v>0</x:v>
      </x:c>
      <x:c r="T295" s="90" t="n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5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5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5">
      <x:c r="C298" s="101" t="s">
        <x:v>119</x:v>
      </x:c>
      <x:c r="D298" s="101" t="s">
        <x:v>70</x:v>
      </x:c>
      <x:c r="F298" s="93" t="n">
        <x:v>-16458.46</x:v>
      </x:c>
      <x:c r="G298" s="93" t="n">
        <x:v>-1490.88</x:v>
      </x:c>
      <x:c r="H298" s="93" t="n">
        <x:v>-633.39</x:v>
      </x:c>
      <x:c r="I298" s="93" t="n">
        <x:v>-276.6</x:v>
      </x:c>
      <x:c r="J298" s="93" t="n">
        <x:v>-3142.56</x:v>
      </x:c>
      <x:c r="K298" s="93" t="n">
        <x:v>-129.48</x:v>
      </x:c>
      <x:c r="L298" s="93" t="n">
        <x:v>0</x:v>
      </x:c>
      <x:c r="M298" s="93" t="n">
        <x:v>-1135.68</x:v>
      </x:c>
      <x:c r="N298" s="93" t="n">
        <x:v>-1423.48</x:v>
      </x:c>
      <x:c r="O298" s="93" t="n">
        <x:v>-4781.43</x:v>
      </x:c>
      <x:c r="P298" s="93" t="n">
        <x:v>-3233.73</x:v>
      </x:c>
      <x:c r="Q298" s="93" t="n">
        <x:v>-211.23</x:v>
      </x:c>
      <x:c r="R298" s="93" t="n">
        <x:v>0</x:v>
      </x:c>
      <x:c r="S298" s="93" t="n">
        <x:v>0</x:v>
      </x:c>
      <x:c r="T298" s="94" t="n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5">
      <x:c r="B299" t="s">
        <x:v>112</x:v>
      </x:c>
      <x:c r="C299" t="s">
        <x:v>70</x:v>
      </x:c>
      <x:c r="E299" s="89"/>
      <x:c r="F299" s="371" t="n">
        <x:v>-16458.46</x:v>
      </x:c>
      <x:c r="G299" s="90" t="n">
        <x:v>-1490.88</x:v>
      </x:c>
      <x:c r="H299" s="90" t="n">
        <x:v>-633.39</x:v>
      </x:c>
      <x:c r="I299" s="90" t="n">
        <x:v>-276.6</x:v>
      </x:c>
      <x:c r="J299" s="90" t="n">
        <x:v>-3142.56</x:v>
      </x:c>
      <x:c r="K299" s="90" t="n">
        <x:v>-129.48</x:v>
      </x:c>
      <x:c r="L299" s="90" t="n">
        <x:v>0</x:v>
      </x:c>
      <x:c r="M299" s="90" t="n">
        <x:v>-1135.68</x:v>
      </x:c>
      <x:c r="N299" s="90" t="n">
        <x:v>-1423.48</x:v>
      </x:c>
      <x:c r="O299" s="90" t="n">
        <x:v>-4781.43</x:v>
      </x:c>
      <x:c r="P299" s="90" t="n">
        <x:v>-3233.73</x:v>
      </x:c>
      <x:c r="Q299" s="90" t="n">
        <x:v>-211.23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5">
      <x:c r="A300" s="458" t="s">
        <x:v>186</x:v>
      </x:c>
      <x:c r="B300" s="458" t="s">
        <x:v>70</x:v>
      </x:c>
      <x:c r="F300" s="458" t="n">
        <x:v>-16458.46</x:v>
      </x:c>
      <x:c r="G300" s="458" t="n">
        <x:v>-1490.88</x:v>
      </x:c>
      <x:c r="H300" s="458" t="n">
        <x:v>-633.39</x:v>
      </x:c>
      <x:c r="I300" s="458" t="n">
        <x:v>-276.6</x:v>
      </x:c>
      <x:c r="J300" s="458" t="n">
        <x:v>-3142.56</x:v>
      </x:c>
      <x:c r="K300" s="458" t="n">
        <x:v>-129.48</x:v>
      </x:c>
      <x:c r="L300" s="458" t="n">
        <x:v>0</x:v>
      </x:c>
      <x:c r="M300" s="458" t="n">
        <x:v>-1135.68</x:v>
      </x:c>
      <x:c r="N300" s="458" t="n">
        <x:v>-1423.48</x:v>
      </x:c>
      <x:c r="O300" s="458" t="n">
        <x:v>-4781.43</x:v>
      </x:c>
      <x:c r="P300" s="458" t="n">
        <x:v>-3233.73</x:v>
      </x:c>
      <x:c r="Q300" s="458" t="n">
        <x:v>-211.23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5">
      <x:c r="E301" t="s">
        <x:v>72</x:v>
      </x:c>
      <x:c r="F301" s="90" t="n">
        <x:v>708630.34</x:v>
      </x:c>
      <x:c r="G301" s="90" t="n">
        <x:v>154391.82</x:v>
      </x:c>
      <x:c r="H301" s="90" t="n">
        <x:v>67732.48</x:v>
      </x:c>
      <x:c r="I301" s="90" t="n">
        <x:v>38607.32</x:v>
      </x:c>
      <x:c r="J301" s="90" t="n">
        <x:v>34161.95</x:v>
      </x:c>
      <x:c r="K301" s="90" t="n">
        <x:v>712.93</x:v>
      </x:c>
      <x:c r="L301" s="90" t="n">
        <x:v>0</x:v>
      </x:c>
      <x:c r="M301" s="90" t="n">
        <x:v>6253.82</x:v>
      </x:c>
      <x:c r="N301" s="90" t="n">
        <x:v>7559.81</x:v>
      </x:c>
      <x:c r="O301" s="90" t="n">
        <x:v>35312.7</x:v>
      </x:c>
      <x:c r="P301" s="90" t="n">
        <x:v>362741.55</x:v>
      </x:c>
      <x:c r="Q301" s="90" t="n">
        <x:v>1163.2</x:v>
      </x:c>
      <x:c r="R301" s="90" t="n">
        <x:v>-7.24</x:v>
      </x:c>
      <x:c r="S301" s="90" t="n">
        <x:v>0</x:v>
      </x:c>
      <x:c r="T301" s="90" t="n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5">
      <x:c r="E302" t="s">
        <x:v>81</x:v>
      </x:c>
      <x:c r="F302" s="90" t="n">
        <x:v>-28092.31</x:v>
      </x:c>
      <x:c r="G302" s="90" t="n">
        <x:v>-6793.44</x:v>
      </x:c>
      <x:c r="H302" s="90" t="n">
        <x:v>-1591.52</x:v>
      </x:c>
      <x:c r="I302" s="90" t="n">
        <x:v>-1315.75</x:v>
      </x:c>
      <x:c r="J302" s="90" t="n">
        <x:v>-589.87</x:v>
      </x:c>
      <x:c r="K302" s="90" t="n">
        <x:v>-30.48</x:v>
      </x:c>
      <x:c r="L302" s="90" t="n">
        <x:v>0</x:v>
      </x:c>
      <x:c r="M302" s="90" t="n">
        <x:v>-262.59</x:v>
      </x:c>
      <x:c r="N302" s="90" t="n">
        <x:v>-266.56</x:v>
      </x:c>
      <x:c r="O302" s="90" t="n">
        <x:v>-1393.61</x:v>
      </x:c>
      <x:c r="P302" s="90" t="n">
        <x:v>-15798.65</x:v>
      </x:c>
      <x:c r="Q302" s="90" t="n">
        <x:v>-49.83</x:v>
      </x:c>
      <x:c r="R302" s="90" t="n">
        <x:v>-0.71</x:v>
      </x:c>
      <x:c r="S302" s="90" t="n">
        <x:v>0.7</x:v>
      </x:c>
      <x:c r="T302" s="90" t="n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5">
      <x:c r="D303" t="s">
        <x:v>156</x:v>
      </x:c>
      <x:c r="E303" t="s">
        <x:v>70</x:v>
      </x:c>
      <x:c r="F303" s="90" t="n">
        <x:v>680538.03</x:v>
      </x:c>
      <x:c r="G303" s="90" t="n">
        <x:v>147598.38</x:v>
      </x:c>
      <x:c r="H303" s="90" t="n">
        <x:v>66140.96</x:v>
      </x:c>
      <x:c r="I303" s="90" t="n">
        <x:v>37291.57</x:v>
      </x:c>
      <x:c r="J303" s="90" t="n">
        <x:v>33572.08</x:v>
      </x:c>
      <x:c r="K303" s="90" t="n">
        <x:v>682.45</x:v>
      </x:c>
      <x:c r="L303" s="90" t="n">
        <x:v>0</x:v>
      </x:c>
      <x:c r="M303" s="90" t="n">
        <x:v>5991.23</x:v>
      </x:c>
      <x:c r="N303" s="90" t="n">
        <x:v>7293.25</x:v>
      </x:c>
      <x:c r="O303" s="90" t="n">
        <x:v>33919.09</x:v>
      </x:c>
      <x:c r="P303" s="90" t="n">
        <x:v>346942.9</x:v>
      </x:c>
      <x:c r="Q303" s="90" t="n">
        <x:v>1113.37</x:v>
      </x:c>
      <x:c r="R303" s="90" t="n">
        <x:v>-7.95</x:v>
      </x:c>
      <x:c r="S303" s="90" t="n">
        <x:v>0.7</x:v>
      </x:c>
      <x:c r="T303" s="90" t="n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5">
      <x:c r="C304" s="286" t="s">
        <x:v>155</x:v>
      </x:c>
      <x:c r="D304" s="286" t="s">
        <x:v>70</x:v>
      </x:c>
      <x:c r="F304" s="230" t="n">
        <x:v>680538.03</x:v>
      </x:c>
      <x:c r="G304" s="230" t="n">
        <x:v>147598.38</x:v>
      </x:c>
      <x:c r="H304" s="230" t="n">
        <x:v>66140.96</x:v>
      </x:c>
      <x:c r="I304" s="230" t="n">
        <x:v>37291.57</x:v>
      </x:c>
      <x:c r="J304" s="230" t="n">
        <x:v>33572.08</x:v>
      </x:c>
      <x:c r="K304" s="230" t="n">
        <x:v>682.45</x:v>
      </x:c>
      <x:c r="L304" s="230" t="n">
        <x:v>0</x:v>
      </x:c>
      <x:c r="M304" s="230" t="n">
        <x:v>5991.23</x:v>
      </x:c>
      <x:c r="N304" s="230" t="n">
        <x:v>7293.25</x:v>
      </x:c>
      <x:c r="O304" s="230" t="n">
        <x:v>33919.09</x:v>
      </x:c>
      <x:c r="P304" s="230" t="n">
        <x:v>346942.9</x:v>
      </x:c>
      <x:c r="Q304" s="230" t="n">
        <x:v>1113.37</x:v>
      </x:c>
      <x:c r="R304" s="230" t="n">
        <x:v>-7.95</x:v>
      </x:c>
      <x:c r="S304" s="230" t="n">
        <x:v>0.7</x:v>
      </x:c>
      <x:c r="T304" s="230" t="n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5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5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5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5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5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5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5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5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5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5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5">
      <x:c r="B315" s="378" t="s">
        <x:v>122</x:v>
      </x:c>
      <x:c r="C315" s="378" t="s">
        <x:v>70</x:v>
      </x:c>
      <x:c r="E315" s="376"/>
      <x:c r="F315" s="710" t="n">
        <x:v>680538.03</x:v>
      </x:c>
      <x:c r="G315" s="377" t="n">
        <x:v>147598.38</x:v>
      </x:c>
      <x:c r="H315" s="377" t="n">
        <x:v>66140.96</x:v>
      </x:c>
      <x:c r="I315" s="377" t="n">
        <x:v>37291.57</x:v>
      </x:c>
      <x:c r="J315" s="377" t="n">
        <x:v>33572.08</x:v>
      </x:c>
      <x:c r="K315" s="377" t="n">
        <x:v>682.45</x:v>
      </x:c>
      <x:c r="L315" s="377" t="n">
        <x:v>0</x:v>
      </x:c>
      <x:c r="M315" s="377" t="n">
        <x:v>5991.23</x:v>
      </x:c>
      <x:c r="N315" s="377" t="n">
        <x:v>7293.25</x:v>
      </x:c>
      <x:c r="O315" s="377" t="n">
        <x:v>33919.09</x:v>
      </x:c>
      <x:c r="P315" s="377" t="n">
        <x:v>346942.9</x:v>
      </x:c>
      <x:c r="Q315" s="377" t="n">
        <x:v>1113.37</x:v>
      </x:c>
      <x:c r="R315" s="377" t="n">
        <x:v>-7.95</x:v>
      </x:c>
      <x:c r="S315" s="377" t="n">
        <x:v>0.7</x:v>
      </x:c>
      <x:c r="T315" s="378" t="n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5">
      <x:c r="E316" s="89" t="s">
        <x:v>72</x:v>
      </x:c>
      <x:c r="F316" s="371" t="n">
        <x:v>15096517648.35</x:v>
      </x:c>
      <x:c r="G316" s="90" t="n">
        <x:v>986083820.58</x:v>
      </x:c>
      <x:c r="H316" s="90" t="n">
        <x:v>556264737.84</x:v>
      </x:c>
      <x:c r="I316" s="90" t="n">
        <x:v>292216144.65</x:v>
      </x:c>
      <x:c r="J316" s="90" t="n">
        <x:v>3383033480.69</x:v>
      </x:c>
      <x:c r="K316" s="90" t="n">
        <x:v>124575730.62</x:v>
      </x:c>
      <x:c r="L316" s="90" t="n">
        <x:v>13002955.74</x:v>
      </x:c>
      <x:c r="M316" s="90" t="n">
        <x:v>1092560714.08</x:v>
      </x:c>
      <x:c r="N316" s="90" t="n">
        <x:v>1073084147.96</x:v>
      </x:c>
      <x:c r="O316" s="90" t="n">
        <x:v>5079136809.41</x:v>
      </x:c>
      <x:c r="P316" s="90" t="n">
        <x:v>2292957176.78</x:v>
      </x:c>
      <x:c r="Q316" s="90" t="n">
        <x:v>203354446.14</x:v>
      </x:c>
      <x:c r="R316" s="90" t="n">
        <x:v>247483.86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5">
      <x:c r="E317" s="89" t="s">
        <x:v>81</x:v>
      </x:c>
      <x:c r="F317" s="371" t="n">
        <x:v>10545941.32</x:v>
      </x:c>
      <x:c r="G317" s="90" t="n">
        <x:v>1038362.66</x:v>
      </x:c>
      <x:c r="H317" s="90" t="n">
        <x:v>533249.21</x:v>
      </x:c>
      <x:c r="I317" s="90" t="n">
        <x:v>288289.95</x:v>
      </x:c>
      <x:c r="J317" s="90" t="n">
        <x:v>1924110.4</x:v>
      </x:c>
      <x:c r="K317" s="90" t="n">
        <x:v>76933.02</x:v>
      </x:c>
      <x:c r="L317" s="90" t="n">
        <x:v>4877.39</x:v>
      </x:c>
      <x:c r="M317" s="90" t="n">
        <x:v>673575.76</x:v>
      </x:c>
      <x:c r="N317" s="90" t="n">
        <x:v>623833.91</x:v>
      </x:c>
      <x:c r="O317" s="90" t="n">
        <x:v>2833518.84</x:v>
      </x:c>
      <x:c r="P317" s="90" t="n">
        <x:v>2423341.07</x:v>
      </x:c>
      <x:c r="Q317" s="90" t="n">
        <x:v>125834.39</x:v>
      </x:c>
      <x:c r="R317" s="90" t="n">
        <x:v>14.48</x:v>
      </x:c>
      <x:c r="S317" s="90" t="n">
        <x:v>-0.27</x:v>
      </x:c>
      <x:c r="T317" t="n">
        <x:v>0.51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5">
      <x:c r="D318" t="s">
        <x:v>156</x:v>
      </x:c>
      <x:c r="E318" s="89" t="s">
        <x:v>70</x:v>
      </x:c>
      <x:c r="F318" s="90" t="n">
        <x:v>15107063589.67</x:v>
      </x:c>
      <x:c r="G318" s="90" t="n">
        <x:v>987122183.24</x:v>
      </x:c>
      <x:c r="H318" s="90" t="n">
        <x:v>556797987.05</x:v>
      </x:c>
      <x:c r="I318" s="90" t="n">
        <x:v>292504434.6</x:v>
      </x:c>
      <x:c r="J318" s="90" t="n">
        <x:v>3384957591.09</x:v>
      </x:c>
      <x:c r="K318" s="90" t="n">
        <x:v>124652663.64</x:v>
      </x:c>
      <x:c r="L318" s="90" t="n">
        <x:v>13007833.13</x:v>
      </x:c>
      <x:c r="M318" s="90" t="n">
        <x:v>1093234289.84</x:v>
      </x:c>
      <x:c r="N318" s="90" t="n">
        <x:v>1073707981.87</x:v>
      </x:c>
      <x:c r="O318" s="90" t="n">
        <x:v>5081970328.25</x:v>
      </x:c>
      <x:c r="P318" s="90" t="n">
        <x:v>2295380517.85</x:v>
      </x:c>
      <x:c r="Q318" s="90" t="n">
        <x:v>203480280.53</x:v>
      </x:c>
      <x:c r="R318" s="90" t="n">
        <x:v>247498.34</x:v>
      </x:c>
      <x:c r="S318" s="90" t="n">
        <x:v>-0.27</x:v>
      </x:c>
      <x:c r="T318" t="n">
        <x:v>0.51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5">
      <x:c r="C319" s="286" t="s">
        <x:v>155</x:v>
      </x:c>
      <x:c r="D319" s="286" t="s">
        <x:v>70</x:v>
      </x:c>
      <x:c r="E319" s="229"/>
      <x:c r="F319" s="229" t="n">
        <x:v>15107063589.67</x:v>
      </x:c>
      <x:c r="G319" s="230" t="n">
        <x:v>987122183.24</x:v>
      </x:c>
      <x:c r="H319" s="230" t="n">
        <x:v>556797987.05</x:v>
      </x:c>
      <x:c r="I319" s="230" t="n">
        <x:v>292504434.6</x:v>
      </x:c>
      <x:c r="J319" s="230" t="n">
        <x:v>3384957591.09</x:v>
      </x:c>
      <x:c r="K319" s="230" t="n">
        <x:v>124652663.64</x:v>
      </x:c>
      <x:c r="L319" s="230" t="n">
        <x:v>13007833.13</x:v>
      </x:c>
      <x:c r="M319" s="230" t="n">
        <x:v>1093234289.84</x:v>
      </x:c>
      <x:c r="N319" s="230" t="n">
        <x:v>1073707981.87</x:v>
      </x:c>
      <x:c r="O319" s="230" t="n">
        <x:v>5081970328.25</x:v>
      </x:c>
      <x:c r="P319" s="230" t="n">
        <x:v>2295380517.85</x:v>
      </x:c>
      <x:c r="Q319" s="230" t="n">
        <x:v>203480280.53</x:v>
      </x:c>
      <x:c r="R319" s="230" t="n">
        <x:v>247498.34</x:v>
      </x:c>
      <x:c r="S319" s="230" t="n">
        <x:v>-0.27</x:v>
      </x:c>
      <x:c r="T319" s="230" t="n">
        <x:v>0.51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5">
      <x:c r="E320" s="89" t="s">
        <x:v>72</x:v>
      </x:c>
      <x:c r="F320" s="90" t="n">
        <x:v>40878487.19</x:v>
      </x:c>
      <x:c r="G320" s="90" t="n">
        <x:v>3446945.39</x:v>
      </x:c>
      <x:c r="H320" s="90" t="n">
        <x:v>1924005.87</x:v>
      </x:c>
      <x:c r="I320" s="90" t="n">
        <x:v>1015077.18</x:v>
      </x:c>
      <x:c r="J320" s="90" t="n">
        <x:v>7716071.44</x:v>
      </x:c>
      <x:c r="K320" s="90" t="n">
        <x:v>227005.61</x:v>
      </x:c>
      <x:c r="L320" s="90" t="n">
        <x:v>555000</x:v>
      </x:c>
      <x:c r="M320" s="90" t="n">
        <x:v>1990701.79</x:v>
      </x:c>
      <x:c r="N320" s="90" t="n">
        <x:v>2736789.58</x:v>
      </x:c>
      <x:c r="O320" s="90" t="n">
        <x:v>12873670.36</x:v>
      </x:c>
      <x:c r="P320" s="90" t="n">
        <x:v>8021200.37</x:v>
      </x:c>
      <x:c r="Q320" s="90" t="n">
        <x:v>372120.69</x:v>
      </x:c>
      <x:c r="R320" s="90" t="n">
        <x:v>-101.09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5">
      <x:c r="E321" s="89" t="s">
        <x:v>81</x:v>
      </x:c>
      <x:c r="F321" s="90" t="n">
        <x:v>318692.2</x:v>
      </x:c>
      <x:c r="G321" s="90" t="n">
        <x:v>30211.23</x:v>
      </x:c>
      <x:c r="H321" s="90" t="n">
        <x:v>15701.33</x:v>
      </x:c>
      <x:c r="I321" s="90" t="n">
        <x:v>8539.9</x:v>
      </x:c>
      <x:c r="J321" s="90" t="n">
        <x:v>63724.63</x:v>
      </x:c>
      <x:c r="K321" s="90" t="n">
        <x:v>1745.16</x:v>
      </x:c>
      <x:c r="L321" s="90" t="n">
        <x:v>0</x:v>
      </x:c>
      <x:c r="M321" s="90" t="n">
        <x:v>15287.35</x:v>
      </x:c>
      <x:c r="N321" s="90" t="n">
        <x:v>19445.4</x:v>
      </x:c>
      <x:c r="O321" s="90" t="n">
        <x:v>90300.09</x:v>
      </x:c>
      <x:c r="P321" s="90" t="n">
        <x:v>70877.49</x:v>
      </x:c>
      <x:c r="Q321" s="90" t="n">
        <x:v>2859.23</x:v>
      </x:c>
      <x:c r="R321" s="90" t="n">
        <x:v>0.39</x:v>
      </x:c>
      <x:c r="S321" s="90" t="n">
        <x:v>0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5">
      <x:c r="D322" s="89" t="s">
        <x:v>82</x:v>
      </x:c>
      <x:c r="E322" s="89" t="s">
        <x:v>70</x:v>
      </x:c>
      <x:c r="F322" s="90" t="n">
        <x:v>41197179.39</x:v>
      </x:c>
      <x:c r="G322" s="90" t="n">
        <x:v>3477156.62</x:v>
      </x:c>
      <x:c r="H322" s="90" t="n">
        <x:v>1939707.2</x:v>
      </x:c>
      <x:c r="I322" s="90" t="n">
        <x:v>1023617.08</x:v>
      </x:c>
      <x:c r="J322" s="90" t="n">
        <x:v>7779796.07</x:v>
      </x:c>
      <x:c r="K322" s="90" t="n">
        <x:v>228750.77</x:v>
      </x:c>
      <x:c r="L322" s="90" t="n">
        <x:v>555000</x:v>
      </x:c>
      <x:c r="M322" s="90" t="n">
        <x:v>2005989.14</x:v>
      </x:c>
      <x:c r="N322" s="90" t="n">
        <x:v>2756234.98</x:v>
      </x:c>
      <x:c r="O322" s="90" t="n">
        <x:v>12963970.45</x:v>
      </x:c>
      <x:c r="P322" s="90" t="n">
        <x:v>8092077.86</x:v>
      </x:c>
      <x:c r="Q322" s="90" t="n">
        <x:v>374979.92</x:v>
      </x:c>
      <x:c r="R322" s="90" t="n">
        <x:v>-100.7</x:v>
      </x:c>
      <x:c r="S322" s="90" t="n">
        <x:v>0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5">
      <x:c r="D323" s="89"/>
      <x:c r="E323" s="89" t="s">
        <x:v>72</x:v>
      </x:c>
      <x:c r="F323" s="90" t="n">
        <x:v>69209800.26</x:v>
      </x:c>
      <x:c r="G323" s="90" t="n">
        <x:v>12538530.86</x:v>
      </x:c>
      <x:c r="H323" s="90" t="n">
        <x:v>6965189.59</x:v>
      </x:c>
      <x:c r="I323" s="90" t="n">
        <x:v>3652599.34</x:v>
      </x:c>
      <x:c r="J323" s="90" t="n">
        <x:v>4324043.14</x:v>
      </x:c>
      <x:c r="K323" s="90" t="n">
        <x:v>206038.85</x:v>
      </x:c>
      <x:c r="L323" s="90" t="n">
        <x:v>214446.82</x:v>
      </x:c>
      <x:c r="M323" s="90" t="n">
        <x:v>1800327.92</x:v>
      </x:c>
      <x:c r="N323" s="90" t="n">
        <x:v>1917677.87</x:v>
      </x:c>
      <x:c r="O323" s="90" t="n">
        <x:v>8540445.01</x:v>
      </x:c>
      <x:c r="P323" s="90" t="n">
        <x:v>28714805.34</x:v>
      </x:c>
      <x:c r="Q323" s="90" t="n">
        <x:v>336169.51</x:v>
      </x:c>
      <x:c r="R323" s="90" t="n">
        <x:v>-473.99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5">
      <x:c r="E324" s="89" t="s">
        <x:v>81</x:v>
      </x:c>
      <x:c r="F324" s="90" t="n">
        <x:v>2078878.19</x:v>
      </x:c>
      <x:c r="G324" s="90" t="n">
        <x:v>322796.84</x:v>
      </x:c>
      <x:c r="H324" s="90" t="n">
        <x:v>165004.04</x:v>
      </x:c>
      <x:c r="I324" s="90" t="n">
        <x:v>84856.97</x:v>
      </x:c>
      <x:c r="J324" s="90" t="n">
        <x:v>232240.7</x:v>
      </x:c>
      <x:c r="K324" s="90" t="n">
        <x:v>9929.08</x:v>
      </x:c>
      <x:c r="L324" s="90" t="n">
        <x:v>0</x:v>
      </x:c>
      <x:c r="M324" s="90" t="n">
        <x:v>86388.39</x:v>
      </x:c>
      <x:c r="N324" s="90" t="n">
        <x:v>85933.46</x:v>
      </x:c>
      <x:c r="O324" s="90" t="n">
        <x:v>322999.22</x:v>
      </x:c>
      <x:c r="P324" s="90" t="n">
        <x:v>752531.93</x:v>
      </x:c>
      <x:c r="Q324" s="90" t="n">
        <x:v>16197.29</x:v>
      </x:c>
      <x:c r="R324" s="90" t="n">
        <x:v>0.93</x:v>
      </x:c>
      <x:c r="S324" s="90" t="n">
        <x:v>-0.66</x:v>
      </x:c>
      <x:c r="T324" t="n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5">
      <x:c r="D325" s="89" t="s">
        <x:v>86</x:v>
      </x:c>
      <x:c r="E325" s="89" t="s">
        <x:v>70</x:v>
      </x:c>
      <x:c r="F325" s="90" t="n">
        <x:v>71288678.45</x:v>
      </x:c>
      <x:c r="G325" s="90" t="n">
        <x:v>12861327.7</x:v>
      </x:c>
      <x:c r="H325" s="90" t="n">
        <x:v>7130193.63</x:v>
      </x:c>
      <x:c r="I325" s="90" t="n">
        <x:v>3737456.31</x:v>
      </x:c>
      <x:c r="J325" s="90" t="n">
        <x:v>4556283.84</x:v>
      </x:c>
      <x:c r="K325" s="90" t="n">
        <x:v>215967.93</x:v>
      </x:c>
      <x:c r="L325" s="90" t="n">
        <x:v>214446.82</x:v>
      </x:c>
      <x:c r="M325" s="90" t="n">
        <x:v>1886716.31</x:v>
      </x:c>
      <x:c r="N325" s="90" t="n">
        <x:v>2003611.33</x:v>
      </x:c>
      <x:c r="O325" s="90" t="n">
        <x:v>8863444.23</x:v>
      </x:c>
      <x:c r="P325" s="90" t="n">
        <x:v>29467337.27</x:v>
      </x:c>
      <x:c r="Q325" s="90" t="n">
        <x:v>352366.8</x:v>
      </x:c>
      <x:c r="R325" s="90" t="n">
        <x:v>-473.06</x:v>
      </x:c>
      <x:c r="S325" s="90" t="n">
        <x:v>-0.66</x:v>
      </x:c>
      <x:c r="T325" t="n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5">
      <x:c r="E326" s="89" t="s">
        <x:v>72</x:v>
      </x:c>
      <x:c r="F326" s="90" t="n">
        <x:v>697315197.22</x:v>
      </x:c>
      <x:c r="G326" s="90" t="n">
        <x:v>147363354.47</x:v>
      </x:c>
      <x:c r="H326" s="90" t="n">
        <x:v>82950302.14</x:v>
      </x:c>
      <x:c r="I326" s="90" t="n">
        <x:v>43752954.45</x:v>
      </x:c>
      <x:c r="J326" s="90" t="n">
        <x:v>23778087.1</x:v>
      </x:c>
      <x:c r="K326" s="90" t="n">
        <x:v>672978.69</x:v>
      </x:c>
      <x:c r="L326" s="90" t="n">
        <x:v>528735</x:v>
      </x:c>
      <x:c r="M326" s="90" t="n">
        <x:v>5885001.11</x:v>
      </x:c>
      <x:c r="N326" s="90" t="n">
        <x:v>8402534.7</x:v>
      </x:c>
      <x:c r="O326" s="90" t="n">
        <x:v>39649711.49</x:v>
      </x:c>
      <x:c r="P326" s="90" t="n">
        <x:v>343233860.39</x:v>
      </x:c>
      <x:c r="Q326" s="90" t="n">
        <x:v>1098102.23</x:v>
      </x:c>
      <x:c r="R326" s="90" t="n">
        <x:v>-424.55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5">
      <x:c r="E327" s="89" t="s">
        <x:v>81</x:v>
      </x:c>
      <x:c r="F327" s="90" t="n">
        <x:v>15792661.47</x:v>
      </x:c>
      <x:c r="G327" s="90" t="n">
        <x:v>3529982.76</x:v>
      </x:c>
      <x:c r="H327" s="90" t="n">
        <x:v>1952902.6</x:v>
      </x:c>
      <x:c r="I327" s="90" t="n">
        <x:v>1038005.52</x:v>
      </x:c>
      <x:c r="J327" s="90" t="n">
        <x:v>340224.1</x:v>
      </x:c>
      <x:c r="K327" s="90" t="n">
        <x:v>9325.17</x:v>
      </x:c>
      <x:c r="L327" s="90" t="n">
        <x:v>13206</x:v>
      </x:c>
      <x:c r="M327" s="90" t="n">
        <x:v>80647.01</x:v>
      </x:c>
      <x:c r="N327" s="90" t="n">
        <x:v>103044.79</x:v>
      </x:c>
      <x:c r="O327" s="90" t="n">
        <x:v>469740.14</x:v>
      </x:c>
      <x:c r="P327" s="90" t="n">
        <x:v>8252253.91</x:v>
      </x:c>
      <x:c r="Q327" s="90" t="n">
        <x:v>15220.52</x:v>
      </x:c>
      <x:c r="R327" s="90" t="n">
        <x:v>-5.15</x:v>
      </x:c>
      <x:c r="S327" s="90" t="n">
        <x:v>-11885.9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5">
      <x:c r="D328" s="89" t="s">
        <x:v>87</x:v>
      </x:c>
      <x:c r="E328" s="89" t="s">
        <x:v>70</x:v>
      </x:c>
      <x:c r="F328" s="90" t="n">
        <x:v>713107858.69</x:v>
      </x:c>
      <x:c r="G328" s="90" t="n">
        <x:v>150893337.23</x:v>
      </x:c>
      <x:c r="H328" s="90" t="n">
        <x:v>84903204.74</x:v>
      </x:c>
      <x:c r="I328" s="90" t="n">
        <x:v>44790959.97</x:v>
      </x:c>
      <x:c r="J328" s="90" t="n">
        <x:v>24118311.2</x:v>
      </x:c>
      <x:c r="K328" s="90" t="n">
        <x:v>682303.86</x:v>
      </x:c>
      <x:c r="L328" s="90" t="n">
        <x:v>541941</x:v>
      </x:c>
      <x:c r="M328" s="90" t="n">
        <x:v>5965648.12</x:v>
      </x:c>
      <x:c r="N328" s="90" t="n">
        <x:v>8505579.49</x:v>
      </x:c>
      <x:c r="O328" s="90" t="n">
        <x:v>40119451.63</x:v>
      </x:c>
      <x:c r="P328" s="90" t="n">
        <x:v>351486114.3</x:v>
      </x:c>
      <x:c r="Q328" s="90" t="n">
        <x:v>1113322.75</x:v>
      </x:c>
      <x:c r="R328" s="90" t="n">
        <x:v>-429.7</x:v>
      </x:c>
      <x:c r="S328" s="90" t="n">
        <x:v>-11885.9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5">
      <x:c r="C329" s="101" t="s">
        <x:v>119</x:v>
      </x:c>
      <x:c r="D329" s="101" t="s">
        <x:v>70</x:v>
      </x:c>
      <x:c r="F329" s="93" t="n">
        <x:v>825593716.53</x:v>
      </x:c>
      <x:c r="G329" s="93" t="n">
        <x:v>167231821.55</x:v>
      </x:c>
      <x:c r="H329" s="93" t="n">
        <x:v>93973105.57</x:v>
      </x:c>
      <x:c r="I329" s="93" t="n">
        <x:v>49552033.36</x:v>
      </x:c>
      <x:c r="J329" s="93" t="n">
        <x:v>36454391.11</x:v>
      </x:c>
      <x:c r="K329" s="93" t="n">
        <x:v>1127022.56</x:v>
      </x:c>
      <x:c r="L329" s="93" t="n">
        <x:v>1311387.82</x:v>
      </x:c>
      <x:c r="M329" s="93" t="n">
        <x:v>9858353.57</x:v>
      </x:c>
      <x:c r="N329" s="93" t="n">
        <x:v>13265425.8</x:v>
      </x:c>
      <x:c r="O329" s="93" t="n">
        <x:v>61946866.31</x:v>
      </x:c>
      <x:c r="P329" s="93" t="n">
        <x:v>389045529.43</x:v>
      </x:c>
      <x:c r="Q329" s="93" t="n">
        <x:v>1840669.47</x:v>
      </x:c>
      <x:c r="R329" s="93" t="n">
        <x:v>-1003.46</x:v>
      </x:c>
      <x:c r="S329" s="93" t="n">
        <x:v>-11886.56</x:v>
      </x:c>
      <x:c r="T329" s="94" t="n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5">
      <x:c r="B330" s="98" t="s">
        <x:v>112</x:v>
      </x:c>
      <x:c r="C330" s="98" t="s">
        <x:v>70</x:v>
      </x:c>
      <x:c r="F330" s="100" t="n">
        <x:v>15932657306.2</x:v>
      </x:c>
      <x:c r="G330" s="100" t="n">
        <x:v>1154354004.79</x:v>
      </x:c>
      <x:c r="H330" s="100" t="n">
        <x:v>650771092.62</x:v>
      </x:c>
      <x:c r="I330" s="100" t="n">
        <x:v>342056467.96</x:v>
      </x:c>
      <x:c r="J330" s="100" t="n">
        <x:v>3421411982.2</x:v>
      </x:c>
      <x:c r="K330" s="100" t="n">
        <x:v>125779686.2</x:v>
      </x:c>
      <x:c r="L330" s="100" t="n">
        <x:v>14319220.95</x:v>
      </x:c>
      <x:c r="M330" s="100" t="n">
        <x:v>1103092643.41</x:v>
      </x:c>
      <x:c r="N330" s="100" t="n">
        <x:v>1086973407.67</x:v>
      </x:c>
      <x:c r="O330" s="100" t="n">
        <x:v>5143917194.56</x:v>
      </x:c>
      <x:c r="P330" s="100" t="n">
        <x:v>2684426047.28</x:v>
      </x:c>
      <x:c r="Q330" s="100" t="n">
        <x:v>205320950</x:v>
      </x:c>
      <x:c r="R330" s="100" t="n">
        <x:v>246494.88</x:v>
      </x:c>
      <x:c r="S330" s="100" t="n">
        <x:v>-11886.83</x:v>
      </x:c>
      <x:c r="T330" s="226" t="n">
        <x:v>0.51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5">
      <x:c r="A331" s="89" t="s">
        <x:v>78</x:v>
      </x:c>
      <x:c r="B331" s="89" t="s">
        <x:v>70</x:v>
      </x:c>
      <x:c r="F331" s="90" t="n">
        <x:v>15933337844.23</x:v>
      </x:c>
      <x:c r="G331" s="90" t="n">
        <x:v>1154501603.17</x:v>
      </x:c>
      <x:c r="H331" s="90" t="n">
        <x:v>650837233.58</x:v>
      </x:c>
      <x:c r="I331" s="90" t="n">
        <x:v>342093759.53</x:v>
      </x:c>
      <x:c r="J331" s="90" t="n">
        <x:v>3421445554.28</x:v>
      </x:c>
      <x:c r="K331" s="90" t="n">
        <x:v>125780368.65</x:v>
      </x:c>
      <x:c r="L331" s="90" t="n">
        <x:v>14319220.95</x:v>
      </x:c>
      <x:c r="M331" s="90" t="n">
        <x:v>1103098634.64</x:v>
      </x:c>
      <x:c r="N331" s="90" t="n">
        <x:v>1086980700.92</x:v>
      </x:c>
      <x:c r="O331" s="90" t="n">
        <x:v>5143951113.65</x:v>
      </x:c>
      <x:c r="P331" s="90" t="n">
        <x:v>2684772990.18</x:v>
      </x:c>
      <x:c r="Q331" s="90" t="n">
        <x:v>205322063.37</x:v>
      </x:c>
      <x:c r="R331" s="90" t="n">
        <x:v>246486.93</x:v>
      </x:c>
      <x:c r="S331" s="90" t="n">
        <x:v>-11886.13</x:v>
      </x:c>
      <x:c r="T331" t="n">
        <x:v>0.51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5">
      <x:c r="E332" t="s">
        <x:v>73</x:v>
      </x:c>
      <x:c r="F332" s="90" t="n">
        <x:v>627141.97</x:v>
      </x:c>
      <x:c r="G332" s="90" t="n">
        <x:v>136851.94</x:v>
      </x:c>
      <x:c r="H332" s="90" t="n">
        <x:v>59636.73</x:v>
      </x:c>
      <x:c r="I332" s="90" t="n">
        <x:v>34221.29</x:v>
      </x:c>
      <x:c r="J332" s="90" t="n">
        <x:v>30320.48</x:v>
      </x:c>
      <x:c r="K332" s="90" t="n">
        <x:v>630.69</x:v>
      </x:c>
      <x:c r="L332" s="90" t="n">
        <x:v>0</x:v>
      </x:c>
      <x:c r="M332" s="90" t="n">
        <x:v>5532.39</x:v>
      </x:c>
      <x:c r="N332" s="90" t="n">
        <x:v>6675.34</x:v>
      </x:c>
      <x:c r="O332" s="90" t="n">
        <x:v>31361.45</x:v>
      </x:c>
      <x:c r="P332" s="90" t="n">
        <x:v>320882.66</x:v>
      </x:c>
      <x:c r="Q332" s="90" t="n">
        <x:v>1029</x:v>
      </x:c>
      <x:c r="R332" s="90" t="n">
        <x:v>0</x:v>
      </x:c>
      <x:c r="S332" s="90" t="n">
        <x:v>0</x:v>
      </x:c>
      <x:c r="T332" s="90" t="n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5">
      <x:c r="D333" t="s">
        <x:v>156</x:v>
      </x:c>
      <x:c r="E333" t="s">
        <x:v>70</x:v>
      </x:c>
      <x:c r="F333" s="90" t="n">
        <x:v>627141.97</x:v>
      </x:c>
      <x:c r="G333" s="90" t="n">
        <x:v>136851.94</x:v>
      </x:c>
      <x:c r="H333" s="90" t="n">
        <x:v>59636.73</x:v>
      </x:c>
      <x:c r="I333" s="90" t="n">
        <x:v>34221.29</x:v>
      </x:c>
      <x:c r="J333" s="90" t="n">
        <x:v>30320.48</x:v>
      </x:c>
      <x:c r="K333" s="90" t="n">
        <x:v>630.69</x:v>
      </x:c>
      <x:c r="L333" s="90" t="n">
        <x:v>0</x:v>
      </x:c>
      <x:c r="M333" s="90" t="n">
        <x:v>5532.39</x:v>
      </x:c>
      <x:c r="N333" s="90" t="n">
        <x:v>6675.34</x:v>
      </x:c>
      <x:c r="O333" s="90" t="n">
        <x:v>31361.45</x:v>
      </x:c>
      <x:c r="P333" s="90" t="n">
        <x:v>320882.66</x:v>
      </x:c>
      <x:c r="Q333" s="90" t="n">
        <x:v>1029</x:v>
      </x:c>
      <x:c r="R333" s="90" t="n">
        <x:v>0</x:v>
      </x:c>
      <x:c r="S333" s="90" t="n">
        <x:v>0</x:v>
      </x:c>
      <x:c r="T333" s="90" t="n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5">
      <x:c r="C334" s="286" t="s">
        <x:v>155</x:v>
      </x:c>
      <x:c r="D334" s="286" t="s">
        <x:v>70</x:v>
      </x:c>
      <x:c r="E334" s="229"/>
      <x:c r="F334" s="229" t="n">
        <x:v>627141.97</x:v>
      </x:c>
      <x:c r="G334" s="230" t="n">
        <x:v>136851.94</x:v>
      </x:c>
      <x:c r="H334" s="230" t="n">
        <x:v>59636.73</x:v>
      </x:c>
      <x:c r="I334" s="230" t="n">
        <x:v>34221.29</x:v>
      </x:c>
      <x:c r="J334" s="230" t="n">
        <x:v>30320.48</x:v>
      </x:c>
      <x:c r="K334" s="230" t="n">
        <x:v>630.69</x:v>
      </x:c>
      <x:c r="L334" s="230" t="n">
        <x:v>0</x:v>
      </x:c>
      <x:c r="M334" s="230" t="n">
        <x:v>5532.39</x:v>
      </x:c>
      <x:c r="N334" s="230" t="n">
        <x:v>6675.34</x:v>
      </x:c>
      <x:c r="O334" s="230" t="n">
        <x:v>31361.45</x:v>
      </x:c>
      <x:c r="P334" s="230" t="n">
        <x:v>320882.66</x:v>
      </x:c>
      <x:c r="Q334" s="230" t="n">
        <x:v>1029</x:v>
      </x:c>
      <x:c r="R334" s="230" t="n">
        <x:v>0</x:v>
      </x:c>
      <x:c r="S334" s="230" t="n">
        <x:v>0</x:v>
      </x:c>
      <x:c r="T334" s="230" t="n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5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5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5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5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5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5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5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5">
      <x:c r="B342" s="378" t="s">
        <x:v>122</x:v>
      </x:c>
      <x:c r="C342" s="378" t="s">
        <x:v>70</x:v>
      </x:c>
      <x:c r="E342" s="376"/>
      <x:c r="F342" s="710" t="n">
        <x:v>627141.97</x:v>
      </x:c>
      <x:c r="G342" s="377" t="n">
        <x:v>136851.94</x:v>
      </x:c>
      <x:c r="H342" s="377" t="n">
        <x:v>59636.73</x:v>
      </x:c>
      <x:c r="I342" s="377" t="n">
        <x:v>34221.29</x:v>
      </x:c>
      <x:c r="J342" s="377" t="n">
        <x:v>30320.48</x:v>
      </x:c>
      <x:c r="K342" s="377" t="n">
        <x:v>630.69</x:v>
      </x:c>
      <x:c r="L342" s="377" t="n">
        <x:v>0</x:v>
      </x:c>
      <x:c r="M342" s="377" t="n">
        <x:v>5532.39</x:v>
      </x:c>
      <x:c r="N342" s="377" t="n">
        <x:v>6675.34</x:v>
      </x:c>
      <x:c r="O342" s="377" t="n">
        <x:v>31361.45</x:v>
      </x:c>
      <x:c r="P342" s="377" t="n">
        <x:v>320882.66</x:v>
      </x:c>
      <x:c r="Q342" s="377" t="n">
        <x:v>1029</x:v>
      </x:c>
      <x:c r="R342" s="377" t="n">
        <x:v>0</x:v>
      </x:c>
      <x:c r="S342" s="377" t="n">
        <x:v>0</x:v>
      </x:c>
      <x:c r="T342" s="378" t="n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5">
      <x:c r="E343" s="89" t="s">
        <x:v>73</x:v>
      </x:c>
      <x:c r="F343" s="371" t="n">
        <x:v>-1096861177.67</x:v>
      </x:c>
      <x:c r="G343" s="90" t="n">
        <x:v>177691694.13</x:v>
      </x:c>
      <x:c r="H343" s="90" t="n">
        <x:v>100212148.13</x:v>
      </x:c>
      <x:c r="I343" s="90" t="n">
        <x:v>52624447.82</x:v>
      </x:c>
      <x:c r="J343" s="90" t="n">
        <x:v>-572254890.49</x:v>
      </x:c>
      <x:c r="K343" s="90" t="n">
        <x:v>-20850568.85</x:v>
      </x:c>
      <x:c r="L343" s="90" t="n">
        <x:v>0</x:v>
      </x:c>
      <x:c r="M343" s="90" t="n">
        <x:v>-182915508.68</x:v>
      </x:c>
      <x:c r="N343" s="90" t="n">
        <x:v>-179688481.86</x:v>
      </x:c>
      <x:c r="O343" s="90" t="n">
        <x:v>-850631532.47</x:v>
      </x:c>
      <x:c r="P343" s="90" t="n">
        <x:v>412971085.38</x:v>
      </x:c>
      <x:c r="Q343" s="90" t="n">
        <x:v>-34019570.78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5">
      <x:c r="D344" t="s">
        <x:v>156</x:v>
      </x:c>
      <x:c r="E344" s="89" t="s">
        <x:v>70</x:v>
      </x:c>
      <x:c r="F344" s="371" t="n">
        <x:v>-1096861177.67</x:v>
      </x:c>
      <x:c r="G344" s="90" t="n">
        <x:v>177691694.13</x:v>
      </x:c>
      <x:c r="H344" s="90" t="n">
        <x:v>100212148.13</x:v>
      </x:c>
      <x:c r="I344" s="90" t="n">
        <x:v>52624447.82</x:v>
      </x:c>
      <x:c r="J344" s="90" t="n">
        <x:v>-572254890.49</x:v>
      </x:c>
      <x:c r="K344" s="90" t="n">
        <x:v>-20850568.85</x:v>
      </x:c>
      <x:c r="L344" s="90" t="n">
        <x:v>0</x:v>
      </x:c>
      <x:c r="M344" s="90" t="n">
        <x:v>-182915508.68</x:v>
      </x:c>
      <x:c r="N344" s="90" t="n">
        <x:v>-179688481.86</x:v>
      </x:c>
      <x:c r="O344" s="90" t="n">
        <x:v>-850631532.47</x:v>
      </x:c>
      <x:c r="P344" s="90" t="n">
        <x:v>412971085.38</x:v>
      </x:c>
      <x:c r="Q344" s="90" t="n">
        <x:v>-34019570.78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5">
      <x:c r="C345" s="286" t="s">
        <x:v>155</x:v>
      </x:c>
      <x:c r="D345" s="286" t="s">
        <x:v>70</x:v>
      </x:c>
      <x:c r="E345" s="229"/>
      <x:c r="F345" s="229" t="n">
        <x:v>-1096861177.67</x:v>
      </x:c>
      <x:c r="G345" s="230" t="n">
        <x:v>177691694.13</x:v>
      </x:c>
      <x:c r="H345" s="230" t="n">
        <x:v>100212148.13</x:v>
      </x:c>
      <x:c r="I345" s="230" t="n">
        <x:v>52624447.82</x:v>
      </x:c>
      <x:c r="J345" s="230" t="n">
        <x:v>-572254890.49</x:v>
      </x:c>
      <x:c r="K345" s="230" t="n">
        <x:v>-20850568.85</x:v>
      </x:c>
      <x:c r="L345" s="230" t="n">
        <x:v>0</x:v>
      </x:c>
      <x:c r="M345" s="230" t="n">
        <x:v>-182915508.68</x:v>
      </x:c>
      <x:c r="N345" s="230" t="n">
        <x:v>-179688481.86</x:v>
      </x:c>
      <x:c r="O345" s="230" t="n">
        <x:v>-850631532.47</x:v>
      </x:c>
      <x:c r="P345" s="230" t="n">
        <x:v>412971085.38</x:v>
      </x:c>
      <x:c r="Q345" s="230" t="n">
        <x:v>-34019570.78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5">
      <x:c r="D346" s="89"/>
      <x:c r="E346" s="89" t="s">
        <x:v>73</x:v>
      </x:c>
      <x:c r="F346" s="90" t="n">
        <x:v>5881980.61</x:v>
      </x:c>
      <x:c r="G346" s="90" t="n">
        <x:v>1458341.69</x:v>
      </x:c>
      <x:c r="H346" s="90" t="n">
        <x:v>821336.04</x:v>
      </x:c>
      <x:c r="I346" s="90" t="n">
        <x:v>430495.38</x:v>
      </x:c>
      <x:c r="J346" s="90" t="n">
        <x:v>-89992.43</x:v>
      </x:c>
      <x:c r="K346" s="90" t="n">
        <x:v>-1656.46</x:v>
      </x:c>
      <x:c r="L346" s="90" t="n">
        <x:v>0</x:v>
      </x:c>
      <x:c r="M346" s="90" t="n">
        <x:v>-14532.38</x:v>
      </x:c>
      <x:c r="N346" s="90" t="n">
        <x:v>-17796.23</x:v>
      </x:c>
      <x:c r="O346" s="90" t="n">
        <x:v>-85250.46</x:v>
      </x:c>
      <x:c r="P346" s="90" t="n">
        <x:v>3383738.4</x:v>
      </x:c>
      <x:c r="Q346" s="90" t="n">
        <x:v>-2702.94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5">
      <x:c r="D347" t="s">
        <x:v>82</x:v>
      </x:c>
      <x:c r="E347" s="89" t="s">
        <x:v>70</x:v>
      </x:c>
      <x:c r="F347" s="90" t="n">
        <x:v>5881980.61</x:v>
      </x:c>
      <x:c r="G347" s="90" t="n">
        <x:v>1458341.69</x:v>
      </x:c>
      <x:c r="H347" s="90" t="n">
        <x:v>821336.04</x:v>
      </x:c>
      <x:c r="I347" s="90" t="n">
        <x:v>430495.38</x:v>
      </x:c>
      <x:c r="J347" s="90" t="n">
        <x:v>-89992.43</x:v>
      </x:c>
      <x:c r="K347" s="90" t="n">
        <x:v>-1656.46</x:v>
      </x:c>
      <x:c r="L347" s="90" t="n">
        <x:v>0</x:v>
      </x:c>
      <x:c r="M347" s="90" t="n">
        <x:v>-14532.38</x:v>
      </x:c>
      <x:c r="N347" s="90" t="n">
        <x:v>-17796.23</x:v>
      </x:c>
      <x:c r="O347" s="90" t="n">
        <x:v>-85250.46</x:v>
      </x:c>
      <x:c r="P347" s="90" t="n">
        <x:v>3383738.4</x:v>
      </x:c>
      <x:c r="Q347" s="90" t="n">
        <x:v>-2702.94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5">
      <x:c r="D348" s="89"/>
      <x:c r="E348" s="89" t="s">
        <x:v>73</x:v>
      </x:c>
      <x:c r="F348" s="90" t="n">
        <x:v>41448273.23</x:v>
      </x:c>
      <x:c r="G348" s="90" t="n">
        <x:v>9799067.84</x:v>
      </x:c>
      <x:c r="H348" s="90" t="n">
        <x:v>5514666.58</x:v>
      </x:c>
      <x:c r="I348" s="90" t="n">
        <x:v>2910510.96</x:v>
      </x:c>
      <x:c r="J348" s="90" t="n">
        <x:v>43956.11</x:v>
      </x:c>
      <x:c r="K348" s="90" t="n">
        <x:v>-3831.58</x:v>
      </x:c>
      <x:c r="L348" s="90" t="n">
        <x:v>0</x:v>
      </x:c>
      <x:c r="M348" s="90" t="n">
        <x:v>-33238.42</x:v>
      </x:c>
      <x:c r="N348" s="90" t="n">
        <x:v>51690.03</x:v>
      </x:c>
      <x:c r="O348" s="90" t="n">
        <x:v>379225.18</x:v>
      </x:c>
      <x:c r="P348" s="90" t="n">
        <x:v>22792493.52</x:v>
      </x:c>
      <x:c r="Q348" s="90" t="n">
        <x:v>-6266.99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5">
      <x:c r="D349" t="s">
        <x:v>86</x:v>
      </x:c>
      <x:c r="E349" s="89" t="s">
        <x:v>70</x:v>
      </x:c>
      <x:c r="F349" s="90" t="n">
        <x:v>41448273.23</x:v>
      </x:c>
      <x:c r="G349" s="90" t="n">
        <x:v>9799067.84</x:v>
      </x:c>
      <x:c r="H349" s="90" t="n">
        <x:v>5514666.58</x:v>
      </x:c>
      <x:c r="I349" s="90" t="n">
        <x:v>2910510.96</x:v>
      </x:c>
      <x:c r="J349" s="90" t="n">
        <x:v>43956.11</x:v>
      </x:c>
      <x:c r="K349" s="90" t="n">
        <x:v>-3831.58</x:v>
      </x:c>
      <x:c r="L349" s="90" t="n">
        <x:v>0</x:v>
      </x:c>
      <x:c r="M349" s="90" t="n">
        <x:v>-33238.42</x:v>
      </x:c>
      <x:c r="N349" s="90" t="n">
        <x:v>51690.03</x:v>
      </x:c>
      <x:c r="O349" s="90" t="n">
        <x:v>379225.18</x:v>
      </x:c>
      <x:c r="P349" s="90" t="n">
        <x:v>22792493.52</x:v>
      </x:c>
      <x:c r="Q349" s="90" t="n">
        <x:v>-6266.99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5">
      <x:c r="D350" s="89"/>
      <x:c r="E350" s="89" t="s">
        <x:v>73</x:v>
      </x:c>
      <x:c r="F350" s="90" t="n">
        <x:v>357418504.17</x:v>
      </x:c>
      <x:c r="G350" s="90" t="n">
        <x:v>82262358.89</x:v>
      </x:c>
      <x:c r="H350" s="90" t="n">
        <x:v>46499187.44</x:v>
      </x:c>
      <x:c r="I350" s="90" t="n">
        <x:v>24589080.51</x:v>
      </x:c>
      <x:c r="J350" s="90" t="n">
        <x:v>3357839.2</x:v>
      </x:c>
      <x:c r="K350" s="90" t="n">
        <x:v>107100.09</x:v>
      </x:c>
      <x:c r="L350" s="90" t="n">
        <x:v>0</x:v>
      </x:c>
      <x:c r="M350" s="90" t="n">
        <x:v>927675.41</x:v>
      </x:c>
      <x:c r="N350" s="90" t="n">
        <x:v>1328839.59</x:v>
      </x:c>
      <x:c r="O350" s="90" t="n">
        <x:v>6237531.63</x:v>
      </x:c>
      <x:c r="P350" s="90" t="n">
        <x:v>191934234.59</x:v>
      </x:c>
      <x:c r="Q350" s="90" t="n">
        <x:v>174656.82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5">
      <x:c r="C351" s="89"/>
      <x:c r="D351" s="89" t="s">
        <x:v>87</x:v>
      </x:c>
      <x:c r="E351" t="s">
        <x:v>70</x:v>
      </x:c>
      <x:c r="F351" s="90" t="n">
        <x:v>357418504.17</x:v>
      </x:c>
      <x:c r="G351" s="90" t="n">
        <x:v>82262358.89</x:v>
      </x:c>
      <x:c r="H351" s="90" t="n">
        <x:v>46499187.44</x:v>
      </x:c>
      <x:c r="I351" s="90" t="n">
        <x:v>24589080.51</x:v>
      </x:c>
      <x:c r="J351" s="90" t="n">
        <x:v>3357839.2</x:v>
      </x:c>
      <x:c r="K351" s="90" t="n">
        <x:v>107100.09</x:v>
      </x:c>
      <x:c r="L351" s="90" t="n">
        <x:v>0</x:v>
      </x:c>
      <x:c r="M351" s="90" t="n">
        <x:v>927675.41</x:v>
      </x:c>
      <x:c r="N351" s="90" t="n">
        <x:v>1328839.59</x:v>
      </x:c>
      <x:c r="O351" s="90" t="n">
        <x:v>6237531.63</x:v>
      </x:c>
      <x:c r="P351" s="90" t="n">
        <x:v>191934234.59</x:v>
      </x:c>
      <x:c r="Q351" s="90" t="n">
        <x:v>174656.82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5">
      <x:c r="C352" s="101" t="s">
        <x:v>119</x:v>
      </x:c>
      <x:c r="D352" s="101" t="s">
        <x:v>70</x:v>
      </x:c>
      <x:c r="F352" s="93" t="n">
        <x:v>404748758.01</x:v>
      </x:c>
      <x:c r="G352" s="93" t="n">
        <x:v>93519768.42</x:v>
      </x:c>
      <x:c r="H352" s="93" t="n">
        <x:v>52835190.06</x:v>
      </x:c>
      <x:c r="I352" s="93" t="n">
        <x:v>27930086.85</x:v>
      </x:c>
      <x:c r="J352" s="93" t="n">
        <x:v>3311802.88</x:v>
      </x:c>
      <x:c r="K352" s="93" t="n">
        <x:v>101612.05</x:v>
      </x:c>
      <x:c r="L352" s="93" t="n">
        <x:v>0</x:v>
      </x:c>
      <x:c r="M352" s="93" t="n">
        <x:v>879904.61</x:v>
      </x:c>
      <x:c r="N352" s="93" t="n">
        <x:v>1362733.39</x:v>
      </x:c>
      <x:c r="O352" s="93" t="n">
        <x:v>6531506.35</x:v>
      </x:c>
      <x:c r="P352" s="93" t="n">
        <x:v>218110466.51</x:v>
      </x:c>
      <x:c r="Q352" s="93" t="n">
        <x:v>165686.89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5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 t="n">
        <x:v>271211462.55</x:v>
      </x:c>
      <x:c r="H353" s="100" t="n">
        <x:v>153047338.19</x:v>
      </x:c>
      <x:c r="I353" s="100" t="n">
        <x:v>80554534.67</x:v>
      </x:c>
      <x:c r="J353" s="100" t="n">
        <x:v>-568943087.61</x:v>
      </x:c>
      <x:c r="K353" s="100" t="n">
        <x:v>-20748956.8</x:v>
      </x:c>
      <x:c r="L353" s="100" t="n">
        <x:v>0</x:v>
      </x:c>
      <x:c r="M353" s="100" t="n">
        <x:v>-182035604.07</x:v>
      </x:c>
      <x:c r="N353" s="100" t="n">
        <x:v>-178325748.47</x:v>
      </x:c>
      <x:c r="O353" s="100" t="n">
        <x:v>-844100026.12</x:v>
      </x:c>
      <x:c r="P353" s="100" t="n">
        <x:v>631081551.89</x:v>
      </x:c>
      <x:c r="Q353" s="100" t="n">
        <x:v>-33853883.89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5">
      <x:c r="A354" s="89" t="s">
        <x:v>79</x:v>
      </x:c>
      <x:c r="B354" t="s">
        <x:v>70</x:v>
      </x:c>
      <x:c r="F354" s="90" t="n">
        <x:v>-691485277.69</x:v>
      </x:c>
      <x:c r="G354" s="90" t="n">
        <x:v>271348314.49</x:v>
      </x:c>
      <x:c r="H354" s="90" t="n">
        <x:v>153106974.92</x:v>
      </x:c>
      <x:c r="I354" s="90" t="n">
        <x:v>80588755.96</x:v>
      </x:c>
      <x:c r="J354" s="90" t="n">
        <x:v>-568912767.13</x:v>
      </x:c>
      <x:c r="K354" s="90" t="n">
        <x:v>-20748326.11</x:v>
      </x:c>
      <x:c r="L354" s="90" t="n">
        <x:v>0</x:v>
      </x:c>
      <x:c r="M354" s="90" t="n">
        <x:v>-182030071.68</x:v>
      </x:c>
      <x:c r="N354" s="90" t="n">
        <x:v>-178319073.13</x:v>
      </x:c>
      <x:c r="O354" s="90" t="n">
        <x:v>-844068664.67</x:v>
      </x:c>
      <x:c r="P354" s="90" t="n">
        <x:v>631402434.55</x:v>
      </x:c>
      <x:c r="Q354" s="90" t="n">
        <x:v>-33852854.89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5">
      <x:c r="A355" t="s">
        <x:v>70</x:v>
      </x:c>
      <x:c r="E355" s="89"/>
      <x:c r="F355" s="90" t="n">
        <x:v>15241836108.08</x:v>
      </x:c>
      <x:c r="G355" s="90" t="n">
        <x:v>1425848426.78</x:v>
      </x:c>
      <x:c r="H355" s="90" t="n">
        <x:v>803943575.11</x:v>
      </x:c>
      <x:c r="I355" s="90" t="n">
        <x:v>422682238.89</x:v>
      </x:c>
      <x:c r="J355" s="90" t="n">
        <x:v>2852529644.59</x:v>
      </x:c>
      <x:c r="K355" s="90" t="n">
        <x:v>105031913.06</x:v>
      </x:c>
      <x:c r="L355" s="90" t="n">
        <x:v>14319220.95</x:v>
      </x:c>
      <x:c r="M355" s="90" t="n">
        <x:v>921067427.28</x:v>
      </x:c>
      <x:c r="N355" s="90" t="n">
        <x:v>908660204.31</x:v>
      </x:c>
      <x:c r="O355" s="90" t="n">
        <x:v>4299877667.55</x:v>
      </x:c>
      <x:c r="P355" s="90" t="n">
        <x:v>3316172191</x:v>
      </x:c>
      <x:c r="Q355" s="90" t="n">
        <x:v>171468997.25</x:v>
      </x:c>
      <x:c r="R355" s="90" t="n">
        <x:v>246486.93</x:v>
      </x:c>
      <x:c r="S355" s="90" t="n">
        <x:v>-11886.13</x:v>
      </x:c>
      <x:c r="T355" s="150" t="n">
        <x:v>0.51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5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5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5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5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5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5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5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5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5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5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5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5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5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5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5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5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5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5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5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5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5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5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5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5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5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5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5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5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5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5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5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5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5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5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5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5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5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5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5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5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5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5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5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5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5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5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5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5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5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5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5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5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5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5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5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5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5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5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5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5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5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5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5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5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5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5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5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5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5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5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5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5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5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5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5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5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5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5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5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5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5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5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5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5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5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5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5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5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5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5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5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5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5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5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5">
      <x:c r="E450" s="89" t="s">
        <x:v>72</x:v>
      </x:c>
      <x:c r="F450" s="371" t="n">
        <x:v>-280784.65</x:v>
      </x:c>
      <x:c r="G450" s="90" t="n">
        <x:v>-22556.67</x:v>
      </x:c>
      <x:c r="H450" s="90" t="n">
        <x:v>-9582.84</x:v>
      </x:c>
      <x:c r="I450" s="90" t="n">
        <x:v>-4184.76</x:v>
      </x:c>
      <x:c r="J450" s="90" t="n">
        <x:v>-52204.81</x:v>
      </x:c>
      <x:c r="K450" s="90" t="n">
        <x:v>-2126.02</x:v>
      </x:c>
      <x:c r="L450" s="90" t="n">
        <x:v>0</x:v>
      </x:c>
      <x:c r="M450" s="90" t="n">
        <x:v>-18648.64</x:v>
      </x:c>
      <x:c r="N450" s="90" t="n">
        <x:v>-23713.72</x:v>
      </x:c>
      <x:c r="O450" s="90" t="n">
        <x:v>-87072.87</x:v>
      </x:c>
      <x:c r="P450" s="90" t="n">
        <x:v>-57225.48</x:v>
      </x:c>
      <x:c r="Q450" s="90" t="n">
        <x:v>-3468.84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 t="n">
        <x:v>0</x:v>
      </x:c>
    </x:row>
    <x:row r="451" spans="1:26" ht="12.75" customHeight="1" x14ac:dyDescent="0.25">
      <x:c r="D451" t="s">
        <x:v>156</x:v>
      </x:c>
      <x:c r="E451" s="89" t="s">
        <x:v>70</x:v>
      </x:c>
      <x:c r="F451" s="371" t="n">
        <x:v>-280784.65</x:v>
      </x:c>
      <x:c r="G451" s="90" t="n">
        <x:v>-22556.67</x:v>
      </x:c>
      <x:c r="H451" s="90" t="n">
        <x:v>-9582.84</x:v>
      </x:c>
      <x:c r="I451" s="90" t="n">
        <x:v>-4184.76</x:v>
      </x:c>
      <x:c r="J451" s="90" t="n">
        <x:v>-52204.81</x:v>
      </x:c>
      <x:c r="K451" s="90" t="n">
        <x:v>-2126.02</x:v>
      </x:c>
      <x:c r="L451" s="90" t="n">
        <x:v>0</x:v>
      </x:c>
      <x:c r="M451" s="90" t="n">
        <x:v>-18648.64</x:v>
      </x:c>
      <x:c r="N451" s="90" t="n">
        <x:v>-23713.72</x:v>
      </x:c>
      <x:c r="O451" s="90" t="n">
        <x:v>-87072.87</x:v>
      </x:c>
      <x:c r="P451" s="90" t="n">
        <x:v>-57225.48</x:v>
      </x:c>
      <x:c r="Q451" s="90" t="n">
        <x:v>-3468.84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 t="n">
        <x:v>0</x:v>
      </x:c>
    </x:row>
    <x:row r="452" spans="1:26" s="656" customFormat="1" ht="12.75" customHeight="1" x14ac:dyDescent="0.25">
      <x:c r="C452" s="656" t="s">
        <x:v>155</x:v>
      </x:c>
      <x:c r="D452" s="657" t="s">
        <x:v>70</x:v>
      </x:c>
      <x:c r="E452" s="657"/>
      <x:c r="F452" s="658" t="n">
        <x:v>-280784.65</x:v>
      </x:c>
      <x:c r="G452" s="658" t="n">
        <x:v>-22556.67</x:v>
      </x:c>
      <x:c r="H452" s="658" t="n">
        <x:v>-9582.84</x:v>
      </x:c>
      <x:c r="I452" s="658" t="n">
        <x:v>-4184.76</x:v>
      </x:c>
      <x:c r="J452" s="658" t="n">
        <x:v>-52204.81</x:v>
      </x:c>
      <x:c r="K452" s="658" t="n">
        <x:v>-2126.02</x:v>
      </x:c>
      <x:c r="L452" s="658" t="n">
        <x:v>0</x:v>
      </x:c>
      <x:c r="M452" s="658" t="n">
        <x:v>-18648.64</x:v>
      </x:c>
      <x:c r="N452" s="658" t="n">
        <x:v>-23713.72</x:v>
      </x:c>
      <x:c r="O452" s="658" t="n">
        <x:v>-87072.87</x:v>
      </x:c>
      <x:c r="P452" s="658" t="n">
        <x:v>-57225.48</x:v>
      </x:c>
      <x:c r="Q452" s="658" t="n">
        <x:v>-3468.84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 t="n">
        <x:v>0</x:v>
      </x:c>
    </x:row>
    <x:row r="453" spans="1:26" ht="12.75" customHeight="1" x14ac:dyDescent="0.25">
      <x:c r="E453" s="89" t="s">
        <x:v>72</x:v>
      </x:c>
      <x:c r="F453" s="90" t="n">
        <x:v>-159171.87</x:v>
      </x:c>
      <x:c r="G453" s="90" t="n">
        <x:v>-12887.74</x:v>
      </x:c>
      <x:c r="H453" s="90" t="n">
        <x:v>-5475.2</x:v>
      </x:c>
      <x:c r="I453" s="90" t="n">
        <x:v>-2390.97</x:v>
      </x:c>
      <x:c r="J453" s="90" t="n">
        <x:v>-29437.37</x:v>
      </x:c>
      <x:c r="K453" s="90" t="n">
        <x:v>-1198.82</x:v>
      </x:c>
      <x:c r="L453" s="90" t="n">
        <x:v>0</x:v>
      </x:c>
      <x:c r="M453" s="90" t="n">
        <x:v>-10515.66</x:v>
      </x:c>
      <x:c r="N453" s="90" t="n">
        <x:v>-13371.77</x:v>
      </x:c>
      <x:c r="O453" s="90" t="n">
        <x:v>-49098.82</x:v>
      </x:c>
      <x:c r="P453" s="90" t="n">
        <x:v>-32839.51</x:v>
      </x:c>
      <x:c r="Q453" s="90" t="n">
        <x:v>-1956.01</x:v>
      </x:c>
      <x:c r="R453" s="90" t="n">
        <x:v>0</x:v>
      </x:c>
      <x:c r="S453" s="90" t="n">
        <x:v>0</x:v>
      </x:c>
      <x:c r="T453" s="90" t="n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 t="n">
        <x:v>0</x:v>
      </x:c>
    </x:row>
    <x:row r="454" spans="1:26" ht="12.75" customHeight="1" x14ac:dyDescent="0.25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5">
      <x:c r="E455" s="89" t="s">
        <x:v>72</x:v>
      </x:c>
      <x:c r="F455" s="371">
        <x:v>0</x:v>
      </x:c>
      <x:c r="G455" s="90">
        <x:v>0</x:v>
      </x:c>
      <x:c r="H455" s="90">
        <x:v>0</x:v>
      </x:c>
      <x:c r="I455" s="90">
        <x:v>0</x:v>
      </x:c>
      <x:c r="J455" s="90">
        <x:v>0</x:v>
      </x:c>
      <x:c r="K455" s="90">
        <x:v>0</x:v>
      </x:c>
      <x:c r="L455" s="90">
        <x:v>0</x:v>
      </x:c>
      <x:c r="M455" s="90">
        <x:v>0</x:v>
      </x:c>
      <x:c r="N455" s="90">
        <x:v>0</x:v>
      </x:c>
      <x:c r="O455" s="90">
        <x:v>0</x:v>
      </x:c>
      <x:c r="P455" s="90">
        <x:v>0</x:v>
      </x:c>
      <x:c r="Q455" s="90">
        <x:v>0</x:v>
      </x:c>
      <x:c r="R455" s="90">
        <x:v>0</x:v>
      </x:c>
      <x:c r="S455" s="90">
        <x:v>0</x:v>
      </x:c>
      <x:c r="T455" s="90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>
        <x:v>0</x:v>
      </x:c>
    </x:row>
    <x:row r="456" spans="1:26" ht="12.75" customHeight="1" x14ac:dyDescent="0.25">
      <x:c r="D456" t="s">
        <x:v>86</x:v>
      </x:c>
      <x:c r="E456" s="89" t="s">
        <x:v>70</x:v>
      </x:c>
      <x:c r="F456" s="371" t="n">
        <x:v>-159171.87</x:v>
      </x:c>
      <x:c r="G456" s="90" t="n">
        <x:v>-12887.74</x:v>
      </x:c>
      <x:c r="H456" s="90" t="n">
        <x:v>-5475.2</x:v>
      </x:c>
      <x:c r="I456" s="90" t="n">
        <x:v>-2390.97</x:v>
      </x:c>
      <x:c r="J456" s="90" t="n">
        <x:v>-29437.37</x:v>
      </x:c>
      <x:c r="K456" s="90" t="n">
        <x:v>-1198.82</x:v>
      </x:c>
      <x:c r="L456" s="90" t="n">
        <x:v>0</x:v>
      </x:c>
      <x:c r="M456" s="90" t="n">
        <x:v>-10515.66</x:v>
      </x:c>
      <x:c r="N456" s="90" t="n">
        <x:v>-13371.77</x:v>
      </x:c>
      <x:c r="O456" s="90" t="n">
        <x:v>-49098.82</x:v>
      </x:c>
      <x:c r="P456" s="90" t="n">
        <x:v>-32839.51</x:v>
      </x:c>
      <x:c r="Q456" s="90" t="n">
        <x:v>-1956.01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 t="n">
        <x:v>0</x:v>
      </x:c>
    </x:row>
    <x:row r="457" spans="1:26" ht="12.75" customHeight="1" x14ac:dyDescent="0.25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5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5">
      <x:c r="C459" s="101" t="s">
        <x:v>119</x:v>
      </x:c>
      <x:c r="D459" s="101" t="s">
        <x:v>70</x:v>
      </x:c>
      <x:c r="F459" s="93" t="n">
        <x:v>-159171.87</x:v>
      </x:c>
      <x:c r="G459" s="93" t="n">
        <x:v>-12887.74</x:v>
      </x:c>
      <x:c r="H459" s="93" t="n">
        <x:v>-5475.2</x:v>
      </x:c>
      <x:c r="I459" s="93" t="n">
        <x:v>-2390.97</x:v>
      </x:c>
      <x:c r="J459" s="93" t="n">
        <x:v>-29437.37</x:v>
      </x:c>
      <x:c r="K459" s="93" t="n">
        <x:v>-1198.82</x:v>
      </x:c>
      <x:c r="L459" s="93" t="n">
        <x:v>0</x:v>
      </x:c>
      <x:c r="M459" s="93" t="n">
        <x:v>-10515.66</x:v>
      </x:c>
      <x:c r="N459" s="93" t="n">
        <x:v>-13371.77</x:v>
      </x:c>
      <x:c r="O459" s="93" t="n">
        <x:v>-49098.82</x:v>
      </x:c>
      <x:c r="P459" s="93" t="n">
        <x:v>-32839.51</x:v>
      </x:c>
      <x:c r="Q459" s="93" t="n">
        <x:v>-1956.01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 t="n">
        <x:v>0</x:v>
      </x:c>
    </x:row>
    <x:row r="460" spans="1:26" ht="12.75" customHeight="1" x14ac:dyDescent="0.25">
      <x:c r="B460" t="s">
        <x:v>112</x:v>
      </x:c>
      <x:c r="C460" t="s">
        <x:v>70</x:v>
      </x:c>
      <x:c r="E460" s="89"/>
      <x:c r="F460" s="371" t="n">
        <x:v>-439956.52</x:v>
      </x:c>
      <x:c r="G460" s="90" t="n">
        <x:v>-35444.41</x:v>
      </x:c>
      <x:c r="H460" s="90" t="n">
        <x:v>-15058.04</x:v>
      </x:c>
      <x:c r="I460" s="90" t="n">
        <x:v>-6575.73</x:v>
      </x:c>
      <x:c r="J460" s="90" t="n">
        <x:v>-81642.18</x:v>
      </x:c>
      <x:c r="K460" s="90" t="n">
        <x:v>-3324.84</x:v>
      </x:c>
      <x:c r="L460" s="90" t="n">
        <x:v>0</x:v>
      </x:c>
      <x:c r="M460" s="90" t="n">
        <x:v>-29164.3</x:v>
      </x:c>
      <x:c r="N460" s="90" t="n">
        <x:v>-37085.49</x:v>
      </x:c>
      <x:c r="O460" s="90" t="n">
        <x:v>-136171.69</x:v>
      </x:c>
      <x:c r="P460" s="90" t="n">
        <x:v>-90064.99</x:v>
      </x:c>
      <x:c r="Q460" s="90" t="n">
        <x:v>-5424.85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 t="n">
        <x:v>0</x:v>
      </x:c>
    </x:row>
    <x:row r="461" spans="1:26" s="458" customFormat="1" x14ac:dyDescent="0.25">
      <x:c r="A461" s="458" t="s">
        <x:v>186</x:v>
      </x:c>
      <x:c r="B461" s="459" t="s">
        <x:v>70</x:v>
      </x:c>
      <x:c r="C461" s="459"/>
      <x:c r="F461" s="460" t="n">
        <x:v>-439956.52</x:v>
      </x:c>
      <x:c r="G461" s="460" t="n">
        <x:v>-35444.41</x:v>
      </x:c>
      <x:c r="H461" s="460" t="n">
        <x:v>-15058.04</x:v>
      </x:c>
      <x:c r="I461" s="460" t="n">
        <x:v>-6575.73</x:v>
      </x:c>
      <x:c r="J461" s="460" t="n">
        <x:v>-81642.18</x:v>
      </x:c>
      <x:c r="K461" s="460" t="n">
        <x:v>-3324.84</x:v>
      </x:c>
      <x:c r="L461" s="460" t="n">
        <x:v>0</x:v>
      </x:c>
      <x:c r="M461" s="460" t="n">
        <x:v>-29164.3</x:v>
      </x:c>
      <x:c r="N461" s="460" t="n">
        <x:v>-37085.49</x:v>
      </x:c>
      <x:c r="O461" s="460" t="n">
        <x:v>-136171.69</x:v>
      </x:c>
      <x:c r="P461" s="460" t="n">
        <x:v>-90064.99</x:v>
      </x:c>
      <x:c r="Q461" s="460" t="n">
        <x:v>-5424.85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 t="n">
        <x:v>0</x:v>
      </x:c>
    </x:row>
    <x:row r="462" spans="1:26" ht="12.75" customHeight="1" x14ac:dyDescent="0.25">
      <x:c r="E462" s="89" t="s">
        <x:v>72</x:v>
      </x:c>
      <x:c r="F462" s="90" t="n">
        <x:v>3729263.65</x:v>
      </x:c>
      <x:c r="G462" s="90" t="n">
        <x:v>250278.18</x:v>
      </x:c>
      <x:c r="H462" s="90" t="n">
        <x:v>140595.42</x:v>
      </x:c>
      <x:c r="I462" s="90" t="n">
        <x:v>76572.04</x:v>
      </x:c>
      <x:c r="J462" s="90" t="n">
        <x:v>773694.76</x:v>
      </x:c>
      <x:c r="K462" s="90" t="n">
        <x:v>25330.8</x:v>
      </x:c>
      <x:c r="L462" s="90" t="n">
        <x:v>0</x:v>
      </x:c>
      <x:c r="M462" s="90" t="n">
        <x:v>222200.58</x:v>
      </x:c>
      <x:c r="N462" s="90" t="n">
        <x:v>246950.82</x:v>
      </x:c>
      <x:c r="O462" s="90" t="n">
        <x:v>1283227.56</x:v>
      </x:c>
      <x:c r="P462" s="90" t="n">
        <x:v>667208.65</x:v>
      </x:c>
      <x:c r="Q462" s="90" t="n">
        <x:v>43201.16</x:v>
      </x:c>
      <x:c r="R462" s="90" t="n">
        <x:v>3.68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 t="n">
        <x:v>0</x:v>
      </x:c>
    </x:row>
    <x:row r="463" spans="1:26" ht="12.75" customHeight="1" x14ac:dyDescent="0.25">
      <x:c r="E463" s="89" t="s">
        <x:v>81</x:v>
      </x:c>
      <x:c r="F463" s="90" t="n">
        <x:v>107021.42</x:v>
      </x:c>
      <x:c r="G463" s="90" t="n">
        <x:v>6984.57</x:v>
      </x:c>
      <x:c r="H463" s="90" t="n">
        <x:v>3522.1</x:v>
      </x:c>
      <x:c r="I463" s="90" t="n">
        <x:v>1746.51</x:v>
      </x:c>
      <x:c r="J463" s="90" t="n">
        <x:v>23447.8</x:v>
      </x:c>
      <x:c r="K463" s="90" t="n">
        <x:v>972.85</x:v>
      </x:c>
      <x:c r="L463" s="90" t="n">
        <x:v>0</x:v>
      </x:c>
      <x:c r="M463" s="90" t="n">
        <x:v>8540.62</x:v>
      </x:c>
      <x:c r="N463" s="90" t="n">
        <x:v>10602.78</x:v>
      </x:c>
      <x:c r="O463" s="90" t="n">
        <x:v>33967.61</x:v>
      </x:c>
      <x:c r="P463" s="90" t="n">
        <x:v>15735.59</x:v>
      </x:c>
      <x:c r="Q463" s="90" t="n">
        <x:v>1588.7</x:v>
      </x:c>
      <x:c r="R463" s="90" t="n">
        <x:v>1.03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 t="n">
        <x:v>-88.74</x:v>
      </x:c>
    </x:row>
    <x:row r="464" spans="1:26" ht="12.75" customHeight="1" x14ac:dyDescent="0.25">
      <x:c r="D464" t="s">
        <x:v>156</x:v>
      </x:c>
      <x:c r="E464" s="89" t="s">
        <x:v>70</x:v>
      </x:c>
      <x:c r="F464" s="90" t="n">
        <x:v>3836285.07</x:v>
      </x:c>
      <x:c r="G464" s="90" t="n">
        <x:v>257262.75</x:v>
      </x:c>
      <x:c r="H464" s="90" t="n">
        <x:v>144117.52</x:v>
      </x:c>
      <x:c r="I464" s="90" t="n">
        <x:v>78318.55</x:v>
      </x:c>
      <x:c r="J464" s="90" t="n">
        <x:v>797142.56</x:v>
      </x:c>
      <x:c r="K464" s="90" t="n">
        <x:v>26303.65</x:v>
      </x:c>
      <x:c r="L464" s="90" t="n">
        <x:v>0</x:v>
      </x:c>
      <x:c r="M464" s="90" t="n">
        <x:v>230741.2</x:v>
      </x:c>
      <x:c r="N464" s="90" t="n">
        <x:v>257553.6</x:v>
      </x:c>
      <x:c r="O464" s="90" t="n">
        <x:v>1317195.17</x:v>
      </x:c>
      <x:c r="P464" s="90" t="n">
        <x:v>682944.24</x:v>
      </x:c>
      <x:c r="Q464" s="90" t="n">
        <x:v>44789.86</x:v>
      </x:c>
      <x:c r="R464" s="90" t="n">
        <x:v>4.71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 t="n">
        <x:v>-88.74</x:v>
      </x:c>
    </x:row>
    <x:row r="465" spans="3:26" s="656" customFormat="1" ht="12.75" customHeight="1" x14ac:dyDescent="0.25">
      <x:c r="C465" s="656" t="s">
        <x:v>155</x:v>
      </x:c>
      <x:c r="D465" s="657" t="s">
        <x:v>70</x:v>
      </x:c>
      <x:c r="E465" s="657"/>
      <x:c r="F465" s="658" t="n">
        <x:v>3836285.07</x:v>
      </x:c>
      <x:c r="G465" s="658" t="n">
        <x:v>257262.75</x:v>
      </x:c>
      <x:c r="H465" s="658" t="n">
        <x:v>144117.52</x:v>
      </x:c>
      <x:c r="I465" s="658" t="n">
        <x:v>78318.55</x:v>
      </x:c>
      <x:c r="J465" s="658" t="n">
        <x:v>797142.56</x:v>
      </x:c>
      <x:c r="K465" s="658" t="n">
        <x:v>26303.65</x:v>
      </x:c>
      <x:c r="L465" s="658" t="n">
        <x:v>0</x:v>
      </x:c>
      <x:c r="M465" s="658" t="n">
        <x:v>230741.2</x:v>
      </x:c>
      <x:c r="N465" s="658" t="n">
        <x:v>257553.6</x:v>
      </x:c>
      <x:c r="O465" s="658" t="n">
        <x:v>1317195.17</x:v>
      </x:c>
      <x:c r="P465" s="658" t="n">
        <x:v>682944.24</x:v>
      </x:c>
      <x:c r="Q465" s="658" t="n">
        <x:v>44789.86</x:v>
      </x:c>
      <x:c r="R465" s="658" t="n">
        <x:v>4.71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 t="n">
        <x:v>-88.74</x:v>
      </x:c>
    </x:row>
    <x:row r="466" spans="3:26" ht="12.75" customHeight="1" x14ac:dyDescent="0.25">
      <x:c r="D466" s="89"/>
      <x:c r="E466" s="89" t="s">
        <x:v>72</x:v>
      </x:c>
      <x:c r="F466" s="371" t="n">
        <x:v>41900</x:v>
      </x:c>
      <x:c r="G466" s="90" t="n">
        <x:v>2593.47</x:v>
      </x:c>
      <x:c r="H466" s="90" t="n">
        <x:v>1464.28</x:v>
      </x:c>
      <x:c r="I466" s="90" t="n">
        <x:v>768.54</x:v>
      </x:c>
      <x:c r="J466" s="90" t="n">
        <x:v>8475</x:v>
      </x:c>
      <x:c r="K466" s="90" t="n">
        <x:v>336.82</x:v>
      </x:c>
      <x:c r="L466" s="90" t="n">
        <x:v>0</x:v>
      </x:c>
      <x:c r="M466" s="90" t="n">
        <x:v>2954.55</x:v>
      </x:c>
      <x:c r="N466" s="90" t="n">
        <x:v>2903.79</x:v>
      </x:c>
      <x:c r="O466" s="90" t="n">
        <x:v>14989.18</x:v>
      </x:c>
      <x:c r="P466" s="90" t="n">
        <x:v>6864.83</x:v>
      </x:c>
      <x:c r="Q466" s="90" t="n">
        <x:v>549.54</x:v>
      </x:c>
      <x:c r="R466" s="90" t="n">
        <x:v>0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 t="n">
        <x:v>0</x:v>
      </x:c>
    </x:row>
    <x:row r="467" spans="3:26" ht="12.75" customHeight="1" x14ac:dyDescent="0.25">
      <x:c r="D467" s="89"/>
      <x:c r="E467" s="89" t="s">
        <x:v>81</x:v>
      </x:c>
      <x:c r="F467" s="371" t="n">
        <x:v>-2564.46</x:v>
      </x:c>
      <x:c r="G467" s="90" t="n">
        <x:v>1.25</x:v>
      </x:c>
      <x:c r="H467" s="90" t="n">
        <x:v>0.72</x:v>
      </x:c>
      <x:c r="I467" s="90" t="n">
        <x:v>0.37</x:v>
      </x:c>
      <x:c r="J467" s="90" t="n">
        <x:v>2.22</x:v>
      </x:c>
      <x:c r="K467" s="90" t="n">
        <x:v>0.15</x:v>
      </x:c>
      <x:c r="L467" s="90" t="n">
        <x:v>0</x:v>
      </x:c>
      <x:c r="M467" s="90" t="n">
        <x:v>1.27</x:v>
      </x:c>
      <x:c r="N467" s="90" t="n">
        <x:v>1.25</x:v>
      </x:c>
      <x:c r="O467" s="90" t="n">
        <x:v>-2575.25</x:v>
      </x:c>
      <x:c r="P467" s="90" t="n">
        <x:v>3.32</x:v>
      </x:c>
      <x:c r="Q467" s="90" t="n">
        <x:v>0.24</x:v>
      </x:c>
      <x:c r="R467" s="90" t="n">
        <x:v>0</x:v>
      </x:c>
      <x:c r="S467" s="90" t="n">
        <x:v>0</x:v>
      </x:c>
      <x:c r="T467" s="90" t="n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 t="n">
        <x:v>0</x:v>
      </x:c>
    </x:row>
    <x:row r="468" spans="3:26" ht="12.75" customHeight="1" x14ac:dyDescent="0.25">
      <x:c r="D468" s="89" t="s">
        <x:v>115</x:v>
      </x:c>
      <x:c r="E468" s="89" t="s">
        <x:v>70</x:v>
      </x:c>
      <x:c r="F468" s="371" t="n">
        <x:v>41900</x:v>
      </x:c>
      <x:c r="G468" s="90" t="n">
        <x:v>2593.47</x:v>
      </x:c>
      <x:c r="H468" s="90" t="n">
        <x:v>1464.28</x:v>
      </x:c>
      <x:c r="I468" s="90" t="n">
        <x:v>768.54</x:v>
      </x:c>
      <x:c r="J468" s="90" t="n">
        <x:v>8475</x:v>
      </x:c>
      <x:c r="K468" s="90" t="n">
        <x:v>336.82</x:v>
      </x:c>
      <x:c r="L468" s="90" t="n">
        <x:v>0</x:v>
      </x:c>
      <x:c r="M468" s="90" t="n">
        <x:v>2954.55</x:v>
      </x:c>
      <x:c r="N468" s="90" t="n">
        <x:v>2903.79</x:v>
      </x:c>
      <x:c r="O468" s="90" t="n">
        <x:v>14989.18</x:v>
      </x:c>
      <x:c r="P468" s="90" t="n">
        <x:v>6864.83</x:v>
      </x:c>
      <x:c r="Q468" s="90" t="n">
        <x:v>549.54</x:v>
      </x:c>
      <x:c r="R468" s="90" t="n">
        <x:v>0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 t="n">
        <x:v>0</x:v>
      </x:c>
    </x:row>
    <x:row r="469" spans="3:26" ht="12.75" customHeight="1" x14ac:dyDescent="0.25">
      <x:c r="D469" s="89"/>
      <x:c r="E469" s="89" t="s">
        <x:v>72</x:v>
      </x:c>
      <x:c r="F469" s="371" t="n">
        <x:v>724954.55</x:v>
      </x:c>
      <x:c r="G469" s="90" t="n">
        <x:v>51580.59</x:v>
      </x:c>
      <x:c r="H469" s="90" t="n">
        <x:v>29162.67</x:v>
      </x:c>
      <x:c r="I469" s="90" t="n">
        <x:v>15465.11</x:v>
      </x:c>
      <x:c r="J469" s="90" t="n">
        <x:v>165856.16</x:v>
      </x:c>
      <x:c r="K469" s="90" t="n">
        <x:v>4891.9</x:v>
      </x:c>
      <x:c r="L469" s="90" t="n">
        <x:v>0</x:v>
      </x:c>
      <x:c r="M469" s="90" t="n">
        <x:v>46423.44</x:v>
      </x:c>
      <x:c r="N469" s="90" t="n">
        <x:v>49444.99</x:v>
      </x:c>
      <x:c r="O469" s="90" t="n">
        <x:v>213489.65</x:v>
      </x:c>
      <x:c r="P469" s="90" t="n">
        <x:v>140652.25</x:v>
      </x:c>
      <x:c r="Q469" s="90" t="n">
        <x:v>7981.52</x:v>
      </x:c>
      <x:c r="R469" s="90" t="n">
        <x:v>6.27</x:v>
      </x:c>
      <x:c r="S469" s="90" t="n">
        <x:v>0</x:v>
      </x:c>
      <x:c r="T469" s="90" t="n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 t="n">
        <x:v>0</x:v>
      </x:c>
    </x:row>
    <x:row r="470" spans="3:26" ht="12.75" customHeight="1" x14ac:dyDescent="0.25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5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5">
      <x:c r="D472" s="89"/>
      <x:c r="E472" s="89" t="s">
        <x:v>72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25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5">
      <x:c r="D474" t="s">
        <x:v>118</x:v>
      </x:c>
      <x:c r="E474" s="89" t="s">
        <x:v>70</x:v>
      </x:c>
      <x:c r="F474" s="90">
        <x:v>0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25">
      <x:c r="C475" s="223" t="s">
        <x:v>120</x:v>
      </x:c>
      <x:c r="D475" s="223" t="s">
        <x:v>70</x:v>
      </x:c>
      <x:c r="F475" s="225" t="n">
        <x:v>41900</x:v>
      </x:c>
      <x:c r="G475" s="225" t="n">
        <x:v>2593.47</x:v>
      </x:c>
      <x:c r="H475" s="225" t="n">
        <x:v>1464.28</x:v>
      </x:c>
      <x:c r="I475" s="225" t="n">
        <x:v>768.54</x:v>
      </x:c>
      <x:c r="J475" s="225" t="n">
        <x:v>8475</x:v>
      </x:c>
      <x:c r="K475" s="225" t="n">
        <x:v>336.82</x:v>
      </x:c>
      <x:c r="L475" s="225" t="n">
        <x:v>0</x:v>
      </x:c>
      <x:c r="M475" s="225" t="n">
        <x:v>2954.55</x:v>
      </x:c>
      <x:c r="N475" s="225" t="n">
        <x:v>2903.79</x:v>
      </x:c>
      <x:c r="O475" s="225" t="n">
        <x:v>14989.18</x:v>
      </x:c>
      <x:c r="P475" s="225" t="n">
        <x:v>6864.83</x:v>
      </x:c>
      <x:c r="Q475" s="225" t="n">
        <x:v>549.54</x:v>
      </x:c>
      <x:c r="R475" s="225" t="n">
        <x:v>0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 t="n">
        <x:v>0</x:v>
      </x:c>
    </x:row>
    <x:row r="476" spans="3:26" ht="12.75" customHeight="1" x14ac:dyDescent="0.25">
      <x:c r="E476" s="89" t="s">
        <x:v>72</x:v>
      </x:c>
      <x:c r="F476" s="371">
        <x:v>0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5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5">
      <x:c r="D478" t="s">
        <x:v>82</x:v>
      </x:c>
      <x:c r="E478" s="89" t="s">
        <x:v>70</x:v>
      </x:c>
      <x:c r="F478" s="371">
        <x:v>0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5">
      <x:c r="E479" s="89" t="s">
        <x:v>72</x:v>
      </x:c>
      <x:c r="F479" s="371">
        <x:v>0</x:v>
      </x:c>
      <x:c r="G479" s="90">
        <x:v>0</x:v>
      </x:c>
      <x:c r="H479" s="90">
        <x:v>0</x:v>
      </x:c>
      <x:c r="I479" s="90">
        <x:v>0</x:v>
      </x:c>
      <x:c r="J479" s="90">
        <x:v>0</x:v>
      </x:c>
      <x:c r="K479" s="90">
        <x:v>0</x:v>
      </x:c>
      <x:c r="L479" s="90">
        <x:v>0</x:v>
      </x:c>
      <x:c r="M479" s="90">
        <x:v>0</x:v>
      </x:c>
      <x:c r="N479" s="90">
        <x:v>0</x:v>
      </x:c>
      <x:c r="O479" s="90">
        <x:v>0</x:v>
      </x:c>
      <x:c r="P479" s="90">
        <x:v>0</x:v>
      </x:c>
      <x:c r="Q479" s="90">
        <x:v>0</x:v>
      </x:c>
      <x:c r="R479" s="90">
        <x:v>0</x:v>
      </x:c>
      <x:c r="S479" s="90">
        <x:v>0</x:v>
      </x:c>
      <x:c r="T479" s="90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>
        <x:v>0</x:v>
      </x:c>
    </x:row>
    <x:row r="480" spans="3:26" ht="12.75" customHeight="1" x14ac:dyDescent="0.25">
      <x:c r="E480" s="89" t="s">
        <x:v>81</x:v>
      </x:c>
      <x:c r="F480" s="371">
        <x:v>0</x:v>
      </x:c>
      <x:c r="G480" s="90">
        <x:v>0</x:v>
      </x:c>
      <x:c r="H480" s="90">
        <x:v>0</x:v>
      </x:c>
      <x:c r="I480" s="90">
        <x:v>0</x:v>
      </x:c>
      <x:c r="J480" s="90">
        <x:v>0</x:v>
      </x:c>
      <x:c r="K480" s="90">
        <x:v>0</x:v>
      </x:c>
      <x:c r="L480" s="90">
        <x:v>0</x:v>
      </x:c>
      <x:c r="M480" s="90">
        <x:v>0</x:v>
      </x:c>
      <x:c r="N480" s="90">
        <x:v>0</x:v>
      </x:c>
      <x:c r="O480" s="90">
        <x:v>0</x:v>
      </x:c>
      <x:c r="P480" s="90">
        <x:v>0</x:v>
      </x:c>
      <x:c r="Q480" s="90">
        <x:v>0</x:v>
      </x:c>
      <x:c r="R480" s="90">
        <x:v>0</x:v>
      </x:c>
      <x:c r="S480" s="90">
        <x:v>0</x:v>
      </x:c>
      <x:c r="T480" s="90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>
        <x:v>0</x:v>
      </x:c>
    </x:row>
    <x:row r="481" spans="2:26" ht="12.75" customHeight="1" x14ac:dyDescent="0.25">
      <x:c r="D481" t="s">
        <x:v>86</x:v>
      </x:c>
      <x:c r="E481" s="89" t="s">
        <x:v>70</x:v>
      </x:c>
      <x:c r="F481" s="371" t="n">
        <x:v>722390.09</x:v>
      </x:c>
      <x:c r="G481" s="90" t="n">
        <x:v>51581.84</x:v>
      </x:c>
      <x:c r="H481" s="90" t="n">
        <x:v>29163.39</x:v>
      </x:c>
      <x:c r="I481" s="90" t="n">
        <x:v>15465.48</x:v>
      </x:c>
      <x:c r="J481" s="90" t="n">
        <x:v>165858.38</x:v>
      </x:c>
      <x:c r="K481" s="90" t="n">
        <x:v>4892.05</x:v>
      </x:c>
      <x:c r="L481" s="90" t="n">
        <x:v>0</x:v>
      </x:c>
      <x:c r="M481" s="90" t="n">
        <x:v>46424.71</x:v>
      </x:c>
      <x:c r="N481" s="90" t="n">
        <x:v>49446.24</x:v>
      </x:c>
      <x:c r="O481" s="90" t="n">
        <x:v>210914.4</x:v>
      </x:c>
      <x:c r="P481" s="90" t="n">
        <x:v>140655.57</x:v>
      </x:c>
      <x:c r="Q481" s="90" t="n">
        <x:v>7981.76</x:v>
      </x:c>
      <x:c r="R481" s="90" t="n">
        <x:v>6.27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 t="n">
        <x:v>0</x:v>
      </x:c>
    </x:row>
    <x:row r="482" spans="2:26" ht="12.75" customHeight="1" x14ac:dyDescent="0.25">
      <x:c r="E482" s="89" t="s">
        <x:v>72</x:v>
      </x:c>
      <x:c r="F482" s="371">
        <x:v>0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>
        <x:v>0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5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5">
      <x:c r="D484" t="s">
        <x:v>87</x:v>
      </x:c>
      <x:c r="E484" s="89" t="s">
        <x:v>70</x:v>
      </x:c>
      <x:c r="F484" s="371">
        <x:v>0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5">
      <x:c r="C485" s="94" t="s">
        <x:v>119</x:v>
      </x:c>
      <x:c r="D485" s="94" t="s">
        <x:v>70</x:v>
      </x:c>
      <x:c r="E485" s="101"/>
      <x:c r="F485" s="93" t="n">
        <x:v>722390.09</x:v>
      </x:c>
      <x:c r="G485" s="93" t="n">
        <x:v>51581.84</x:v>
      </x:c>
      <x:c r="H485" s="93" t="n">
        <x:v>29163.39</x:v>
      </x:c>
      <x:c r="I485" s="93" t="n">
        <x:v>15465.48</x:v>
      </x:c>
      <x:c r="J485" s="93" t="n">
        <x:v>165858.38</x:v>
      </x:c>
      <x:c r="K485" s="93" t="n">
        <x:v>4892.05</x:v>
      </x:c>
      <x:c r="L485" s="93" t="n">
        <x:v>0</x:v>
      </x:c>
      <x:c r="M485" s="93" t="n">
        <x:v>46424.71</x:v>
      </x:c>
      <x:c r="N485" s="93" t="n">
        <x:v>49446.24</x:v>
      </x:c>
      <x:c r="O485" s="93" t="n">
        <x:v>210914.4</x:v>
      </x:c>
      <x:c r="P485" s="93" t="n">
        <x:v>140655.57</x:v>
      </x:c>
      <x:c r="Q485" s="93" t="n">
        <x:v>7981.76</x:v>
      </x:c>
      <x:c r="R485" s="93" t="n">
        <x:v>6.27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 t="n">
        <x:v>0</x:v>
      </x:c>
    </x:row>
    <x:row r="486" spans="2:26" s="378" customFormat="1" ht="12.75" customHeight="1" x14ac:dyDescent="0.25">
      <x:c r="B486" s="378" t="s">
        <x:v>122</x:v>
      </x:c>
      <x:c r="C486" s="378" t="s">
        <x:v>70</x:v>
      </x:c>
      <x:c r="E486" s="376"/>
      <x:c r="F486" s="377" t="n">
        <x:v>4600575.16</x:v>
      </x:c>
      <x:c r="G486" s="377" t="n">
        <x:v>311438.06</x:v>
      </x:c>
      <x:c r="H486" s="377" t="n">
        <x:v>174745.19</x:v>
      </x:c>
      <x:c r="I486" s="377" t="n">
        <x:v>94552.57</x:v>
      </x:c>
      <x:c r="J486" s="377" t="n">
        <x:v>971475.94</x:v>
      </x:c>
      <x:c r="K486" s="377" t="n">
        <x:v>31532.52</x:v>
      </x:c>
      <x:c r="L486" s="377" t="n">
        <x:v>0</x:v>
      </x:c>
      <x:c r="M486" s="377" t="n">
        <x:v>280120.46</x:v>
      </x:c>
      <x:c r="N486" s="377" t="n">
        <x:v>309903.63</x:v>
      </x:c>
      <x:c r="O486" s="377" t="n">
        <x:v>1543098.75</x:v>
      </x:c>
      <x:c r="P486" s="377" t="n">
        <x:v>830464.64</x:v>
      </x:c>
      <x:c r="Q486" s="377" t="n">
        <x:v>53321.16</x:v>
      </x:c>
      <x:c r="R486" s="377" t="n">
        <x:v>10.98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 t="n">
        <x:v>-88.74</x:v>
      </x:c>
    </x:row>
    <x:row r="487" spans="2:26" ht="12.75" customHeight="1" x14ac:dyDescent="0.25">
      <x:c r="E487" s="89" t="s">
        <x:v>72</x:v>
      </x:c>
      <x:c r="F487" s="90" t="n">
        <x:v>7194058961.66</x:v>
      </x:c>
      <x:c r="G487" s="90" t="n">
        <x:v>402608765.9</x:v>
      </x:c>
      <x:c r="H487" s="90" t="n">
        <x:v>225742966.46</x:v>
      </x:c>
      <x:c r="I487" s="90" t="n">
        <x:v>118610711.24</x:v>
      </x:c>
      <x:c r="J487" s="90" t="n">
        <x:v>1517323419.89</x:v>
      </x:c>
      <x:c r="K487" s="90" t="n">
        <x:v>59618340.23</x:v>
      </x:c>
      <x:c r="L487" s="90" t="n">
        <x:v>19205690.58</x:v>
      </x:c>
      <x:c r="M487" s="90" t="n">
        <x:v>521948830.89</x:v>
      </x:c>
      <x:c r="N487" s="90" t="n">
        <x:v>515744857.09</x:v>
      </x:c>
      <x:c r="O487" s="90" t="n">
        <x:v>2650384910.21</x:v>
      </x:c>
      <x:c r="P487" s="90" t="n">
        <x:v>1065418621.53</x:v>
      </x:c>
      <x:c r="Q487" s="90" t="n">
        <x:v>97483095.07</x:v>
      </x:c>
      <x:c r="R487" s="90" t="n">
        <x:v>-31247.43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 t="n">
        <x:v>0</x:v>
      </x:c>
    </x:row>
    <x:row r="488" spans="2:26" ht="12.75" customHeight="1" x14ac:dyDescent="0.25">
      <x:c r="E488" s="89" t="s">
        <x:v>81</x:v>
      </x:c>
      <x:c r="F488" s="371" t="n">
        <x:v>44029984.26</x:v>
      </x:c>
      <x:c r="G488" s="90" t="n">
        <x:v>5558443.26</x:v>
      </x:c>
      <x:c r="H488" s="90" t="n">
        <x:v>2499011.47</x:v>
      </x:c>
      <x:c r="I488" s="90" t="n">
        <x:v>975568.45</x:v>
      </x:c>
      <x:c r="J488" s="90" t="n">
        <x:v>7323304.4</x:v>
      </x:c>
      <x:c r="K488" s="90" t="n">
        <x:v>281514.84</x:v>
      </x:c>
      <x:c r="L488" s="90" t="n">
        <x:v>3196.95</x:v>
      </x:c>
      <x:c r="M488" s="90" t="n">
        <x:v>2467651.8</x:v>
      </x:c>
      <x:c r="N488" s="90" t="n">
        <x:v>2968352.29</x:v>
      </x:c>
      <x:c r="O488" s="90" t="n">
        <x:v>6873310.4</x:v>
      </x:c>
      <x:c r="P488" s="90" t="n">
        <x:v>14605987.13</x:v>
      </x:c>
      <x:c r="Q488" s="90" t="n">
        <x:v>459571.29</x:v>
      </x:c>
      <x:c r="R488" s="90" t="n">
        <x:v>14431.48</x:v>
      </x:c>
      <x:c r="S488" s="90" t="n">
        <x:v>0.02</x:v>
      </x:c>
      <x:c r="T488" t="n">
        <x:v>4.06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 t="n">
        <x:v>-363.58</x:v>
      </x:c>
    </x:row>
    <x:row r="489" spans="2:26" ht="12.75" customHeight="1" x14ac:dyDescent="0.25">
      <x:c r="D489" t="s">
        <x:v>156</x:v>
      </x:c>
      <x:c r="E489" s="89" t="s">
        <x:v>70</x:v>
      </x:c>
      <x:c r="F489" s="90" t="n">
        <x:v>7238088945.92</x:v>
      </x:c>
      <x:c r="G489" s="90" t="n">
        <x:v>408167209.16</x:v>
      </x:c>
      <x:c r="H489" s="90" t="n">
        <x:v>228241977.93</x:v>
      </x:c>
      <x:c r="I489" s="90" t="n">
        <x:v>119586279.69</x:v>
      </x:c>
      <x:c r="J489" s="90" t="n">
        <x:v>1524646724.29</x:v>
      </x:c>
      <x:c r="K489" s="90" t="n">
        <x:v>59899855.07</x:v>
      </x:c>
      <x:c r="L489" s="90" t="n">
        <x:v>19208887.53</x:v>
      </x:c>
      <x:c r="M489" s="90" t="n">
        <x:v>524416482.69</x:v>
      </x:c>
      <x:c r="N489" s="90" t="n">
        <x:v>518713209.38</x:v>
      </x:c>
      <x:c r="O489" s="90" t="n">
        <x:v>2657258220.61</x:v>
      </x:c>
      <x:c r="P489" s="90" t="n">
        <x:v>1080024608.66</x:v>
      </x:c>
      <x:c r="Q489" s="90" t="n">
        <x:v>97942666.36</x:v>
      </x:c>
      <x:c r="R489" s="90" t="n">
        <x:v>-16815.95</x:v>
      </x:c>
      <x:c r="S489" s="90" t="n">
        <x:v>0.02</x:v>
      </x:c>
      <x:c r="T489" t="n">
        <x:v>4.06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 t="n">
        <x:v>-363.58</x:v>
      </x:c>
    </x:row>
    <x:row r="490" spans="2:26" s="656" customFormat="1" ht="12.75" customHeight="1" x14ac:dyDescent="0.25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 t="n">
        <x:v>408167209.16</x:v>
      </x:c>
      <x:c r="H490" s="658" t="n">
        <x:v>228241977.93</x:v>
      </x:c>
      <x:c r="I490" s="658" t="n">
        <x:v>119586279.69</x:v>
      </x:c>
      <x:c r="J490" s="658" t="n">
        <x:v>1524646724.29</x:v>
      </x:c>
      <x:c r="K490" s="658" t="n">
        <x:v>59899855.07</x:v>
      </x:c>
      <x:c r="L490" s="658" t="n">
        <x:v>19208887.53</x:v>
      </x:c>
      <x:c r="M490" s="658" t="n">
        <x:v>524416482.69</x:v>
      </x:c>
      <x:c r="N490" s="658" t="n">
        <x:v>518713209.38</x:v>
      </x:c>
      <x:c r="O490" s="658" t="n">
        <x:v>2657258220.61</x:v>
      </x:c>
      <x:c r="P490" s="658" t="n">
        <x:v>1080024608.66</x:v>
      </x:c>
      <x:c r="Q490" s="658" t="n">
        <x:v>97942666.36</x:v>
      </x:c>
      <x:c r="R490" s="658" t="n">
        <x:v>-16815.95</x:v>
      </x:c>
      <x:c r="S490" s="658" t="n">
        <x:v>0.02</x:v>
      </x:c>
      <x:c r="T490" s="656" t="n">
        <x:v>4.06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 t="n">
        <x:v>-363.58</x:v>
      </x:c>
    </x:row>
    <x:row r="491" spans="2:26" ht="12.75" customHeight="1" x14ac:dyDescent="0.25">
      <x:c r="D491" s="89"/>
      <x:c r="E491" s="89" t="s">
        <x:v>72</x:v>
      </x:c>
      <x:c r="F491" s="371" t="n">
        <x:v>1922958</x:v>
      </x:c>
      <x:c r="G491" s="90" t="n">
        <x:v>159319.16</x:v>
      </x:c>
      <x:c r="H491" s="90" t="n">
        <x:v>77548.72</x:v>
      </x:c>
      <x:c r="I491" s="90" t="n">
        <x:v>42986.6</x:v>
      </x:c>
      <x:c r="J491" s="90" t="n">
        <x:v>351264.11</x:v>
      </x:c>
      <x:c r="K491" s="90" t="n">
        <x:v>11893.99</x:v>
      </x:c>
      <x:c r="L491" s="90" t="n">
        <x:v>0</x:v>
      </x:c>
      <x:c r="M491" s="90" t="n">
        <x:v>104494.99</x:v>
      </x:c>
      <x:c r="N491" s="90" t="n">
        <x:v>120498.04</x:v>
      </x:c>
      <x:c r="O491" s="90" t="n">
        <x:v>609717.11</x:v>
      </x:c>
      <x:c r="P491" s="90" t="n">
        <x:v>425799.3</x:v>
      </x:c>
      <x:c r="Q491" s="90" t="n">
        <x:v>19451.58</x:v>
      </x:c>
      <x:c r="R491" s="90" t="n">
        <x:v>-15.6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 t="n">
        <x:v>0</x:v>
      </x:c>
    </x:row>
    <x:row r="492" spans="2:26" ht="12.75" customHeight="1" x14ac:dyDescent="0.25">
      <x:c r="D492" s="89"/>
      <x:c r="E492" s="89" t="s">
        <x:v>81</x:v>
      </x:c>
      <x:c r="F492" s="371" t="n">
        <x:v>31695.39</x:v>
      </x:c>
      <x:c r="G492" s="90" t="n">
        <x:v>2440.05</x:v>
      </x:c>
      <x:c r="H492" s="90" t="n">
        <x:v>1077.78</x:v>
      </x:c>
      <x:c r="I492" s="90" t="n">
        <x:v>590.11</x:v>
      </x:c>
      <x:c r="J492" s="90" t="n">
        <x:v>5061.17</x:v>
      </x:c>
      <x:c r="K492" s="90" t="n">
        <x:v>200.49</x:v>
      </x:c>
      <x:c r="L492" s="90" t="n">
        <x:v>0</x:v>
      </x:c>
      <x:c r="M492" s="90" t="n">
        <x:v>1825.33</x:v>
      </x:c>
      <x:c r="N492" s="90" t="n">
        <x:v>2262.81</x:v>
      </x:c>
      <x:c r="O492" s="90" t="n">
        <x:v>11418.11</x:v>
      </x:c>
      <x:c r="P492" s="90" t="n">
        <x:v>6482.7</x:v>
      </x:c>
      <x:c r="Q492" s="90" t="n">
        <x:v>336.81</x:v>
      </x:c>
      <x:c r="R492" s="90" t="n">
        <x:v>0.03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 t="n">
        <x:v>0</x:v>
      </x:c>
    </x:row>
    <x:row r="493" spans="2:26" ht="12.75" customHeight="1" x14ac:dyDescent="0.25">
      <x:c r="D493" s="89" t="s">
        <x:v>115</x:v>
      </x:c>
      <x:c r="E493" s="89" t="s">
        <x:v>70</x:v>
      </x:c>
      <x:c r="F493" s="371" t="n">
        <x:v>1954653.39</x:v>
      </x:c>
      <x:c r="G493" s="90" t="n">
        <x:v>161759.21</x:v>
      </x:c>
      <x:c r="H493" s="90" t="n">
        <x:v>78626.5</x:v>
      </x:c>
      <x:c r="I493" s="90" t="n">
        <x:v>43576.71</x:v>
      </x:c>
      <x:c r="J493" s="90" t="n">
        <x:v>356325.28</x:v>
      </x:c>
      <x:c r="K493" s="90" t="n">
        <x:v>12094.48</x:v>
      </x:c>
      <x:c r="L493" s="90" t="n">
        <x:v>0</x:v>
      </x:c>
      <x:c r="M493" s="90" t="n">
        <x:v>106320.32</x:v>
      </x:c>
      <x:c r="N493" s="90" t="n">
        <x:v>122760.85</x:v>
      </x:c>
      <x:c r="O493" s="90" t="n">
        <x:v>621135.22</x:v>
      </x:c>
      <x:c r="P493" s="90" t="n">
        <x:v>432282</x:v>
      </x:c>
      <x:c r="Q493" s="90" t="n">
        <x:v>19788.39</x:v>
      </x:c>
      <x:c r="R493" s="90" t="n">
        <x:v>-15.57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 t="n">
        <x:v>0</x:v>
      </x:c>
    </x:row>
    <x:row r="494" spans="2:26" ht="12.75" customHeight="1" x14ac:dyDescent="0.25">
      <x:c r="C494" s="89"/>
      <x:c r="D494" s="89"/>
      <x:c r="E494" t="s">
        <x:v>72</x:v>
      </x:c>
      <x:c r="F494" s="90" t="n">
        <x:v>74289.79</x:v>
      </x:c>
      <x:c r="G494" s="90" t="n">
        <x:v>4022.86</x:v>
      </x:c>
      <x:c r="H494" s="90" t="n">
        <x:v>1850.83</x:v>
      </x:c>
      <x:c r="I494" s="90" t="n">
        <x:v>1005.97</x:v>
      </x:c>
      <x:c r="J494" s="90" t="n">
        <x:v>19690.83</x:v>
      </x:c>
      <x:c r="K494" s="90" t="n">
        <x:v>487.51</x:v>
      </x:c>
      <x:c r="L494" s="90" t="n">
        <x:v>0</x:v>
      </x:c>
      <x:c r="M494" s="90" t="n">
        <x:v>4276.5</x:v>
      </x:c>
      <x:c r="N494" s="90" t="n">
        <x:v>5295.45</x:v>
      </x:c>
      <x:c r="O494" s="90" t="n">
        <x:v>25967.6</x:v>
      </x:c>
      <x:c r="P494" s="90" t="n">
        <x:v>10897.84</x:v>
      </x:c>
      <x:c r="Q494" s="90" t="n">
        <x:v>795.43</x:v>
      </x:c>
      <x:c r="R494" s="90" t="n">
        <x:v>-1.03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 t="n">
        <x:v>0</x:v>
      </x:c>
    </x:row>
    <x:row r="495" spans="2:26" ht="12.75" customHeight="1" x14ac:dyDescent="0.25">
      <x:c r="E495" s="89" t="s">
        <x:v>81</x:v>
      </x:c>
      <x:c r="F495" s="90" t="n">
        <x:v>326.05</x:v>
      </x:c>
      <x:c r="G495" s="90" t="n">
        <x:v>31.66</x:v>
      </x:c>
      <x:c r="H495" s="90" t="n">
        <x:v>16.84</x:v>
      </x:c>
      <x:c r="I495" s="90" t="n">
        <x:v>9.14</x:v>
      </x:c>
      <x:c r="J495" s="90" t="n">
        <x:v>155.9</x:v>
      </x:c>
      <x:c r="K495" s="90" t="n">
        <x:v>5.06</x:v>
      </x:c>
      <x:c r="L495" s="90" t="n">
        <x:v>0</x:v>
      </x:c>
      <x:c r="M495" s="90" t="n">
        <x:v>44.21</x:v>
      </x:c>
      <x:c r="N495" s="90" t="n">
        <x:v>46.71</x:v>
      </x:c>
      <x:c r="O495" s="90" t="n">
        <x:v>-76.52</x:v>
      </x:c>
      <x:c r="P495" s="90" t="n">
        <x:v>84.83</x:v>
      </x:c>
      <x:c r="Q495" s="90" t="n">
        <x:v>8.21</x:v>
      </x:c>
      <x:c r="R495" s="90" t="n">
        <x:v>0.01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 t="n">
        <x:v>0</x:v>
      </x:c>
    </x:row>
    <x:row r="496" spans="2:26" ht="12.75" customHeight="1" x14ac:dyDescent="0.25">
      <x:c r="D496" s="773">
        <x:v>2</x:v>
      </x:c>
      <x:c r="E496" s="89" t="s">
        <x:v>70</x:v>
      </x:c>
      <x:c r="F496" s="90" t="n">
        <x:v>74615.84</x:v>
      </x:c>
      <x:c r="G496" s="90" t="n">
        <x:v>4054.52</x:v>
      </x:c>
      <x:c r="H496" s="90" t="n">
        <x:v>1867.67</x:v>
      </x:c>
      <x:c r="I496" s="90" t="n">
        <x:v>1015.11</x:v>
      </x:c>
      <x:c r="J496" s="90" t="n">
        <x:v>19846.73</x:v>
      </x:c>
      <x:c r="K496" s="90" t="n">
        <x:v>492.57</x:v>
      </x:c>
      <x:c r="L496" s="90" t="n">
        <x:v>0</x:v>
      </x:c>
      <x:c r="M496" s="90" t="n">
        <x:v>4320.71</x:v>
      </x:c>
      <x:c r="N496" s="90" t="n">
        <x:v>5342.16</x:v>
      </x:c>
      <x:c r="O496" s="90" t="n">
        <x:v>25891.08</x:v>
      </x:c>
      <x:c r="P496" s="90" t="n">
        <x:v>10982.67</x:v>
      </x:c>
      <x:c r="Q496" s="90" t="n">
        <x:v>803.64</x:v>
      </x:c>
      <x:c r="R496" s="90" t="n">
        <x:v>-1.02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 t="n">
        <x:v>0</x:v>
      </x:c>
    </x:row>
    <x:row r="497" spans="1:26" ht="12.75" customHeight="1" x14ac:dyDescent="0.25">
      <x:c r="C497" s="89"/>
      <x:c r="D497" s="89"/>
      <x:c r="E497" t="s">
        <x:v>72</x:v>
      </x:c>
      <x:c r="F497" s="90" t="n">
        <x:v>3331549.61</x:v>
      </x:c>
      <x:c r="G497" s="90" t="n">
        <x:v>182192.21</x:v>
      </x:c>
      <x:c r="H497" s="90" t="n">
        <x:v>102153.37</x:v>
      </x:c>
      <x:c r="I497" s="90" t="n">
        <x:v>54175.39</x:v>
      </x:c>
      <x:c r="J497" s="90" t="n">
        <x:v>745643.89</x:v>
      </x:c>
      <x:c r="K497" s="90" t="n">
        <x:v>26606.11</x:v>
      </x:c>
      <x:c r="L497" s="90" t="n">
        <x:v>0</x:v>
      </x:c>
      <x:c r="M497" s="90" t="n">
        <x:v>233387.39</x:v>
      </x:c>
      <x:c r="N497" s="90" t="n">
        <x:v>238637.89</x:v>
      </x:c>
      <x:c r="O497" s="90" t="n">
        <x:v>1220767.39</x:v>
      </x:c>
      <x:c r="P497" s="90" t="n">
        <x:v>484597.6</x:v>
      </x:c>
      <x:c r="Q497" s="90" t="n">
        <x:v>43409.91</x:v>
      </x:c>
      <x:c r="R497" s="90" t="n">
        <x:v>-21.54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 t="n">
        <x:v>0</x:v>
      </x:c>
    </x:row>
    <x:row r="498" spans="1:26" ht="12.75" customHeight="1" x14ac:dyDescent="0.25">
      <x:c r="E498" s="89" t="s">
        <x:v>81</x:v>
      </x:c>
      <x:c r="F498" s="90" t="n">
        <x:v>-6870.16</x:v>
      </x:c>
      <x:c r="G498" s="90" t="n">
        <x:v>20.28</x:v>
      </x:c>
      <x:c r="H498" s="90" t="n">
        <x:v>11.42</x:v>
      </x:c>
      <x:c r="I498" s="90" t="n">
        <x:v>6.22</x:v>
      </x:c>
      <x:c r="J498" s="90" t="n">
        <x:v>95.64</x:v>
      </x:c>
      <x:c r="K498" s="90" t="n">
        <x:v>2.91</x:v>
      </x:c>
      <x:c r="L498" s="90" t="n">
        <x:v>0</x:v>
      </x:c>
      <x:c r="M498" s="90" t="n">
        <x:v>25.68</x:v>
      </x:c>
      <x:c r="N498" s="90" t="n">
        <x:v>29.91</x:v>
      </x:c>
      <x:c r="O498" s="90" t="n">
        <x:v>-7121.32</x:v>
      </x:c>
      <x:c r="P498" s="90" t="n">
        <x:v>54.28</x:v>
      </x:c>
      <x:c r="Q498" s="90" t="n">
        <x:v>4.82</x:v>
      </x:c>
      <x:c r="R498" s="90" t="n">
        <x:v>0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 t="n">
        <x:v>0</x:v>
      </x:c>
    </x:row>
    <x:row r="499" spans="1:26" ht="12.75" customHeight="1" x14ac:dyDescent="0.25">
      <x:c r="D499" t="s">
        <x:v>118</x:v>
      </x:c>
      <x:c r="E499" s="89" t="s">
        <x:v>70</x:v>
      </x:c>
      <x:c r="F499" s="90" t="n">
        <x:v>3324679.45</x:v>
      </x:c>
      <x:c r="G499" s="90" t="n">
        <x:v>182212.49</x:v>
      </x:c>
      <x:c r="H499" s="90" t="n">
        <x:v>102164.79</x:v>
      </x:c>
      <x:c r="I499" s="90" t="n">
        <x:v>54181.61</x:v>
      </x:c>
      <x:c r="J499" s="90" t="n">
        <x:v>745739.53</x:v>
      </x:c>
      <x:c r="K499" s="90" t="n">
        <x:v>26609.02</x:v>
      </x:c>
      <x:c r="L499" s="90" t="n">
        <x:v>0</x:v>
      </x:c>
      <x:c r="M499" s="90" t="n">
        <x:v>233413.07</x:v>
      </x:c>
      <x:c r="N499" s="90" t="n">
        <x:v>238667.8</x:v>
      </x:c>
      <x:c r="O499" s="90" t="n">
        <x:v>1213646.07</x:v>
      </x:c>
      <x:c r="P499" s="90" t="n">
        <x:v>484651.88</x:v>
      </x:c>
      <x:c r="Q499" s="90" t="n">
        <x:v>43414.73</x:v>
      </x:c>
      <x:c r="R499" s="90" t="n">
        <x:v>-21.54</x:v>
      </x:c>
      <x:c r="S499" s="90" t="n">
        <x:v>0</x:v>
      </x:c>
      <x:c r="T499" t="n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 t="n">
        <x:v>0</x:v>
      </x:c>
    </x:row>
    <x:row r="500" spans="1:26" s="224" customFormat="1" ht="12.75" customHeight="1" x14ac:dyDescent="0.25">
      <x:c r="C500" s="223" t="s">
        <x:v>120</x:v>
      </x:c>
      <x:c r="D500" s="223" t="s">
        <x:v>70</x:v>
      </x:c>
      <x:c r="F500" s="225" t="n">
        <x:v>5353948.68</x:v>
      </x:c>
      <x:c r="G500" s="225" t="n">
        <x:v>348026.22</x:v>
      </x:c>
      <x:c r="H500" s="225" t="n">
        <x:v>182658.96</x:v>
      </x:c>
      <x:c r="I500" s="225" t="n">
        <x:v>98773.43</x:v>
      </x:c>
      <x:c r="J500" s="225" t="n">
        <x:v>1121911.54</x:v>
      </x:c>
      <x:c r="K500" s="225" t="n">
        <x:v>39196.07</x:v>
      </x:c>
      <x:c r="L500" s="225" t="n">
        <x:v>0</x:v>
      </x:c>
      <x:c r="M500" s="225" t="n">
        <x:v>344054.1</x:v>
      </x:c>
      <x:c r="N500" s="225" t="n">
        <x:v>366770.81</x:v>
      </x:c>
      <x:c r="O500" s="225" t="n">
        <x:v>1860672.37</x:v>
      </x:c>
      <x:c r="P500" s="225" t="n">
        <x:v>927916.55</x:v>
      </x:c>
      <x:c r="Q500" s="225" t="n">
        <x:v>64006.76</x:v>
      </x:c>
      <x:c r="R500" s="225" t="n">
        <x:v>-38.13</x:v>
      </x:c>
      <x:c r="S500" s="225" t="n">
        <x:v>0</x:v>
      </x:c>
      <x:c r="T500" s="224" t="n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 t="n">
        <x:v>0</x:v>
      </x:c>
    </x:row>
    <x:row r="501" spans="1:26" ht="12.75" customHeight="1" x14ac:dyDescent="0.25">
      <x:c r="E501" s="89" t="s">
        <x:v>72</x:v>
      </x:c>
      <x:c r="F501" s="90" t="n">
        <x:v>48847452.5</x:v>
      </x:c>
      <x:c r="G501" s="90" t="n">
        <x:v>2956898.65</x:v>
      </x:c>
      <x:c r="H501" s="90" t="n">
        <x:v>1670858.56</x:v>
      </x:c>
      <x:c r="I501" s="90" t="n">
        <x:v>890663.49</x:v>
      </x:c>
      <x:c r="J501" s="90" t="n">
        <x:v>10650539.58</x:v>
      </x:c>
      <x:c r="K501" s="90" t="n">
        <x:v>289194.06</x:v>
      </x:c>
      <x:c r="L501" s="90" t="n">
        <x:v>0</x:v>
      </x:c>
      <x:c r="M501" s="90" t="n">
        <x:v>2525057.51</x:v>
      </x:c>
      <x:c r="N501" s="90" t="n">
        <x:v>3504369.81</x:v>
      </x:c>
      <x:c r="O501" s="90" t="n">
        <x:v>18008545.39</x:v>
      </x:c>
      <x:c r="P501" s="90" t="n">
        <x:v>7877853.09</x:v>
      </x:c>
      <x:c r="Q501" s="90" t="n">
        <x:v>473033.96</x:v>
      </x:c>
      <x:c r="R501" s="90" t="n">
        <x:v>438.4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 t="n">
        <x:v>0</x:v>
      </x:c>
    </x:row>
    <x:row r="502" spans="1:26" ht="12.75" customHeight="1" x14ac:dyDescent="0.25">
      <x:c r="D502" s="89"/>
      <x:c r="E502" s="89" t="s">
        <x:v>81</x:v>
      </x:c>
      <x:c r="F502" s="90" t="n">
        <x:v>-4501.92</x:v>
      </x:c>
      <x:c r="G502" s="90" t="n">
        <x:v>1047.21</x:v>
      </x:c>
      <x:c r="H502" s="90" t="n">
        <x:v>565.68</x:v>
      </x:c>
      <x:c r="I502" s="90" t="n">
        <x:v>302.85</x:v>
      </x:c>
      <x:c r="J502" s="90" t="n">
        <x:v>3704.93</x:v>
      </x:c>
      <x:c r="K502" s="90" t="n">
        <x:v>98.85</x:v>
      </x:c>
      <x:c r="L502" s="90" t="n">
        <x:v>0</x:v>
      </x:c>
      <x:c r="M502" s="90" t="n">
        <x:v>865.38</x:v>
      </x:c>
      <x:c r="N502" s="90" t="n">
        <x:v>1214.32</x:v>
      </x:c>
      <x:c r="O502" s="90" t="n">
        <x:v>-15273.45</x:v>
      </x:c>
      <x:c r="P502" s="90" t="n">
        <x:v>2811.97</x:v>
      </x:c>
      <x:c r="Q502" s="90" t="n">
        <x:v>160.66</x:v>
      </x:c>
      <x:c r="R502" s="90" t="n">
        <x:v>-0.44</x:v>
      </x:c>
      <x:c r="S502" s="90" t="n">
        <x:v>0.12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 t="n">
        <x:v>0</x:v>
      </x:c>
    </x:row>
    <x:row r="503" spans="1:26" ht="12.75" customHeight="1" x14ac:dyDescent="0.25">
      <x:c r="D503" t="s">
        <x:v>82</x:v>
      </x:c>
      <x:c r="E503" s="89" t="s">
        <x:v>70</x:v>
      </x:c>
      <x:c r="F503" s="90" t="n">
        <x:v>48842950.58</x:v>
      </x:c>
      <x:c r="G503" s="90" t="n">
        <x:v>2957945.86</x:v>
      </x:c>
      <x:c r="H503" s="90" t="n">
        <x:v>1671424.24</x:v>
      </x:c>
      <x:c r="I503" s="90" t="n">
        <x:v>890966.34</x:v>
      </x:c>
      <x:c r="J503" s="90" t="n">
        <x:v>10654244.51</x:v>
      </x:c>
      <x:c r="K503" s="90" t="n">
        <x:v>289292.91</x:v>
      </x:c>
      <x:c r="L503" s="90" t="n">
        <x:v>0</x:v>
      </x:c>
      <x:c r="M503" s="90" t="n">
        <x:v>2525922.89</x:v>
      </x:c>
      <x:c r="N503" s="90" t="n">
        <x:v>3505584.13</x:v>
      </x:c>
      <x:c r="O503" s="90" t="n">
        <x:v>17993271.94</x:v>
      </x:c>
      <x:c r="P503" s="90" t="n">
        <x:v>7880665.06</x:v>
      </x:c>
      <x:c r="Q503" s="90" t="n">
        <x:v>473194.62</x:v>
      </x:c>
      <x:c r="R503" s="90" t="n">
        <x:v>437.96</x:v>
      </x:c>
      <x:c r="S503" s="90" t="n">
        <x:v>0.12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 t="n">
        <x:v>0</x:v>
      </x:c>
    </x:row>
    <x:row r="504" spans="1:26" ht="12.75" customHeight="1" x14ac:dyDescent="0.25">
      <x:c r="E504" s="89" t="s">
        <x:v>72</x:v>
      </x:c>
      <x:c r="F504" s="90" t="n">
        <x:v>137467523.91</x:v>
      </x:c>
      <x:c r="G504" s="90" t="n">
        <x:v>8663269.4</x:v>
      </x:c>
      <x:c r="H504" s="90" t="n">
        <x:v>4412110.42</x:v>
      </x:c>
      <x:c r="I504" s="90" t="n">
        <x:v>2001839.24</x:v>
      </x:c>
      <x:c r="J504" s="90" t="n">
        <x:v>22410734.67</x:v>
      </x:c>
      <x:c r="K504" s="90" t="n">
        <x:v>875496.56</x:v>
      </x:c>
      <x:c r="L504" s="90" t="n">
        <x:v>1472893.34</x:v>
      </x:c>
      <x:c r="M504" s="90" t="n">
        <x:v>9306214.48</x:v>
      </x:c>
      <x:c r="N504" s="90" t="n">
        <x:v>10653553.7</x:v>
      </x:c>
      <x:c r="O504" s="90" t="n">
        <x:v>52243121.2</x:v>
      </x:c>
      <x:c r="P504" s="90" t="n">
        <x:v>23995973.79</x:v>
      </x:c>
      <x:c r="Q504" s="90" t="n">
        <x:v>1432482.64</x:v>
      </x:c>
      <x:c r="R504" s="90" t="n">
        <x:v>-165.53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 t="n">
        <x:v>0</x:v>
      </x:c>
    </x:row>
    <x:row r="505" spans="1:26" ht="12.75" customHeight="1" x14ac:dyDescent="0.25">
      <x:c r="D505" s="89"/>
      <x:c r="E505" s="89" t="s">
        <x:v>81</x:v>
      </x:c>
      <x:c r="F505" s="90" t="n">
        <x:v>18712430.98</x:v>
      </x:c>
      <x:c r="G505" s="90" t="n">
        <x:v>2019789.4</x:v>
      </x:c>
      <x:c r="H505" s="90" t="n">
        <x:v>879794.96</x:v>
      </x:c>
      <x:c r="I505" s="90" t="n">
        <x:v>335545.4</x:v>
      </x:c>
      <x:c r="J505" s="90" t="n">
        <x:v>3041356.19</x:v>
      </x:c>
      <x:c r="K505" s="90" t="n">
        <x:v>124932.99</x:v>
      </x:c>
      <x:c r="L505" s="90" t="n">
        <x:v>0</x:v>
      </x:c>
      <x:c r="M505" s="90" t="n">
        <x:v>1095367.92</x:v>
      </x:c>
      <x:c r="N505" s="90" t="n">
        <x:v>1290315.49</x:v>
      </x:c>
      <x:c r="O505" s="90" t="n">
        <x:v>4393356.75</x:v>
      </x:c>
      <x:c r="P505" s="90" t="n">
        <x:v>5328262.13</x:v>
      </x:c>
      <x:c r="Q505" s="90" t="n">
        <x:v>203881.06</x:v>
      </x:c>
      <x:c r="R505" s="90" t="n">
        <x:v>-90.62</x:v>
      </x:c>
      <x:c r="S505" s="90" t="n">
        <x:v>0</x:v>
      </x:c>
      <x:c r="T505" t="n">
        <x:v>2.35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 t="n">
        <x:v>-83.04</x:v>
      </x:c>
    </x:row>
    <x:row r="506" spans="1:26" ht="12.75" customHeight="1" x14ac:dyDescent="0.25">
      <x:c r="C506" s="89"/>
      <x:c r="D506" s="89" t="s">
        <x:v>86</x:v>
      </x:c>
      <x:c r="E506" t="s">
        <x:v>70</x:v>
      </x:c>
      <x:c r="F506" s="90" t="n">
        <x:v>156179954.89</x:v>
      </x:c>
      <x:c r="G506" s="90" t="n">
        <x:v>10683058.8</x:v>
      </x:c>
      <x:c r="H506" s="90" t="n">
        <x:v>5291905.38</x:v>
      </x:c>
      <x:c r="I506" s="90" t="n">
        <x:v>2337384.64</x:v>
      </x:c>
      <x:c r="J506" s="90" t="n">
        <x:v>25452090.86</x:v>
      </x:c>
      <x:c r="K506" s="90" t="n">
        <x:v>1000429.55</x:v>
      </x:c>
      <x:c r="L506" s="90" t="n">
        <x:v>1472893.34</x:v>
      </x:c>
      <x:c r="M506" s="90" t="n">
        <x:v>10401582.4</x:v>
      </x:c>
      <x:c r="N506" s="90" t="n">
        <x:v>11943869.19</x:v>
      </x:c>
      <x:c r="O506" s="90" t="n">
        <x:v>56636477.95</x:v>
      </x:c>
      <x:c r="P506" s="90" t="n">
        <x:v>29324235.92</x:v>
      </x:c>
      <x:c r="Q506" s="90" t="n">
        <x:v>1636363.7</x:v>
      </x:c>
      <x:c r="R506" s="90" t="n">
        <x:v>-256.15</x:v>
      </x:c>
      <x:c r="S506" s="90" t="n">
        <x:v>0</x:v>
      </x:c>
      <x:c r="T506" t="n">
        <x:v>2.35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 t="n">
        <x:v>-83.04</x:v>
      </x:c>
    </x:row>
    <x:row r="507" spans="1:26" ht="12.75" customHeight="1" x14ac:dyDescent="0.25">
      <x:c r="B507" s="89"/>
      <x:c r="C507" s="89"/>
      <x:c r="E507" t="s">
        <x:v>72</x:v>
      </x:c>
      <x:c r="F507" s="90" t="n">
        <x:v>241323099.81</x:v>
      </x:c>
      <x:c r="G507" s="90" t="n">
        <x:v>38330997.58</x:v>
      </x:c>
      <x:c r="H507" s="90" t="n">
        <x:v>21631334.39</x:v>
      </x:c>
      <x:c r="I507" s="90" t="n">
        <x:v>11395580.82</x:v>
      </x:c>
      <x:c r="J507" s="90" t="n">
        <x:v>17111977.15</x:v>
      </x:c>
      <x:c r="K507" s="90" t="n">
        <x:v>446892.78</x:v>
      </x:c>
      <x:c r="L507" s="90" t="n">
        <x:v>13442000</x:v>
      </x:c>
      <x:c r="M507" s="90" t="n">
        <x:v>3889784.64</x:v>
      </x:c>
      <x:c r="N507" s="90" t="n">
        <x:v>5545916.4</x:v>
      </x:c>
      <x:c r="O507" s="90" t="n">
        <x:v>28257377.93</x:v>
      </x:c>
      <x:c r="P507" s="90" t="n">
        <x:v>100541636.9</x:v>
      </x:c>
      <x:c r="Q507" s="90" t="n">
        <x:v>729204.82</x:v>
      </x:c>
      <x:c r="R507" s="90" t="n">
        <x:v>396.4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 t="n">
        <x:v>0</x:v>
      </x:c>
    </x:row>
    <x:row r="508" spans="1:26" ht="12.75" customHeight="1" x14ac:dyDescent="0.25">
      <x:c r="A508" s="89"/>
      <x:c r="B508" s="89"/>
      <x:c r="E508" t="s">
        <x:v>81</x:v>
      </x:c>
      <x:c r="F508" s="90" t="n">
        <x:v>123717.69</x:v>
      </x:c>
      <x:c r="G508" s="90" t="n">
        <x:v>22646.3</x:v>
      </x:c>
      <x:c r="H508" s="90" t="n">
        <x:v>9129.34</x:v>
      </x:c>
      <x:c r="I508" s="90" t="n">
        <x:v>3521.77</x:v>
      </x:c>
      <x:c r="J508" s="90" t="n">
        <x:v>18601.31</x:v>
      </x:c>
      <x:c r="K508" s="90" t="n">
        <x:v>733.66</x:v>
      </x:c>
      <x:c r="L508" s="90" t="n">
        <x:v>4564.06</x:v>
      </x:c>
      <x:c r="M508" s="90" t="n">
        <x:v>6361.15</x:v>
      </x:c>
      <x:c r="N508" s="90" t="n">
        <x:v>7389.75</x:v>
      </x:c>
      <x:c r="O508" s="90" t="n">
        <x:v>-13914.1</x:v>
      </x:c>
      <x:c r="P508" s="90" t="n">
        <x:v>63487.55</x:v>
      </x:c>
      <x:c r="Q508" s="90" t="n">
        <x:v>1198.46</x:v>
      </x:c>
      <x:c r="R508" s="90" t="n">
        <x:v>-1.56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 t="n">
        <x:v>0</x:v>
      </x:c>
    </x:row>
    <x:row r="509" spans="1:26" ht="12.75" customHeight="1" x14ac:dyDescent="0.25">
      <x:c r="A509" s="89"/>
      <x:c r="B509" s="89"/>
      <x:c r="D509" t="s">
        <x:v>87</x:v>
      </x:c>
      <x:c r="E509" t="s">
        <x:v>70</x:v>
      </x:c>
      <x:c r="F509" s="371" t="n">
        <x:v>241446817.5</x:v>
      </x:c>
      <x:c r="G509" s="90" t="n">
        <x:v>38353643.88</x:v>
      </x:c>
      <x:c r="H509" s="90" t="n">
        <x:v>21640463.73</x:v>
      </x:c>
      <x:c r="I509" s="90" t="n">
        <x:v>11399102.59</x:v>
      </x:c>
      <x:c r="J509" s="90" t="n">
        <x:v>17130578.46</x:v>
      </x:c>
      <x:c r="K509" s="90" t="n">
        <x:v>447626.44</x:v>
      </x:c>
      <x:c r="L509" s="90" t="n">
        <x:v>13446564.06</x:v>
      </x:c>
      <x:c r="M509" s="90" t="n">
        <x:v>3896145.79</x:v>
      </x:c>
      <x:c r="N509" s="90" t="n">
        <x:v>5553306.15</x:v>
      </x:c>
      <x:c r="O509" s="90" t="n">
        <x:v>28243463.83</x:v>
      </x:c>
      <x:c r="P509" s="90" t="n">
        <x:v>100605124.45</x:v>
      </x:c>
      <x:c r="Q509" s="90" t="n">
        <x:v>730403.28</x:v>
      </x:c>
      <x:c r="R509" s="90" t="n">
        <x:v>394.84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 t="n">
        <x:v>0</x:v>
      </x:c>
    </x:row>
    <x:row r="510" spans="1:26" s="94" customFormat="1" ht="12.75" customHeight="1" x14ac:dyDescent="0.25">
      <x:c r="C510" s="101" t="s">
        <x:v>119</x:v>
      </x:c>
      <x:c r="D510" s="101" t="s">
        <x:v>70</x:v>
      </x:c>
      <x:c r="F510" s="93" t="n">
        <x:v>446469722.97</x:v>
      </x:c>
      <x:c r="G510" s="93" t="n">
        <x:v>51994648.54</x:v>
      </x:c>
      <x:c r="H510" s="93" t="n">
        <x:v>28603793.35</x:v>
      </x:c>
      <x:c r="I510" s="93" t="n">
        <x:v>14627453.57</x:v>
      </x:c>
      <x:c r="J510" s="93" t="n">
        <x:v>53236913.83</x:v>
      </x:c>
      <x:c r="K510" s="93" t="n">
        <x:v>1737348.9</x:v>
      </x:c>
      <x:c r="L510" s="93" t="n">
        <x:v>14919457.4</x:v>
      </x:c>
      <x:c r="M510" s="93" t="n">
        <x:v>16823651.08</x:v>
      </x:c>
      <x:c r="N510" s="93" t="n">
        <x:v>21002759.47</x:v>
      </x:c>
      <x:c r="O510" s="93" t="n">
        <x:v>102873213.72</x:v>
      </x:c>
      <x:c r="P510" s="93" t="n">
        <x:v>137810025.43</x:v>
      </x:c>
      <x:c r="Q510" s="93" t="n">
        <x:v>2839961.6</x:v>
      </x:c>
      <x:c r="R510" s="93" t="n">
        <x:v>576.65</x:v>
      </x:c>
      <x:c r="S510" s="93" t="n">
        <x:v>0.12</x:v>
      </x:c>
      <x:c r="T510" s="94" t="n">
        <x:v>2.35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 t="n">
        <x:v>-83.04</x:v>
      </x:c>
    </x:row>
    <x:row r="511" spans="1:26" s="226" customFormat="1" ht="12.75" customHeight="1" x14ac:dyDescent="0.25">
      <x:c r="B511" s="98" t="s">
        <x:v>112</x:v>
      </x:c>
      <x:c r="C511" s="98" t="s">
        <x:v>70</x:v>
      </x:c>
      <x:c r="F511" s="100" t="n">
        <x:v>7689912617.57</x:v>
      </x:c>
      <x:c r="G511" s="100" t="n">
        <x:v>460509883.92</x:v>
      </x:c>
      <x:c r="H511" s="100" t="n">
        <x:v>257028430.24</x:v>
      </x:c>
      <x:c r="I511" s="100" t="n">
        <x:v>134312506.69</x:v>
      </x:c>
      <x:c r="J511" s="100" t="n">
        <x:v>1579005549.66</x:v>
      </x:c>
      <x:c r="K511" s="100" t="n">
        <x:v>61676400.04</x:v>
      </x:c>
      <x:c r="L511" s="100" t="n">
        <x:v>34128344.93</x:v>
      </x:c>
      <x:c r="M511" s="100" t="n">
        <x:v>541584187.87</x:v>
      </x:c>
      <x:c r="N511" s="100" t="n">
        <x:v>540082739.66</x:v>
      </x:c>
      <x:c r="O511" s="100" t="n">
        <x:v>2761992106.7</x:v>
      </x:c>
      <x:c r="P511" s="100" t="n">
        <x:v>1218762550.64</x:v>
      </x:c>
      <x:c r="Q511" s="100" t="n">
        <x:v>100846634.72</x:v>
      </x:c>
      <x:c r="R511" s="100" t="n">
        <x:v>-16277.43</x:v>
      </x:c>
      <x:c r="S511" s="100" t="n">
        <x:v>0.14</x:v>
      </x:c>
      <x:c r="T511" s="226" t="n">
        <x:v>6.41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 t="n">
        <x:v>-446.62</x:v>
      </x:c>
    </x:row>
    <x:row r="512" spans="1:26" ht="12" customHeight="1" x14ac:dyDescent="0.25">
      <x:c r="A512" s="89" t="s">
        <x:v>78</x:v>
      </x:c>
      <x:c r="B512" s="89" t="s">
        <x:v>70</x:v>
      </x:c>
      <x:c r="F512" s="371" t="n">
        <x:v>7694513192.73</x:v>
      </x:c>
      <x:c r="G512" s="90" t="n">
        <x:v>460821321.98</x:v>
      </x:c>
      <x:c r="H512" s="90" t="n">
        <x:v>257203175.43</x:v>
      </x:c>
      <x:c r="I512" s="90" t="n">
        <x:v>134407059.26</x:v>
      </x:c>
      <x:c r="J512" s="90" t="n">
        <x:v>1579977025.6</x:v>
      </x:c>
      <x:c r="K512" s="90" t="n">
        <x:v>61707932.56</x:v>
      </x:c>
      <x:c r="L512" s="90" t="n">
        <x:v>34128344.93</x:v>
      </x:c>
      <x:c r="M512" s="90" t="n">
        <x:v>541864308.33</x:v>
      </x:c>
      <x:c r="N512" s="90" t="n">
        <x:v>540392643.29</x:v>
      </x:c>
      <x:c r="O512" s="90" t="n">
        <x:v>2763535205.45</x:v>
      </x:c>
      <x:c r="P512" s="90" t="n">
        <x:v>1219593015.28</x:v>
      </x:c>
      <x:c r="Q512" s="90" t="n">
        <x:v>100899955.88</x:v>
      </x:c>
      <x:c r="R512" s="90" t="n">
        <x:v>-16266.45</x:v>
      </x:c>
      <x:c r="S512" s="90" t="n">
        <x:v>0.14</x:v>
      </x:c>
      <x:c r="T512" t="n">
        <x:v>6.41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 t="n">
        <x:v>-535.36</x:v>
      </x:c>
    </x:row>
    <x:row r="513" spans="2:26" ht="12.75" customHeight="1" x14ac:dyDescent="0.25">
      <x:c r="B513" s="89"/>
      <x:c r="C513" s="89"/>
      <x:c r="E513" t="s">
        <x:v>73</x:v>
      </x:c>
      <x:c r="F513" s="90" t="n">
        <x:v>-226278.07</x:v>
      </x:c>
      <x:c r="G513" s="90" t="n">
        <x:v>26896.68</x:v>
      </x:c>
      <x:c r="H513" s="90" t="n">
        <x:v>15292.29</x:v>
      </x:c>
      <x:c r="I513" s="90" t="n">
        <x:v>7987.79</x:v>
      </x:c>
      <x:c r="J513" s="90" t="n">
        <x:v>-105125.62</x:v>
      </x:c>
      <x:c r="K513" s="90" t="n">
        <x:v>-3487.78</x:v>
      </x:c>
      <x:c r="L513" s="90" t="n">
        <x:v>0</x:v>
      </x:c>
      <x:c r="M513" s="90" t="n">
        <x:v>-30596.02</x:v>
      </x:c>
      <x:c r="N513" s="90" t="n">
        <x:v>-33825.99</x:v>
      </x:c>
      <x:c r="O513" s="90" t="n">
        <x:v>-169274.83</x:v>
      </x:c>
      <x:c r="P513" s="90" t="n">
        <x:v>71546.22</x:v>
      </x:c>
      <x:c r="Q513" s="90" t="n">
        <x:v>-5690.81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 t="n">
        <x:v>0</x:v>
      </x:c>
    </x:row>
    <x:row r="514" spans="2:26" ht="12.75" customHeight="1" x14ac:dyDescent="0.25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 t="n">
        <x:v>26896.68</x:v>
      </x:c>
      <x:c r="H514" s="90" t="n">
        <x:v>15292.29</x:v>
      </x:c>
      <x:c r="I514" s="90" t="n">
        <x:v>7987.79</x:v>
      </x:c>
      <x:c r="J514" s="90" t="n">
        <x:v>-105125.62</x:v>
      </x:c>
      <x:c r="K514" s="90" t="n">
        <x:v>-3487.78</x:v>
      </x:c>
      <x:c r="L514" s="90" t="n">
        <x:v>0</x:v>
      </x:c>
      <x:c r="M514" s="90" t="n">
        <x:v>-30596.02</x:v>
      </x:c>
      <x:c r="N514" s="90" t="n">
        <x:v>-33825.99</x:v>
      </x:c>
      <x:c r="O514" s="90" t="n">
        <x:v>-169274.83</x:v>
      </x:c>
      <x:c r="P514" s="90" t="n">
        <x:v>71546.22</x:v>
      </x:c>
      <x:c r="Q514" s="90" t="n">
        <x:v>-5690.81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 t="n">
        <x:v>0</x:v>
      </x:c>
    </x:row>
    <x:row r="515" spans="2:26" s="656" customFormat="1" ht="12.75" customHeight="1" x14ac:dyDescent="0.25">
      <x:c r="C515" s="656" t="s">
        <x:v>155</x:v>
      </x:c>
      <x:c r="D515" s="657" t="s">
        <x:v>70</x:v>
      </x:c>
      <x:c r="E515" s="657"/>
      <x:c r="F515" s="658" t="n">
        <x:v>-226278.07</x:v>
      </x:c>
      <x:c r="G515" s="658" t="n">
        <x:v>26896.68</x:v>
      </x:c>
      <x:c r="H515" s="658" t="n">
        <x:v>15292.29</x:v>
      </x:c>
      <x:c r="I515" s="658" t="n">
        <x:v>7987.79</x:v>
      </x:c>
      <x:c r="J515" s="658" t="n">
        <x:v>-105125.62</x:v>
      </x:c>
      <x:c r="K515" s="658" t="n">
        <x:v>-3487.78</x:v>
      </x:c>
      <x:c r="L515" s="658" t="n">
        <x:v>0</x:v>
      </x:c>
      <x:c r="M515" s="658" t="n">
        <x:v>-30596.02</x:v>
      </x:c>
      <x:c r="N515" s="658" t="n">
        <x:v>-33825.99</x:v>
      </x:c>
      <x:c r="O515" s="658" t="n">
        <x:v>-169274.83</x:v>
      </x:c>
      <x:c r="P515" s="658" t="n">
        <x:v>71546.22</x:v>
      </x:c>
      <x:c r="Q515" s="658" t="n">
        <x:v>-5690.81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 t="n">
        <x:v>0</x:v>
      </x:c>
    </x:row>
    <x:row r="516" spans="2:26" ht="12.75" customHeight="1" x14ac:dyDescent="0.25">
      <x:c r="E516" s="89" t="s">
        <x:v>73</x:v>
      </x:c>
      <x:c r="F516" s="90" t="n">
        <x:v>-31196.09</x:v>
      </x:c>
      <x:c r="G516" s="90" t="n">
        <x:v>2454.39</x:v>
      </x:c>
      <x:c r="H516" s="90" t="n">
        <x:v>1386.66</x:v>
      </x:c>
      <x:c r="I516" s="90" t="n">
        <x:v>731.55</x:v>
      </x:c>
      <x:c r="J516" s="90" t="n">
        <x:v>-14691.57</x:v>
      </x:c>
      <x:c r="K516" s="90" t="n">
        <x:v>-406.98</x:v>
      </x:c>
      <x:c r="L516" s="90" t="n">
        <x:v>0</x:v>
      </x:c>
      <x:c r="M516" s="90" t="n">
        <x:v>-3570.02</x:v>
      </x:c>
      <x:c r="N516" s="90" t="n">
        <x:v>-3811.48</x:v>
      </x:c>
      <x:c r="O516" s="90" t="n">
        <x:v>-19139.53</x:v>
      </x:c>
      <x:c r="P516" s="90" t="n">
        <x:v>6514.92</x:v>
      </x:c>
      <x:c r="Q516" s="90" t="n">
        <x:v>-664.03</x:v>
      </x:c>
      <x:c r="R516" s="90" t="n">
        <x:v>0</x:v>
      </x:c>
      <x:c r="S516" s="90" t="n">
        <x:v>0</x:v>
      </x:c>
      <x:c r="T516" t="n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 t="n">
        <x:v>0</x:v>
      </x:c>
    </x:row>
    <x:row r="517" spans="2:26" ht="12.75" customHeight="1" x14ac:dyDescent="0.25">
      <x:c r="D517" t="s">
        <x:v>115</x:v>
      </x:c>
      <x:c r="E517" s="89" t="s">
        <x:v>70</x:v>
      </x:c>
      <x:c r="F517" s="371">
        <x:v>0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25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5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5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5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5">
      <x:c r="C522" s="223" t="s">
        <x:v>120</x:v>
      </x:c>
      <x:c r="D522" s="223" t="s">
        <x:v>70</x:v>
      </x:c>
      <x:c r="F522" s="225">
        <x:v>0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25">
      <x:c r="D523" s="89"/>
      <x:c r="E523" s="89" t="s">
        <x:v>73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5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5">
      <x:c r="D525" s="89"/>
      <x:c r="E525" s="89" t="s">
        <x:v>73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2:26" ht="12.75" customHeight="1" x14ac:dyDescent="0.25">
      <x:c r="D526" s="89" t="s">
        <x:v>86</x:v>
      </x:c>
      <x:c r="E526" s="89" t="s">
        <x:v>70</x:v>
      </x:c>
      <x:c r="F526" s="371" t="n">
        <x:v>-31196.09</x:v>
      </x:c>
      <x:c r="G526" s="90" t="n">
        <x:v>2454.39</x:v>
      </x:c>
      <x:c r="H526" s="90" t="n">
        <x:v>1386.66</x:v>
      </x:c>
      <x:c r="I526" s="90" t="n">
        <x:v>731.55</x:v>
      </x:c>
      <x:c r="J526" s="90" t="n">
        <x:v>-14691.57</x:v>
      </x:c>
      <x:c r="K526" s="90" t="n">
        <x:v>-406.98</x:v>
      </x:c>
      <x:c r="L526" s="90" t="n">
        <x:v>0</x:v>
      </x:c>
      <x:c r="M526" s="90" t="n">
        <x:v>-3570.02</x:v>
      </x:c>
      <x:c r="N526" s="90" t="n">
        <x:v>-3811.48</x:v>
      </x:c>
      <x:c r="O526" s="90" t="n">
        <x:v>-19139.53</x:v>
      </x:c>
      <x:c r="P526" s="90" t="n">
        <x:v>6514.92</x:v>
      </x:c>
      <x:c r="Q526" s="90" t="n">
        <x:v>-664.03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 t="n">
        <x:v>0</x:v>
      </x:c>
    </x:row>
    <x:row r="527" spans="2:26" x14ac:dyDescent="0.25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5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5">
      <x:c r="C529" s="94" t="s">
        <x:v>119</x:v>
      </x:c>
      <x:c r="D529" s="94" t="s">
        <x:v>70</x:v>
      </x:c>
      <x:c r="E529" s="101"/>
      <x:c r="F529" s="93" t="n">
        <x:v>-31196.09</x:v>
      </x:c>
      <x:c r="G529" s="93" t="n">
        <x:v>2454.39</x:v>
      </x:c>
      <x:c r="H529" s="93" t="n">
        <x:v>1386.66</x:v>
      </x:c>
      <x:c r="I529" s="93" t="n">
        <x:v>731.55</x:v>
      </x:c>
      <x:c r="J529" s="93" t="n">
        <x:v>-14691.57</x:v>
      </x:c>
      <x:c r="K529" s="93" t="n">
        <x:v>-406.98</x:v>
      </x:c>
      <x:c r="L529" s="93" t="n">
        <x:v>0</x:v>
      </x:c>
      <x:c r="M529" s="93" t="n">
        <x:v>-3570.02</x:v>
      </x:c>
      <x:c r="N529" s="93" t="n">
        <x:v>-3811.48</x:v>
      </x:c>
      <x:c r="O529" s="93" t="n">
        <x:v>-19139.53</x:v>
      </x:c>
      <x:c r="P529" s="93" t="n">
        <x:v>6514.92</x:v>
      </x:c>
      <x:c r="Q529" s="93" t="n">
        <x:v>-664.03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 t="n">
        <x:v>0</x:v>
      </x:c>
    </x:row>
    <x:row r="530" spans="2:26" s="378" customFormat="1" ht="12.75" customHeight="1" x14ac:dyDescent="0.25">
      <x:c r="B530" s="378" t="s">
        <x:v>122</x:v>
      </x:c>
      <x:c r="C530" s="378" t="s">
        <x:v>70</x:v>
      </x:c>
      <x:c r="E530" s="376"/>
      <x:c r="F530" s="377" t="n">
        <x:v>-257474.16</x:v>
      </x:c>
      <x:c r="G530" s="377" t="n">
        <x:v>29351.07</x:v>
      </x:c>
      <x:c r="H530" s="377" t="n">
        <x:v>16678.95</x:v>
      </x:c>
      <x:c r="I530" s="377" t="n">
        <x:v>8719.34</x:v>
      </x:c>
      <x:c r="J530" s="377" t="n">
        <x:v>-119817.19</x:v>
      </x:c>
      <x:c r="K530" s="377" t="n">
        <x:v>-3894.76</x:v>
      </x:c>
      <x:c r="L530" s="377" t="n">
        <x:v>0</x:v>
      </x:c>
      <x:c r="M530" s="377" t="n">
        <x:v>-34166.04</x:v>
      </x:c>
      <x:c r="N530" s="377" t="n">
        <x:v>-37637.47</x:v>
      </x:c>
      <x:c r="O530" s="377" t="n">
        <x:v>-188414.36</x:v>
      </x:c>
      <x:c r="P530" s="377" t="n">
        <x:v>78061.14</x:v>
      </x:c>
      <x:c r="Q530" s="377" t="n">
        <x:v>-6354.84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 t="n">
        <x:v>0</x:v>
      </x:c>
    </x:row>
    <x:row r="531" spans="2:26" ht="12.75" customHeight="1" x14ac:dyDescent="0.25">
      <x:c r="E531" s="89" t="s">
        <x:v>73</x:v>
      </x:c>
      <x:c r="F531" s="90" t="n">
        <x:v>-633811893.27</x:v>
      </x:c>
      <x:c r="G531" s="90" t="n">
        <x:v>10445313.45</x:v>
      </x:c>
      <x:c r="H531" s="90" t="n">
        <x:v>6043668.35</x:v>
      </x:c>
      <x:c r="I531" s="90" t="n">
        <x:v>3225979.12</x:v>
      </x:c>
      <x:c r="J531" s="90" t="n">
        <x:v>-194493967.5</x:v>
      </x:c>
      <x:c r="K531" s="90" t="n">
        <x:v>-7524083.84</x:v>
      </x:c>
      <x:c r="L531" s="90" t="n">
        <x:v>0</x:v>
      </x:c>
      <x:c r="M531" s="90" t="n">
        <x:v>-66004810.5</x:v>
      </x:c>
      <x:c r="N531" s="90" t="n">
        <x:v>-65630053.07</x:v>
      </x:c>
      <x:c r="O531" s="90" t="n">
        <x:v>-335335691.51</x:v>
      </x:c>
      <x:c r="P531" s="90" t="n">
        <x:v>27741086.86</x:v>
      </x:c>
      <x:c r="Q531" s="90" t="n">
        <x:v>-12279334.63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 t="n">
        <x:v>0</x:v>
      </x:c>
    </x:row>
    <x:row r="532" spans="2:26" ht="12.75" customHeight="1" x14ac:dyDescent="0.25">
      <x:c r="D532" s="89" t="s">
        <x:v>156</x:v>
      </x:c>
      <x:c r="E532" s="89" t="s">
        <x:v>70</x:v>
      </x:c>
      <x:c r="F532" s="90" t="n">
        <x:v>-633811893.27</x:v>
      </x:c>
      <x:c r="G532" s="90" t="n">
        <x:v>10445313.45</x:v>
      </x:c>
      <x:c r="H532" s="90" t="n">
        <x:v>6043668.35</x:v>
      </x:c>
      <x:c r="I532" s="90" t="n">
        <x:v>3225979.12</x:v>
      </x:c>
      <x:c r="J532" s="90" t="n">
        <x:v>-194493967.5</x:v>
      </x:c>
      <x:c r="K532" s="90" t="n">
        <x:v>-7524083.84</x:v>
      </x:c>
      <x:c r="L532" s="90" t="n">
        <x:v>0</x:v>
      </x:c>
      <x:c r="M532" s="90" t="n">
        <x:v>-66004810.5</x:v>
      </x:c>
      <x:c r="N532" s="90" t="n">
        <x:v>-65630053.07</x:v>
      </x:c>
      <x:c r="O532" s="90" t="n">
        <x:v>-335335691.51</x:v>
      </x:c>
      <x:c r="P532" s="90" t="n">
        <x:v>27741086.86</x:v>
      </x:c>
      <x:c r="Q532" s="90" t="n">
        <x:v>-12279334.63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 t="n">
        <x:v>0</x:v>
      </x:c>
    </x:row>
    <x:row r="533" spans="2:26" s="656" customFormat="1" ht="12.75" customHeight="1" x14ac:dyDescent="0.25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 t="n">
        <x:v>10445313.45</x:v>
      </x:c>
      <x:c r="H533" s="658" t="n">
        <x:v>6043668.35</x:v>
      </x:c>
      <x:c r="I533" s="658" t="n">
        <x:v>3225979.12</x:v>
      </x:c>
      <x:c r="J533" s="658" t="n">
        <x:v>-194493967.5</x:v>
      </x:c>
      <x:c r="K533" s="658" t="n">
        <x:v>-7524083.84</x:v>
      </x:c>
      <x:c r="L533" s="658" t="n">
        <x:v>0</x:v>
      </x:c>
      <x:c r="M533" s="658" t="n">
        <x:v>-66004810.5</x:v>
      </x:c>
      <x:c r="N533" s="658" t="n">
        <x:v>-65630053.07</x:v>
      </x:c>
      <x:c r="O533" s="658" t="n">
        <x:v>-335335691.51</x:v>
      </x:c>
      <x:c r="P533" s="658" t="n">
        <x:v>27741086.86</x:v>
      </x:c>
      <x:c r="Q533" s="658" t="n">
        <x:v>-12279334.63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 t="n">
        <x:v>0</x:v>
      </x:c>
    </x:row>
    <x:row r="534" spans="2:26" ht="12.75" customHeight="1" x14ac:dyDescent="0.25">
      <x:c r="D534" s="89"/>
      <x:c r="E534" s="89" t="s">
        <x:v>73</x:v>
      </x:c>
      <x:c r="F534" s="371" t="n">
        <x:v>572676.61</x:v>
      </x:c>
      <x:c r="G534" s="90" t="n">
        <x:v>54198.01</x:v>
      </x:c>
      <x:c r="H534" s="90" t="n">
        <x:v>26146.59</x:v>
      </x:c>
      <x:c r="I534" s="90" t="n">
        <x:v>14647.13</x:v>
      </x:c>
      <x:c r="J534" s="90" t="n">
        <x:v>98253.74</x:v>
      </x:c>
      <x:c r="K534" s="90" t="n">
        <x:v>3141.26</x:v>
      </x:c>
      <x:c r="L534" s="90" t="n">
        <x:v>0</x:v>
      </x:c>
      <x:c r="M534" s="90" t="n">
        <x:v>27604.79</x:v>
      </x:c>
      <x:c r="N534" s="90" t="n">
        <x:v>32810.74</x:v>
      </x:c>
      <x:c r="O534" s="90" t="n">
        <x:v>165741.59</x:v>
      </x:c>
      <x:c r="P534" s="90" t="n">
        <x:v>144992.38</x:v>
      </x:c>
      <x:c r="Q534" s="90" t="n">
        <x:v>5140.38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 t="n">
        <x:v>0</x:v>
      </x:c>
    </x:row>
    <x:row r="535" spans="2:26" ht="12.6" customHeight="1" x14ac:dyDescent="0.25">
      <x:c r="D535" s="89" t="s">
        <x:v>115</x:v>
      </x:c>
      <x:c r="E535" s="89" t="s">
        <x:v>70</x:v>
      </x:c>
      <x:c r="F535" s="371" t="n">
        <x:v>572676.61</x:v>
      </x:c>
      <x:c r="G535" s="90" t="n">
        <x:v>54198.01</x:v>
      </x:c>
      <x:c r="H535" s="90" t="n">
        <x:v>26146.59</x:v>
      </x:c>
      <x:c r="I535" s="90" t="n">
        <x:v>14647.13</x:v>
      </x:c>
      <x:c r="J535" s="90" t="n">
        <x:v>98253.74</x:v>
      </x:c>
      <x:c r="K535" s="90" t="n">
        <x:v>3141.26</x:v>
      </x:c>
      <x:c r="L535" s="90" t="n">
        <x:v>0</x:v>
      </x:c>
      <x:c r="M535" s="90" t="n">
        <x:v>27604.79</x:v>
      </x:c>
      <x:c r="N535" s="90" t="n">
        <x:v>32810.74</x:v>
      </x:c>
      <x:c r="O535" s="90" t="n">
        <x:v>165741.59</x:v>
      </x:c>
      <x:c r="P535" s="90" t="n">
        <x:v>144992.38</x:v>
      </x:c>
      <x:c r="Q535" s="90" t="n">
        <x:v>5140.38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 t="n">
        <x:v>0</x:v>
      </x:c>
    </x:row>
    <x:row r="536" spans="2:26" ht="12.75" customHeight="1" x14ac:dyDescent="0.25">
      <x:c r="E536" s="89" t="s">
        <x:v>73</x:v>
      </x:c>
      <x:c r="F536" s="90" t="n">
        <x:v>-11495.84</x:v>
      </x:c>
      <x:c r="G536" s="90" t="n">
        <x:v>-603.07</x:v>
      </x:c>
      <x:c r="H536" s="90" t="n">
        <x:v>-277.46</x:v>
      </x:c>
      <x:c r="I536" s="90" t="n">
        <x:v>-168.37</x:v>
      </x:c>
      <x:c r="J536" s="90" t="n">
        <x:v>-2860.6</x:v>
      </x:c>
      <x:c r="K536" s="90" t="n">
        <x:v>-72.14</x:v>
      </x:c>
      <x:c r="L536" s="90" t="n">
        <x:v>0</x:v>
      </x:c>
      <x:c r="M536" s="90" t="n">
        <x:v>-632.82</x:v>
      </x:c>
      <x:c r="N536" s="90" t="n">
        <x:v>-848.15</x:v>
      </x:c>
      <x:c r="O536" s="90" t="n">
        <x:v>-4298.83</x:v>
      </x:c>
      <x:c r="P536" s="90" t="n">
        <x:v>-1616.7</x:v>
      </x:c>
      <x:c r="Q536" s="90" t="n">
        <x:v>-117.7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 t="n">
        <x:v>0</x:v>
      </x:c>
    </x:row>
    <x:row r="537" spans="2:26" ht="12.75" customHeight="1" x14ac:dyDescent="0.25">
      <x:c r="D537" s="773">
        <x:v>2</x:v>
      </x:c>
      <x:c r="E537" s="89" t="s">
        <x:v>70</x:v>
      </x:c>
      <x:c r="F537" s="90" t="n">
        <x:v>-11495.84</x:v>
      </x:c>
      <x:c r="G537" s="90" t="n">
        <x:v>-603.07</x:v>
      </x:c>
      <x:c r="H537" s="90" t="n">
        <x:v>-277.46</x:v>
      </x:c>
      <x:c r="I537" s="90" t="n">
        <x:v>-168.37</x:v>
      </x:c>
      <x:c r="J537" s="90" t="n">
        <x:v>-2860.6</x:v>
      </x:c>
      <x:c r="K537" s="90" t="n">
        <x:v>-72.14</x:v>
      </x:c>
      <x:c r="L537" s="90" t="n">
        <x:v>0</x:v>
      </x:c>
      <x:c r="M537" s="90" t="n">
        <x:v>-632.82</x:v>
      </x:c>
      <x:c r="N537" s="90" t="n">
        <x:v>-848.15</x:v>
      </x:c>
      <x:c r="O537" s="90" t="n">
        <x:v>-4298.83</x:v>
      </x:c>
      <x:c r="P537" s="90" t="n">
        <x:v>-1616.7</x:v>
      </x:c>
      <x:c r="Q537" s="90" t="n">
        <x:v>-117.7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 t="n">
        <x:v>0</x:v>
      </x:c>
    </x:row>
    <x:row r="538" spans="2:26" ht="12.75" customHeight="1" x14ac:dyDescent="0.25">
      <x:c r="E538" s="89" t="s">
        <x:v>73</x:v>
      </x:c>
      <x:c r="F538" s="90" t="n">
        <x:v>-298279.45</x:v>
      </x:c>
      <x:c r="G538" s="90" t="n">
        <x:v>-728.17</x:v>
      </x:c>
      <x:c r="H538" s="90" t="n">
        <x:v>-809.31</x:v>
      </x:c>
      <x:c r="I538" s="90" t="n">
        <x:v>-376.02</x:v>
      </x:c>
      <x:c r="J538" s="90" t="n">
        <x:v>-85680.91</x:v>
      </x:c>
      <x:c r="K538" s="90" t="n">
        <x:v>-3328.71</x:v>
      </x:c>
      <x:c r="L538" s="90" t="n">
        <x:v>0</x:v>
      </x:c>
      <x:c r="M538" s="90" t="n">
        <x:v>-29199.66</x:v>
      </x:c>
      <x:c r="N538" s="90" t="n">
        <x:v>-27733.04</x:v>
      </x:c>
      <x:c r="O538" s="90" t="n">
        <x:v>-143587.22</x:v>
      </x:c>
      <x:c r="P538" s="90" t="n">
        <x:v>-1405.26</x:v>
      </x:c>
      <x:c r="Q538" s="90" t="n">
        <x:v>-5431.15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 t="n">
        <x:v>0</x:v>
      </x:c>
    </x:row>
    <x:row r="539" spans="2:26" ht="12.75" customHeight="1" x14ac:dyDescent="0.25">
      <x:c r="D539" s="89" t="s">
        <x:v>118</x:v>
      </x:c>
      <x:c r="E539" s="89" t="s">
        <x:v>70</x:v>
      </x:c>
      <x:c r="F539" s="90" t="n">
        <x:v>-298279.45</x:v>
      </x:c>
      <x:c r="G539" s="90" t="n">
        <x:v>-728.17</x:v>
      </x:c>
      <x:c r="H539" s="90" t="n">
        <x:v>-809.31</x:v>
      </x:c>
      <x:c r="I539" s="90" t="n">
        <x:v>-376.02</x:v>
      </x:c>
      <x:c r="J539" s="90" t="n">
        <x:v>-85680.91</x:v>
      </x:c>
      <x:c r="K539" s="90" t="n">
        <x:v>-3328.71</x:v>
      </x:c>
      <x:c r="L539" s="90" t="n">
        <x:v>0</x:v>
      </x:c>
      <x:c r="M539" s="90" t="n">
        <x:v>-29199.66</x:v>
      </x:c>
      <x:c r="N539" s="90" t="n">
        <x:v>-27733.04</x:v>
      </x:c>
      <x:c r="O539" s="90" t="n">
        <x:v>-143587.22</x:v>
      </x:c>
      <x:c r="P539" s="90" t="n">
        <x:v>-1405.26</x:v>
      </x:c>
      <x:c r="Q539" s="90" t="n">
        <x:v>-5431.15</x:v>
      </x:c>
      <x:c r="R539" s="90" t="n">
        <x:v>0</x:v>
      </x:c>
      <x:c r="S539" s="90" t="n">
        <x:v>0</x:v>
      </x:c>
      <x:c r="T539" t="n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 t="n">
        <x:v>0</x:v>
      </x:c>
    </x:row>
    <x:row r="540" spans="2:26" s="224" customFormat="1" ht="12.75" customHeight="1" x14ac:dyDescent="0.25">
      <x:c r="C540" s="223" t="s">
        <x:v>120</x:v>
      </x:c>
      <x:c r="D540" s="223" t="s">
        <x:v>70</x:v>
      </x:c>
      <x:c r="F540" s="225" t="n">
        <x:v>262901.32</x:v>
      </x:c>
      <x:c r="G540" s="225" t="n">
        <x:v>52866.77</x:v>
      </x:c>
      <x:c r="H540" s="225" t="n">
        <x:v>25059.82</x:v>
      </x:c>
      <x:c r="I540" s="225" t="n">
        <x:v>14102.74</x:v>
      </x:c>
      <x:c r="J540" s="225" t="n">
        <x:v>9712.23</x:v>
      </x:c>
      <x:c r="K540" s="225" t="n">
        <x:v>-259.59</x:v>
      </x:c>
      <x:c r="L540" s="225" t="n">
        <x:v>0</x:v>
      </x:c>
      <x:c r="M540" s="225" t="n">
        <x:v>-2227.69</x:v>
      </x:c>
      <x:c r="N540" s="225" t="n">
        <x:v>4229.55</x:v>
      </x:c>
      <x:c r="O540" s="225" t="n">
        <x:v>17855.54</x:v>
      </x:c>
      <x:c r="P540" s="225" t="n">
        <x:v>141970.42</x:v>
      </x:c>
      <x:c r="Q540" s="225" t="n">
        <x:v>-408.47</x:v>
      </x:c>
      <x:c r="R540" s="225" t="n">
        <x:v>0</x:v>
      </x:c>
      <x:c r="S540" s="225" t="n">
        <x:v>0</x:v>
      </x:c>
      <x:c r="T540" s="224" t="n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 t="n">
        <x:v>0</x:v>
      </x:c>
    </x:row>
    <x:row r="541" spans="2:26" ht="12.75" customHeight="1" x14ac:dyDescent="0.25">
      <x:c r="E541" s="89" t="s">
        <x:v>73</x:v>
      </x:c>
      <x:c r="F541" s="90" t="n">
        <x:v>4631259.42</x:v>
      </x:c>
      <x:c r="G541" s="90" t="n">
        <x:v>558477.52</x:v>
      </x:c>
      <x:c r="H541" s="90" t="n">
        <x:v>316498.74</x:v>
      </x:c>
      <x:c r="I541" s="90" t="n">
        <x:v>167983.06</x:v>
      </x:c>
      <x:c r="J541" s="90" t="n">
        <x:v>664622.82</x:v>
      </x:c>
      <x:c r="K541" s="90" t="n">
        <x:v>17733.67</x:v>
      </x:c>
      <x:c r="L541" s="90" t="n">
        <x:v>0</x:v>
      </x:c>
      <x:c r="M541" s="90" t="n">
        <x:v>156640.94</x:v>
      </x:c>
      <x:c r="N541" s="90" t="n">
        <x:v>207558.96</x:v>
      </x:c>
      <x:c r="O541" s="90" t="n">
        <x:v>1018989.61</x:v>
      </x:c>
      <x:c r="P541" s="90" t="n">
        <x:v>1493820.31</x:v>
      </x:c>
      <x:c r="Q541" s="90" t="n">
        <x:v>28933.79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 t="n">
        <x:v>0</x:v>
      </x:c>
    </x:row>
    <x:row r="542" spans="2:26" ht="12.75" customHeight="1" x14ac:dyDescent="0.25">
      <x:c r="D542" s="89" t="s">
        <x:v>82</x:v>
      </x:c>
      <x:c r="E542" s="89" t="s">
        <x:v>70</x:v>
      </x:c>
      <x:c r="F542" s="90" t="n">
        <x:v>4631259.42</x:v>
      </x:c>
      <x:c r="G542" s="90" t="n">
        <x:v>558477.52</x:v>
      </x:c>
      <x:c r="H542" s="90" t="n">
        <x:v>316498.74</x:v>
      </x:c>
      <x:c r="I542" s="90" t="n">
        <x:v>167983.06</x:v>
      </x:c>
      <x:c r="J542" s="90" t="n">
        <x:v>664622.82</x:v>
      </x:c>
      <x:c r="K542" s="90" t="n">
        <x:v>17733.67</x:v>
      </x:c>
      <x:c r="L542" s="90" t="n">
        <x:v>0</x:v>
      </x:c>
      <x:c r="M542" s="90" t="n">
        <x:v>156640.94</x:v>
      </x:c>
      <x:c r="N542" s="90" t="n">
        <x:v>207558.96</x:v>
      </x:c>
      <x:c r="O542" s="90" t="n">
        <x:v>1018989.61</x:v>
      </x:c>
      <x:c r="P542" s="90" t="n">
        <x:v>1493820.31</x:v>
      </x:c>
      <x:c r="Q542" s="90" t="n">
        <x:v>28933.79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 t="n">
        <x:v>0</x:v>
      </x:c>
    </x:row>
    <x:row r="543" spans="2:26" ht="12.75" customHeight="1" x14ac:dyDescent="0.25">
      <x:c r="E543" s="89" t="s">
        <x:v>73</x:v>
      </x:c>
      <x:c r="F543" s="90" t="n">
        <x:v>-24884555.57</x:v>
      </x:c>
      <x:c r="G543" s="90" t="n">
        <x:v>-576046.6</x:v>
      </x:c>
      <x:c r="H543" s="90" t="n">
        <x:v>-198940.76</x:v>
      </x:c>
      <x:c r="I543" s="90" t="n">
        <x:v>-60712.45</x:v>
      </x:c>
      <x:c r="J543" s="90" t="n">
        <x:v>-7153441.05</x:v>
      </x:c>
      <x:c r="K543" s="90" t="n">
        <x:v>-233032.41</x:v>
      </x:c>
      <x:c r="L543" s="90" t="n">
        <x:v>0</x:v>
      </x:c>
      <x:c r="M543" s="90" t="n">
        <x:v>-2048680.17</x:v>
      </x:c>
      <x:c r="N543" s="90" t="n">
        <x:v>-2449168.17</x:v>
      </x:c>
      <x:c r="O543" s="90" t="n">
        <x:v>-10286515.01</x:v>
      </x:c>
      <x:c r="P543" s="90" t="n">
        <x:v>-1497871.91</x:v>
      </x:c>
      <x:c r="Q543" s="90" t="n">
        <x:v>-380147.04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 t="n">
        <x:v>0</x:v>
      </x:c>
    </x:row>
    <x:row r="544" spans="2:26" ht="12.75" customHeight="1" x14ac:dyDescent="0.25">
      <x:c r="D544" s="89" t="s">
        <x:v>86</x:v>
      </x:c>
      <x:c r="E544" s="89" t="s">
        <x:v>70</x:v>
      </x:c>
      <x:c r="F544" s="90" t="n">
        <x:v>-24884555.57</x:v>
      </x:c>
      <x:c r="G544" s="90" t="n">
        <x:v>-576046.6</x:v>
      </x:c>
      <x:c r="H544" s="90" t="n">
        <x:v>-198940.76</x:v>
      </x:c>
      <x:c r="I544" s="90" t="n">
        <x:v>-60712.45</x:v>
      </x:c>
      <x:c r="J544" s="90" t="n">
        <x:v>-7153441.05</x:v>
      </x:c>
      <x:c r="K544" s="90" t="n">
        <x:v>-233032.41</x:v>
      </x:c>
      <x:c r="L544" s="90" t="n">
        <x:v>0</x:v>
      </x:c>
      <x:c r="M544" s="90" t="n">
        <x:v>-2048680.17</x:v>
      </x:c>
      <x:c r="N544" s="90" t="n">
        <x:v>-2449168.17</x:v>
      </x:c>
      <x:c r="O544" s="90" t="n">
        <x:v>-10286515.01</x:v>
      </x:c>
      <x:c r="P544" s="90" t="n">
        <x:v>-1497871.91</x:v>
      </x:c>
      <x:c r="Q544" s="90" t="n">
        <x:v>-380147.04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ht="12.75" customHeight="1" x14ac:dyDescent="0.25">
      <x:c r="E545" s="89" t="s">
        <x:v>73</x:v>
      </x:c>
      <x:c r="F545" s="90" t="n">
        <x:v>45950466.71</x:v>
      </x:c>
      <x:c r="G545" s="90" t="n">
        <x:v>8781115.82</x:v>
      </x:c>
      <x:c r="H545" s="90" t="n">
        <x:v>4940851.97</x:v>
      </x:c>
      <x:c r="I545" s="90" t="n">
        <x:v>2611795.86</x:v>
      </x:c>
      <x:c r="J545" s="90" t="n">
        <x:v>1898372.42</x:v>
      </x:c>
      <x:c r="K545" s="90" t="n">
        <x:v>49151.99</x:v>
      </x:c>
      <x:c r="L545" s="90" t="n">
        <x:v>0</x:v>
      </x:c>
      <x:c r="M545" s="90" t="n">
        <x:v>431154.43</x:v>
      </x:c>
      <x:c r="N545" s="90" t="n">
        <x:v>619734.97</x:v>
      </x:c>
      <x:c r="O545" s="90" t="n">
        <x:v>3109869.82</x:v>
      </x:c>
      <x:c r="P545" s="90" t="n">
        <x:v>23428222.72</x:v>
      </x:c>
      <x:c r="Q545" s="90" t="n">
        <x:v>80196.71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 t="n">
        <x:v>0</x:v>
      </x:c>
    </x:row>
    <x:row r="546" spans="1:26" ht="12.75" customHeight="1" x14ac:dyDescent="0.25">
      <x:c r="D546" s="89" t="s">
        <x:v>87</x:v>
      </x:c>
      <x:c r="E546" s="89" t="s">
        <x:v>70</x:v>
      </x:c>
      <x:c r="F546" s="90" t="n">
        <x:v>45950466.71</x:v>
      </x:c>
      <x:c r="G546" s="90" t="n">
        <x:v>8781115.82</x:v>
      </x:c>
      <x:c r="H546" s="90" t="n">
        <x:v>4940851.97</x:v>
      </x:c>
      <x:c r="I546" s="90" t="n">
        <x:v>2611795.86</x:v>
      </x:c>
      <x:c r="J546" s="90" t="n">
        <x:v>1898372.42</x:v>
      </x:c>
      <x:c r="K546" s="90" t="n">
        <x:v>49151.99</x:v>
      </x:c>
      <x:c r="L546" s="90" t="n">
        <x:v>0</x:v>
      </x:c>
      <x:c r="M546" s="90" t="n">
        <x:v>431154.43</x:v>
      </x:c>
      <x:c r="N546" s="90" t="n">
        <x:v>619734.97</x:v>
      </x:c>
      <x:c r="O546" s="90" t="n">
        <x:v>3109869.82</x:v>
      </x:c>
      <x:c r="P546" s="90" t="n">
        <x:v>23428222.72</x:v>
      </x:c>
      <x:c r="Q546" s="90" t="n">
        <x:v>80196.71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s="94" customFormat="1" ht="12.75" customHeight="1" x14ac:dyDescent="0.25">
      <x:c r="C547" s="101" t="s">
        <x:v>119</x:v>
      </x:c>
      <x:c r="D547" s="101" t="s">
        <x:v>70</x:v>
      </x:c>
      <x:c r="F547" s="93" t="n">
        <x:v>25697170.56</x:v>
      </x:c>
      <x:c r="G547" s="93" t="n">
        <x:v>8763546.74</x:v>
      </x:c>
      <x:c r="H547" s="93" t="n">
        <x:v>5058409.95</x:v>
      </x:c>
      <x:c r="I547" s="93" t="n">
        <x:v>2719066.47</x:v>
      </x:c>
      <x:c r="J547" s="93" t="n">
        <x:v>-4590445.81</x:v>
      </x:c>
      <x:c r="K547" s="93" t="n">
        <x:v>-166146.75</x:v>
      </x:c>
      <x:c r="L547" s="93" t="n">
        <x:v>0</x:v>
      </x:c>
      <x:c r="M547" s="93" t="n">
        <x:v>-1460884.8</x:v>
      </x:c>
      <x:c r="N547" s="93" t="n">
        <x:v>-1621874.24</x:v>
      </x:c>
      <x:c r="O547" s="93" t="n">
        <x:v>-6157655.58</x:v>
      </x:c>
      <x:c r="P547" s="93" t="n">
        <x:v>23424171.12</x:v>
      </x:c>
      <x:c r="Q547" s="93" t="n">
        <x:v>-271016.54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 t="n">
        <x:v>0</x:v>
      </x:c>
    </x:row>
    <x:row r="548" spans="1:26" s="226" customFormat="1" ht="12.75" customHeight="1" x14ac:dyDescent="0.25">
      <x:c r="B548" s="98" t="s">
        <x:v>112</x:v>
      </x:c>
      <x:c r="C548" s="98" t="s">
        <x:v>70</x:v>
      </x:c>
      <x:c r="F548" s="100" t="n">
        <x:v>-607851821.39</x:v>
      </x:c>
      <x:c r="G548" s="100" t="n">
        <x:v>19261726.96</x:v>
      </x:c>
      <x:c r="H548" s="100" t="n">
        <x:v>11127138.12</x:v>
      </x:c>
      <x:c r="I548" s="100" t="n">
        <x:v>5959148.33</x:v>
      </x:c>
      <x:c r="J548" s="100" t="n">
        <x:v>-199074701.08</x:v>
      </x:c>
      <x:c r="K548" s="100" t="n">
        <x:v>-7690490.18</x:v>
      </x:c>
      <x:c r="L548" s="100" t="n">
        <x:v>0</x:v>
      </x:c>
      <x:c r="M548" s="100" t="n">
        <x:v>-67467922.99</x:v>
      </x:c>
      <x:c r="N548" s="100" t="n">
        <x:v>-67247697.76</x:v>
      </x:c>
      <x:c r="O548" s="100" t="n">
        <x:v>-341475491.55</x:v>
      </x:c>
      <x:c r="P548" s="100" t="n">
        <x:v>51307228.4</x:v>
      </x:c>
      <x:c r="Q548" s="100" t="n">
        <x:v>-12550759.64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 t="n">
        <x:v>0</x:v>
      </x:c>
    </x:row>
    <x:row r="549" spans="1:26" ht="12.75" customHeight="1" x14ac:dyDescent="0.25">
      <x:c r="A549" s="89" t="s">
        <x:v>79</x:v>
      </x:c>
      <x:c r="B549" s="89" t="s">
        <x:v>70</x:v>
      </x:c>
      <x:c r="F549" s="90" t="n">
        <x:v>-608109295.55</x:v>
      </x:c>
      <x:c r="G549" s="90" t="n">
        <x:v>19291078.03</x:v>
      </x:c>
      <x:c r="H549" s="90" t="n">
        <x:v>11143817.07</x:v>
      </x:c>
      <x:c r="I549" s="90" t="n">
        <x:v>5967867.67</x:v>
      </x:c>
      <x:c r="J549" s="90" t="n">
        <x:v>-199194518.27</x:v>
      </x:c>
      <x:c r="K549" s="90" t="n">
        <x:v>-7694384.94</x:v>
      </x:c>
      <x:c r="L549" s="90" t="n">
        <x:v>0</x:v>
      </x:c>
      <x:c r="M549" s="90" t="n">
        <x:v>-67502089.03</x:v>
      </x:c>
      <x:c r="N549" s="90" t="n">
        <x:v>-67285335.23</x:v>
      </x:c>
      <x:c r="O549" s="90" t="n">
        <x:v>-341663905.91</x:v>
      </x:c>
      <x:c r="P549" s="90" t="n">
        <x:v>51385289.54</x:v>
      </x:c>
      <x:c r="Q549" s="90" t="n">
        <x:v>-12557114.48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 t="n">
        <x:v>0</x:v>
      </x:c>
    </x:row>
    <x:row r="550" spans="1:26" ht="12.75" customHeight="1" x14ac:dyDescent="0.25">
      <x:c r="A550" s="89" t="s">
        <x:v>70</x:v>
      </x:c>
      <x:c r="F550" s="90" t="n">
        <x:v>7085963940.66</x:v>
      </x:c>
      <x:c r="G550" s="90" t="n">
        <x:v>480076955.6</x:v>
      </x:c>
      <x:c r="H550" s="90" t="n">
        <x:v>268331934.46</x:v>
      </x:c>
      <x:c r="I550" s="90" t="n">
        <x:v>140368351.2</x:v>
      </x:c>
      <x:c r="J550" s="90" t="n">
        <x:v>1380700865.15</x:v>
      </x:c>
      <x:c r="K550" s="90" t="n">
        <x:v>54010222.78</x:v>
      </x:c>
      <x:c r="L550" s="90" t="n">
        <x:v>34128344.93</x:v>
      </x:c>
      <x:c r="M550" s="90" t="n">
        <x:v>474333055</x:v>
      </x:c>
      <x:c r="N550" s="90" t="n">
        <x:v>473070222.57</x:v>
      </x:c>
      <x:c r="O550" s="90" t="n">
        <x:v>2421735127.85</x:v>
      </x:c>
      <x:c r="P550" s="90" t="n">
        <x:v>1270888239.83</x:v>
      </x:c>
      <x:c r="Q550" s="90" t="n">
        <x:v>88337416.55</x:v>
      </x:c>
      <x:c r="R550" s="90" t="n">
        <x:v>-16266.45</x:v>
      </x:c>
      <x:c r="S550" s="90" t="n">
        <x:v>0.14</x:v>
      </x:c>
      <x:c r="T550" t="n">
        <x:v>6.41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 t="n">
        <x:v>-535.36</x:v>
      </x:c>
    </x:row>
    <x:row r="551" spans="1:26" ht="12.75" customHeight="1" x14ac:dyDescent="0.25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5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5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5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5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5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5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5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5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5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5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5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5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5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5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5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5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5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5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5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5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5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5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5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5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5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5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5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5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5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5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5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5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5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5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5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5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5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5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5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5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5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5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5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5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5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5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5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5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5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5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5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5">
      <x:c r="E603" t="s">
        <x:v>72</x:v>
      </x:c>
      <x:c r="F603" s="90" t="n">
        <x:v>52706.16</x:v>
      </x:c>
      <x:c r="G603" s="90" t="n">
        <x:v>3111.59</x:v>
      </x:c>
      <x:c r="H603" s="90" t="n">
        <x:v>1751.34</x:v>
      </x:c>
      <x:c r="I603" s="90" t="n">
        <x:v>897.63</x:v>
      </x:c>
      <x:c r="J603" s="90" t="n">
        <x:v>11377.58</x:v>
      </x:c>
      <x:c r="K603" s="90" t="n">
        <x:v>312.11</x:v>
      </x:c>
      <x:c r="L603" s="90" t="n">
        <x:v>0</x:v>
      </x:c>
      <x:c r="M603" s="90" t="n">
        <x:v>2737.85</x:v>
      </x:c>
      <x:c r="N603" s="90" t="n">
        <x:v>3754.56</x:v>
      </x:c>
      <x:c r="O603" s="90" t="n">
        <x:v>19228.87</x:v>
      </x:c>
      <x:c r="P603" s="90" t="n">
        <x:v>9026.77</x:v>
      </x:c>
      <x:c r="Q603" s="90" t="n">
        <x:v>509.25</x:v>
      </x:c>
      <x:c r="R603" s="90" t="n">
        <x:v>-1.39</x:v>
      </x:c>
      <x:c r="S603" s="90" t="n">
        <x:v>0</x:v>
      </x:c>
      <x:c r="T603" s="90" t="n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 t="n">
        <x:v>0</x:v>
      </x:c>
    </x:row>
    <x:row r="604" spans="1:41" x14ac:dyDescent="0.25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5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5">
      <x:c r="E606" s="89" t="s">
        <x:v>72</x:v>
      </x:c>
      <x:c r="F606" s="371" t="n">
        <x:v>49921.06</x:v>
      </x:c>
      <x:c r="G606" s="90" t="n">
        <x:v>3993.69</x:v>
      </x:c>
      <x:c r="H606" s="90" t="n">
        <x:v>2254.83</x:v>
      </x:c>
      <x:c r="I606" s="90" t="n">
        <x:v>1183.5</x:v>
      </x:c>
      <x:c r="J606" s="90" t="n">
        <x:v>9237.34</x:v>
      </x:c>
      <x:c r="K606" s="90" t="n">
        <x:v>236.44</x:v>
      </x:c>
      <x:c r="L606" s="90" t="n">
        <x:v>0</x:v>
      </x:c>
      <x:c r="M606" s="90" t="n">
        <x:v>2074.09</x:v>
      </x:c>
      <x:c r="N606" s="90" t="n">
        <x:v>3047.22</x:v>
      </x:c>
      <x:c r="O606" s="90" t="n">
        <x:v>15606.67</x:v>
      </x:c>
      <x:c r="P606" s="90" t="n">
        <x:v>11901.49</x:v>
      </x:c>
      <x:c r="Q606" s="90" t="n">
        <x:v>385.79</x:v>
      </x:c>
      <x:c r="R606" s="90" t="n">
        <x:v>0</x:v>
      </x:c>
      <x:c r="S606" s="90" t="n">
        <x:v>0</x:v>
      </x:c>
      <x:c r="T606" s="90" t="n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 t="n">
        <x:v>0</x:v>
      </x:c>
    </x:row>
    <x:row r="607" spans="1:41" ht="12.75" customHeight="1" x14ac:dyDescent="0.25">
      <x:c r="D607" t="s">
        <x:v>82</x:v>
      </x:c>
      <x:c r="E607" s="89" t="s">
        <x:v>70</x:v>
      </x:c>
      <x:c r="F607" s="371" t="n">
        <x:v>52706.16</x:v>
      </x:c>
      <x:c r="G607" s="90" t="n">
        <x:v>3111.59</x:v>
      </x:c>
      <x:c r="H607" s="90" t="n">
        <x:v>1751.34</x:v>
      </x:c>
      <x:c r="I607" s="90" t="n">
        <x:v>897.63</x:v>
      </x:c>
      <x:c r="J607" s="90" t="n">
        <x:v>11377.58</x:v>
      </x:c>
      <x:c r="K607" s="90" t="n">
        <x:v>312.11</x:v>
      </x:c>
      <x:c r="L607" s="90" t="n">
        <x:v>0</x:v>
      </x:c>
      <x:c r="M607" s="90" t="n">
        <x:v>2737.85</x:v>
      </x:c>
      <x:c r="N607" s="90" t="n">
        <x:v>3754.56</x:v>
      </x:c>
      <x:c r="O607" s="90" t="n">
        <x:v>19228.87</x:v>
      </x:c>
      <x:c r="P607" s="90" t="n">
        <x:v>9026.77</x:v>
      </x:c>
      <x:c r="Q607" s="90" t="n">
        <x:v>509.25</x:v>
      </x:c>
      <x:c r="R607" s="90" t="n">
        <x:v>-1.39</x:v>
      </x:c>
      <x:c r="S607" s="90" t="n">
        <x:v>0</x:v>
      </x:c>
      <x:c r="T607" s="90" t="n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 t="n">
        <x:v>0</x:v>
      </x:c>
    </x:row>
    <x:row r="608" spans="1:41" ht="12.75" customHeight="1" x14ac:dyDescent="0.25">
      <x:c r="E608" s="89" t="s">
        <x:v>72</x:v>
      </x:c>
      <x:c r="F608" s="371" t="n">
        <x:v>306792.77</x:v>
      </x:c>
      <x:c r="G608" s="90" t="n">
        <x:v>19035.04</x:v>
      </x:c>
      <x:c r="H608" s="90" t="n">
        <x:v>9869.84</x:v>
      </x:c>
      <x:c r="I608" s="90" t="n">
        <x:v>5496.23</x:v>
      </x:c>
      <x:c r="J608" s="90" t="n">
        <x:v>71436.63</x:v>
      </x:c>
      <x:c r="K608" s="90" t="n">
        <x:v>1696.42</x:v>
      </x:c>
      <x:c r="L608" s="90" t="n">
        <x:v>0</x:v>
      </x:c>
      <x:c r="M608" s="90" t="n">
        <x:v>14880.73</x:v>
      </x:c>
      <x:c r="N608" s="90" t="n">
        <x:v>20748.09</x:v>
      </x:c>
      <x:c r="O608" s="90" t="n">
        <x:v>103786.58</x:v>
      </x:c>
      <x:c r="P608" s="90" t="n">
        <x:v>57071.46</x:v>
      </x:c>
      <x:c r="Q608" s="90" t="n">
        <x:v>2767.81</x:v>
      </x:c>
      <x:c r="R608" s="90" t="n">
        <x:v>3.94</x:v>
      </x:c>
      <x:c r="S608" s="90" t="n">
        <x:v>0</x:v>
      </x:c>
      <x:c r="T608" s="90" t="n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 t="n">
        <x:v>0</x:v>
      </x:c>
    </x:row>
    <x:row r="609" spans="1:26" ht="12.75" customHeight="1" x14ac:dyDescent="0.25">
      <x:c r="D609" t="s">
        <x:v>86</x:v>
      </x:c>
      <x:c r="E609" s="89" t="s">
        <x:v>70</x:v>
      </x:c>
      <x:c r="F609" s="371" t="n">
        <x:v>50323.46</x:v>
      </x:c>
      <x:c r="G609" s="90" t="n">
        <x:v>4026.23</x:v>
      </x:c>
      <x:c r="H609" s="90" t="n">
        <x:v>2273.17</x:v>
      </x:c>
      <x:c r="I609" s="90" t="n">
        <x:v>1193.03</x:v>
      </x:c>
      <x:c r="J609" s="90" t="n">
        <x:v>9311.66</x:v>
      </x:c>
      <x:c r="K609" s="90" t="n">
        <x:v>238.34</x:v>
      </x:c>
      <x:c r="L609" s="90" t="n">
        <x:v>0</x:v>
      </x:c>
      <x:c r="M609" s="90" t="n">
        <x:v>2090.79</x:v>
      </x:c>
      <x:c r="N609" s="90" t="n">
        <x:v>3071.75</x:v>
      </x:c>
      <x:c r="O609" s="90" t="n">
        <x:v>15732.29</x:v>
      </x:c>
      <x:c r="P609" s="90" t="n">
        <x:v>11997.3</x:v>
      </x:c>
      <x:c r="Q609" s="90" t="n">
        <x:v>388.9</x:v>
      </x:c>
      <x:c r="R609" s="90" t="n">
        <x:v>0</x:v>
      </x:c>
      <x:c r="S609" s="90" t="n">
        <x:v>0</x:v>
      </x:c>
      <x:c r="T609" s="90" t="n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 t="n">
        <x:v>0</x:v>
      </x:c>
    </x:row>
    <x:row r="610" spans="1:26" ht="12.75" customHeight="1" x14ac:dyDescent="0.25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5">
      <x:c r="D611" t="s">
        <x:v>87</x:v>
      </x:c>
      <x:c r="E611" s="89" t="s">
        <x:v>70</x:v>
      </x:c>
      <x:c r="F611" s="371" t="n">
        <x:v>314490</x:v>
      </x:c>
      <x:c r="G611" s="90" t="n">
        <x:v>19519.61</x:v>
      </x:c>
      <x:c r="H611" s="90" t="n">
        <x:v>10113.51</x:v>
      </x:c>
      <x:c r="I611" s="90" t="n">
        <x:v>5632.61</x:v>
      </x:c>
      <x:c r="J611" s="90" t="n">
        <x:v>73222.49</x:v>
      </x:c>
      <x:c r="K611" s="90" t="n">
        <x:v>1739.84</x:v>
      </x:c>
      <x:c r="L611" s="90" t="n">
        <x:v>0</x:v>
      </x:c>
      <x:c r="M611" s="90" t="n">
        <x:v>15260.7</x:v>
      </x:c>
      <x:c r="N611" s="90" t="n">
        <x:v>21266.05</x:v>
      </x:c>
      <x:c r="O611" s="90" t="n">
        <x:v>106371.84</x:v>
      </x:c>
      <x:c r="P611" s="90" t="n">
        <x:v>58520.72</x:v>
      </x:c>
      <x:c r="Q611" s="90" t="n">
        <x:v>2838.55</x:v>
      </x:c>
      <x:c r="R611" s="90" t="n">
        <x:v>4.08</x:v>
      </x:c>
      <x:c r="S611" s="90" t="n">
        <x:v>0</x:v>
      </x:c>
      <x:c r="T611" s="90" t="n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 t="n">
        <x:v>0</x:v>
      </x:c>
    </x:row>
    <x:row r="612" spans="1:26" s="94" customFormat="1" ht="12.75" customHeight="1" x14ac:dyDescent="0.25">
      <x:c r="C612" s="101" t="s">
        <x:v>119</x:v>
      </x:c>
      <x:c r="D612" s="101" t="s">
        <x:v>70</x:v>
      </x:c>
      <x:c r="F612" s="93" t="n">
        <x:v>417519.62</x:v>
      </x:c>
      <x:c r="G612" s="93" t="n">
        <x:v>26657.43</x:v>
      </x:c>
      <x:c r="H612" s="93" t="n">
        <x:v>14138.02</x:v>
      </x:c>
      <x:c r="I612" s="93" t="n">
        <x:v>7723.27</x:v>
      </x:c>
      <x:c r="J612" s="93" t="n">
        <x:v>93911.73</x:v>
      </x:c>
      <x:c r="K612" s="93" t="n">
        <x:v>2290.29</x:v>
      </x:c>
      <x:c r="L612" s="93" t="n">
        <x:v>0</x:v>
      </x:c>
      <x:c r="M612" s="93" t="n">
        <x:v>20089.34</x:v>
      </x:c>
      <x:c r="N612" s="93" t="n">
        <x:v>28092.36</x:v>
      </x:c>
      <x:c r="O612" s="93" t="n">
        <x:v>141333</x:v>
      </x:c>
      <x:c r="P612" s="93" t="n">
        <x:v>79544.79</x:v>
      </x:c>
      <x:c r="Q612" s="93" t="n">
        <x:v>3736.7</x:v>
      </x:c>
      <x:c r="R612" s="93" t="n">
        <x:v>2.69</x:v>
      </x:c>
      <x:c r="S612" s="93" t="n">
        <x:v>0</x:v>
      </x:c>
      <x:c r="T612" s="93" t="n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 t="n">
        <x:v>0</x:v>
      </x:c>
    </x:row>
    <x:row r="613" spans="1:26" ht="12.75" customHeight="1" x14ac:dyDescent="0.25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25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25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5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5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5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5">
      <x:c r="E619" t="s">
        <x:v>72</x:v>
      </x:c>
      <x:c r="F619" s="90">
        <x:v>0</x:v>
      </x:c>
      <x:c r="G619" s="90">
        <x:v>0</x:v>
      </x:c>
      <x:c r="H619" s="90">
        <x:v>0</x:v>
      </x:c>
      <x:c r="I619" s="90">
        <x:v>0</x:v>
      </x:c>
      <x:c r="J619" s="90">
        <x:v>0</x:v>
      </x:c>
      <x:c r="K619" s="90">
        <x:v>0</x:v>
      </x:c>
      <x:c r="L619" s="90">
        <x:v>0</x:v>
      </x:c>
      <x:c r="M619" s="90">
        <x:v>0</x:v>
      </x:c>
      <x:c r="N619" s="90">
        <x:v>0</x:v>
      </x:c>
      <x:c r="O619" s="90">
        <x:v>0</x:v>
      </x:c>
      <x:c r="P619" s="90">
        <x:v>0</x:v>
      </x:c>
      <x:c r="Q619" s="90">
        <x:v>370.08</x:v>
      </x:c>
      <x:c r="R619" s="90">
        <x:v>-1.95</x:v>
      </x:c>
      <x:c r="S619" s="90">
        <x:v>0</x:v>
      </x:c>
      <x:c r="T619" s="90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>
        <x:v>0</x:v>
      </x:c>
    </x:row>
    <x:row r="620" spans="1:26" x14ac:dyDescent="0.25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25">
      <x:c r="D621" t="s">
        <x:v>82</x:v>
      </x:c>
      <x:c r="E621" t="s">
        <x:v>70</x:v>
      </x:c>
      <x:c r="F621" s="90">
        <x:v>0</x:v>
      </x:c>
      <x:c r="G621" s="90">
        <x:v>0</x:v>
      </x:c>
      <x:c r="H621" s="90">
        <x:v>0</x:v>
      </x:c>
      <x:c r="I621" s="90">
        <x:v>0</x:v>
      </x:c>
      <x:c r="J621" s="90">
        <x:v>0</x:v>
      </x:c>
      <x:c r="K621" s="90">
        <x:v>0</x:v>
      </x:c>
      <x:c r="L621" s="90">
        <x:v>0</x:v>
      </x:c>
      <x:c r="M621" s="90">
        <x:v>0</x:v>
      </x:c>
      <x:c r="N621" s="90">
        <x:v>0</x:v>
      </x:c>
      <x:c r="O621" s="90">
        <x:v>0</x:v>
      </x:c>
      <x:c r="P621" s="90">
        <x:v>0</x:v>
      </x:c>
      <x:c r="Q621" s="90">
        <x:v>370.15</x:v>
      </x:c>
      <x:c r="R621" s="90">
        <x:v>-1.95</x:v>
      </x:c>
      <x:c r="S621" s="90">
        <x:v>0</x:v>
      </x:c>
      <x:c r="T621" s="90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>
        <x:v>0</x:v>
      </x:c>
    </x:row>
    <x:row r="622" spans="1:26" x14ac:dyDescent="0.25">
      <x:c r="E622" t="s">
        <x:v>72</x:v>
      </x:c>
      <x:c r="F622" s="90">
        <x:v>0</x:v>
      </x:c>
      <x:c r="G622" s="90">
        <x:v>0</x:v>
      </x:c>
      <x:c r="H622" s="90">
        <x:v>0</x:v>
      </x:c>
      <x:c r="I622" s="90">
        <x:v>0</x:v>
      </x:c>
      <x:c r="J622" s="90">
        <x:v>0</x:v>
      </x:c>
      <x:c r="K622" s="90">
        <x:v>0</x:v>
      </x:c>
      <x:c r="L622" s="90">
        <x:v>0</x:v>
      </x:c>
      <x:c r="M622" s="90">
        <x:v>0</x:v>
      </x:c>
      <x:c r="N622" s="90">
        <x:v>0</x:v>
      </x:c>
      <x:c r="O622" s="90">
        <x:v>0</x:v>
      </x:c>
      <x:c r="P622" s="90">
        <x:v>0</x:v>
      </x:c>
      <x:c r="Q622" s="90">
        <x:v>370.08</x:v>
      </x:c>
      <x:c r="R622" s="90">
        <x:v>-1.95</x:v>
      </x:c>
      <x:c r="S622" s="90">
        <x:v>0</x:v>
      </x:c>
      <x:c r="T622" s="90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>
        <x:v>0</x:v>
      </x:c>
    </x:row>
    <x:row r="623" spans="1:26" x14ac:dyDescent="0.25">
      <x:c r="E623" t="s">
        <x:v>81</x:v>
      </x:c>
      <x:c r="F623" s="90">
        <x:v>0</x:v>
      </x:c>
      <x:c r="G623" s="90">
        <x:v>0</x:v>
      </x:c>
      <x:c r="H623" s="90">
        <x:v>0</x:v>
      </x:c>
      <x:c r="I623" s="90">
        <x:v>0</x:v>
      </x:c>
      <x:c r="J623" s="90">
        <x:v>0</x:v>
      </x:c>
      <x:c r="K623" s="90">
        <x:v>0</x:v>
      </x:c>
      <x:c r="L623" s="90">
        <x:v>0</x:v>
      </x:c>
      <x:c r="M623" s="90">
        <x:v>0</x:v>
      </x:c>
      <x:c r="N623" s="90">
        <x:v>0</x:v>
      </x:c>
      <x:c r="O623" s="90">
        <x:v>0</x:v>
      </x:c>
      <x:c r="P623" s="90">
        <x:v>0</x:v>
      </x:c>
      <x:c r="Q623" s="90">
        <x:v>7.0000000000000007E-2</x:v>
      </x:c>
      <x:c r="R623" s="90">
        <x:v>0</x:v>
      </x:c>
      <x:c r="S623" s="90">
        <x:v>0</x:v>
      </x:c>
      <x:c r="T623" s="90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>
        <x:v>0</x:v>
      </x:c>
    </x:row>
    <x:row r="624" spans="1:26" x14ac:dyDescent="0.25">
      <x:c r="D624" t="s">
        <x:v>86</x:v>
      </x:c>
      <x:c r="E624" t="s">
        <x:v>70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370.15</x:v>
      </x:c>
      <x:c r="R624" s="90">
        <x:v>-1.95</x:v>
      </x:c>
      <x:c r="S624" s="90">
        <x:v>0</x:v>
      </x:c>
      <x:c r="T624" s="90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>
        <x:v>0</x:v>
      </x:c>
    </x:row>
    <x:row r="625" spans="1:26" ht="12.75" customHeight="1" x14ac:dyDescent="0.25">
      <x:c r="E625" s="89" t="s">
        <x:v>72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 s="90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>
        <x:v>0</x:v>
      </x:c>
    </x:row>
    <x:row r="626" spans="1:26" x14ac:dyDescent="0.25">
      <x:c r="E626" t="s">
        <x:v>81</x:v>
      </x:c>
      <x:c r="F626" s="90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 s="90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>
        <x:v>0</x:v>
      </x:c>
    </x:row>
    <x:row r="627" spans="1:26" ht="12.75" customHeight="1" x14ac:dyDescent="0.25">
      <x:c r="D627" t="s">
        <x:v>87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 s="90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>
        <x:v>0</x:v>
      </x:c>
    </x:row>
    <x:row r="628" spans="1:26" s="94" customFormat="1" ht="12.75" customHeight="1" x14ac:dyDescent="0.25">
      <x:c r="C628" s="101" t="s">
        <x:v>119</x:v>
      </x:c>
      <x:c r="D628" s="101" t="s">
        <x:v>70</x:v>
      </x:c>
      <x:c r="F628" s="93">
        <x:v>0</x:v>
      </x:c>
      <x:c r="G628" s="93">
        <x:v>0</x:v>
      </x:c>
      <x:c r="H628" s="93">
        <x:v>0</x:v>
      </x:c>
      <x:c r="I628" s="93">
        <x:v>0</x:v>
      </x:c>
      <x:c r="J628" s="93">
        <x:v>0</x:v>
      </x:c>
      <x:c r="K628" s="93">
        <x:v>0</x:v>
      </x:c>
      <x:c r="L628" s="93">
        <x:v>0</x:v>
      </x:c>
      <x:c r="M628" s="93">
        <x:v>0</x:v>
      </x:c>
      <x:c r="N628" s="93">
        <x:v>0</x:v>
      </x:c>
      <x:c r="O628" s="93">
        <x:v>0</x:v>
      </x:c>
      <x:c r="P628" s="93">
        <x:v>0</x:v>
      </x:c>
      <x:c r="Q628" s="93">
        <x:v>0</x:v>
      </x:c>
      <x:c r="R628" s="93">
        <x:v>0</x:v>
      </x:c>
      <x:c r="S628" s="93">
        <x:v>0</x:v>
      </x:c>
      <x:c r="T628" s="93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>
        <x:v>0</x:v>
      </x:c>
    </x:row>
    <x:row r="629" spans="1:26" s="378" customFormat="1" ht="12.75" customHeight="1" x14ac:dyDescent="0.25">
      <x:c r="B629" s="378" t="s">
        <x:v>122</x:v>
      </x:c>
      <x:c r="C629" s="378" t="s">
        <x:v>70</x:v>
      </x:c>
      <x:c r="E629" s="376"/>
      <x:c r="F629" s="710" t="n">
        <x:v>417519.62</x:v>
      </x:c>
      <x:c r="G629" s="377" t="n">
        <x:v>26657.43</x:v>
      </x:c>
      <x:c r="H629" s="377" t="n">
        <x:v>14138.02</x:v>
      </x:c>
      <x:c r="I629" s="377" t="n">
        <x:v>7723.27</x:v>
      </x:c>
      <x:c r="J629" s="377" t="n">
        <x:v>93911.73</x:v>
      </x:c>
      <x:c r="K629" s="377" t="n">
        <x:v>2290.29</x:v>
      </x:c>
      <x:c r="L629" s="377" t="n">
        <x:v>0</x:v>
      </x:c>
      <x:c r="M629" s="377" t="n">
        <x:v>20089.34</x:v>
      </x:c>
      <x:c r="N629" s="377" t="n">
        <x:v>28092.36</x:v>
      </x:c>
      <x:c r="O629" s="377" t="n">
        <x:v>141333</x:v>
      </x:c>
      <x:c r="P629" s="377" t="n">
        <x:v>79544.79</x:v>
      </x:c>
      <x:c r="Q629" s="377" t="n">
        <x:v>3736.7</x:v>
      </x:c>
      <x:c r="R629" s="377" t="n">
        <x:v>2.69</x:v>
      </x:c>
      <x:c r="S629" s="377" t="n">
        <x:v>0</x:v>
      </x:c>
      <x:c r="T629" s="377" t="n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 t="n">
        <x:v>0</x:v>
      </x:c>
    </x:row>
    <x:row r="630" spans="1:26" ht="12.75" customHeight="1" x14ac:dyDescent="0.25">
      <x:c r="C630" s="89"/>
      <x:c r="D630" s="89"/>
      <x:c r="E630" t="s">
        <x:v>72</x:v>
      </x:c>
      <x:c r="F630" s="371" t="n">
        <x:v>12815008425</x:v>
      </x:c>
      <x:c r="G630" s="90" t="n">
        <x:v>696132424.7</x:v>
      </x:c>
      <x:c r="H630" s="90" t="n">
        <x:v>392646983.91</x:v>
      </x:c>
      <x:c r="I630" s="90" t="n">
        <x:v>205894711.43</x:v>
      </x:c>
      <x:c r="J630" s="90" t="n">
        <x:v>2739311715.72</x:v>
      </x:c>
      <x:c r="K630" s="90" t="n">
        <x:v>104518413.21</x:v>
      </x:c>
      <x:c r="L630" s="90" t="n">
        <x:v>8994251.4</x:v>
      </x:c>
      <x:c r="M630" s="90" t="n">
        <x:v>916374237.59</x:v>
      </x:c>
      <x:c r="N630" s="90" t="n">
        <x:v>897814237.13</x:v>
      </x:c>
      <x:c r="O630" s="90" t="n">
        <x:v>4614704417.48</x:v>
      </x:c>
      <x:c r="P630" s="90" t="n">
        <x:v>2068182494.33</x:v>
      </x:c>
      <x:c r="Q630" s="90" t="n">
        <x:v>170581693.39</x:v>
      </x:c>
      <x:c r="R630" s="90" t="n">
        <x:v>-147155.29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 t="n">
        <x:v>0</x:v>
      </x:c>
    </x:row>
    <x:row r="631" spans="1:26" ht="12.75" customHeight="1" x14ac:dyDescent="0.25">
      <x:c r="C631" s="89"/>
      <x:c r="D631" s="89"/>
      <x:c r="E631" t="s">
        <x:v>81</x:v>
      </x:c>
      <x:c r="F631" s="90" t="n">
        <x:v>8188043.26</x:v>
      </x:c>
      <x:c r="G631" s="90" t="n">
        <x:v>712370.33</x:v>
      </x:c>
      <x:c r="H631" s="90" t="n">
        <x:v>342656.4</x:v>
      </x:c>
      <x:c r="I631" s="90" t="n">
        <x:v>174871.02</x:v>
      </x:c>
      <x:c r="J631" s="90" t="n">
        <x:v>1410634.79</x:v>
      </x:c>
      <x:c r="K631" s="90" t="n">
        <x:v>60481.35</x:v>
      </x:c>
      <x:c r="L631" s="90" t="n">
        <x:v>2825.7</x:v>
      </x:c>
      <x:c r="M631" s="90" t="n">
        <x:v>530371.72</x:v>
      </x:c>
      <x:c r="N631" s="90" t="n">
        <x:v>474850.33</x:v>
      </x:c>
      <x:c r="O631" s="90" t="n">
        <x:v>2281402.99</x:v>
      </x:c>
      <x:c r="P631" s="90" t="n">
        <x:v>2098966.43</x:v>
      </x:c>
      <x:c r="Q631" s="90" t="n">
        <x:v>98638.71</x:v>
      </x:c>
      <x:c r="R631" s="90" t="n">
        <x:v>6.82</x:v>
      </x:c>
      <x:c r="S631" s="90" t="n">
        <x:v>0</x:v>
      </x:c>
      <x:c r="T631" t="n">
        <x:v>7.04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 t="n">
        <x:v>-40.37</x:v>
      </x:c>
    </x:row>
    <x:row r="632" spans="1:26" ht="12.75" customHeight="1" x14ac:dyDescent="0.25">
      <x:c r="D632" t="s">
        <x:v>156</x:v>
      </x:c>
      <x:c r="E632" s="89" t="s">
        <x:v>70</x:v>
      </x:c>
      <x:c r="F632" s="90" t="n">
        <x:v>12823196468.26</x:v>
      </x:c>
      <x:c r="G632" s="90" t="n">
        <x:v>696844795.03</x:v>
      </x:c>
      <x:c r="H632" s="90" t="n">
        <x:v>392989640.31</x:v>
      </x:c>
      <x:c r="I632" s="90" t="n">
        <x:v>206069582.45</x:v>
      </x:c>
      <x:c r="J632" s="90" t="n">
        <x:v>2740722350.51</x:v>
      </x:c>
      <x:c r="K632" s="90" t="n">
        <x:v>104578894.56</x:v>
      </x:c>
      <x:c r="L632" s="90" t="n">
        <x:v>8997077.1</x:v>
      </x:c>
      <x:c r="M632" s="90" t="n">
        <x:v>916904609.31</x:v>
      </x:c>
      <x:c r="N632" s="90" t="n">
        <x:v>898289087.46</x:v>
      </x:c>
      <x:c r="O632" s="90" t="n">
        <x:v>4616985820.47</x:v>
      </x:c>
      <x:c r="P632" s="90" t="n">
        <x:v>2070281460.76</x:v>
      </x:c>
      <x:c r="Q632" s="90" t="n">
        <x:v>170680332.1</x:v>
      </x:c>
      <x:c r="R632" s="90" t="n">
        <x:v>-147148.47</x:v>
      </x:c>
      <x:c r="S632" s="90" t="n">
        <x:v>0</x:v>
      </x:c>
      <x:c r="T632" t="n">
        <x:v>7.04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 t="n">
        <x:v>-40.37</x:v>
      </x:c>
    </x:row>
    <x:row r="633" spans="1:26" s="656" customFormat="1" ht="12.75" customHeight="1" x14ac:dyDescent="0.25">
      <x:c r="A633" s="657"/>
      <x:c r="B633" s="657"/>
      <x:c r="C633" s="656" t="s">
        <x:v>155</x:v>
      </x:c>
      <x:c r="D633" s="656" t="s">
        <x:v>70</x:v>
      </x:c>
      <x:c r="F633" s="658" t="n">
        <x:v>12823196468.26</x:v>
      </x:c>
      <x:c r="G633" s="658" t="n">
        <x:v>696844795.03</x:v>
      </x:c>
      <x:c r="H633" s="658" t="n">
        <x:v>392989640.31</x:v>
      </x:c>
      <x:c r="I633" s="658" t="n">
        <x:v>206069582.45</x:v>
      </x:c>
      <x:c r="J633" s="658" t="n">
        <x:v>2740722350.51</x:v>
      </x:c>
      <x:c r="K633" s="658" t="n">
        <x:v>104578894.56</x:v>
      </x:c>
      <x:c r="L633" s="658" t="n">
        <x:v>8997077.1</x:v>
      </x:c>
      <x:c r="M633" s="658" t="n">
        <x:v>916904609.31</x:v>
      </x:c>
      <x:c r="N633" s="658" t="n">
        <x:v>898289087.46</x:v>
      </x:c>
      <x:c r="O633" s="658" t="n">
        <x:v>4616985820.47</x:v>
      </x:c>
      <x:c r="P633" s="658" t="n">
        <x:v>2070281460.76</x:v>
      </x:c>
      <x:c r="Q633" s="658" t="n">
        <x:v>170680332.1</x:v>
      </x:c>
      <x:c r="R633" s="658" t="n">
        <x:v>-147148.47</x:v>
      </x:c>
      <x:c r="S633" s="658" t="n">
        <x:v>0</x:v>
      </x:c>
      <x:c r="T633" s="656" t="n">
        <x:v>7.04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 t="n">
        <x:v>-40.37</x:v>
      </x:c>
    </x:row>
    <x:row r="634" spans="1:26" ht="12.75" customHeight="1" x14ac:dyDescent="0.25">
      <x:c r="E634" s="89" t="s">
        <x:v>72</x:v>
      </x:c>
      <x:c r="F634" s="90" t="n">
        <x:v>31744217.36</x:v>
      </x:c>
      <x:c r="G634" s="90" t="n">
        <x:v>1896011.44</x:v>
      </x:c>
      <x:c r="H634" s="90" t="n">
        <x:v>1043946.05</x:v>
      </x:c>
      <x:c r="I634" s="90" t="n">
        <x:v>566202.45</x:v>
      </x:c>
      <x:c r="J634" s="90" t="n">
        <x:v>6825335.78</x:v>
      </x:c>
      <x:c r="K634" s="90" t="n">
        <x:v>247149.67</x:v>
      </x:c>
      <x:c r="L634" s="90" t="n">
        <x:v>0</x:v>
      </x:c>
      <x:c r="M634" s="90" t="n">
        <x:v>2156364.29</x:v>
      </x:c>
      <x:c r="N634" s="90" t="n">
        <x:v>2123158.74</x:v>
      </x:c>
      <x:c r="O634" s="90" t="n">
        <x:v>11056616.23</x:v>
      </x:c>
      <x:c r="P634" s="90" t="n">
        <x:v>5422637.66</x:v>
      </x:c>
      <x:c r="Q634" s="90" t="n">
        <x:v>406705.98</x:v>
      </x:c>
      <x:c r="R634" s="90" t="n">
        <x:v>89.07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 t="n">
        <x:v>0</x:v>
      </x:c>
    </x:row>
    <x:row r="635" spans="1:26" ht="12.75" customHeight="1" x14ac:dyDescent="0.25">
      <x:c r="E635" s="89" t="s">
        <x:v>81</x:v>
      </x:c>
      <x:c r="F635" s="371" t="n">
        <x:v>90800.2</x:v>
      </x:c>
      <x:c r="G635" s="90" t="n">
        <x:v>5476.81</x:v>
      </x:c>
      <x:c r="H635" s="90" t="n">
        <x:v>2878.22</x:v>
      </x:c>
      <x:c r="I635" s="90" t="n">
        <x:v>1571.13</x:v>
      </x:c>
      <x:c r="J635" s="90" t="n">
        <x:v>19966.92</x:v>
      </x:c>
      <x:c r="K635" s="90" t="n">
        <x:v>645.25</x:v>
      </x:c>
      <x:c r="L635" s="90" t="n">
        <x:v>0</x:v>
      </x:c>
      <x:c r="M635" s="90" t="n">
        <x:v>5639.74</x:v>
      </x:c>
      <x:c r="N635" s="90" t="n">
        <x:v>6109.13</x:v>
      </x:c>
      <x:c r="O635" s="90" t="n">
        <x:v>31292.26</x:v>
      </x:c>
      <x:c r="P635" s="90" t="n">
        <x:v>16162.57</x:v>
      </x:c>
      <x:c r="Q635" s="90" t="n">
        <x:v>1059.69</x:v>
      </x:c>
      <x:c r="R635" s="90" t="n">
        <x:v>-1.52</x:v>
      </x:c>
      <x:c r="S635" s="90" t="n">
        <x:v>0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 t="n">
        <x:v>0</x:v>
      </x:c>
    </x:row>
    <x:row r="636" spans="1:26" ht="12.75" customHeight="1" x14ac:dyDescent="0.25">
      <x:c r="D636" t="s">
        <x:v>156</x:v>
      </x:c>
      <x:c r="E636" s="89" t="s">
        <x:v>70</x:v>
      </x:c>
      <x:c r="F636" s="371" t="n">
        <x:v>31835017.56</x:v>
      </x:c>
      <x:c r="G636" s="90" t="n">
        <x:v>1901488.25</x:v>
      </x:c>
      <x:c r="H636" s="90" t="n">
        <x:v>1046824.27</x:v>
      </x:c>
      <x:c r="I636" s="90" t="n">
        <x:v>567773.58</x:v>
      </x:c>
      <x:c r="J636" s="90" t="n">
        <x:v>6845302.7</x:v>
      </x:c>
      <x:c r="K636" s="90" t="n">
        <x:v>247794.92</x:v>
      </x:c>
      <x:c r="L636" s="90" t="n">
        <x:v>0</x:v>
      </x:c>
      <x:c r="M636" s="90" t="n">
        <x:v>2162004.03</x:v>
      </x:c>
      <x:c r="N636" s="90" t="n">
        <x:v>2129267.87</x:v>
      </x:c>
      <x:c r="O636" s="90" t="n">
        <x:v>11087908.49</x:v>
      </x:c>
      <x:c r="P636" s="90" t="n">
        <x:v>5438800.23</x:v>
      </x:c>
      <x:c r="Q636" s="90" t="n">
        <x:v>407765.67</x:v>
      </x:c>
      <x:c r="R636" s="90" t="n">
        <x:v>87.55</x:v>
      </x:c>
      <x:c r="S636" s="90" t="n">
        <x:v>0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 t="n">
        <x:v>0</x:v>
      </x:c>
    </x:row>
    <x:row r="637" spans="1:26" s="739" customFormat="1" ht="12.75" customHeight="1" x14ac:dyDescent="0.25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 t="n">
        <x:v>1901488.25</x:v>
      </x:c>
      <x:c r="H637" s="232" t="n">
        <x:v>1046824.27</x:v>
      </x:c>
      <x:c r="I637" s="232" t="n">
        <x:v>567773.58</x:v>
      </x:c>
      <x:c r="J637" s="232" t="n">
        <x:v>6845302.7</x:v>
      </x:c>
      <x:c r="K637" s="232" t="n">
        <x:v>247794.92</x:v>
      </x:c>
      <x:c r="L637" s="232" t="n">
        <x:v>0</x:v>
      </x:c>
      <x:c r="M637" s="232" t="n">
        <x:v>2162004.03</x:v>
      </x:c>
      <x:c r="N637" s="232" t="n">
        <x:v>2129267.87</x:v>
      </x:c>
      <x:c r="O637" s="232" t="n">
        <x:v>11087908.49</x:v>
      </x:c>
      <x:c r="P637" s="232" t="n">
        <x:v>5438800.23</x:v>
      </x:c>
      <x:c r="Q637" s="232" t="n">
        <x:v>407765.67</x:v>
      </x:c>
      <x:c r="R637" s="232" t="n">
        <x:v>87.55</x:v>
      </x:c>
      <x:c r="S637" s="232" t="n">
        <x:v>0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 t="n">
        <x:v>0</x:v>
      </x:c>
    </x:row>
    <x:row r="638" spans="1:26" ht="12.75" customHeight="1" x14ac:dyDescent="0.25">
      <x:c r="E638" s="89" t="s">
        <x:v>72</x:v>
      </x:c>
      <x:c r="F638" s="371" t="n">
        <x:v>23681387.87</x:v>
      </x:c>
      <x:c r="G638" s="90" t="n">
        <x:v>1342192.95</x:v>
      </x:c>
      <x:c r="H638" s="90" t="n">
        <x:v>741594.96</x:v>
      </x:c>
      <x:c r="I638" s="90" t="n">
        <x:v>386605.36</x:v>
      </x:c>
      <x:c r="J638" s="90" t="n">
        <x:v>3574834.93</x:v>
      </x:c>
      <x:c r="K638" s="90" t="n">
        <x:v>163810.99</x:v>
      </x:c>
      <x:c r="L638" s="90" t="n">
        <x:v>0</x:v>
      </x:c>
      <x:c r="M638" s="90" t="n">
        <x:v>1432646.73</x:v>
      </x:c>
      <x:c r="N638" s="90" t="n">
        <x:v>1903396.27</x:v>
      </x:c>
      <x:c r="O638" s="90" t="n">
        <x:v>9913238.58</x:v>
      </x:c>
      <x:c r="P638" s="90" t="n">
        <x:v>3949237.62</x:v>
      </x:c>
      <x:c r="Q638" s="90" t="n">
        <x:v>273858.43</x:v>
      </x:c>
      <x:c r="R638" s="90" t="n">
        <x:v>-28.95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 t="n">
        <x:v>0</x:v>
      </x:c>
    </x:row>
    <x:row r="639" spans="1:26" ht="12.75" customHeight="1" x14ac:dyDescent="0.25">
      <x:c r="E639" s="89" t="s">
        <x:v>81</x:v>
      </x:c>
      <x:c r="F639" s="90" t="n">
        <x:v>203478.11</x:v>
      </x:c>
      <x:c r="G639" s="90" t="n">
        <x:v>12513.73</x:v>
      </x:c>
      <x:c r="H639" s="90" t="n">
        <x:v>6267.59</x:v>
      </x:c>
      <x:c r="I639" s="90" t="n">
        <x:v>3281.56</x:v>
      </x:c>
      <x:c r="J639" s="90" t="n">
        <x:v>40756.89</x:v>
      </x:c>
      <x:c r="K639" s="90" t="n">
        <x:v>1395.27</x:v>
      </x:c>
      <x:c r="L639" s="90" t="n">
        <x:v>0</x:v>
      </x:c>
      <x:c r="M639" s="90" t="n">
        <x:v>12103.55</x:v>
      </x:c>
      <x:c r="N639" s="90" t="n">
        <x:v>15375.27</x:v>
      </x:c>
      <x:c r="O639" s="90" t="n">
        <x:v>72617.7</x:v>
      </x:c>
      <x:c r="P639" s="90" t="n">
        <x:v>36833.6</x:v>
      </x:c>
      <x:c r="Q639" s="90" t="n">
        <x:v>2332.77</x:v>
      </x:c>
      <x:c r="R639" s="90" t="n">
        <x:v>0.24</x:v>
      </x:c>
      <x:c r="S639" s="90" t="n">
        <x:v>-0.06</x:v>
      </x:c>
      <x:c r="T639" t="n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 t="n">
        <x:v>0</x:v>
      </x:c>
    </x:row>
    <x:row r="640" spans="1:26" ht="12.75" customHeight="1" x14ac:dyDescent="0.25">
      <x:c r="D640" s="89" t="s">
        <x:v>82</x:v>
      </x:c>
      <x:c r="E640" s="89" t="s">
        <x:v>70</x:v>
      </x:c>
      <x:c r="F640" s="90" t="n">
        <x:v>23884865.98</x:v>
      </x:c>
      <x:c r="G640" s="90" t="n">
        <x:v>1354706.68</x:v>
      </x:c>
      <x:c r="H640" s="90" t="n">
        <x:v>747862.55</x:v>
      </x:c>
      <x:c r="I640" s="90" t="n">
        <x:v>389886.92</x:v>
      </x:c>
      <x:c r="J640" s="90" t="n">
        <x:v>3615591.82</x:v>
      </x:c>
      <x:c r="K640" s="90" t="n">
        <x:v>165206.26</x:v>
      </x:c>
      <x:c r="L640" s="90" t="n">
        <x:v>0</x:v>
      </x:c>
      <x:c r="M640" s="90" t="n">
        <x:v>1444750.28</x:v>
      </x:c>
      <x:c r="N640" s="90" t="n">
        <x:v>1918771.54</x:v>
      </x:c>
      <x:c r="O640" s="90" t="n">
        <x:v>9985856.28</x:v>
      </x:c>
      <x:c r="P640" s="90" t="n">
        <x:v>3986071.22</x:v>
      </x:c>
      <x:c r="Q640" s="90" t="n">
        <x:v>276191.2</x:v>
      </x:c>
      <x:c r="R640" s="90" t="n">
        <x:v>-28.71</x:v>
      </x:c>
      <x:c r="S640" s="90" t="n">
        <x:v>-0.06</x:v>
      </x:c>
      <x:c r="T640" t="n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 t="n">
        <x:v>0</x:v>
      </x:c>
    </x:row>
    <x:row r="641" spans="1:26" ht="12.75" customHeight="1" x14ac:dyDescent="0.25">
      <x:c r="C641" s="89"/>
      <x:c r="D641" s="89"/>
      <x:c r="E641" t="s">
        <x:v>72</x:v>
      </x:c>
      <x:c r="F641" s="90" t="n">
        <x:v>37326194.02</x:v>
      </x:c>
      <x:c r="G641" s="90" t="n">
        <x:v>2341567.69</x:v>
      </x:c>
      <x:c r="H641" s="90" t="n">
        <x:v>1226225.59</x:v>
      </x:c>
      <x:c r="I641" s="90" t="n">
        <x:v>646313.08</x:v>
      </x:c>
      <x:c r="J641" s="90" t="n">
        <x:v>4830560.89</x:v>
      </x:c>
      <x:c r="K641" s="90" t="n">
        <x:v>328790.96</x:v>
      </x:c>
      <x:c r="L641" s="90" t="n">
        <x:v>10</x:v>
      </x:c>
      <x:c r="M641" s="90" t="n">
        <x:v>2887566.34</x:v>
      </x:c>
      <x:c r="N641" s="90" t="n">
        <x:v>2940701.95</x:v>
      </x:c>
      <x:c r="O641" s="90" t="n">
        <x:v>14675858.98</x:v>
      </x:c>
      <x:c r="P641" s="90" t="n">
        <x:v>6912081.86</x:v>
      </x:c>
      <x:c r="Q641" s="90" t="n">
        <x:v>536760.03</x:v>
      </x:c>
      <x:c r="R641" s="90" t="n">
        <x:v>-243.35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 t="n">
        <x:v>0</x:v>
      </x:c>
    </x:row>
    <x:row r="642" spans="1:26" ht="12.75" customHeight="1" x14ac:dyDescent="0.25">
      <x:c r="B642" s="89"/>
      <x:c r="C642" s="89"/>
      <x:c r="E642" t="s">
        <x:v>81</x:v>
      </x:c>
      <x:c r="F642" s="90" t="n">
        <x:v>1803780.95</x:v>
      </x:c>
      <x:c r="G642" s="90" t="n">
        <x:v>148635.05</x:v>
      </x:c>
      <x:c r="H642" s="90" t="n">
        <x:v>70152.76</x:v>
      </x:c>
      <x:c r="I642" s="90" t="n">
        <x:v>35493.92</x:v>
      </x:c>
      <x:c r="J642" s="90" t="n">
        <x:v>325744.4</x:v>
      </x:c>
      <x:c r="K642" s="90" t="n">
        <x:v>14357.08</x:v>
      </x:c>
      <x:c r="L642" s="90" t="n">
        <x:v>0</x:v>
      </x:c>
      <x:c r="M642" s="90" t="n">
        <x:v>125760.45</x:v>
      </x:c>
      <x:c r="N642" s="90" t="n">
        <x:v>115572.28</x:v>
      </x:c>
      <x:c r="O642" s="90" t="n">
        <x:v>509189.7</x:v>
      </x:c>
      <x:c r="P642" s="90" t="n">
        <x:v>435456.11</x:v>
      </x:c>
      <x:c r="Q642" s="90" t="n">
        <x:v>23424.97</x:v>
      </x:c>
      <x:c r="R642" s="90" t="n">
        <x:v>-6.29</x:v>
      </x:c>
      <x:c r="S642" s="90" t="n">
        <x:v>-0.02</x:v>
      </x:c>
      <x:c r="T642" t="n">
        <x:v>0.54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 t="n">
        <x:v>0</x:v>
      </x:c>
    </x:row>
    <x:row r="643" spans="1:26" ht="12.75" customHeight="1" x14ac:dyDescent="0.25">
      <x:c r="A643" s="89"/>
      <x:c r="B643" s="89"/>
      <x:c r="D643" t="s">
        <x:v>86</x:v>
      </x:c>
      <x:c r="E643" t="s">
        <x:v>70</x:v>
      </x:c>
      <x:c r="F643" s="90" t="n">
        <x:v>39129974.97</x:v>
      </x:c>
      <x:c r="G643" s="90" t="n">
        <x:v>2490202.74</x:v>
      </x:c>
      <x:c r="H643" s="90" t="n">
        <x:v>1296378.35</x:v>
      </x:c>
      <x:c r="I643" s="90" t="n">
        <x:v>681807</x:v>
      </x:c>
      <x:c r="J643" s="90" t="n">
        <x:v>5156305.29</x:v>
      </x:c>
      <x:c r="K643" s="90" t="n">
        <x:v>343148.04</x:v>
      </x:c>
      <x:c r="L643" s="90" t="n">
        <x:v>10</x:v>
      </x:c>
      <x:c r="M643" s="90" t="n">
        <x:v>3013326.79</x:v>
      </x:c>
      <x:c r="N643" s="90" t="n">
        <x:v>3056274.23</x:v>
      </x:c>
      <x:c r="O643" s="90" t="n">
        <x:v>15185048.68</x:v>
      </x:c>
      <x:c r="P643" s="90" t="n">
        <x:v>7347537.97</x:v>
      </x:c>
      <x:c r="Q643" s="90" t="n">
        <x:v>560185</x:v>
      </x:c>
      <x:c r="R643" s="90" t="n">
        <x:v>-249.64</x:v>
      </x:c>
      <x:c r="S643" s="90" t="n">
        <x:v>-0.02</x:v>
      </x:c>
      <x:c r="T643" t="n">
        <x:v>0.54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t="n">
        <x:v>0</x:v>
      </x:c>
    </x:row>
    <x:row r="644" spans="1:26" ht="12.75" customHeight="1" x14ac:dyDescent="0.25">
      <x:c r="E644" s="89" t="s">
        <x:v>72</x:v>
      </x:c>
      <x:c r="F644" s="90" t="n">
        <x:v>165149724.54</x:v>
      </x:c>
      <x:c r="G644" s="90" t="n">
        <x:v>26075002.84</x:v>
      </x:c>
      <x:c r="H644" s="90" t="n">
        <x:v>14679186.14</x:v>
      </x:c>
      <x:c r="I644" s="90" t="n">
        <x:v>7710705.03</x:v>
      </x:c>
      <x:c r="J644" s="90" t="n">
        <x:v>8226271.17</x:v>
      </x:c>
      <x:c r="K644" s="90" t="n">
        <x:v>298707.28</x:v>
      </x:c>
      <x:c r="L644" s="90" t="n">
        <x:v>5865000</x:v>
      </x:c>
      <x:c r="M644" s="90" t="n">
        <x:v>2614088.55</x:v>
      </x:c>
      <x:c r="N644" s="90" t="n">
        <x:v>3478316.82</x:v>
      </x:c>
      <x:c r="O644" s="90" t="n">
        <x:v>18102958.87</x:v>
      </x:c>
      <x:c r="P644" s="90" t="n">
        <x:v>77609539.06</x:v>
      </x:c>
      <x:c r="Q644" s="90" t="n">
        <x:v>490342.43</x:v>
      </x:c>
      <x:c r="R644" s="90" t="n">
        <x:v>-393.65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t="n">
        <x:v>0</x:v>
      </x:c>
    </x:row>
    <x:row r="645" spans="1:26" ht="12.75" customHeight="1" x14ac:dyDescent="0.25">
      <x:c r="A645" s="89"/>
      <x:c r="B645" s="89"/>
      <x:c r="E645" t="s">
        <x:v>81</x:v>
      </x:c>
      <x:c r="F645" s="90" t="n">
        <x:v>1037886.13</x:v>
      </x:c>
      <x:c r="G645" s="90" t="n">
        <x:v>151445.04</x:v>
      </x:c>
      <x:c r="H645" s="90" t="n">
        <x:v>83302.72</x:v>
      </x:c>
      <x:c r="I645" s="90" t="n">
        <x:v>44417.4</x:v>
      </x:c>
      <x:c r="J645" s="90" t="n">
        <x:v>83722.74</x:v>
      </x:c>
      <x:c r="K645" s="90" t="n">
        <x:v>2286.49</x:v>
      </x:c>
      <x:c r="L645" s="90" t="n">
        <x:v>39642.23</x:v>
      </x:c>
      <x:c r="M645" s="90" t="n">
        <x:v>20012.88</x:v>
      </x:c>
      <x:c r="N645" s="90" t="n">
        <x:v>25666.09</x:v>
      </x:c>
      <x:c r="O645" s="90" t="n">
        <x:v>131338.6</x:v>
      </x:c>
      <x:c r="P645" s="90" t="n">
        <x:v>452293.81</x:v>
      </x:c>
      <x:c r="Q645" s="90" t="n">
        <x:v>3759.65</x:v>
      </x:c>
      <x:c r="R645" s="90" t="n">
        <x:v>-1.41</x:v>
      </x:c>
      <x:c r="S645" s="90" t="n">
        <x:v>-0.11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 t="n">
        <x:v>0</x:v>
      </x:c>
    </x:row>
    <x:row r="646" spans="1:26" ht="12.75" customHeight="1" x14ac:dyDescent="0.25">
      <x:c r="D646" t="s">
        <x:v>87</x:v>
      </x:c>
      <x:c r="E646" s="89" t="s">
        <x:v>70</x:v>
      </x:c>
      <x:c r="F646" s="90" t="n">
        <x:v>166187610.67</x:v>
      </x:c>
      <x:c r="G646" s="90" t="n">
        <x:v>26226447.88</x:v>
      </x:c>
      <x:c r="H646" s="90" t="n">
        <x:v>14762488.86</x:v>
      </x:c>
      <x:c r="I646" s="90" t="n">
        <x:v>7755122.43</x:v>
      </x:c>
      <x:c r="J646" s="90" t="n">
        <x:v>8309993.91</x:v>
      </x:c>
      <x:c r="K646" s="90" t="n">
        <x:v>300993.77</x:v>
      </x:c>
      <x:c r="L646" s="90" t="n">
        <x:v>5904642.23</x:v>
      </x:c>
      <x:c r="M646" s="90" t="n">
        <x:v>2634101.43</x:v>
      </x:c>
      <x:c r="N646" s="90" t="n">
        <x:v>3503982.91</x:v>
      </x:c>
      <x:c r="O646" s="90" t="n">
        <x:v>18234297.47</x:v>
      </x:c>
      <x:c r="P646" s="90" t="n">
        <x:v>78061832.87</x:v>
      </x:c>
      <x:c r="Q646" s="90" t="n">
        <x:v>494102.08</x:v>
      </x:c>
      <x:c r="R646" s="90" t="n">
        <x:v>-395.06</x:v>
      </x:c>
      <x:c r="S646" s="90" t="n">
        <x:v>-0.11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 t="n">
        <x:v>0</x:v>
      </x:c>
    </x:row>
    <x:row r="647" spans="1:26" s="94" customFormat="1" ht="12.75" customHeight="1" x14ac:dyDescent="0.25">
      <x:c r="A647" s="101"/>
      <x:c r="B647" s="101"/>
      <x:c r="C647" s="94" t="s">
        <x:v>119</x:v>
      </x:c>
      <x:c r="D647" s="94" t="s">
        <x:v>70</x:v>
      </x:c>
      <x:c r="F647" s="93" t="n">
        <x:v>229202451.62</x:v>
      </x:c>
      <x:c r="G647" s="93" t="n">
        <x:v>30071357.3</x:v>
      </x:c>
      <x:c r="H647" s="93" t="n">
        <x:v>16806729.76</x:v>
      </x:c>
      <x:c r="I647" s="93" t="n">
        <x:v>8826816.35</x:v>
      </x:c>
      <x:c r="J647" s="93" t="n">
        <x:v>17081891.02</x:v>
      </x:c>
      <x:c r="K647" s="93" t="n">
        <x:v>809348.07</x:v>
      </x:c>
      <x:c r="L647" s="93" t="n">
        <x:v>5904652.23</x:v>
      </x:c>
      <x:c r="M647" s="93" t="n">
        <x:v>7092178.5</x:v>
      </x:c>
      <x:c r="N647" s="93" t="n">
        <x:v>8479028.68</x:v>
      </x:c>
      <x:c r="O647" s="93" t="n">
        <x:v>43405202.43</x:v>
      </x:c>
      <x:c r="P647" s="93" t="n">
        <x:v>89395442.06</x:v>
      </x:c>
      <x:c r="Q647" s="93" t="n">
        <x:v>1330478.28</x:v>
      </x:c>
      <x:c r="R647" s="93" t="n">
        <x:v>-673.41</x:v>
      </x:c>
      <x:c r="S647" s="93" t="n">
        <x:v>-0.19</x:v>
      </x:c>
      <x:c r="T647" s="94" t="n">
        <x:v>0.54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 t="n">
        <x:v>0</x:v>
      </x:c>
    </x:row>
    <x:row r="648" spans="1:26" s="226" customFormat="1" ht="12.75" customHeight="1" x14ac:dyDescent="0.25">
      <x:c r="B648" s="226" t="s">
        <x:v>112</x:v>
      </x:c>
      <x:c r="C648" s="226" t="s">
        <x:v>70</x:v>
      </x:c>
      <x:c r="E648" s="98"/>
      <x:c r="F648" s="100" t="n">
        <x:v>13084233937.44</x:v>
      </x:c>
      <x:c r="G648" s="100" t="n">
        <x:v>728817640.58</x:v>
      </x:c>
      <x:c r="H648" s="100" t="n">
        <x:v>410843194.34</x:v>
      </x:c>
      <x:c r="I648" s="100" t="n">
        <x:v>215464172.38</x:v>
      </x:c>
      <x:c r="J648" s="100" t="n">
        <x:v>2764649544.23</x:v>
      </x:c>
      <x:c r="K648" s="100" t="n">
        <x:v>105636037.55</x:v>
      </x:c>
      <x:c r="L648" s="100" t="n">
        <x:v>14901729.33</x:v>
      </x:c>
      <x:c r="M648" s="100" t="n">
        <x:v>926158791.84</x:v>
      </x:c>
      <x:c r="N648" s="100" t="n">
        <x:v>908897384.01</x:v>
      </x:c>
      <x:c r="O648" s="100" t="n">
        <x:v>4671478931.39</x:v>
      </x:c>
      <x:c r="P648" s="100" t="n">
        <x:v>2165115703.05</x:v>
      </x:c>
      <x:c r="Q648" s="100" t="n">
        <x:v>172418576.05</x:v>
      </x:c>
      <x:c r="R648" s="100" t="n">
        <x:v>-147734.33</x:v>
      </x:c>
      <x:c r="S648" s="100" t="n">
        <x:v>-0.19</x:v>
      </x:c>
      <x:c r="T648" s="226" t="n">
        <x:v>7.58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 t="n">
        <x:v>-40.37</x:v>
      </x:c>
    </x:row>
    <x:row r="649" spans="1:26" ht="13.5" customHeight="1" x14ac:dyDescent="0.25">
      <x:c r="A649" t="s">
        <x:v>78</x:v>
      </x:c>
      <x:c r="B649" t="s">
        <x:v>70</x:v>
      </x:c>
      <x:c r="E649" s="89"/>
      <x:c r="F649" s="90" t="n">
        <x:v>13084651457.06</x:v>
      </x:c>
      <x:c r="G649" s="90" t="n">
        <x:v>728844298.01</x:v>
      </x:c>
      <x:c r="H649" s="90" t="n">
        <x:v>410857332.36</x:v>
      </x:c>
      <x:c r="I649" s="90" t="n">
        <x:v>215471895.65</x:v>
      </x:c>
      <x:c r="J649" s="90" t="n">
        <x:v>2764743455.96</x:v>
      </x:c>
      <x:c r="K649" s="90" t="n">
        <x:v>105638327.84</x:v>
      </x:c>
      <x:c r="L649" s="90" t="n">
        <x:v>14901729.33</x:v>
      </x:c>
      <x:c r="M649" s="90" t="n">
        <x:v>926178881.18</x:v>
      </x:c>
      <x:c r="N649" s="90" t="n">
        <x:v>908925476.37</x:v>
      </x:c>
      <x:c r="O649" s="90" t="n">
        <x:v>4671620264.39</x:v>
      </x:c>
      <x:c r="P649" s="90" t="n">
        <x:v>2165195247.84</x:v>
      </x:c>
      <x:c r="Q649" s="90" t="n">
        <x:v>172422312.75</x:v>
      </x:c>
      <x:c r="R649" s="90" t="n">
        <x:v>-147731.64</x:v>
      </x:c>
      <x:c r="S649" s="90" t="n">
        <x:v>-0.19</x:v>
      </x:c>
      <x:c r="T649" t="n">
        <x:v>7.58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 t="n">
        <x:v>-40.37</x:v>
      </x:c>
    </x:row>
    <x:row r="650" spans="1:26" x14ac:dyDescent="0.25">
      <x:c r="E650" t="s">
        <x:v>73</x:v>
      </x:c>
      <x:c r="F650" s="90" t="n">
        <x:v>-7906.16</x:v>
      </x:c>
      <x:c r="G650" s="90" t="n">
        <x:v>-466.73</x:v>
      </x:c>
      <x:c r="H650" s="90" t="n">
        <x:v>-262.7</x:v>
      </x:c>
      <x:c r="I650" s="90" t="n">
        <x:v>-134.64</x:v>
      </x:c>
      <x:c r="J650" s="90" t="n">
        <x:v>-1706.65</x:v>
      </x:c>
      <x:c r="K650" s="90" t="n">
        <x:v>-46.82</x:v>
      </x:c>
      <x:c r="L650" s="90" t="n">
        <x:v>0</x:v>
      </x:c>
      <x:c r="M650" s="90" t="n">
        <x:v>-410.68</x:v>
      </x:c>
      <x:c r="N650" s="90" t="n">
        <x:v>-563.19</x:v>
      </x:c>
      <x:c r="O650" s="90" t="n">
        <x:v>-2884.34</x:v>
      </x:c>
      <x:c r="P650" s="90" t="n">
        <x:v>-1354.02</x:v>
      </x:c>
      <x:c r="Q650" s="90" t="n">
        <x:v>-76.39</x:v>
      </x:c>
      <x:c r="R650" s="90" t="n">
        <x:v>0</x:v>
      </x:c>
      <x:c r="S650" s="90" t="n">
        <x:v>0</x:v>
      </x:c>
      <x:c r="T650" s="90" t="n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 t="n">
        <x:v>0</x:v>
      </x:c>
    </x:row>
    <x:row r="651" spans="1:26" x14ac:dyDescent="0.25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5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5">
      <x:c r="E653" t="s">
        <x:v>73</x:v>
      </x:c>
      <x:c r="F653" s="90" t="n">
        <x:v>32235.54</x:v>
      </x:c>
      <x:c r="G653" s="90" t="n">
        <x:v>2648.41</x:v>
      </x:c>
      <x:c r="H653" s="90" t="n">
        <x:v>1490.18</x:v>
      </x:c>
      <x:c r="I653" s="90" t="n">
        <x:v>761.92</x:v>
      </x:c>
      <x:c r="J653" s="90" t="n">
        <x:v>5936.43</x:v>
      </x:c>
      <x:c r="K653" s="90" t="n">
        <x:v>152.22</x:v>
      </x:c>
      <x:c r="L653" s="90" t="n">
        <x:v>0</x:v>
      </x:c>
      <x:c r="M653" s="90" t="n">
        <x:v>1335.24</x:v>
      </x:c>
      <x:c r="N653" s="90" t="n">
        <x:v>1960.56</x:v>
      </x:c>
      <x:c r="O653" s="90" t="n">
        <x:v>10040.34</x:v>
      </x:c>
      <x:c r="P653" s="90" t="n">
        <x:v>7661.89</x:v>
      </x:c>
      <x:c r="Q653" s="90" t="n">
        <x:v>248.35</x:v>
      </x:c>
      <x:c r="R653" s="90" t="n">
        <x:v>0</x:v>
      </x:c>
      <x:c r="S653" s="90" t="n">
        <x:v>0</x:v>
      </x:c>
      <x:c r="T653" s="90" t="n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 t="n">
        <x:v>0</x:v>
      </x:c>
    </x:row>
    <x:row r="654" spans="1:26" x14ac:dyDescent="0.25">
      <x:c r="D654" t="s">
        <x:v>82</x:v>
      </x:c>
      <x:c r="E654" t="s">
        <x:v>70</x:v>
      </x:c>
      <x:c r="F654" s="90" t="n">
        <x:v>-7906.16</x:v>
      </x:c>
      <x:c r="G654" s="90" t="n">
        <x:v>-466.73</x:v>
      </x:c>
      <x:c r="H654" s="90" t="n">
        <x:v>-262.7</x:v>
      </x:c>
      <x:c r="I654" s="90" t="n">
        <x:v>-134.64</x:v>
      </x:c>
      <x:c r="J654" s="90" t="n">
        <x:v>-1706.65</x:v>
      </x:c>
      <x:c r="K654" s="90" t="n">
        <x:v>-46.82</x:v>
      </x:c>
      <x:c r="L654" s="90" t="n">
        <x:v>0</x:v>
      </x:c>
      <x:c r="M654" s="90" t="n">
        <x:v>-410.68</x:v>
      </x:c>
      <x:c r="N654" s="90" t="n">
        <x:v>-563.19</x:v>
      </x:c>
      <x:c r="O654" s="90" t="n">
        <x:v>-2884.34</x:v>
      </x:c>
      <x:c r="P654" s="90" t="n">
        <x:v>-1354.02</x:v>
      </x:c>
      <x:c r="Q654" s="90" t="n">
        <x:v>-76.39</x:v>
      </x:c>
      <x:c r="R654" s="90" t="n">
        <x:v>0</x:v>
      </x:c>
      <x:c r="S654" s="90" t="n">
        <x:v>0</x:v>
      </x:c>
      <x:c r="T654" s="90" t="n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 t="n">
        <x:v>0</x:v>
      </x:c>
    </x:row>
    <x:row r="655" spans="1:26" x14ac:dyDescent="0.25">
      <x:c r="E655" t="s">
        <x:v>73</x:v>
      </x:c>
      <x:c r="F655" s="90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>
        <x:v>0</x:v>
      </x:c>
    </x:row>
    <x:row r="656" spans="1:26" x14ac:dyDescent="0.25">
      <x:c r="D656" t="s">
        <x:v>86</x:v>
      </x:c>
      <x:c r="E656" t="s">
        <x:v>70</x:v>
      </x:c>
      <x:c r="F656" s="90" t="n">
        <x:v>32235.54</x:v>
      </x:c>
      <x:c r="G656" s="90" t="n">
        <x:v>2648.41</x:v>
      </x:c>
      <x:c r="H656" s="90" t="n">
        <x:v>1490.18</x:v>
      </x:c>
      <x:c r="I656" s="90" t="n">
        <x:v>761.92</x:v>
      </x:c>
      <x:c r="J656" s="90" t="n">
        <x:v>5936.43</x:v>
      </x:c>
      <x:c r="K656" s="90" t="n">
        <x:v>152.22</x:v>
      </x:c>
      <x:c r="L656" s="90" t="n">
        <x:v>0</x:v>
      </x:c>
      <x:c r="M656" s="90" t="n">
        <x:v>1335.24</x:v>
      </x:c>
      <x:c r="N656" s="90" t="n">
        <x:v>1960.56</x:v>
      </x:c>
      <x:c r="O656" s="90" t="n">
        <x:v>10040.34</x:v>
      </x:c>
      <x:c r="P656" s="90" t="n">
        <x:v>7661.89</x:v>
      </x:c>
      <x:c r="Q656" s="90" t="n">
        <x:v>248.35</x:v>
      </x:c>
      <x:c r="R656" s="90" t="n">
        <x:v>0</x:v>
      </x:c>
      <x:c r="S656" s="90" t="n">
        <x:v>0</x:v>
      </x:c>
      <x:c r="T656" s="90" t="n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 t="n">
        <x:v>0</x:v>
      </x:c>
    </x:row>
    <x:row r="657" spans="1:26" x14ac:dyDescent="0.25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25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25">
      <x:c r="C659" s="101" t="s">
        <x:v>119</x:v>
      </x:c>
      <x:c r="D659" s="101" t="s">
        <x:v>70</x:v>
      </x:c>
      <x:c r="F659" s="93" t="n">
        <x:v>24329.38</x:v>
      </x:c>
      <x:c r="G659" s="93" t="n">
        <x:v>2181.68</x:v>
      </x:c>
      <x:c r="H659" s="93" t="n">
        <x:v>1227.48</x:v>
      </x:c>
      <x:c r="I659" s="93" t="n">
        <x:v>627.28</x:v>
      </x:c>
      <x:c r="J659" s="93" t="n">
        <x:v>4229.78</x:v>
      </x:c>
      <x:c r="K659" s="93" t="n">
        <x:v>105.4</x:v>
      </x:c>
      <x:c r="L659" s="93" t="n">
        <x:v>0</x:v>
      </x:c>
      <x:c r="M659" s="93" t="n">
        <x:v>924.56</x:v>
      </x:c>
      <x:c r="N659" s="93" t="n">
        <x:v>1397.37</x:v>
      </x:c>
      <x:c r="O659" s="93" t="n">
        <x:v>7156</x:v>
      </x:c>
      <x:c r="P659" s="93" t="n">
        <x:v>6307.87</x:v>
      </x:c>
      <x:c r="Q659" s="93" t="n">
        <x:v>171.96</x:v>
      </x:c>
      <x:c r="R659" s="93" t="n">
        <x:v>0</x:v>
      </x:c>
      <x:c r="S659" s="93" t="n">
        <x:v>0</x:v>
      </x:c>
      <x:c r="T659" s="93" t="n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 t="n">
        <x:v>0</x:v>
      </x:c>
    </x:row>
    <x:row r="660" spans="1:26" s="378" customFormat="1" ht="12.75" customHeight="1" x14ac:dyDescent="0.25">
      <x:c r="B660" s="378" t="s">
        <x:v>122</x:v>
      </x:c>
      <x:c r="C660" s="378" t="s">
        <x:v>70</x:v>
      </x:c>
      <x:c r="E660" s="376"/>
      <x:c r="F660" s="710" t="n">
        <x:v>24329.38</x:v>
      </x:c>
      <x:c r="G660" s="377" t="n">
        <x:v>2181.68</x:v>
      </x:c>
      <x:c r="H660" s="377" t="n">
        <x:v>1227.48</x:v>
      </x:c>
      <x:c r="I660" s="377" t="n">
        <x:v>627.28</x:v>
      </x:c>
      <x:c r="J660" s="377" t="n">
        <x:v>4229.78</x:v>
      </x:c>
      <x:c r="K660" s="377" t="n">
        <x:v>105.4</x:v>
      </x:c>
      <x:c r="L660" s="377" t="n">
        <x:v>0</x:v>
      </x:c>
      <x:c r="M660" s="377" t="n">
        <x:v>924.56</x:v>
      </x:c>
      <x:c r="N660" s="377" t="n">
        <x:v>1397.37</x:v>
      </x:c>
      <x:c r="O660" s="377" t="n">
        <x:v>7156</x:v>
      </x:c>
      <x:c r="P660" s="377" t="n">
        <x:v>6307.87</x:v>
      </x:c>
      <x:c r="Q660" s="377" t="n">
        <x:v>171.96</x:v>
      </x:c>
      <x:c r="R660" s="377" t="n">
        <x:v>0</x:v>
      </x:c>
      <x:c r="S660" s="377" t="n">
        <x:v>0</x:v>
      </x:c>
      <x:c r="T660" s="377" t="n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 t="n">
        <x:v>0</x:v>
      </x:c>
    </x:row>
    <x:row r="661" spans="1:26" ht="12.75" customHeight="1" x14ac:dyDescent="0.25">
      <x:c r="E661" s="89" t="s">
        <x:v>73</x:v>
      </x:c>
      <x:c r="F661" s="371" t="n">
        <x:v>-1113041546.26</x:v>
      </x:c>
      <x:c r="G661" s="90" t="n">
        <x:v>-34176388.44</x:v>
      </x:c>
      <x:c r="H661" s="90" t="n">
        <x:v>-19324425.78</x:v>
      </x:c>
      <x:c r="I661" s="90" t="n">
        <x:v>-10114900.89</x:v>
      </x:c>
      <x:c r="J661" s="90" t="n">
        <x:v>-275747180.09</x:v>
      </x:c>
      <x:c r="K661" s="90" t="n">
        <x:v>-10481720.58</x:v>
      </x:c>
      <x:c r="L661" s="90" t="n">
        <x:v>0</x:v>
      </x:c>
      <x:c r="M661" s="90" t="n">
        <x:v>-91967934.27</x:v>
      </x:c>
      <x:c r="N661" s="90" t="n">
        <x:v>-91302320.33</x:v>
      </x:c>
      <x:c r="O661" s="90" t="n">
        <x:v>-463542591.24</x:v>
      </x:c>
      <x:c r="P661" s="90" t="n">
        <x:v>-99282901.75</x:v>
      </x:c>
      <x:c r="Q661" s="90" t="n">
        <x:v>-17101182.89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 t="n">
        <x:v>0</x:v>
      </x:c>
    </x:row>
    <x:row r="662" spans="1:26" ht="12.75" customHeight="1" x14ac:dyDescent="0.25">
      <x:c r="D662" t="s">
        <x:v>156</x:v>
      </x:c>
      <x:c r="E662" s="89" t="s">
        <x:v>70</x:v>
      </x:c>
      <x:c r="F662" s="371" t="n">
        <x:v>-1113041546.26</x:v>
      </x:c>
      <x:c r="G662" s="90" t="n">
        <x:v>-34176388.44</x:v>
      </x:c>
      <x:c r="H662" s="90" t="n">
        <x:v>-19324425.78</x:v>
      </x:c>
      <x:c r="I662" s="90" t="n">
        <x:v>-10114900.89</x:v>
      </x:c>
      <x:c r="J662" s="90" t="n">
        <x:v>-275747180.09</x:v>
      </x:c>
      <x:c r="K662" s="90" t="n">
        <x:v>-10481720.58</x:v>
      </x:c>
      <x:c r="L662" s="90" t="n">
        <x:v>0</x:v>
      </x:c>
      <x:c r="M662" s="90" t="n">
        <x:v>-91967934.27</x:v>
      </x:c>
      <x:c r="N662" s="90" t="n">
        <x:v>-91302320.33</x:v>
      </x:c>
      <x:c r="O662" s="90" t="n">
        <x:v>-463542591.24</x:v>
      </x:c>
      <x:c r="P662" s="90" t="n">
        <x:v>-99282901.75</x:v>
      </x:c>
      <x:c r="Q662" s="90" t="n">
        <x:v>-17101182.89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 t="n">
        <x:v>0</x:v>
      </x:c>
    </x:row>
    <x:row r="663" spans="1:26" s="656" customFormat="1" ht="12.75" customHeight="1" x14ac:dyDescent="0.25">
      <x:c r="A663" s="657"/>
      <x:c r="B663" s="657"/>
      <x:c r="C663" s="656" t="s">
        <x:v>155</x:v>
      </x:c>
      <x:c r="D663" s="656" t="s">
        <x:v>70</x:v>
      </x:c>
      <x:c r="F663" s="658" t="n">
        <x:v>-1113041546.26</x:v>
      </x:c>
      <x:c r="G663" s="658" t="n">
        <x:v>-34176388.44</x:v>
      </x:c>
      <x:c r="H663" s="658" t="n">
        <x:v>-19324425.78</x:v>
      </x:c>
      <x:c r="I663" s="658" t="n">
        <x:v>-10114900.89</x:v>
      </x:c>
      <x:c r="J663" s="658" t="n">
        <x:v>-275747180.09</x:v>
      </x:c>
      <x:c r="K663" s="658" t="n">
        <x:v>-10481720.58</x:v>
      </x:c>
      <x:c r="L663" s="658" t="n">
        <x:v>0</x:v>
      </x:c>
      <x:c r="M663" s="658" t="n">
        <x:v>-91967934.27</x:v>
      </x:c>
      <x:c r="N663" s="658" t="n">
        <x:v>-91302320.33</x:v>
      </x:c>
      <x:c r="O663" s="658" t="n">
        <x:v>-463542591.24</x:v>
      </x:c>
      <x:c r="P663" s="658" t="n">
        <x:v>-99282901.75</x:v>
      </x:c>
      <x:c r="Q663" s="658" t="n">
        <x:v>-17101182.89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 t="n">
        <x:v>0</x:v>
      </x:c>
    </x:row>
    <x:row r="664" spans="1:26" ht="12.75" customHeight="1" x14ac:dyDescent="0.25">
      <x:c r="E664" s="89" t="s">
        <x:v>73</x:v>
      </x:c>
      <x:c r="F664" s="371" t="n">
        <x:v>-4970797.56</x:v>
      </x:c>
      <x:c r="G664" s="90" t="n">
        <x:v>-269325.89</x:v>
      </x:c>
      <x:c r="H664" s="90" t="n">
        <x:v>-149624.97</x:v>
      </x:c>
      <x:c r="I664" s="90" t="n">
        <x:v>-78121.59</x:v>
      </x:c>
      <x:c r="J664" s="90" t="n">
        <x:v>-1076036.63</x:v>
      </x:c>
      <x:c r="K664" s="90" t="n">
        <x:v>-39426.57</x:v>
      </x:c>
      <x:c r="L664" s="90" t="n">
        <x:v>0</x:v>
      </x:c>
      <x:c r="M664" s="90" t="n">
        <x:v>-348506.58</x:v>
      </x:c>
      <x:c r="N664" s="90" t="n">
        <x:v>-354157.74</x:v>
      </x:c>
      <x:c r="O664" s="90" t="n">
        <x:v>-1798678.49</x:v>
      </x:c>
      <x:c r="P664" s="90" t="n">
        <x:v>-792592.58</x:v>
      </x:c>
      <x:c r="Q664" s="90" t="n">
        <x:v>-64326.52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 t="n">
        <x:v>0</x:v>
      </x:c>
    </x:row>
    <x:row r="665" spans="1:26" ht="12.75" customHeight="1" x14ac:dyDescent="0.25">
      <x:c r="D665" t="s">
        <x:v>156</x:v>
      </x:c>
      <x:c r="E665" s="89" t="s">
        <x:v>70</x:v>
      </x:c>
      <x:c r="F665" s="371" t="n">
        <x:v>-4970797.56</x:v>
      </x:c>
      <x:c r="G665" s="90" t="n">
        <x:v>-269325.89</x:v>
      </x:c>
      <x:c r="H665" s="90" t="n">
        <x:v>-149624.97</x:v>
      </x:c>
      <x:c r="I665" s="90" t="n">
        <x:v>-78121.59</x:v>
      </x:c>
      <x:c r="J665" s="90" t="n">
        <x:v>-1076036.63</x:v>
      </x:c>
      <x:c r="K665" s="90" t="n">
        <x:v>-39426.57</x:v>
      </x:c>
      <x:c r="L665" s="90" t="n">
        <x:v>0</x:v>
      </x:c>
      <x:c r="M665" s="90" t="n">
        <x:v>-348506.58</x:v>
      </x:c>
      <x:c r="N665" s="90" t="n">
        <x:v>-354157.74</x:v>
      </x:c>
      <x:c r="O665" s="90" t="n">
        <x:v>-1798678.49</x:v>
      </x:c>
      <x:c r="P665" s="90" t="n">
        <x:v>-792592.58</x:v>
      </x:c>
      <x:c r="Q665" s="90" t="n">
        <x:v>-64326.52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 t="n">
        <x:v>0</x:v>
      </x:c>
    </x:row>
    <x:row r="666" spans="1:26" s="739" customFormat="1" ht="12.75" customHeight="1" x14ac:dyDescent="0.25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 t="n">
        <x:v>-269325.89</x:v>
      </x:c>
      <x:c r="H666" s="232" t="n">
        <x:v>-149624.97</x:v>
      </x:c>
      <x:c r="I666" s="232" t="n">
        <x:v>-78121.59</x:v>
      </x:c>
      <x:c r="J666" s="232" t="n">
        <x:v>-1076036.63</x:v>
      </x:c>
      <x:c r="K666" s="232" t="n">
        <x:v>-39426.57</x:v>
      </x:c>
      <x:c r="L666" s="232" t="n">
        <x:v>0</x:v>
      </x:c>
      <x:c r="M666" s="232" t="n">
        <x:v>-348506.58</x:v>
      </x:c>
      <x:c r="N666" s="232" t="n">
        <x:v>-354157.74</x:v>
      </x:c>
      <x:c r="O666" s="232" t="n">
        <x:v>-1798678.49</x:v>
      </x:c>
      <x:c r="P666" s="232" t="n">
        <x:v>-792592.58</x:v>
      </x:c>
      <x:c r="Q666" s="232" t="n">
        <x:v>-64326.52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 t="n">
        <x:v>0</x:v>
      </x:c>
    </x:row>
    <x:row r="667" spans="1:26" ht="12.75" customHeight="1" x14ac:dyDescent="0.25">
      <x:c r="E667" s="89" t="s">
        <x:v>73</x:v>
      </x:c>
      <x:c r="F667" s="371" t="n">
        <x:v>-187855.98</x:v>
      </x:c>
      <x:c r="G667" s="90" t="n">
        <x:v>203417.85</x:v>
      </x:c>
      <x:c r="H667" s="90" t="n">
        <x:v>118300.72</x:v>
      </x:c>
      <x:c r="I667" s="90" t="n">
        <x:v>61829.01</x:v>
      </x:c>
      <x:c r="J667" s="90" t="n">
        <x:v>-228807.34</x:v>
      </x:c>
      <x:c r="K667" s="90" t="n">
        <x:v>-10295.56</x:v>
      </x:c>
      <x:c r="L667" s="90" t="n">
        <x:v>0</x:v>
      </x:c>
      <x:c r="M667" s="90" t="n">
        <x:v>-90305.3</x:v>
      </x:c>
      <x:c r="N667" s="90" t="n">
        <x:v>-128220.63</x:v>
      </x:c>
      <x:c r="O667" s="90" t="n">
        <x:v>-702462.52</x:v>
      </x:c>
      <x:c r="P667" s="90" t="n">
        <x:v>605486.11</x:v>
      </x:c>
      <x:c r="Q667" s="90" t="n">
        <x:v>-16798.32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 t="n">
        <x:v>0</x:v>
      </x:c>
    </x:row>
    <x:row r="668" spans="1:26" ht="12.75" customHeight="1" x14ac:dyDescent="0.25">
      <x:c r="D668" s="89" t="s">
        <x:v>82</x:v>
      </x:c>
      <x:c r="E668" s="89" t="s">
        <x:v>70</x:v>
      </x:c>
      <x:c r="F668" s="90" t="n">
        <x:v>-187855.98</x:v>
      </x:c>
      <x:c r="G668" s="90" t="n">
        <x:v>203417.85</x:v>
      </x:c>
      <x:c r="H668" s="90" t="n">
        <x:v>118300.72</x:v>
      </x:c>
      <x:c r="I668" s="90" t="n">
        <x:v>61829.01</x:v>
      </x:c>
      <x:c r="J668" s="90" t="n">
        <x:v>-228807.34</x:v>
      </x:c>
      <x:c r="K668" s="90" t="n">
        <x:v>-10295.56</x:v>
      </x:c>
      <x:c r="L668" s="90" t="n">
        <x:v>0</x:v>
      </x:c>
      <x:c r="M668" s="90" t="n">
        <x:v>-90305.3</x:v>
      </x:c>
      <x:c r="N668" s="90" t="n">
        <x:v>-128220.63</x:v>
      </x:c>
      <x:c r="O668" s="90" t="n">
        <x:v>-702462.52</x:v>
      </x:c>
      <x:c r="P668" s="90" t="n">
        <x:v>605486.11</x:v>
      </x:c>
      <x:c r="Q668" s="90" t="n">
        <x:v>-16798.32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 t="n">
        <x:v>0</x:v>
      </x:c>
    </x:row>
    <x:row r="669" spans="1:26" ht="12.75" customHeight="1" x14ac:dyDescent="0.25">
      <x:c r="E669" s="89" t="s">
        <x:v>73</x:v>
      </x:c>
      <x:c r="F669" s="90" t="n">
        <x:v>2459860.03</x:v>
      </x:c>
      <x:c r="G669" s="90" t="n">
        <x:v>709867.57</x:v>
      </x:c>
      <x:c r="H669" s="90" t="n">
        <x:v>402138.38</x:v>
      </x:c>
      <x:c r="I669" s="90" t="n">
        <x:v>215517.65</x:v>
      </x:c>
      <x:c r="J669" s="90" t="n">
        <x:v>-244697.65</x:v>
      </x:c>
      <x:c r="K669" s="90" t="n">
        <x:v>-17630.91</x:v>
      </x:c>
      <x:c r="L669" s="90" t="n">
        <x:v>0</x:v>
      </x:c>
      <x:c r="M669" s="90" t="n">
        <x:v>-152005.54</x:v>
      </x:c>
      <x:c r="N669" s="90" t="n">
        <x:v>-109036.85</x:v>
      </x:c>
      <x:c r="O669" s="90" t="n">
        <x:v>-437383.69</x:v>
      </x:c>
      <x:c r="P669" s="90" t="n">
        <x:v>2121895.4</x:v>
      </x:c>
      <x:c r="Q669" s="90" t="n">
        <x:v>-28804.33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 t="n">
        <x:v>0</x:v>
      </x:c>
    </x:row>
    <x:row r="670" spans="1:26" ht="12.75" customHeight="1" x14ac:dyDescent="0.25">
      <x:c r="D670" s="89" t="s">
        <x:v>86</x:v>
      </x:c>
      <x:c r="E670" s="89" t="s">
        <x:v>70</x:v>
      </x:c>
      <x:c r="F670" s="90" t="n">
        <x:v>2459860.03</x:v>
      </x:c>
      <x:c r="G670" s="90" t="n">
        <x:v>709867.57</x:v>
      </x:c>
      <x:c r="H670" s="90" t="n">
        <x:v>402138.38</x:v>
      </x:c>
      <x:c r="I670" s="90" t="n">
        <x:v>215517.65</x:v>
      </x:c>
      <x:c r="J670" s="90" t="n">
        <x:v>-244697.65</x:v>
      </x:c>
      <x:c r="K670" s="90" t="n">
        <x:v>-17630.91</x:v>
      </x:c>
      <x:c r="L670" s="90" t="n">
        <x:v>0</x:v>
      </x:c>
      <x:c r="M670" s="90" t="n">
        <x:v>-152005.54</x:v>
      </x:c>
      <x:c r="N670" s="90" t="n">
        <x:v>-109036.85</x:v>
      </x:c>
      <x:c r="O670" s="90" t="n">
        <x:v>-437383.69</x:v>
      </x:c>
      <x:c r="P670" s="90" t="n">
        <x:v>2121895.4</x:v>
      </x:c>
      <x:c r="Q670" s="90" t="n">
        <x:v>-28804.33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 t="n">
        <x:v>0</x:v>
      </x:c>
    </x:row>
    <x:row r="671" spans="1:26" ht="12.75" customHeight="1" x14ac:dyDescent="0.25">
      <x:c r="E671" s="89" t="s">
        <x:v>73</x:v>
      </x:c>
      <x:c r="F671" s="90" t="n">
        <x:v>79419817.37</x:v>
      </x:c>
      <x:c r="G671" s="90" t="n">
        <x:v>15404559.3</x:v>
      </x:c>
      <x:c r="H671" s="90" t="n">
        <x:v>8757302.64</x:v>
      </x:c>
      <x:c r="I671" s="90" t="n">
        <x:v>4758799.73</x:v>
      </x:c>
      <x:c r="J671" s="90" t="n">
        <x:v>1342820.06</x:v>
      </x:c>
      <x:c r="K671" s="90" t="n">
        <x:v>41036.71</x:v>
      </x:c>
      <x:c r="L671" s="90" t="n">
        <x:v>0</x:v>
      </x:c>
      <x:c r="M671" s="90" t="n">
        <x:v>357948.17</x:v>
      </x:c>
      <x:c r="N671" s="90" t="n">
        <x:v>413932.09</x:v>
      </x:c>
      <x:c r="O671" s="90" t="n">
        <x:v>2225480.44</x:v>
      </x:c>
      <x:c r="P671" s="90" t="n">
        <x:v>46050982.4</x:v>
      </x:c>
      <x:c r="Q671" s="90" t="n">
        <x:v>66955.83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 t="n">
        <x:v>0</x:v>
      </x:c>
    </x:row>
    <x:row r="672" spans="1:26" ht="12.75" customHeight="1" x14ac:dyDescent="0.25">
      <x:c r="D672" s="89" t="s">
        <x:v>87</x:v>
      </x:c>
      <x:c r="E672" s="89" t="s">
        <x:v>70</x:v>
      </x:c>
      <x:c r="F672" s="90" t="n">
        <x:v>79419817.37</x:v>
      </x:c>
      <x:c r="G672" s="90" t="n">
        <x:v>15404559.3</x:v>
      </x:c>
      <x:c r="H672" s="90" t="n">
        <x:v>8757302.64</x:v>
      </x:c>
      <x:c r="I672" s="90" t="n">
        <x:v>4758799.73</x:v>
      </x:c>
      <x:c r="J672" s="90" t="n">
        <x:v>1342820.06</x:v>
      </x:c>
      <x:c r="K672" s="90" t="n">
        <x:v>41036.71</x:v>
      </x:c>
      <x:c r="L672" s="90" t="n">
        <x:v>0</x:v>
      </x:c>
      <x:c r="M672" s="90" t="n">
        <x:v>357948.17</x:v>
      </x:c>
      <x:c r="N672" s="90" t="n">
        <x:v>413932.09</x:v>
      </x:c>
      <x:c r="O672" s="90" t="n">
        <x:v>2225480.44</x:v>
      </x:c>
      <x:c r="P672" s="90" t="n">
        <x:v>46050982.4</x:v>
      </x:c>
      <x:c r="Q672" s="90" t="n">
        <x:v>66955.83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 t="n">
        <x:v>0</x:v>
      </x:c>
    </x:row>
    <x:row r="673" spans="1:41" s="94" customFormat="1" ht="12.75" customHeight="1" x14ac:dyDescent="0.25">
      <x:c r="C673" s="94" t="s">
        <x:v>119</x:v>
      </x:c>
      <x:c r="D673" s="94" t="s">
        <x:v>70</x:v>
      </x:c>
      <x:c r="E673" s="101"/>
      <x:c r="F673" s="93" t="n">
        <x:v>81691821.42</x:v>
      </x:c>
      <x:c r="G673" s="93" t="n">
        <x:v>16317844.72</x:v>
      </x:c>
      <x:c r="H673" s="93" t="n">
        <x:v>9277741.74</x:v>
      </x:c>
      <x:c r="I673" s="93" t="n">
        <x:v>5036146.39</x:v>
      </x:c>
      <x:c r="J673" s="93" t="n">
        <x:v>869315.07</x:v>
      </x:c>
      <x:c r="K673" s="93" t="n">
        <x:v>13110.24</x:v>
      </x:c>
      <x:c r="L673" s="93" t="n">
        <x:v>0</x:v>
      </x:c>
      <x:c r="M673" s="93" t="n">
        <x:v>115637.33</x:v>
      </x:c>
      <x:c r="N673" s="93" t="n">
        <x:v>176674.61</x:v>
      </x:c>
      <x:c r="O673" s="93" t="n">
        <x:v>1085634.23</x:v>
      </x:c>
      <x:c r="P673" s="93" t="n">
        <x:v>48778363.91</x:v>
      </x:c>
      <x:c r="Q673" s="93" t="n">
        <x:v>21353.18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 t="n">
        <x:v>0</x:v>
      </x:c>
    </x:row>
    <x:row r="674" spans="1:41" s="226" customFormat="1" ht="12.75" customHeight="1" x14ac:dyDescent="0.25">
      <x:c r="B674" s="98" t="s">
        <x:v>112</x:v>
      </x:c>
      <x:c r="C674" s="98" t="s">
        <x:v>70</x:v>
      </x:c>
      <x:c r="F674" s="100" t="n">
        <x:v>-1036320522.4</x:v>
      </x:c>
      <x:c r="G674" s="100" t="n">
        <x:v>-18127869.61</x:v>
      </x:c>
      <x:c r="H674" s="100" t="n">
        <x:v>-10196309.01</x:v>
      </x:c>
      <x:c r="I674" s="100" t="n">
        <x:v>-5156876.09</x:v>
      </x:c>
      <x:c r="J674" s="100" t="n">
        <x:v>-275953901.65</x:v>
      </x:c>
      <x:c r="K674" s="100" t="n">
        <x:v>-10508036.91</x:v>
      </x:c>
      <x:c r="L674" s="100" t="n">
        <x:v>0</x:v>
      </x:c>
      <x:c r="M674" s="100" t="n">
        <x:v>-92200803.52</x:v>
      </x:c>
      <x:c r="N674" s="100" t="n">
        <x:v>-91479803.46</x:v>
      </x:c>
      <x:c r="O674" s="100" t="n">
        <x:v>-464255635.5</x:v>
      </x:c>
      <x:c r="P674" s="100" t="n">
        <x:v>-51297130.42</x:v>
      </x:c>
      <x:c r="Q674" s="100" t="n">
        <x:v>-17144156.23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 t="n">
        <x:v>0</x:v>
      </x:c>
    </x:row>
    <x:row r="675" spans="1:41" ht="12.75" customHeight="1" x14ac:dyDescent="0.25">
      <x:c r="A675" s="89" t="s">
        <x:v>79</x:v>
      </x:c>
      <x:c r="B675" s="89" t="s">
        <x:v>70</x:v>
      </x:c>
      <x:c r="F675" s="90" t="n">
        <x:v>-1036296193.02</x:v>
      </x:c>
      <x:c r="G675" s="90" t="n">
        <x:v>-18125687.93</x:v>
      </x:c>
      <x:c r="H675" s="90" t="n">
        <x:v>-10195081.53</x:v>
      </x:c>
      <x:c r="I675" s="90" t="n">
        <x:v>-5156248.81</x:v>
      </x:c>
      <x:c r="J675" s="90" t="n">
        <x:v>-275949671.87</x:v>
      </x:c>
      <x:c r="K675" s="90" t="n">
        <x:v>-10507931.51</x:v>
      </x:c>
      <x:c r="L675" s="90" t="n">
        <x:v>0</x:v>
      </x:c>
      <x:c r="M675" s="90" t="n">
        <x:v>-92199878.96</x:v>
      </x:c>
      <x:c r="N675" s="90" t="n">
        <x:v>-91478406.09</x:v>
      </x:c>
      <x:c r="O675" s="90" t="n">
        <x:v>-464248479.5</x:v>
      </x:c>
      <x:c r="P675" s="90" t="n">
        <x:v>-51290822.55</x:v>
      </x:c>
      <x:c r="Q675" s="90" t="n">
        <x:v>-17143984.27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 t="n">
        <x:v>0</x:v>
      </x:c>
    </x:row>
    <x:row r="676" spans="1:41" ht="12.75" customHeight="1" x14ac:dyDescent="0.25">
      <x:c r="A676" s="89" t="s">
        <x:v>70</x:v>
      </x:c>
      <x:c r="F676" s="90" t="n">
        <x:v>12048355264.04</x:v>
      </x:c>
      <x:c r="G676" s="90" t="n">
        <x:v>710718610.08</x:v>
      </x:c>
      <x:c r="H676" s="90" t="n">
        <x:v>400662250.83</x:v>
      </x:c>
      <x:c r="I676" s="90" t="n">
        <x:v>210315646.84</x:v>
      </x:c>
      <x:c r="J676" s="90" t="n">
        <x:v>2488793784.09</x:v>
      </x:c>
      <x:c r="K676" s="90" t="n">
        <x:v>95130396.33</x:v>
      </x:c>
      <x:c r="L676" s="90" t="n">
        <x:v>14901729.33</x:v>
      </x:c>
      <x:c r="M676" s="90" t="n">
        <x:v>833979002.22</x:v>
      </x:c>
      <x:c r="N676" s="90" t="n">
        <x:v>817447070.28</x:v>
      </x:c>
      <x:c r="O676" s="90" t="n">
        <x:v>4207371784.89</x:v>
      </x:c>
      <x:c r="P676" s="90" t="n">
        <x:v>2113904425.29</x:v>
      </x:c>
      <x:c r="Q676" s="90" t="n">
        <x:v>155278328.48</x:v>
      </x:c>
      <x:c r="R676" s="90" t="n">
        <x:v>-147731.64</x:v>
      </x:c>
      <x:c r="S676" s="90" t="n">
        <x:v>-0.19</x:v>
      </x:c>
      <x:c r="T676" t="n">
        <x:v>7.58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 t="n">
        <x:v>-40.37</x:v>
      </x:c>
    </x:row>
    <x:row r="677" spans="1:41" ht="12.75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5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5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5">
      <x:c r="C682" s="777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5">
      <x:c r="C683" s="777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5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5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5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5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5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5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5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5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7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5">
      <x:c r="C693" s="777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5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5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5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5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5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5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5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7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5">
      <x:c r="C703" s="777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5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5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5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5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5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5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5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5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5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63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8" x14ac:dyDescent="0.25">
      <x:c r="B1" s="97" t="s">
        <x:v>74</x:v>
      </x:c>
    </x:row>
    <x:row r="2" spans="2:18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5">
      <x:c r="D3" s="89" t="s">
        <x:v>72</x:v>
      </x:c>
      <x:c r="E3" s="371" t="n">
        <x:v>104754634.94</x:v>
      </x:c>
      <x:c r="F3" s="90" t="n">
        <x:v>6975298.69</x:v>
      </x:c>
      <x:c r="G3" s="90" t="n">
        <x:v>3988878.11</x:v>
      </x:c>
      <x:c r="H3" s="90" t="n">
        <x:v>1891710.46</x:v>
      </x:c>
      <x:c r="I3" s="90" t="n">
        <x:v>21813833.06</x:v>
      </x:c>
      <x:c r="J3" s="90" t="n">
        <x:v>885097.78</x:v>
      </x:c>
      <x:c r="K3" s="90" t="n">
        <x:v>0</x:v>
      </x:c>
      <x:c r="L3" s="90" t="n">
        <x:v>8065770.61</x:v>
      </x:c>
      <x:c r="M3" s="90" t="n">
        <x:v>7536469.12</x:v>
      </x:c>
      <x:c r="N3" s="90" t="n">
        <x:v>33213003.72</x:v>
      </x:c>
      <x:c r="O3" s="90" t="n">
        <x:v>19115514.46</x:v>
      </x:c>
      <x:c r="P3" s="90" t="n">
        <x:v>1269059.56</x:v>
      </x:c>
      <x:c r="Q3" s="90" t="n">
        <x:v>-0.63</x:v>
      </x:c>
      <x:c r="R3" t="n">
        <x:v>0</x:v>
      </x:c>
    </x:row>
    <x:row r="4" spans="2:18" ht="12.75" customHeight="1" x14ac:dyDescent="0.25">
      <x:c r="D4" t="s">
        <x:v>81</x:v>
      </x:c>
      <x:c r="E4" t="n">
        <x:v>15816.77</x:v>
      </x:c>
      <x:c r="F4" t="n">
        <x:v>1163.38</x:v>
      </x:c>
      <x:c r="G4" t="n">
        <x:v>642.32</x:v>
      </x:c>
      <x:c r="H4" t="n">
        <x:v>341.55</x:v>
      </x:c>
      <x:c r="I4" t="n">
        <x:v>3027.69</x:v>
      </x:c>
      <x:c r="J4" t="n">
        <x:v>126.06</x:v>
      </x:c>
      <x:c r="K4" t="n">
        <x:v>0</x:v>
      </x:c>
      <x:c r="L4" t="n">
        <x:v>1110.61</x:v>
      </x:c>
      <x:c r="M4" t="n">
        <x:v>1054.19</x:v>
      </x:c>
      <x:c r="N4" t="n">
        <x:v>4963.73</x:v>
      </x:c>
      <x:c r="O4" t="n">
        <x:v>3181.55</x:v>
      </x:c>
      <x:c r="P4" t="n">
        <x:v>205.61</x:v>
      </x:c>
      <x:c r="Q4" t="n">
        <x:v>0.08</x:v>
      </x:c>
      <x:c r="R4" t="n">
        <x:v>0</x:v>
      </x:c>
    </x:row>
    <x:row r="5" spans="2:18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5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5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25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25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25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25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25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25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25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25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25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25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25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25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25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25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25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25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25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25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25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25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25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25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25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25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5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5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5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5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5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5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5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5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5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5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5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5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5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5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5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5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5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5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5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5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5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5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5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5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5"/>
    <x:row r="65" spans="2:18" x14ac:dyDescent="0.25">
      <x:c r="B65" s="97" t="s">
        <x:v>75</x:v>
      </x:c>
    </x:row>
    <x:row r="66" spans="2:18" ht="12.75" customHeight="1" x14ac:dyDescent="0.25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5">
      <x:c r="D67" s="89" t="s">
        <x:v>72</x:v>
      </x:c>
      <x:c r="E67" s="371" t="n">
        <x:v>71702408.71</x:v>
      </x:c>
      <x:c r="F67" s="90" t="n">
        <x:v>4119196.88</x:v>
      </x:c>
      <x:c r="G67" s="90" t="n">
        <x:v>2445784.34</x:v>
      </x:c>
      <x:c r="H67" s="90" t="n">
        <x:v>988499.28</x:v>
      </x:c>
      <x:c r="I67" s="90" t="n">
        <x:v>18958221.46</x:v>
      </x:c>
      <x:c r="J67" s="90" t="n">
        <x:v>632942.16</x:v>
      </x:c>
      <x:c r="K67" s="90" t="n">
        <x:v>0</x:v>
      </x:c>
      <x:c r="L67" s="90" t="n">
        <x:v>5923929.5</x:v>
      </x:c>
      <x:c r="M67" s="90" t="n">
        <x:v>5752498.05</x:v>
      </x:c>
      <x:c r="N67" s="90" t="n">
        <x:v>23264098.65</x:v>
      </x:c>
      <x:c r="O67" s="90" t="n">
        <x:v>8731555.56</x:v>
      </x:c>
      <x:c r="P67" s="90" t="n">
        <x:v>885560.39</x:v>
      </x:c>
      <x:c r="Q67" s="90" t="n">
        <x:v>122.44</x:v>
      </x:c>
      <x:c r="R67" t="n">
        <x:v>0</x:v>
      </x:c>
    </x:row>
    <x:row r="68" spans="2:18" ht="12.75" customHeight="1" x14ac:dyDescent="0.25">
      <x:c r="D68" t="s">
        <x:v>81</x:v>
      </x:c>
      <x:c r="E68" t="n">
        <x:v>95038.85</x:v>
      </x:c>
      <x:c r="F68" t="n">
        <x:v>9024.33</x:v>
      </x:c>
      <x:c r="G68" t="n">
        <x:v>4730.41</x:v>
      </x:c>
      <x:c r="H68" t="n">
        <x:v>2571.82</x:v>
      </x:c>
      <x:c r="I68" t="n">
        <x:v>19131.48</x:v>
      </x:c>
      <x:c r="J68" t="n">
        <x:v>648.99</x:v>
      </x:c>
      <x:c r="K68" t="n">
        <x:v>0</x:v>
      </x:c>
      <x:c r="L68" t="n">
        <x:v>5659.74</x:v>
      </x:c>
      <x:c r="M68" t="n">
        <x:v>6117.92</x:v>
      </x:c>
      <x:c r="N68" t="n">
        <x:v>28047</x:v>
      </x:c>
      <x:c r="O68" t="n">
        <x:v>18026.08</x:v>
      </x:c>
      <x:c r="P68" t="n">
        <x:v>1059.27</x:v>
      </x:c>
      <x:c r="Q68" t="n">
        <x:v>21.81</x:v>
      </x:c>
      <x:c r="R68" t="n">
        <x:v>0</x:v>
      </x:c>
    </x:row>
    <x:row r="69" spans="2:18" ht="12.75" customHeight="1" x14ac:dyDescent="0.25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5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5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25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25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25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" customHeight="1" x14ac:dyDescent="0.25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25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25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25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25">
      <x:c r="B79" s="142"/>
      <x:c r="C79" s="89" t="s">
        <x:v>116</x:v>
      </x:c>
      <x:c r="D79" s="89" t="s">
        <x:v>70</x:v>
      </x:c>
      <x:c r="E79" s="371" t="n">
        <x:v>1616580.05</x:v>
      </x:c>
      <x:c r="F79" s="90" t="n">
        <x:v>90570.97</x:v>
      </x:c>
      <x:c r="G79" s="90" t="n">
        <x:v>47848.06</x:v>
      </x:c>
      <x:c r="H79" s="90" t="n">
        <x:v>24121.54</x:v>
      </x:c>
      <x:c r="I79" s="90" t="n">
        <x:v>433695.6</x:v>
      </x:c>
      <x:c r="J79" s="90" t="n">
        <x:v>13310.95</x:v>
      </x:c>
      <x:c r="K79" s="90" t="n">
        <x:v>0</x:v>
      </x:c>
      <x:c r="L79" s="90" t="n">
        <x:v>100437.15</x:v>
      </x:c>
      <x:c r="M79" s="90" t="n">
        <x:v>121158.59</x:v>
      </x:c>
      <x:c r="N79" s="90" t="n">
        <x:v>423488.93</x:v>
      </x:c>
      <x:c r="O79" s="90" t="n">
        <x:v>346818.86</x:v>
      </x:c>
      <x:c r="P79" s="90" t="n">
        <x:v>15118.65</x:v>
      </x:c>
      <x:c r="Q79" s="90" t="n">
        <x:v>10.75</x:v>
      </x:c>
      <x:c r="R79" t="n">
        <x:v>0</x:v>
      </x:c>
    </x:row>
    <x:row r="80" spans="2:18" ht="12.75" customHeight="1" x14ac:dyDescent="0.25">
      <x:c r="B80" s="142"/>
      <x:c r="C80" s="89"/>
      <x:c r="D80" s="89" t="s">
        <x:v>72</x:v>
      </x:c>
      <x:c r="E80" s="371" t="n">
        <x:v>27690465.37</x:v>
      </x:c>
      <x:c r="F80" s="90" t="n">
        <x:v>1701572.26</x:v>
      </x:c>
      <x:c r="G80" s="90" t="n">
        <x:v>971553.65</x:v>
      </x:c>
      <x:c r="H80" s="90" t="n">
        <x:v>405189.21</x:v>
      </x:c>
      <x:c r="I80" s="90" t="n">
        <x:v>7839404.57</x:v>
      </x:c>
      <x:c r="J80" s="90" t="n">
        <x:v>234550.49</x:v>
      </x:c>
      <x:c r="K80" s="90" t="n">
        <x:v>0</x:v>
      </x:c>
      <x:c r="L80" s="90" t="n">
        <x:v>2072653.22</x:v>
      </x:c>
      <x:c r="M80" s="90" t="n">
        <x:v>2236559.98</x:v>
      </x:c>
      <x:c r="N80" s="90" t="n">
        <x:v>8259845.44</x:v>
      </x:c>
      <x:c r="O80" s="90" t="n">
        <x:v>3677240.61</x:v>
      </x:c>
      <x:c r="P80" s="90" t="n">
        <x:v>291796.3</x:v>
      </x:c>
      <x:c r="Q80" s="90" t="n">
        <x:v>99.64</x:v>
      </x:c>
      <x:c r="R80" t="n">
        <x:v>0</x:v>
      </x:c>
    </x:row>
    <x:row r="81" spans="1:18" ht="12.75" customHeight="1" x14ac:dyDescent="0.25">
      <x:c r="B81" s="142"/>
      <x:c r="C81" s="89"/>
      <x:c r="D81" s="89" t="s">
        <x:v>81</x:v>
      </x:c>
      <x:c r="E81" s="371" t="n">
        <x:v>220606.32</x:v>
      </x:c>
      <x:c r="F81" s="90" t="n">
        <x:v>2079.3</x:v>
      </x:c>
      <x:c r="G81" s="90" t="n">
        <x:v>1101.6</x:v>
      </x:c>
      <x:c r="H81" s="90" t="n">
        <x:v>634.08</x:v>
      </x:c>
      <x:c r="I81" s="90" t="n">
        <x:v>4056.19</x:v>
      </x:c>
      <x:c r="J81" s="90" t="n">
        <x:v>100.05</x:v>
      </x:c>
      <x:c r="K81" s="90" t="n">
        <x:v>0</x:v>
      </x:c>
      <x:c r="L81" s="90" t="n">
        <x:v>31497.06</x:v>
      </x:c>
      <x:c r="M81" s="90" t="n">
        <x:v>39422.95</x:v>
      </x:c>
      <x:c r="N81" s="90" t="n">
        <x:v>118658.47</x:v>
      </x:c>
      <x:c r="O81" s="90" t="n">
        <x:v>22893.4</x:v>
      </x:c>
      <x:c r="P81" s="90" t="n">
        <x:v>163.27</x:v>
      </x:c>
      <x:c r="Q81" s="90" t="n">
        <x:v>-0.05</x:v>
      </x:c>
      <x:c r="R81" t="n">
        <x:v>0</x:v>
      </x:c>
    </x:row>
    <x:row r="82" spans="1:18" ht="12.75" customHeight="1" x14ac:dyDescent="0.25">
      <x:c r="B82" s="142"/>
      <x:c r="C82" s="89" t="s">
        <x:v>118</x:v>
      </x:c>
      <x:c r="D82" s="89" t="s">
        <x:v>70</x:v>
      </x:c>
      <x:c r="E82" s="371" t="n">
        <x:v>27911071.69</x:v>
      </x:c>
      <x:c r="F82" s="90" t="n">
        <x:v>1703651.56</x:v>
      </x:c>
      <x:c r="G82" s="90" t="n">
        <x:v>972655.25</x:v>
      </x:c>
      <x:c r="H82" s="90" t="n">
        <x:v>405823.29</x:v>
      </x:c>
      <x:c r="I82" s="90" t="n">
        <x:v>7843460.76</x:v>
      </x:c>
      <x:c r="J82" s="90" t="n">
        <x:v>234650.54</x:v>
      </x:c>
      <x:c r="K82" s="90" t="n">
        <x:v>0</x:v>
      </x:c>
      <x:c r="L82" s="90" t="n">
        <x:v>2104150.28</x:v>
      </x:c>
      <x:c r="M82" s="90" t="n">
        <x:v>2275982.93</x:v>
      </x:c>
      <x:c r="N82" s="90" t="n">
        <x:v>8378503.91</x:v>
      </x:c>
      <x:c r="O82" s="90" t="n">
        <x:v>3700134.01</x:v>
      </x:c>
      <x:c r="P82" s="90" t="n">
        <x:v>291959.57</x:v>
      </x:c>
      <x:c r="Q82" s="90" t="n">
        <x:v>99.59</x:v>
      </x:c>
      <x:c r="R82" t="n">
        <x:v>0</x:v>
      </x:c>
    </x:row>
    <x:row r="83" spans="1:18" s="224" customFormat="1" ht="12.75" customHeight="1" x14ac:dyDescent="0.25">
      <x:c r="B83" s="224" t="s">
        <x:v>120</x:v>
      </x:c>
      <x:c r="C83" s="224" t="s">
        <x:v>70</x:v>
      </x:c>
      <x:c r="E83" s="224" t="n">
        <x:v>52469851.41</x:v>
      </x:c>
      <x:c r="F83" s="224" t="n">
        <x:v>3216777.59</x:v>
      </x:c>
      <x:c r="G83" s="224" t="n">
        <x:v>1799399.45</x:v>
      </x:c>
      <x:c r="H83" s="224" t="n">
        <x:v>773125.81</x:v>
      </x:c>
      <x:c r="I83" s="224" t="n">
        <x:v>14315915.6</x:v>
      </x:c>
      <x:c r="J83" s="224" t="n">
        <x:v>406510.66</x:v>
      </x:c>
      <x:c r="K83" s="224" t="n">
        <x:v>0</x:v>
      </x:c>
      <x:c r="L83" s="224" t="n">
        <x:v>3668619.83</x:v>
      </x:c>
      <x:c r="M83" s="224" t="n">
        <x:v>4175302.62</x:v>
      </x:c>
      <x:c r="N83" s="224" t="n">
        <x:v>14329479.37</x:v>
      </x:c>
      <x:c r="O83" s="224" t="n">
        <x:v>9282610.95</x:v>
      </x:c>
      <x:c r="P83" s="224" t="n">
        <x:v>502138.48</x:v>
      </x:c>
      <x:c r="Q83" s="224" t="n">
        <x:v>-28.95</x:v>
      </x:c>
      <x:c r="R83" s="224" t="n">
        <x:v>0</x:v>
      </x:c>
    </x:row>
    <x:row r="84" spans="1:18" ht="12.75" customHeight="1" x14ac:dyDescent="0.25">
      <x:c r="D84" t="s">
        <x:v>72</x:v>
      </x:c>
      <x:c r="E84" s="142" t="n">
        <x:v>11075334.51</x:v>
      </x:c>
      <x:c r="F84" t="n">
        <x:v>821378.55</x:v>
      </x:c>
      <x:c r="G84" t="n">
        <x:v>465927.35</x:v>
      </x:c>
      <x:c r="H84" t="n">
        <x:v>215214.87</x:v>
      </x:c>
      <x:c r="I84" t="n">
        <x:v>2963943.27</x:v>
      </x:c>
      <x:c r="J84" t="n">
        <x:v>82515.34</x:v>
      </x:c>
      <x:c r="K84" t="n">
        <x:v>0</x:v>
      </x:c>
      <x:c r="L84" t="n">
        <x:v>658290.51</x:v>
      </x:c>
      <x:c r="M84" t="n">
        <x:v>834824.5</x:v>
      </x:c>
      <x:c r="N84" t="n">
        <x:v>3348380.91</x:v>
      </x:c>
      <x:c r="O84" t="n">
        <x:v>1591238.38</x:v>
      </x:c>
      <x:c r="P84" t="n">
        <x:v>93600.37</x:v>
      </x:c>
      <x:c r="Q84" t="n">
        <x:v>20.46</x:v>
      </x:c>
      <x:c r="R84" t="n">
        <x:v>0</x:v>
      </x:c>
    </x:row>
    <x:row r="85" spans="1:18" ht="12.75" customHeight="1" x14ac:dyDescent="0.25">
      <x:c r="D85" t="s">
        <x:v>81</x:v>
      </x:c>
      <x:c r="E85" s="142" t="n">
        <x:v>20136.06</x:v>
      </x:c>
      <x:c r="F85" t="n">
        <x:v>2455.33</x:v>
      </x:c>
      <x:c r="G85" t="n">
        <x:v>1132.97</x:v>
      </x:c>
      <x:c r="H85" t="n">
        <x:v>675.49</x:v>
      </x:c>
      <x:c r="I85" t="n">
        <x:v>3924.78</x:v>
      </x:c>
      <x:c r="J85" t="n">
        <x:v>92.44</x:v>
      </x:c>
      <x:c r="K85" t="n">
        <x:v>0</x:v>
      </x:c>
      <x:c r="L85" t="n">
        <x:v>810.75</x:v>
      </x:c>
      <x:c r="M85" t="n">
        <x:v>1058.05</x:v>
      </x:c>
      <x:c r="N85" t="n">
        <x:v>4906.98</x:v>
      </x:c>
      <x:c r="O85" t="n">
        <x:v>4928.45</x:v>
      </x:c>
      <x:c r="P85" t="n">
        <x:v>150.8</x:v>
      </x:c>
      <x:c r="Q85" t="n">
        <x:v>0.02</x:v>
      </x:c>
      <x:c r="R85" t="n">
        <x:v>0</x:v>
      </x:c>
    </x:row>
    <x:row r="86" spans="1:18" ht="12.75" customHeight="1" x14ac:dyDescent="0.25">
      <x:c r="C86" t="s">
        <x:v>82</x:v>
      </x:c>
      <x:c r="D86" t="s">
        <x:v>70</x:v>
      </x:c>
      <x:c r="E86" s="142" t="n">
        <x:v>11095470.57</x:v>
      </x:c>
      <x:c r="F86" t="n">
        <x:v>823833.88</x:v>
      </x:c>
      <x:c r="G86" t="n">
        <x:v>467060.32</x:v>
      </x:c>
      <x:c r="H86" t="n">
        <x:v>215890.36</x:v>
      </x:c>
      <x:c r="I86" t="n">
        <x:v>2967868.05</x:v>
      </x:c>
      <x:c r="J86" t="n">
        <x:v>82607.78</x:v>
      </x:c>
      <x:c r="K86" t="n">
        <x:v>0</x:v>
      </x:c>
      <x:c r="L86" t="n">
        <x:v>659101.26</x:v>
      </x:c>
      <x:c r="M86" t="n">
        <x:v>835882.55</x:v>
      </x:c>
      <x:c r="N86" t="n">
        <x:v>3353287.89</x:v>
      </x:c>
      <x:c r="O86" t="n">
        <x:v>1596166.83</x:v>
      </x:c>
      <x:c r="P86" t="n">
        <x:v>93751.17</x:v>
      </x:c>
      <x:c r="Q86" t="n">
        <x:v>20.48</x:v>
      </x:c>
      <x:c r="R86" t="n">
        <x:v>0</x:v>
      </x:c>
    </x:row>
    <x:row r="87" spans="1:18" ht="12.75" customHeight="1" x14ac:dyDescent="0.25">
      <x:c r="D87" t="s">
        <x:v>72</x:v>
      </x:c>
      <x:c r="E87" s="142" t="n">
        <x:v>38346937.41</x:v>
      </x:c>
      <x:c r="F87" t="n">
        <x:v>3218428.18</x:v>
      </x:c>
      <x:c r="G87" t="n">
        <x:v>1802927.88</x:v>
      </x:c>
      <x:c r="H87" t="n">
        <x:v>864947.8</x:v>
      </x:c>
      <x:c r="I87" t="n">
        <x:v>8956303.58</x:v>
      </x:c>
      <x:c r="J87" t="n">
        <x:v>272835.85</x:v>
      </x:c>
      <x:c r="K87" t="n">
        <x:v>0</x:v>
      </x:c>
      <x:c r="L87" t="n">
        <x:v>2439524.55</x:v>
      </x:c>
      <x:c r="M87" t="n">
        <x:v>2783253.06</x:v>
      </x:c>
      <x:c r="N87" t="n">
        <x:v>10966064.28</x:v>
      </x:c>
      <x:c r="O87" t="n">
        <x:v>6668396.54</x:v>
      </x:c>
      <x:c r="P87" t="n">
        <x:v>374240.28</x:v>
      </x:c>
      <x:c r="Q87" t="n">
        <x:v>15.41</x:v>
      </x:c>
      <x:c r="R87" t="n">
        <x:v>0</x:v>
      </x:c>
    </x:row>
    <x:row r="88" spans="1:18" ht="12.75" customHeight="1" x14ac:dyDescent="0.25">
      <x:c r="D88" t="s">
        <x:v>81</x:v>
      </x:c>
      <x:c r="E88" s="142" t="n">
        <x:v>435116.55</x:v>
      </x:c>
      <x:c r="F88" t="n">
        <x:v>47759.13</x:v>
      </x:c>
      <x:c r="G88" t="n">
        <x:v>22622.8</x:v>
      </x:c>
      <x:c r="H88" t="n">
        <x:v>11464.99</x:v>
      </x:c>
      <x:c r="I88" t="n">
        <x:v>86745.59</x:v>
      </x:c>
      <x:c r="J88" t="n">
        <x:v>2665.2</x:v>
      </x:c>
      <x:c r="K88" t="n">
        <x:v>0</x:v>
      </x:c>
      <x:c r="L88" t="n">
        <x:v>22811.78</x:v>
      </x:c>
      <x:c r="M88" t="n">
        <x:v>28601.42</x:v>
      </x:c>
      <x:c r="N88" t="n">
        <x:v>113175.65</x:v>
      </x:c>
      <x:c r="O88" t="n">
        <x:v>94916.98</x:v>
      </x:c>
      <x:c r="P88" t="n">
        <x:v>4352.25</x:v>
      </x:c>
      <x:c r="Q88" t="n">
        <x:v>0.76</x:v>
      </x:c>
      <x:c r="R88" t="n">
        <x:v>0</x:v>
      </x:c>
    </x:row>
    <x:row r="89" spans="1:18" ht="12.75" customHeight="1" x14ac:dyDescent="0.25">
      <x:c r="C89" t="s">
        <x:v>86</x:v>
      </x:c>
      <x:c r="D89" t="s">
        <x:v>70</x:v>
      </x:c>
      <x:c r="E89" t="n">
        <x:v>38782053.96</x:v>
      </x:c>
      <x:c r="F89" t="n">
        <x:v>3266187.31</x:v>
      </x:c>
      <x:c r="G89" t="n">
        <x:v>1825550.68</x:v>
      </x:c>
      <x:c r="H89" t="n">
        <x:v>876412.79</x:v>
      </x:c>
      <x:c r="I89" t="n">
        <x:v>9043049.17</x:v>
      </x:c>
      <x:c r="J89" t="n">
        <x:v>275501.05</x:v>
      </x:c>
      <x:c r="K89" t="n">
        <x:v>0</x:v>
      </x:c>
      <x:c r="L89" t="n">
        <x:v>2462336.33</x:v>
      </x:c>
      <x:c r="M89" t="n">
        <x:v>2811854.48</x:v>
      </x:c>
      <x:c r="N89" t="n">
        <x:v>11079239.93</x:v>
      </x:c>
      <x:c r="O89" t="n">
        <x:v>6763313.52</x:v>
      </x:c>
      <x:c r="P89" t="n">
        <x:v>378592.53</x:v>
      </x:c>
      <x:c r="Q89" t="n">
        <x:v>16.17</x:v>
      </x:c>
      <x:c r="R89" t="n">
        <x:v>0</x:v>
      </x:c>
    </x:row>
    <x:row r="90" spans="1:18" ht="12.75" customHeight="1" x14ac:dyDescent="0.25">
      <x:c r="D90" t="s">
        <x:v>72</x:v>
      </x:c>
      <x:c r="E90" t="n">
        <x:v>42498048.93</x:v>
      </x:c>
      <x:c r="F90" t="n">
        <x:v>5756619.93</x:v>
      </x:c>
      <x:c r="G90" t="n">
        <x:v>3216233.52</x:v>
      </x:c>
      <x:c r="H90" t="n">
        <x:v>1817946.33</x:v>
      </x:c>
      <x:c r="I90" t="n">
        <x:v>1910670.24</x:v>
      </x:c>
      <x:c r="J90" t="n">
        <x:v>53108.69</x:v>
      </x:c>
      <x:c r="K90" t="n">
        <x:v>0</x:v>
      </x:c>
      <x:c r="L90" t="n">
        <x:v>473073.31</x:v>
      </x:c>
      <x:c r="M90" t="n">
        <x:v>611269.16</x:v>
      </x:c>
      <x:c r="N90" t="n">
        <x:v>2270384.89</x:v>
      </x:c>
      <x:c r="O90" t="n">
        <x:v>26329366.12</x:v>
      </x:c>
      <x:c r="P90" t="n">
        <x:v>59347.07</x:v>
      </x:c>
      <x:c r="Q90" t="n">
        <x:v>29.67</x:v>
      </x:c>
      <x:c r="R90" t="n">
        <x:v>0</x:v>
      </x:c>
    </x:row>
    <x:row r="91" spans="1:18" ht="12.75" customHeight="1" x14ac:dyDescent="0.25">
      <x:c r="D91" t="s">
        <x:v>81</x:v>
      </x:c>
      <x:c r="E91" s="142" t="n">
        <x:v>9526.39</x:v>
      </x:c>
      <x:c r="F91" t="n">
        <x:v>1485.4</x:v>
      </x:c>
      <x:c r="G91" t="n">
        <x:v>831.8</x:v>
      </x:c>
      <x:c r="H91" t="n">
        <x:v>440.06</x:v>
      </x:c>
      <x:c r="I91" t="n">
        <x:v>1225.21</x:v>
      </x:c>
      <x:c r="J91" t="n">
        <x:v>39.88</x:v>
      </x:c>
      <x:c r="K91" t="n">
        <x:v>0</x:v>
      </x:c>
      <x:c r="L91" t="n">
        <x:v>349.95</x:v>
      </x:c>
      <x:c r="M91" t="n">
        <x:v>378.78</x:v>
      </x:c>
      <x:c r="N91" t="n">
        <x:v>1754.01</x:v>
      </x:c>
      <x:c r="O91" t="n">
        <x:v>2956.22</x:v>
      </x:c>
      <x:c r="P91" t="n">
        <x:v>65.09</x:v>
      </x:c>
      <x:c r="Q91" t="n">
        <x:v>-0.01</x:v>
      </x:c>
      <x:c r="R91" t="n">
        <x:v>0</x:v>
      </x:c>
    </x:row>
    <x:row r="92" spans="1:18" ht="12.75" customHeight="1" x14ac:dyDescent="0.25">
      <x:c r="C92" s="89" t="s">
        <x:v>87</x:v>
      </x:c>
      <x:c r="D92" s="89" t="s">
        <x:v>70</x:v>
      </x:c>
      <x:c r="E92" s="90" t="n">
        <x:v>42507575.32</x:v>
      </x:c>
      <x:c r="F92" s="90" t="n">
        <x:v>5758105.33</x:v>
      </x:c>
      <x:c r="G92" s="90" t="n">
        <x:v>3217065.32</x:v>
      </x:c>
      <x:c r="H92" s="90" t="n">
        <x:v>1818386.39</x:v>
      </x:c>
      <x:c r="I92" s="90" t="n">
        <x:v>1911895.45</x:v>
      </x:c>
      <x:c r="J92" s="90" t="n">
        <x:v>53148.57</x:v>
      </x:c>
      <x:c r="K92" s="90" t="n">
        <x:v>0</x:v>
      </x:c>
      <x:c r="L92" s="90" t="n">
        <x:v>473423.26</x:v>
      </x:c>
      <x:c r="M92" s="90" t="n">
        <x:v>611647.94</x:v>
      </x:c>
      <x:c r="N92" s="90" t="n">
        <x:v>2272138.9</x:v>
      </x:c>
      <x:c r="O92" s="90" t="n">
        <x:v>26332322.34</x:v>
      </x:c>
      <x:c r="P92" s="90" t="n">
        <x:v>59412.16</x:v>
      </x:c>
      <x:c r="Q92" s="90" t="n">
        <x:v>29.66</x:v>
      </x:c>
      <x:c r="R92" t="n">
        <x:v>0</x:v>
      </x:c>
    </x:row>
    <x:row r="93" spans="1:18" s="94" customFormat="1" ht="12.75" customHeight="1" x14ac:dyDescent="0.25">
      <x:c r="B93" s="94" t="s">
        <x:v>119</x:v>
      </x:c>
      <x:c r="C93" s="101" t="s">
        <x:v>70</x:v>
      </x:c>
      <x:c r="D93" s="101"/>
      <x:c r="E93" s="93" t="n">
        <x:v>92385099.85</x:v>
      </x:c>
      <x:c r="F93" s="93" t="n">
        <x:v>9848126.52</x:v>
      </x:c>
      <x:c r="G93" s="93" t="n">
        <x:v>5509676.32</x:v>
      </x:c>
      <x:c r="H93" s="93" t="n">
        <x:v>2910689.54</x:v>
      </x:c>
      <x:c r="I93" s="93" t="n">
        <x:v>13922812.67</x:v>
      </x:c>
      <x:c r="J93" s="93" t="n">
        <x:v>411257.4</x:v>
      </x:c>
      <x:c r="K93" s="93" t="n">
        <x:v>0</x:v>
      </x:c>
      <x:c r="L93" s="93" t="n">
        <x:v>3594860.85</x:v>
      </x:c>
      <x:c r="M93" s="93" t="n">
        <x:v>4259384.97</x:v>
      </x:c>
      <x:c r="N93" s="93" t="n">
        <x:v>16704666.72</x:v>
      </x:c>
      <x:c r="O93" s="93" t="n">
        <x:v>34691802.69</x:v>
      </x:c>
      <x:c r="P93" s="93" t="n">
        <x:v>531755.86</x:v>
      </x:c>
      <x:c r="Q93" s="93" t="n">
        <x:v>66.31</x:v>
      </x:c>
      <x:c r="R93" s="94" t="n">
        <x:v>0</x:v>
      </x:c>
    </x:row>
    <x:row r="94" spans="1:18" s="226" customFormat="1" ht="12.75" customHeight="1" x14ac:dyDescent="0.25">
      <x:c r="A94" s="98" t="s">
        <x:v>78</x:v>
      </x:c>
      <x:c r="B94" s="98" t="s">
        <x:v>70</x:v>
      </x:c>
      <x:c r="E94" s="100" t="n">
        <x:v>216652398.82</x:v>
      </x:c>
      <x:c r="F94" s="100" t="n">
        <x:v>17193125.32</x:v>
      </x:c>
      <x:c r="G94" s="100" t="n">
        <x:v>9759590.52</x:v>
      </x:c>
      <x:c r="H94" s="100" t="n">
        <x:v>4674886.45</x:v>
      </x:c>
      <x:c r="I94" s="100" t="n">
        <x:v>47216081.21</x:v>
      </x:c>
      <x:c r="J94" s="100" t="n">
        <x:v>1451359.21</x:v>
      </x:c>
      <x:c r="K94" s="100" t="n">
        <x:v>0</x:v>
      </x:c>
      <x:c r="L94" s="100" t="n">
        <x:v>13193069.92</x:v>
      </x:c>
      <x:c r="M94" s="100" t="n">
        <x:v>14193303.56</x:v>
      </x:c>
      <x:c r="N94" s="100" t="n">
        <x:v>54326291.74</x:v>
      </x:c>
      <x:c r="O94" s="100" t="n">
        <x:v>52723995.28</x:v>
      </x:c>
      <x:c r="P94" s="100" t="n">
        <x:v>1920514</x:v>
      </x:c>
      <x:c r="Q94" s="100" t="n">
        <x:v>181.61</x:v>
      </x:c>
      <x:c r="R94" s="226" t="n">
        <x:v>0</x:v>
      </x:c>
    </x:row>
    <x:row r="95" spans="1:18" ht="12.75" customHeight="1" x14ac:dyDescent="0.25">
      <x:c r="C95" s="89"/>
      <x:c r="D95" s="89" t="s">
        <x:v>73</x:v>
      </x:c>
      <x:c r="E95" s="90" t="n">
        <x:v>-16121294.86</x:v>
      </x:c>
      <x:c r="F95" s="90" t="n">
        <x:v>-535197.19</x:v>
      </x:c>
      <x:c r="G95" s="90" t="n">
        <x:v>-315094.83</x:v>
      </x:c>
      <x:c r="H95" s="90" t="n">
        <x:v>-189104.93</x:v>
      </x:c>
      <x:c r="I95" s="90" t="n">
        <x:v>-4617623.13</x:v>
      </x:c>
      <x:c r="J95" s="90" t="n">
        <x:v>-160785.5</x:v>
      </x:c>
      <x:c r="K95" s="90" t="n">
        <x:v>0</x:v>
      </x:c>
      <x:c r="L95" s="90" t="n">
        <x:v>-1360058.01</x:v>
      </x:c>
      <x:c r="M95" s="90" t="n">
        <x:v>-1315487.91</x:v>
      </x:c>
      <x:c r="N95" s="90" t="n">
        <x:v>-6434917.69</x:v>
      </x:c>
      <x:c r="O95" s="90" t="n">
        <x:v>-931826.69</x:v>
      </x:c>
      <x:c r="P95" s="90" t="n">
        <x:v>-261198.98</x:v>
      </x:c>
      <x:c r="Q95" s="90" t="n">
        <x:v>0</x:v>
      </x:c>
      <x:c r="R95" t="n">
        <x:v>0</x:v>
      </x:c>
    </x:row>
    <x:row r="96" spans="1:18" ht="12.75" customHeight="1" x14ac:dyDescent="0.25">
      <x:c r="C96" s="89" t="s">
        <x:v>156</x:v>
      </x:c>
      <x:c r="D96" s="89" t="s">
        <x:v>70</x:v>
      </x:c>
      <x:c r="E96" s="371" t="n">
        <x:v>-16121294.86</x:v>
      </x:c>
      <x:c r="F96" s="90" t="n">
        <x:v>-535197.19</x:v>
      </x:c>
      <x:c r="G96" s="90" t="n">
        <x:v>-315094.83</x:v>
      </x:c>
      <x:c r="H96" s="90" t="n">
        <x:v>-189104.93</x:v>
      </x:c>
      <x:c r="I96" s="90" t="n">
        <x:v>-4617623.13</x:v>
      </x:c>
      <x:c r="J96" s="90" t="n">
        <x:v>-160785.5</x:v>
      </x:c>
      <x:c r="K96" s="90" t="n">
        <x:v>0</x:v>
      </x:c>
      <x:c r="L96" s="90" t="n">
        <x:v>-1360058.01</x:v>
      </x:c>
      <x:c r="M96" s="90" t="n">
        <x:v>-1315487.91</x:v>
      </x:c>
      <x:c r="N96" s="90" t="n">
        <x:v>-6434917.69</x:v>
      </x:c>
      <x:c r="O96" s="90" t="n">
        <x:v>-931826.69</x:v>
      </x:c>
      <x:c r="P96" s="90" t="n">
        <x:v>-261198.98</x:v>
      </x:c>
      <x:c r="Q96" s="90" t="n">
        <x:v>0</x:v>
      </x:c>
      <x:c r="R96" t="n">
        <x:v>0</x:v>
      </x:c>
    </x:row>
    <x:row r="97" spans="1:18" s="286" customFormat="1" ht="12.75" customHeight="1" x14ac:dyDescent="0.25">
      <x:c r="B97" s="286" t="s">
        <x:v>155</x:v>
      </x:c>
      <x:c r="C97" s="229" t="s">
        <x:v>70</x:v>
      </x:c>
      <x:c r="D97" s="229"/>
      <x:c r="E97" s="752" t="n">
        <x:v>-16121294.86</x:v>
      </x:c>
      <x:c r="F97" s="230" t="n">
        <x:v>-535197.19</x:v>
      </x:c>
      <x:c r="G97" s="230" t="n">
        <x:v>-315094.83</x:v>
      </x:c>
      <x:c r="H97" s="230" t="n">
        <x:v>-189104.93</x:v>
      </x:c>
      <x:c r="I97" s="230" t="n">
        <x:v>-4617623.13</x:v>
      </x:c>
      <x:c r="J97" s="230" t="n">
        <x:v>-160785.5</x:v>
      </x:c>
      <x:c r="K97" s="230" t="n">
        <x:v>0</x:v>
      </x:c>
      <x:c r="L97" s="230" t="n">
        <x:v>-1360058.01</x:v>
      </x:c>
      <x:c r="M97" s="230" t="n">
        <x:v>-1315487.91</x:v>
      </x:c>
      <x:c r="N97" s="230" t="n">
        <x:v>-6434917.69</x:v>
      </x:c>
      <x:c r="O97" s="230" t="n">
        <x:v>-931826.69</x:v>
      </x:c>
      <x:c r="P97" s="230" t="n">
        <x:v>-261198.98</x:v>
      </x:c>
      <x:c r="Q97" s="230" t="n">
        <x:v>0</x:v>
      </x:c>
      <x:c r="R97" s="286" t="n">
        <x:v>0</x:v>
      </x:c>
    </x:row>
    <x:row r="98" spans="1:18" ht="12.75" customHeight="1" x14ac:dyDescent="0.25">
      <x:c r="C98" s="89"/>
      <x:c r="D98" s="89" t="s">
        <x:v>73</x:v>
      </x:c>
      <x:c r="E98" s="371" t="n">
        <x:v>-7006158.79</x:v>
      </x:c>
      <x:c r="F98" s="90" t="n">
        <x:v>-282130</x:v>
      </x:c>
      <x:c r="G98" s="90" t="n">
        <x:v>-165135.7</x:v>
      </x:c>
      <x:c r="H98" s="90" t="n">
        <x:v>-90452.73</x:v>
      </x:c>
      <x:c r="I98" s="90" t="n">
        <x:v>-1975334.97</x:v>
      </x:c>
      <x:c r="J98" s="90" t="n">
        <x:v>-54298.01</x:v>
      </x:c>
      <x:c r="K98" s="90" t="n">
        <x:v>0</x:v>
      </x:c>
      <x:c r="L98" s="90" t="n">
        <x:v>-461440.15</x:v>
      </x:c>
      <x:c r="M98" s="90" t="n">
        <x:v>-581546.05</x:v>
      </x:c>
      <x:c r="N98" s="90" t="n">
        <x:v>-2784117.01</x:v>
      </x:c>
      <x:c r="O98" s="90" t="n">
        <x:v>-524106.95</x:v>
      </x:c>
      <x:c r="P98" s="90" t="n">
        <x:v>-87597.22</x:v>
      </x:c>
      <x:c r="Q98" s="90" t="n">
        <x:v>0</x:v>
      </x:c>
      <x:c r="R98" t="n">
        <x:v>0</x:v>
      </x:c>
    </x:row>
    <x:row r="99" spans="1:18" ht="12.75" customHeight="1" x14ac:dyDescent="0.25">
      <x:c r="C99" s="89" t="s">
        <x:v>115</x:v>
      </x:c>
      <x:c r="D99" s="89" t="s">
        <x:v>70</x:v>
      </x:c>
      <x:c r="E99" s="90" t="n">
        <x:v>-7006158.79</x:v>
      </x:c>
      <x:c r="F99" s="90" t="n">
        <x:v>-282130</x:v>
      </x:c>
      <x:c r="G99" s="90" t="n">
        <x:v>-165135.7</x:v>
      </x:c>
      <x:c r="H99" s="90" t="n">
        <x:v>-90452.73</x:v>
      </x:c>
      <x:c r="I99" s="90" t="n">
        <x:v>-1975334.97</x:v>
      </x:c>
      <x:c r="J99" s="90" t="n">
        <x:v>-54298.01</x:v>
      </x:c>
      <x:c r="K99" s="90" t="n">
        <x:v>0</x:v>
      </x:c>
      <x:c r="L99" s="90" t="n">
        <x:v>-461440.15</x:v>
      </x:c>
      <x:c r="M99" s="90" t="n">
        <x:v>-581546.05</x:v>
      </x:c>
      <x:c r="N99" s="90" t="n">
        <x:v>-2784117.01</x:v>
      </x:c>
      <x:c r="O99" s="90" t="n">
        <x:v>-524106.95</x:v>
      </x:c>
      <x:c r="P99" s="90" t="n">
        <x:v>-87597.22</x:v>
      </x:c>
      <x:c r="Q99" s="90" t="n">
        <x:v>0</x:v>
      </x:c>
      <x:c r="R99" t="n">
        <x:v>0</x:v>
      </x:c>
    </x:row>
    <x:row r="100" spans="1:18" ht="12.75" customHeight="1" x14ac:dyDescent="0.25">
      <x:c r="C100" s="89"/>
      <x:c r="D100" s="89" t="s">
        <x:v>73</x:v>
      </x:c>
      <x:c r="E100" s="371" t="n">
        <x:v>-413701.38</x:v>
      </x:c>
      <x:c r="F100" s="90" t="n">
        <x:v>-13440.26</x:v>
      </x:c>
      <x:c r="G100" s="90" t="n">
        <x:v>-10533.25</x:v>
      </x:c>
      <x:c r="H100" s="90" t="n">
        <x:v>-5516.47</x:v>
      </x:c>
      <x:c r="I100" s="90" t="n">
        <x:v>-126463.9</x:v>
      </x:c>
      <x:c r="J100" s="90" t="n">
        <x:v>-3757.16</x:v>
      </x:c>
      <x:c r="K100" s="90" t="n">
        <x:v>0</x:v>
      </x:c>
      <x:c r="L100" s="90" t="n">
        <x:v>-30796.66</x:v>
      </x:c>
      <x:c r="M100" s="90" t="n">
        <x:v>-32644.48</x:v>
      </x:c>
      <x:c r="N100" s="90" t="n">
        <x:v>-158503.21</x:v>
      </x:c>
      <x:c r="O100" s="90" t="n">
        <x:v>-25915.95</x:v>
      </x:c>
      <x:c r="P100" s="90" t="n">
        <x:v>-6130.04</x:v>
      </x:c>
      <x:c r="Q100" s="90" t="n">
        <x:v>0</x:v>
      </x:c>
      <x:c r="R100" t="n">
        <x:v>0</x:v>
      </x:c>
    </x:row>
    <x:row r="101" spans="1:18" ht="12.75" customHeight="1" x14ac:dyDescent="0.25">
      <x:c r="C101" s="89" t="s">
        <x:v>116</x:v>
      </x:c>
      <x:c r="D101" s="89" t="s">
        <x:v>70</x:v>
      </x:c>
      <x:c r="E101" s="90" t="n">
        <x:v>-413701.38</x:v>
      </x:c>
      <x:c r="F101" s="90" t="n">
        <x:v>-13440.26</x:v>
      </x:c>
      <x:c r="G101" s="90" t="n">
        <x:v>-10533.25</x:v>
      </x:c>
      <x:c r="H101" s="90" t="n">
        <x:v>-5516.47</x:v>
      </x:c>
      <x:c r="I101" s="90" t="n">
        <x:v>-126463.9</x:v>
      </x:c>
      <x:c r="J101" s="90" t="n">
        <x:v>-3757.16</x:v>
      </x:c>
      <x:c r="K101" s="90" t="n">
        <x:v>0</x:v>
      </x:c>
      <x:c r="L101" s="90" t="n">
        <x:v>-30796.66</x:v>
      </x:c>
      <x:c r="M101" s="90" t="n">
        <x:v>-32644.48</x:v>
      </x:c>
      <x:c r="N101" s="90" t="n">
        <x:v>-158503.21</x:v>
      </x:c>
      <x:c r="O101" s="90" t="n">
        <x:v>-25915.95</x:v>
      </x:c>
      <x:c r="P101" s="90" t="n">
        <x:v>-6130.04</x:v>
      </x:c>
      <x:c r="Q101" s="90" t="n">
        <x:v>0</x:v>
      </x:c>
      <x:c r="R101" t="n">
        <x:v>0</x:v>
      </x:c>
    </x:row>
    <x:row r="102" spans="1:18" ht="12.75" customHeight="1" x14ac:dyDescent="0.25">
      <x:c r="C102" s="89"/>
      <x:c r="D102" s="89" t="s">
        <x:v>73</x:v>
      </x:c>
      <x:c r="E102" s="371" t="n">
        <x:v>-9635661.95</x:v>
      </x:c>
      <x:c r="F102" s="90" t="n">
        <x:v>-380166.3</x:v>
      </x:c>
      <x:c r="G102" s="90" t="n">
        <x:v>-217737.2</x:v>
      </x:c>
      <x:c r="H102" s="90" t="n">
        <x:v>-115469.42</x:v>
      </x:c>
      <x:c r="I102" s="90" t="n">
        <x:v>-2737350.45</x:v>
      </x:c>
      <x:c r="J102" s="90" t="n">
        <x:v>-82659.66</x:v>
      </x:c>
      <x:c r="K102" s="90" t="n">
        <x:v>0</x:v>
      </x:c>
      <x:c r="L102" s="90" t="n">
        <x:v>-722316.87</x:v>
      </x:c>
      <x:c r="M102" s="90" t="n">
        <x:v>-795775.12</x:v>
      </x:c>
      <x:c r="N102" s="90" t="n">
        <x:v>-3736800.42</x:v>
      </x:c>
      <x:c r="O102" s="90" t="n">
        <x:v>-713130.36</x:v>
      </x:c>
      <x:c r="P102" s="90" t="n">
        <x:v>-134256.15</x:v>
      </x:c>
      <x:c r="Q102" s="90" t="n">
        <x:v>0</x:v>
      </x:c>
      <x:c r="R102" t="n">
        <x:v>0</x:v>
      </x:c>
    </x:row>
    <x:row r="103" spans="1:18" ht="12.75" customHeight="1" x14ac:dyDescent="0.25">
      <x:c r="C103" s="89" t="s">
        <x:v>118</x:v>
      </x:c>
      <x:c r="D103" s="89" t="s">
        <x:v>70</x:v>
      </x:c>
      <x:c r="E103" s="371" t="n">
        <x:v>-9635661.95</x:v>
      </x:c>
      <x:c r="F103" s="90" t="n">
        <x:v>-380166.3</x:v>
      </x:c>
      <x:c r="G103" s="90" t="n">
        <x:v>-217737.2</x:v>
      </x:c>
      <x:c r="H103" s="90" t="n">
        <x:v>-115469.42</x:v>
      </x:c>
      <x:c r="I103" s="90" t="n">
        <x:v>-2737350.45</x:v>
      </x:c>
      <x:c r="J103" s="90" t="n">
        <x:v>-82659.66</x:v>
      </x:c>
      <x:c r="K103" s="90" t="n">
        <x:v>0</x:v>
      </x:c>
      <x:c r="L103" s="90" t="n">
        <x:v>-722316.87</x:v>
      </x:c>
      <x:c r="M103" s="90" t="n">
        <x:v>-795775.12</x:v>
      </x:c>
      <x:c r="N103" s="90" t="n">
        <x:v>-3736800.42</x:v>
      </x:c>
      <x:c r="O103" s="90" t="n">
        <x:v>-713130.36</x:v>
      </x:c>
      <x:c r="P103" s="90" t="n">
        <x:v>-134256.15</x:v>
      </x:c>
      <x:c r="Q103" s="90" t="n">
        <x:v>0</x:v>
      </x:c>
      <x:c r="R103" t="n">
        <x:v>0</x:v>
      </x:c>
    </x:row>
    <x:row r="104" spans="1:18" s="224" customFormat="1" ht="12.75" customHeight="1" x14ac:dyDescent="0.25">
      <x:c r="B104" s="223" t="s">
        <x:v>120</x:v>
      </x:c>
      <x:c r="C104" s="223" t="s">
        <x:v>70</x:v>
      </x:c>
      <x:c r="E104" s="225" t="n">
        <x:v>-17055522.12</x:v>
      </x:c>
      <x:c r="F104" s="225" t="n">
        <x:v>-675736.56</x:v>
      </x:c>
      <x:c r="G104" s="225" t="n">
        <x:v>-393406.15</x:v>
      </x:c>
      <x:c r="H104" s="225" t="n">
        <x:v>-211438.62</x:v>
      </x:c>
      <x:c r="I104" s="225" t="n">
        <x:v>-4839149.32</x:v>
      </x:c>
      <x:c r="J104" s="225" t="n">
        <x:v>-140714.83</x:v>
      </x:c>
      <x:c r="K104" s="225" t="n">
        <x:v>0</x:v>
      </x:c>
      <x:c r="L104" s="225" t="n">
        <x:v>-1214553.68</x:v>
      </x:c>
      <x:c r="M104" s="225" t="n">
        <x:v>-1409965.65</x:v>
      </x:c>
      <x:c r="N104" s="225" t="n">
        <x:v>-6679420.64</x:v>
      </x:c>
      <x:c r="O104" s="225" t="n">
        <x:v>-1263153.26</x:v>
      </x:c>
      <x:c r="P104" s="225" t="n">
        <x:v>-227983.41</x:v>
      </x:c>
      <x:c r="Q104" s="225" t="n">
        <x:v>0</x:v>
      </x:c>
      <x:c r="R104" s="224" t="n">
        <x:v>0</x:v>
      </x:c>
    </x:row>
    <x:row r="105" spans="1:18" ht="12.75" customHeight="1" x14ac:dyDescent="0.25">
      <x:c r="D105" s="89" t="s">
        <x:v>73</x:v>
      </x:c>
      <x:c r="E105" s="371" t="n">
        <x:v>-2195603.12</x:v>
      </x:c>
      <x:c r="F105" s="90" t="n">
        <x:v>-15588.17</x:v>
      </x:c>
      <x:c r="G105" s="90" t="n">
        <x:v>-50720.73</x:v>
      </x:c>
      <x:c r="H105" s="90" t="n">
        <x:v>1774.73</x:v>
      </x:c>
      <x:c r="I105" s="90" t="n">
        <x:v>-677747.58</x:v>
      </x:c>
      <x:c r="J105" s="90" t="n">
        <x:v>-19775.44</x:v>
      </x:c>
      <x:c r="K105" s="90" t="n">
        <x:v>0</x:v>
      </x:c>
      <x:c r="L105" s="90" t="n">
        <x:v>-165236.81</x:v>
      </x:c>
      <x:c r="M105" s="90" t="n">
        <x:v>-211413.62</x:v>
      </x:c>
      <x:c r="N105" s="90" t="n">
        <x:v>-1031747.22</x:v>
      </x:c>
      <x:c r="O105" s="90" t="n">
        <x:v>5802.43</x:v>
      </x:c>
      <x:c r="P105" s="90" t="n">
        <x:v>-30950.71</x:v>
      </x:c>
      <x:c r="Q105" s="90" t="n">
        <x:v>0</x:v>
      </x:c>
      <x:c r="R105" t="n">
        <x:v>0</x:v>
      </x:c>
    </x:row>
    <x:row r="106" spans="1:18" ht="12.75" customHeight="1" x14ac:dyDescent="0.25">
      <x:c r="C106" t="s">
        <x:v>82</x:v>
      </x:c>
      <x:c r="D106" s="89" t="s">
        <x:v>70</x:v>
      </x:c>
      <x:c r="E106" s="371" t="n">
        <x:v>-2195603.12</x:v>
      </x:c>
      <x:c r="F106" s="90" t="n">
        <x:v>-15588.17</x:v>
      </x:c>
      <x:c r="G106" s="90" t="n">
        <x:v>-50720.73</x:v>
      </x:c>
      <x:c r="H106" s="90" t="n">
        <x:v>1774.73</x:v>
      </x:c>
      <x:c r="I106" s="90" t="n">
        <x:v>-677747.58</x:v>
      </x:c>
      <x:c r="J106" s="90" t="n">
        <x:v>-19775.44</x:v>
      </x:c>
      <x:c r="K106" s="90" t="n">
        <x:v>0</x:v>
      </x:c>
      <x:c r="L106" s="90" t="n">
        <x:v>-165236.81</x:v>
      </x:c>
      <x:c r="M106" s="90" t="n">
        <x:v>-211413.62</x:v>
      </x:c>
      <x:c r="N106" s="90" t="n">
        <x:v>-1031747.22</x:v>
      </x:c>
      <x:c r="O106" s="90" t="n">
        <x:v>5802.43</x:v>
      </x:c>
      <x:c r="P106" s="90" t="n">
        <x:v>-30950.71</x:v>
      </x:c>
      <x:c r="Q106" s="90" t="n">
        <x:v>0</x:v>
      </x:c>
      <x:c r="R106" t="n">
        <x:v>0</x:v>
      </x:c>
    </x:row>
    <x:row r="107" spans="1:18" ht="12.75" customHeight="1" x14ac:dyDescent="0.25">
      <x:c r="D107" s="89" t="s">
        <x:v>73</x:v>
      </x:c>
      <x:c r="E107" s="371" t="n">
        <x:v>-3983459.54</x:v>
      </x:c>
      <x:c r="F107" s="90" t="n">
        <x:v>385104.44</x:v>
      </x:c>
      <x:c r="G107" s="90" t="n">
        <x:v>177913.53</x:v>
      </x:c>
      <x:c r="H107" s="90" t="n">
        <x:v>79365.09</x:v>
      </x:c>
      <x:c r="I107" s="90" t="n">
        <x:v>-1770775.18</x:v>
      </x:c>
      <x:c r="J107" s="90" t="n">
        <x:v>-54327.37</x:v>
      </x:c>
      <x:c r="K107" s="90" t="n">
        <x:v>0</x:v>
      </x:c>
      <x:c r="L107" s="90" t="n">
        <x:v>-463238.89</x:v>
      </x:c>
      <x:c r="M107" s="90" t="n">
        <x:v>-534634.66</x:v>
      </x:c>
      <x:c r="N107" s="90" t="n">
        <x:v>-2522494.73</x:v>
      </x:c>
      <x:c r="O107" s="90" t="n">
        <x:v>806737.08</x:v>
      </x:c>
      <x:c r="P107" s="90" t="n">
        <x:v>-87108.85</x:v>
      </x:c>
      <x:c r="Q107" s="90" t="n">
        <x:v>0</x:v>
      </x:c>
      <x:c r="R107" t="n">
        <x:v>0</x:v>
      </x:c>
    </x:row>
    <x:row r="108" spans="1:18" ht="12.75" customHeight="1" x14ac:dyDescent="0.25">
      <x:c r="C108" t="s">
        <x:v>86</x:v>
      </x:c>
      <x:c r="D108" s="89" t="s">
        <x:v>70</x:v>
      </x:c>
      <x:c r="E108" s="371" t="n">
        <x:v>-3983459.54</x:v>
      </x:c>
      <x:c r="F108" s="90" t="n">
        <x:v>385104.44</x:v>
      </x:c>
      <x:c r="G108" s="90" t="n">
        <x:v>177913.53</x:v>
      </x:c>
      <x:c r="H108" s="90" t="n">
        <x:v>79365.09</x:v>
      </x:c>
      <x:c r="I108" s="90" t="n">
        <x:v>-1770775.18</x:v>
      </x:c>
      <x:c r="J108" s="90" t="n">
        <x:v>-54327.37</x:v>
      </x:c>
      <x:c r="K108" s="90" t="n">
        <x:v>0</x:v>
      </x:c>
      <x:c r="L108" s="90" t="n">
        <x:v>-463238.89</x:v>
      </x:c>
      <x:c r="M108" s="90" t="n">
        <x:v>-534634.66</x:v>
      </x:c>
      <x:c r="N108" s="90" t="n">
        <x:v>-2522494.73</x:v>
      </x:c>
      <x:c r="O108" s="90" t="n">
        <x:v>806737.08</x:v>
      </x:c>
      <x:c r="P108" s="90" t="n">
        <x:v>-87108.85</x:v>
      </x:c>
      <x:c r="Q108" s="90" t="n">
        <x:v>0</x:v>
      </x:c>
      <x:c r="R108" t="n">
        <x:v>0</x:v>
      </x:c>
    </x:row>
    <x:row r="109" spans="1:18" ht="12.75" customHeight="1" x14ac:dyDescent="0.25">
      <x:c r="D109" s="89" t="s">
        <x:v>73</x:v>
      </x:c>
      <x:c r="E109" s="371" t="n">
        <x:v>1242572.98</x:v>
      </x:c>
      <x:c r="F109" s="90" t="n">
        <x:v>343686.51</x:v>
      </x:c>
      <x:c r="G109" s="90" t="n">
        <x:v>192507.93</x:v>
      </x:c>
      <x:c r="H109" s="90" t="n">
        <x:v>97880.49</x:v>
      </x:c>
      <x:c r="I109" s="90" t="n">
        <x:v>-39549.62</x:v>
      </x:c>
      <x:c r="J109" s="90" t="n">
        <x:v>-1348.98</x:v>
      </x:c>
      <x:c r="K109" s="90" t="n">
        <x:v>0</x:v>
      </x:c>
      <x:c r="L109" s="90" t="n">
        <x:v>-4691</x:v>
      </x:c>
      <x:c r="M109" s="90" t="n">
        <x:v>-3711.96</x:v>
      </x:c>
      <x:c r="N109" s="90" t="n">
        <x:v>-23147.87</x:v>
      </x:c>
      <x:c r="O109" s="90" t="n">
        <x:v>682556.78</x:v>
      </x:c>
      <x:c r="P109" s="90" t="n">
        <x:v>-1609.3</x:v>
      </x:c>
      <x:c r="Q109" s="90" t="n">
        <x:v>0</x:v>
      </x:c>
      <x:c r="R109" t="n">
        <x:v>0</x:v>
      </x:c>
    </x:row>
    <x:row r="110" spans="1:18" ht="12.75" customHeight="1" x14ac:dyDescent="0.25">
      <x:c r="C110" t="s">
        <x:v>87</x:v>
      </x:c>
      <x:c r="D110" s="89" t="s">
        <x:v>70</x:v>
      </x:c>
      <x:c r="E110" s="90" t="n">
        <x:v>1242572.98</x:v>
      </x:c>
      <x:c r="F110" s="90" t="n">
        <x:v>343686.51</x:v>
      </x:c>
      <x:c r="G110" s="90" t="n">
        <x:v>192507.93</x:v>
      </x:c>
      <x:c r="H110" s="90" t="n">
        <x:v>97880.49</x:v>
      </x:c>
      <x:c r="I110" s="90" t="n">
        <x:v>-39549.62</x:v>
      </x:c>
      <x:c r="J110" s="90" t="n">
        <x:v>-1348.98</x:v>
      </x:c>
      <x:c r="K110" s="90" t="n">
        <x:v>0</x:v>
      </x:c>
      <x:c r="L110" s="90" t="n">
        <x:v>-4691</x:v>
      </x:c>
      <x:c r="M110" s="90" t="n">
        <x:v>-3711.96</x:v>
      </x:c>
      <x:c r="N110" s="90" t="n">
        <x:v>-23147.87</x:v>
      </x:c>
      <x:c r="O110" s="90" t="n">
        <x:v>682556.78</x:v>
      </x:c>
      <x:c r="P110" s="90" t="n">
        <x:v>-1609.3</x:v>
      </x:c>
      <x:c r="Q110" s="90" t="n">
        <x:v>0</x:v>
      </x:c>
      <x:c r="R110" t="n">
        <x:v>0</x:v>
      </x:c>
    </x:row>
    <x:row r="111" spans="1:18" s="94" customFormat="1" ht="12.75" customHeight="1" x14ac:dyDescent="0.25">
      <x:c r="B111" s="101" t="s">
        <x:v>119</x:v>
      </x:c>
      <x:c r="C111" s="101" t="s">
        <x:v>70</x:v>
      </x:c>
      <x:c r="E111" s="93" t="n">
        <x:v>-4936489.68</x:v>
      </x:c>
      <x:c r="F111" s="93" t="n">
        <x:v>713202.78</x:v>
      </x:c>
      <x:c r="G111" s="93" t="n">
        <x:v>319700.73</x:v>
      </x:c>
      <x:c r="H111" s="93" t="n">
        <x:v>179020.31</x:v>
      </x:c>
      <x:c r="I111" s="93" t="n">
        <x:v>-2488072.38</x:v>
      </x:c>
      <x:c r="J111" s="93" t="n">
        <x:v>-75451.79</x:v>
      </x:c>
      <x:c r="K111" s="93" t="n">
        <x:v>0</x:v>
      </x:c>
      <x:c r="L111" s="93" t="n">
        <x:v>-633166.7</x:v>
      </x:c>
      <x:c r="M111" s="93" t="n">
        <x:v>-749760.24</x:v>
      </x:c>
      <x:c r="N111" s="93" t="n">
        <x:v>-3577389.82</x:v>
      </x:c>
      <x:c r="O111" s="93" t="n">
        <x:v>1495096.29</x:v>
      </x:c>
      <x:c r="P111" s="93" t="n">
        <x:v>-119668.86</x:v>
      </x:c>
      <x:c r="Q111" s="93" t="n">
        <x:v>0</x:v>
      </x:c>
      <x:c r="R111" s="94" t="n">
        <x:v>0</x:v>
      </x:c>
    </x:row>
    <x:row r="112" spans="1:18" s="226" customFormat="1" ht="12.75" customHeight="1" x14ac:dyDescent="0.25">
      <x:c r="A112" s="98" t="s">
        <x:v>79</x:v>
      </x:c>
      <x:c r="B112" s="98" t="s">
        <x:v>70</x:v>
      </x:c>
      <x:c r="E112" s="100" t="n">
        <x:v>-38113306.66</x:v>
      </x:c>
      <x:c r="F112" s="100" t="n">
        <x:v>-497730.97</x:v>
      </x:c>
      <x:c r="G112" s="100" t="n">
        <x:v>-388800.25</x:v>
      </x:c>
      <x:c r="H112" s="100" t="n">
        <x:v>-221523.24</x:v>
      </x:c>
      <x:c r="I112" s="100" t="n">
        <x:v>-11944844.83</x:v>
      </x:c>
      <x:c r="J112" s="100" t="n">
        <x:v>-376952.12</x:v>
      </x:c>
      <x:c r="K112" s="100" t="n">
        <x:v>0</x:v>
      </x:c>
      <x:c r="L112" s="100" t="n">
        <x:v>-3207778.39</x:v>
      </x:c>
      <x:c r="M112" s="100" t="n">
        <x:v>-3475213.8</x:v>
      </x:c>
      <x:c r="N112" s="100" t="n">
        <x:v>-16691728.15</x:v>
      </x:c>
      <x:c r="O112" s="100" t="n">
        <x:v>-699883.66</x:v>
      </x:c>
      <x:c r="P112" s="100" t="n">
        <x:v>-608851.25</x:v>
      </x:c>
      <x:c r="Q112" s="100" t="n">
        <x:v>0</x:v>
      </x:c>
      <x:c r="R112" s="226" t="n">
        <x:v>0</x:v>
      </x:c>
    </x:row>
    <x:row r="113" spans="1:19" ht="12.75" customHeight="1" x14ac:dyDescent="0.25">
      <x:c r="A113" s="89" t="s">
        <x:v>70</x:v>
      </x:c>
      <x:c r="E113" s="90" t="n">
        <x:v>178539092.16</x:v>
      </x:c>
      <x:c r="F113" s="90" t="n">
        <x:v>16695394.35</x:v>
      </x:c>
      <x:c r="G113" s="90" t="n">
        <x:v>9370790.27</x:v>
      </x:c>
      <x:c r="H113" s="90" t="n">
        <x:v>4453363.21</x:v>
      </x:c>
      <x:c r="I113" s="90" t="n">
        <x:v>35271236.38</x:v>
      </x:c>
      <x:c r="J113" s="90" t="n">
        <x:v>1074407.09</x:v>
      </x:c>
      <x:c r="K113" s="90" t="n">
        <x:v>0</x:v>
      </x:c>
      <x:c r="L113" s="90" t="n">
        <x:v>9985291.53</x:v>
      </x:c>
      <x:c r="M113" s="90" t="n">
        <x:v>10718089.76</x:v>
      </x:c>
      <x:c r="N113" s="90" t="n">
        <x:v>37634563.59</x:v>
      </x:c>
      <x:c r="O113" s="90" t="n">
        <x:v>52024111.62</x:v>
      </x:c>
      <x:c r="P113" s="90" t="n">
        <x:v>1311662.75</x:v>
      </x:c>
      <x:c r="Q113" s="90" t="n">
        <x:v>181.61</x:v>
      </x:c>
      <x:c r="R113" t="n">
        <x:v>0</x:v>
      </x:c>
    </x:row>
    <x:row r="114" spans="1:19" ht="12.75" customHeight="1" x14ac:dyDescent="0.25">
      <x:c r="A114" s="89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</x:row>
    <x:row r="115" spans="1:19" ht="12.75" hidden="1" customHeight="1" x14ac:dyDescent="0.25">
      <x:c r="A115" s="89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19" ht="12.75" hidden="1" customHeight="1" x14ac:dyDescent="0.25">
      <x:c r="A116" s="89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</x:row>
    <x:row r="117" spans="1:19" ht="12.75" hidden="1" customHeight="1" x14ac:dyDescent="0.25">
      <x:c r="A117" s="89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</x:row>
    <x:row r="118" spans="1:19" ht="12.75" hidden="1" customHeight="1" x14ac:dyDescent="0.25">
      <x:c r="A118" s="89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</x:row>
    <x:row r="119" spans="1:19" ht="12.75" hidden="1" customHeight="1" x14ac:dyDescent="0.25">
      <x:c r="A119" s="89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</x:row>
    <x:row r="120" spans="1:19" ht="12.75" hidden="1" customHeight="1" x14ac:dyDescent="0.25">
      <x:c r="A120" s="89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</x:row>
    <x:row r="121" spans="1:19" ht="12.75" hidden="1" customHeight="1" x14ac:dyDescent="0.25">
      <x:c r="A121" s="89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</x:row>
    <x:row r="122" spans="1:19" ht="12.75" hidden="1" customHeight="1" x14ac:dyDescent="0.25">
      <x:c r="A122" s="89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</x:row>
    <x:row r="123" spans="1:19" ht="12.75" hidden="1" customHeight="1" x14ac:dyDescent="0.25">
      <x:c r="A123" s="89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</x:row>
    <x:row r="124" spans="1:19" ht="12.75" hidden="1" customHeight="1" x14ac:dyDescent="0.25">
      <x:c r="A124" s="89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</x:row>
    <x:row r="125" spans="1:19" ht="12.75" hidden="1" customHeight="1" x14ac:dyDescent="0.25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5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5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5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5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5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5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5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5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5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5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5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5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5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5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5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5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5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customHeight="1" x14ac:dyDescent="0.25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customHeight="1" x14ac:dyDescent="0.25">
      <x:c r="B144" s="777" t="s">
        <x:v>2</x:v>
      </x:c>
      <x:c r="C144" s="775" t="s">
        <x:v>132</x:v>
      </x:c>
      <x:c r="D144" s="98" t="s">
        <x:v>70</x:v>
      </x:c>
      <x:c r="E144" s="100">
        <x:f>E94+E112-K94</x:f>
        <x:v>0</x:v>
      </x:c>
      <x:c r="F144" s="100">
        <x:f t="shared" ref="F144:R144" si="3">F94</x:f>
        <x:v>0</x:v>
      </x:c>
      <x:c r="G144" s="100">
        <x:f t="shared" si="3"/>
        <x:v>0</x:v>
      </x:c>
      <x:c r="H144" s="100">
        <x:f t="shared" si="3"/>
        <x:v>0</x:v>
      </x:c>
      <x:c r="I144" s="100">
        <x:f t="shared" si="3"/>
        <x:v>0</x:v>
      </x:c>
      <x:c r="J144" s="100">
        <x:f t="shared" si="3"/>
        <x:v>0</x:v>
      </x:c>
      <x:c r="K144" s="100">
        <x:f t="shared" si="3"/>
        <x:v>0</x:v>
      </x:c>
      <x:c r="L144" s="100">
        <x:f t="shared" si="3"/>
        <x:v>0</x:v>
      </x:c>
      <x:c r="M144" s="100">
        <x:f t="shared" si="3"/>
        <x:v>0</x:v>
      </x:c>
      <x:c r="N144" s="100">
        <x:f t="shared" si="3"/>
        <x:v>0</x:v>
      </x:c>
      <x:c r="O144" s="100">
        <x:f t="shared" si="3"/>
        <x:v>0</x:v>
      </x:c>
      <x:c r="P144" s="100">
        <x:f t="shared" si="3"/>
        <x:v>0</x:v>
      </x:c>
      <x:c r="Q144" s="100">
        <x:f t="shared" si="3"/>
        <x:v>0</x:v>
      </x:c>
      <x:c r="R144" s="100">
        <x:f t="shared" si="3"/>
        <x:v>0</x:v>
      </x:c>
    </x:row>
    <x:row r="145" spans="1:18" ht="12.75" customHeight="1" x14ac:dyDescent="0.25">
      <x:c r="B145" s="777"/>
      <x:c r="C145" s="775"/>
      <x:c r="D145" s="98" t="s">
        <x:v>73</x:v>
      </x:c>
      <x:c r="E145" s="100">
        <x:f>E112</x:f>
        <x:v>0</x:v>
      </x:c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</x:row>
    <x:row r="146" spans="1:18" ht="12.75" customHeight="1" x14ac:dyDescent="0.25">
      <x:c r="A146" s="89"/>
      <x:c r="B146" s="97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</x:row>
    <x:row r="147" spans="1:18" ht="12.75" customHeight="1" x14ac:dyDescent="0.25">
      <x:c r="B147" s="777" t="s">
        <x:v>160</x:v>
      </x:c>
      <x:c r="C147" s="775" t="s">
        <x:v>132</x:v>
      </x:c>
      <x:c r="D147" s="223" t="s">
        <x:v>70</x:v>
      </x:c>
      <x:c r="E147" s="225">
        <x:f>E104+E83+E70-K70-K83</x:f>
        <x:v>0</x:v>
      </x:c>
      <x:c r="F147" s="225">
        <x:f>F83+F70</x:f>
        <x:v>0</x:v>
      </x:c>
      <x:c r="G147" s="225">
        <x:f t="shared" ref="G147:R147" si="4">G83+G70</x:f>
        <x:v>0</x:v>
      </x:c>
      <x:c r="H147" s="225">
        <x:f t="shared" si="4"/>
        <x:v>0</x:v>
      </x:c>
      <x:c r="I147" s="225">
        <x:f t="shared" si="4"/>
        <x:v>0</x:v>
      </x:c>
      <x:c r="J147" s="225">
        <x:f t="shared" si="4"/>
        <x:v>0</x:v>
      </x:c>
      <x:c r="K147" s="225">
        <x:f t="shared" si="4"/>
        <x:v>0</x:v>
      </x:c>
      <x:c r="L147" s="225">
        <x:f t="shared" si="4"/>
        <x:v>0</x:v>
      </x:c>
      <x:c r="M147" s="225">
        <x:f t="shared" si="4"/>
        <x:v>0</x:v>
      </x:c>
      <x:c r="N147" s="225">
        <x:f t="shared" si="4"/>
        <x:v>0</x:v>
      </x:c>
      <x:c r="O147" s="225">
        <x:f t="shared" si="4"/>
        <x:v>0</x:v>
      </x:c>
      <x:c r="P147" s="225">
        <x:f t="shared" si="4"/>
        <x:v>0</x:v>
      </x:c>
      <x:c r="Q147" s="225">
        <x:f t="shared" si="4"/>
        <x:v>0</x:v>
      </x:c>
      <x:c r="R147" s="225">
        <x:f t="shared" si="4"/>
        <x:v>0</x:v>
      </x:c>
    </x:row>
    <x:row r="148" spans="1:18" ht="12.75" customHeight="1" x14ac:dyDescent="0.25">
      <x:c r="B148" s="777"/>
      <x:c r="C148" s="775"/>
      <x:c r="D148" s="223" t="s">
        <x:v>73</x:v>
      </x:c>
      <x:c r="E148" s="225">
        <x:f>E104</x:f>
        <x:v>0</x:v>
      </x:c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</x:row>
    <x:row r="149" spans="1:18" ht="12.6" customHeight="1" x14ac:dyDescent="0.25">
      <x:c r="A149" s="89"/>
      <x:c r="B149" s="97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</x:row>
    <x:row r="150" spans="1:18" ht="12.75" customHeight="1" x14ac:dyDescent="0.25">
      <x:c r="B150" s="777" t="s">
        <x:v>155</x:v>
      </x:c>
      <x:c r="C150" s="775" t="s">
        <x:v>132</x:v>
      </x:c>
      <x:c r="D150" s="221" t="s">
        <x:v>70</x:v>
      </x:c>
      <x:c r="E150" s="222">
        <x:f>E97+E74-K74</x:f>
        <x:v>0</x:v>
      </x:c>
      <x:c r="F150" s="222">
        <x:f t="shared" ref="F150:R150" si="5">F74</x:f>
        <x:v>0</x:v>
      </x:c>
      <x:c r="G150" s="222">
        <x:f t="shared" si="5"/>
        <x:v>0</x:v>
      </x:c>
      <x:c r="H150" s="222">
        <x:f t="shared" si="5"/>
        <x:v>0</x:v>
      </x:c>
      <x:c r="I150" s="222">
        <x:f t="shared" si="5"/>
        <x:v>0</x:v>
      </x:c>
      <x:c r="J150" s="222">
        <x:f t="shared" si="5"/>
        <x:v>0</x:v>
      </x:c>
      <x:c r="K150" s="222">
        <x:f t="shared" si="5"/>
        <x:v>0</x:v>
      </x:c>
      <x:c r="L150" s="222">
        <x:f t="shared" si="5"/>
        <x:v>0</x:v>
      </x:c>
      <x:c r="M150" s="222">
        <x:f t="shared" si="5"/>
        <x:v>0</x:v>
      </x:c>
      <x:c r="N150" s="222">
        <x:f t="shared" si="5"/>
        <x:v>0</x:v>
      </x:c>
      <x:c r="O150" s="222">
        <x:f t="shared" si="5"/>
        <x:v>0</x:v>
      </x:c>
      <x:c r="P150" s="222">
        <x:f t="shared" si="5"/>
        <x:v>0</x:v>
      </x:c>
      <x:c r="Q150" s="222">
        <x:f t="shared" si="5"/>
        <x:v>0</x:v>
      </x:c>
      <x:c r="R150" s="222">
        <x:f t="shared" si="5"/>
        <x:v>0</x:v>
      </x:c>
    </x:row>
    <x:row r="151" spans="1:18" ht="12.75" customHeight="1" x14ac:dyDescent="0.25">
      <x:c r="B151" s="777"/>
      <x:c r="C151" s="775"/>
      <x:c r="D151" s="221" t="s">
        <x:v>73</x:v>
      </x:c>
      <x:c r="E151" s="222">
        <x:f>E97</x:f>
        <x:v>0</x:v>
      </x:c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</x:row>
    <x:row r="152" spans="1:18" ht="12.75" customHeight="1" x14ac:dyDescent="0.25">
      <x:c r="A152" s="89"/>
      <x:c r="B152" s="97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</x:row>
    <x:row r="153" spans="1:18" ht="12.75" customHeight="1" x14ac:dyDescent="0.25">
      <x:c r="B153" s="778" t="s">
        <x:v>326</x:v>
      </x:c>
      <x:c r="C153" s="775" t="s">
        <x:v>132</x:v>
      </x:c>
      <x:c r="D153" s="373" t="s">
        <x:v>70</x:v>
      </x:c>
      <x:c r="E153" s="374">
        <x:v>0</x:v>
      </x:c>
      <x:c r="F153" s="374">
        <x:v>0</x:v>
      </x:c>
      <x:c r="G153" s="374">
        <x:v>0</x:v>
      </x:c>
      <x:c r="H153" s="374">
        <x:v>0</x:v>
      </x:c>
      <x:c r="I153" s="374">
        <x:v>0</x:v>
      </x:c>
      <x:c r="J153" s="374">
        <x:v>0</x:v>
      </x:c>
      <x:c r="K153" s="374">
        <x:v>0</x:v>
      </x:c>
      <x:c r="L153" s="374">
        <x:v>0</x:v>
      </x:c>
      <x:c r="M153" s="374">
        <x:v>0</x:v>
      </x:c>
      <x:c r="N153" s="374">
        <x:v>0</x:v>
      </x:c>
      <x:c r="O153" s="374">
        <x:v>0</x:v>
      </x:c>
      <x:c r="P153" s="374">
        <x:v>0</x:v>
      </x:c>
      <x:c r="Q153" s="374">
        <x:v>0</x:v>
      </x:c>
      <x:c r="R153" s="374">
        <x:v>0</x:v>
      </x:c>
    </x:row>
    <x:row r="154" spans="1:18" ht="12.75" customHeight="1" x14ac:dyDescent="0.25">
      <x:c r="B154" s="778"/>
      <x:c r="C154" s="775"/>
      <x:c r="D154" s="373" t="s">
        <x:v>73</x:v>
      </x:c>
      <x:c r="E154" s="374">
        <x:v>0</x:v>
      </x:c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</x:row>
    <x:row r="155" spans="1:18" ht="12.75" customHeight="1" x14ac:dyDescent="0.25">
      <x:c r="A155" s="89"/>
      <x:c r="B155" s="97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</x:row>
    <x:row r="156" spans="1:18" ht="12.75" customHeight="1" x14ac:dyDescent="0.25">
      <x:c r="B156" s="777" t="s">
        <x:v>119</x:v>
      </x:c>
      <x:c r="C156" s="775" t="s">
        <x:v>132</x:v>
      </x:c>
      <x:c r="D156" s="101" t="s">
        <x:v>70</x:v>
      </x:c>
      <x:c r="E156" s="93">
        <x:f>E93+E111-K93</x:f>
        <x:v>0</x:v>
      </x:c>
      <x:c r="F156" s="93">
        <x:f t="shared" ref="F156:R156" si="6">F93</x:f>
        <x:v>0</x:v>
      </x:c>
      <x:c r="G156" s="93">
        <x:f t="shared" si="6"/>
        <x:v>0</x:v>
      </x:c>
      <x:c r="H156" s="93">
        <x:f t="shared" si="6"/>
        <x:v>0</x:v>
      </x:c>
      <x:c r="I156" s="93">
        <x:f t="shared" si="6"/>
        <x:v>0</x:v>
      </x:c>
      <x:c r="J156" s="93">
        <x:f t="shared" si="6"/>
        <x:v>0</x:v>
      </x:c>
      <x:c r="K156" s="93">
        <x:f t="shared" si="6"/>
        <x:v>0</x:v>
      </x:c>
      <x:c r="L156" s="93">
        <x:f t="shared" si="6"/>
        <x:v>0</x:v>
      </x:c>
      <x:c r="M156" s="93">
        <x:f t="shared" si="6"/>
        <x:v>0</x:v>
      </x:c>
      <x:c r="N156" s="93">
        <x:f t="shared" si="6"/>
        <x:v>0</x:v>
      </x:c>
      <x:c r="O156" s="93">
        <x:f t="shared" si="6"/>
        <x:v>0</x:v>
      </x:c>
      <x:c r="P156" s="93">
        <x:f t="shared" si="6"/>
        <x:v>0</x:v>
      </x:c>
      <x:c r="Q156" s="93">
        <x:f t="shared" si="6"/>
        <x:v>0</x:v>
      </x:c>
      <x:c r="R156" s="93">
        <x:f t="shared" si="6"/>
        <x:v>0</x:v>
      </x:c>
    </x:row>
    <x:row r="157" spans="1:18" ht="12.75" customHeight="1" x14ac:dyDescent="0.25">
      <x:c r="B157" s="777"/>
      <x:c r="C157" s="775"/>
      <x:c r="D157" s="101" t="s">
        <x:v>73</x:v>
      </x:c>
      <x:c r="E157" s="93">
        <x:f>E111</x:f>
        <x:v>0</x:v>
      </x:c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8" ht="12.75" customHeight="1" x14ac:dyDescent="0.25">
      <x:c r="A158" s="89"/>
      <x:c r="B158" s="97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</x:row>
    <x:row r="159" spans="1:18" ht="12.75" customHeight="1" x14ac:dyDescent="0.25">
      <x:c r="B159" s="776" t="s">
        <x:v>161</x:v>
      </x:c>
      <x:c r="C159" s="775" t="s">
        <x:v>132</x:v>
      </x:c>
      <x:c r="D159" s="231" t="s">
        <x:v>70</x:v>
      </x:c>
      <x:c r="E159" s="232">
        <x:v>0</x:v>
      </x:c>
      <x:c r="F159" s="232">
        <x:v>0</x:v>
      </x:c>
      <x:c r="G159" s="232">
        <x:v>0</x:v>
      </x:c>
      <x:c r="H159" s="232">
        <x:v>0</x:v>
      </x:c>
      <x:c r="I159" s="232">
        <x:v>0</x:v>
      </x:c>
      <x:c r="J159" s="232">
        <x:v>0</x:v>
      </x:c>
      <x:c r="K159" s="232">
        <x:v>0</x:v>
      </x:c>
      <x:c r="L159" s="232">
        <x:v>0</x:v>
      </x:c>
      <x:c r="M159" s="232">
        <x:v>0</x:v>
      </x:c>
      <x:c r="N159" s="232">
        <x:v>0</x:v>
      </x:c>
      <x:c r="O159" s="232">
        <x:v>0</x:v>
      </x:c>
      <x:c r="P159" s="232">
        <x:v>0</x:v>
      </x:c>
      <x:c r="Q159" s="232">
        <x:v>0</x:v>
      </x:c>
      <x:c r="R159" s="232">
        <x:v>0</x:v>
      </x:c>
    </x:row>
    <x:row r="160" spans="1:18" ht="12.75" customHeight="1" x14ac:dyDescent="0.25">
      <x:c r="B160" s="776"/>
      <x:c r="C160" s="775"/>
      <x:c r="D160" s="231" t="s">
        <x:v>73</x:v>
      </x:c>
      <x:c r="E160" s="232">
        <x:v>0</x:v>
      </x:c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2:18" s="238" customFormat="1" x14ac:dyDescent="0.25"/>
    <x:row r="162" spans="2:18" x14ac:dyDescent="0.25">
      <x:c r="B162" s="97" t="s">
        <x:v>76</x:v>
      </x:c>
    </x:row>
    <x:row r="163" spans="2:18" ht="12.6" customHeight="1" x14ac:dyDescent="0.25">
      <x:c r="E163" s="89" t="s">
        <x:v>70</x:v>
      </x:c>
      <x:c r="F163" s="89" t="s">
        <x:v>64</x:v>
      </x:c>
      <x:c r="G163" s="89" t="s">
        <x:v>65</x:v>
      </x:c>
      <x:c r="H163" s="219" t="s">
        <x:v>164</x:v>
      </x:c>
      <x:c r="I163" s="89" t="s">
        <x:v>69</x:v>
      </x:c>
      <x:c r="J163" s="89" t="s">
        <x:v>68</x:v>
      </x:c>
      <x:c r="K163" s="89" t="s">
        <x:v>83</x:v>
      </x:c>
      <x:c r="L163" s="89" t="s">
        <x:v>66</x:v>
      </x:c>
      <x:c r="M163" s="89" t="s">
        <x:v>63</x:v>
      </x:c>
      <x:c r="N163" s="89" t="s">
        <x:v>61</x:v>
      </x:c>
      <x:c r="O163" s="89" t="s">
        <x:v>62</x:v>
      </x:c>
      <x:c r="P163" s="89" t="s">
        <x:v>67</x:v>
      </x:c>
      <x:c r="Q163" s="89" t="s">
        <x:v>84</x:v>
      </x:c>
      <x:c r="R163" s="384" t="s">
        <x:v>225</x:v>
      </x:c>
    </x:row>
    <x:row r="164" spans="2:18" ht="12.75" customHeight="1" x14ac:dyDescent="0.25">
      <x:c r="D164" s="89" t="s">
        <x:v>72</x:v>
      </x:c>
      <x:c r="E164" s="371" t="n">
        <x:v>73523.1</x:v>
      </x:c>
      <x:c r="F164" s="90" t="n">
        <x:v>9264.07</x:v>
      </x:c>
      <x:c r="G164" s="90" t="n">
        <x:v>5230.51</x:v>
      </x:c>
      <x:c r="H164" s="90" t="n">
        <x:v>2745.35</x:v>
      </x:c>
      <x:c r="I164" s="90" t="n">
        <x:v>13953.55</x:v>
      </x:c>
      <x:c r="J164" s="90" t="n">
        <x:v>241.72</x:v>
      </x:c>
      <x:c r="K164" s="90" t="n">
        <x:v>0</x:v>
      </x:c>
      <x:c r="L164" s="90" t="n">
        <x:v>2120.39</x:v>
      </x:c>
      <x:c r="M164" s="90" t="n">
        <x:v>3083.67</x:v>
      </x:c>
      <x:c r="N164" s="90" t="n">
        <x:v>14598.9</x:v>
      </x:c>
      <x:c r="O164" s="90" t="n">
        <x:v>21890.54</x:v>
      </x:c>
      <x:c r="P164" s="90" t="n">
        <x:v>394.4</x:v>
      </x:c>
      <x:c r="Q164" s="90" t="n">
        <x:v>0</x:v>
      </x:c>
      <x:c r="R164" t="n">
        <x:v>0</x:v>
      </x:c>
    </x:row>
    <x:row r="165" spans="2:18" ht="12.75" customHeight="1" x14ac:dyDescent="0.25">
      <x:c r="D165" t="s">
        <x:v>81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</x:row>
    <x:row r="166" spans="2:18" ht="12.75" customHeight="1" x14ac:dyDescent="0.25">
      <x:c r="C166" t="s">
        <x:v>332</x:v>
      </x:c>
      <x:c r="D166" s="89" t="s">
        <x:v>70</x:v>
      </x:c>
      <x:c r="E166" s="371" t="n">
        <x:v>73523.1</x:v>
      </x:c>
      <x:c r="F166" s="90" t="n">
        <x:v>9264.07</x:v>
      </x:c>
      <x:c r="G166" s="90" t="n">
        <x:v>5230.51</x:v>
      </x:c>
      <x:c r="H166" s="90" t="n">
        <x:v>2745.35</x:v>
      </x:c>
      <x:c r="I166" s="90" t="n">
        <x:v>13953.55</x:v>
      </x:c>
      <x:c r="J166" s="90" t="n">
        <x:v>241.72</x:v>
      </x:c>
      <x:c r="K166" s="90" t="n">
        <x:v>0</x:v>
      </x:c>
      <x:c r="L166" s="90" t="n">
        <x:v>2120.39</x:v>
      </x:c>
      <x:c r="M166" s="90" t="n">
        <x:v>3083.67</x:v>
      </x:c>
      <x:c r="N166" s="90" t="n">
        <x:v>14598.9</x:v>
      </x:c>
      <x:c r="O166" s="90" t="n">
        <x:v>21890.54</x:v>
      </x:c>
      <x:c r="P166" s="90" t="n">
        <x:v>394.4</x:v>
      </x:c>
      <x:c r="Q166" s="90" t="n">
        <x:v>0</x:v>
      </x:c>
      <x:c r="R166" t="n">
        <x:v>0</x:v>
      </x:c>
    </x:row>
    <x:row r="167" spans="2:18" s="739" customFormat="1" ht="12.75" customHeight="1" x14ac:dyDescent="0.25">
      <x:c r="B167" s="739" t="s">
        <x:v>85</x:v>
      </x:c>
      <x:c r="C167" s="739" t="s">
        <x:v>70</x:v>
      </x:c>
      <x:c r="D167" s="231"/>
      <x:c r="E167" s="740" t="n">
        <x:v>73523.1</x:v>
      </x:c>
      <x:c r="F167" s="232" t="n">
        <x:v>9264.07</x:v>
      </x:c>
      <x:c r="G167" s="232" t="n">
        <x:v>5230.51</x:v>
      </x:c>
      <x:c r="H167" s="232" t="n">
        <x:v>2745.35</x:v>
      </x:c>
      <x:c r="I167" s="232" t="n">
        <x:v>13953.55</x:v>
      </x:c>
      <x:c r="J167" s="232" t="n">
        <x:v>241.72</x:v>
      </x:c>
      <x:c r="K167" s="232" t="n">
        <x:v>0</x:v>
      </x:c>
      <x:c r="L167" s="232" t="n">
        <x:v>2120.39</x:v>
      </x:c>
      <x:c r="M167" s="232" t="n">
        <x:v>3083.67</x:v>
      </x:c>
      <x:c r="N167" s="232" t="n">
        <x:v>14598.9</x:v>
      </x:c>
      <x:c r="O167" s="232" t="n">
        <x:v>21890.54</x:v>
      </x:c>
      <x:c r="P167" s="232" t="n">
        <x:v>394.4</x:v>
      </x:c>
      <x:c r="Q167" s="232" t="n">
        <x:v>0</x:v>
      </x:c>
      <x:c r="R167" s="739" t="n">
        <x:v>0</x:v>
      </x:c>
    </x:row>
    <x:row r="168" spans="2:18" ht="12.6" customHeight="1" x14ac:dyDescent="0.25">
      <x:c r="D168" t="s">
        <x:v>72</x:v>
      </x:c>
      <x:c r="E168" t="n">
        <x:v>10207291.73</x:v>
      </x:c>
      <x:c r="F168" t="n">
        <x:v>691727.66</x:v>
      </x:c>
      <x:c r="G168" t="n">
        <x:v>397192.92</x:v>
      </x:c>
      <x:c r="H168" t="n">
        <x:v>197980.04</x:v>
      </x:c>
      <x:c r="I168" t="n">
        <x:v>2063996.04</x:v>
      </x:c>
      <x:c r="J168" t="n">
        <x:v>75420.05</x:v>
      </x:c>
      <x:c r="K168" t="n">
        <x:v>22742.37</x:v>
      </x:c>
      <x:c r="L168" t="n">
        <x:v>669158.8</x:v>
      </x:c>
      <x:c r="M168" t="n">
        <x:v>682630.8</x:v>
      </x:c>
      <x:c r="N168" t="n">
        <x:v>3576274.42</x:v>
      </x:c>
      <x:c r="O168" t="n">
        <x:v>1725169.95</x:v>
      </x:c>
      <x:c r="P168" t="n">
        <x:v>104984.24</x:v>
      </x:c>
      <x:c r="Q168" t="n">
        <x:v>14.44</x:v>
      </x:c>
      <x:c r="R168" t="n">
        <x:v>0</x:v>
      </x:c>
    </x:row>
    <x:row r="169" spans="2:18" ht="12.75" customHeight="1" x14ac:dyDescent="0.25">
      <x:c r="D169" t="s">
        <x:v>81</x:v>
      </x:c>
      <x:c r="E169" t="n">
        <x:v>10777.75</x:v>
      </x:c>
      <x:c r="F169" t="n">
        <x:v>739.4</x:v>
      </x:c>
      <x:c r="G169" t="n">
        <x:v>426.95</x:v>
      </x:c>
      <x:c r="H169" t="n">
        <x:v>220.46</x:v>
      </x:c>
      <x:c r="I169" t="n">
        <x:v>2409.24</x:v>
      </x:c>
      <x:c r="J169" t="n">
        <x:v>88.57</x:v>
      </x:c>
      <x:c r="K169" t="n">
        <x:v>0</x:v>
      </x:c>
      <x:c r="L169" t="n">
        <x:v>743.28</x:v>
      </x:c>
      <x:c r="M169" t="n">
        <x:v>730.41</x:v>
      </x:c>
      <x:c r="N169" t="n">
        <x:v>3555.68</x:v>
      </x:c>
      <x:c r="O169" t="n">
        <x:v>1718.33</x:v>
      </x:c>
      <x:c r="P169" t="n">
        <x:v>145.3</x:v>
      </x:c>
      <x:c r="Q169" t="n">
        <x:v>0.13</x:v>
      </x:c>
      <x:c r="R169" t="n">
        <x:v>0</x:v>
      </x:c>
    </x:row>
    <x:row r="170" spans="2:18" ht="12.75" customHeight="1" x14ac:dyDescent="0.25">
      <x:c r="C170" t="s">
        <x:v>156</x:v>
      </x:c>
      <x:c r="D170" s="89" t="s">
        <x:v>70</x:v>
      </x:c>
      <x:c r="E170" s="371" t="n">
        <x:v>10218069.48</x:v>
      </x:c>
      <x:c r="F170" s="90" t="n">
        <x:v>692467.06</x:v>
      </x:c>
      <x:c r="G170" s="90" t="n">
        <x:v>397619.87</x:v>
      </x:c>
      <x:c r="H170" s="90" t="n">
        <x:v>198200.5</x:v>
      </x:c>
      <x:c r="I170" s="90" t="n">
        <x:v>2066405.28</x:v>
      </x:c>
      <x:c r="J170" s="90" t="n">
        <x:v>75508.62</x:v>
      </x:c>
      <x:c r="K170" s="90" t="n">
        <x:v>22742.37</x:v>
      </x:c>
      <x:c r="L170" s="90" t="n">
        <x:v>669902.08</x:v>
      </x:c>
      <x:c r="M170" s="90" t="n">
        <x:v>683361.21</x:v>
      </x:c>
      <x:c r="N170" s="90" t="n">
        <x:v>3579830.1</x:v>
      </x:c>
      <x:c r="O170" s="90" t="n">
        <x:v>1726888.28</x:v>
      </x:c>
      <x:c r="P170" s="90" t="n">
        <x:v>105129.54</x:v>
      </x:c>
      <x:c r="Q170" s="90" t="n">
        <x:v>14.57</x:v>
      </x:c>
      <x:c r="R170" t="n">
        <x:v>0</x:v>
      </x:c>
    </x:row>
    <x:row r="171" spans="2:18" s="656" customFormat="1" ht="12.75" customHeight="1" x14ac:dyDescent="0.25">
      <x:c r="B171" s="656" t="s">
        <x:v>155</x:v>
      </x:c>
      <x:c r="C171" s="656" t="s">
        <x:v>70</x:v>
      </x:c>
      <x:c r="E171" s="741" t="n">
        <x:v>10218069.48</x:v>
      </x:c>
      <x:c r="F171" s="656" t="n">
        <x:v>692467.06</x:v>
      </x:c>
      <x:c r="G171" s="656" t="n">
        <x:v>397619.87</x:v>
      </x:c>
      <x:c r="H171" s="656" t="n">
        <x:v>198200.5</x:v>
      </x:c>
      <x:c r="I171" s="656" t="n">
        <x:v>2066405.28</x:v>
      </x:c>
      <x:c r="J171" s="656" t="n">
        <x:v>75508.62</x:v>
      </x:c>
      <x:c r="K171" s="656" t="n">
        <x:v>22742.37</x:v>
      </x:c>
      <x:c r="L171" s="656" t="n">
        <x:v>669902.08</x:v>
      </x:c>
      <x:c r="M171" s="656" t="n">
        <x:v>683361.21</x:v>
      </x:c>
      <x:c r="N171" s="656" t="n">
        <x:v>3579830.1</x:v>
      </x:c>
      <x:c r="O171" s="656" t="n">
        <x:v>1726888.28</x:v>
      </x:c>
      <x:c r="P171" s="656" t="n">
        <x:v>105129.54</x:v>
      </x:c>
      <x:c r="Q171" s="656" t="n">
        <x:v>14.57</x:v>
      </x:c>
      <x:c r="R171" s="656" t="n">
        <x:v>0</x:v>
      </x:c>
    </x:row>
    <x:row r="172" spans="2:18" ht="12.75" customHeight="1" x14ac:dyDescent="0.25">
      <x:c r="D172" t="s">
        <x:v>72</x:v>
      </x:c>
      <x:c r="E172" s="142" t="n">
        <x:v>1272712.91</x:v>
      </x:c>
      <x:c r="F172" t="n">
        <x:v>67036.89</x:v>
      </x:c>
      <x:c r="G172" t="n">
        <x:v>39501.06</x:v>
      </x:c>
      <x:c r="H172" t="n">
        <x:v>23477.74</x:v>
      </x:c>
      <x:c r="I172" t="n">
        <x:v>289895.21</x:v>
      </x:c>
      <x:c r="J172" t="n">
        <x:v>8195.05</x:v>
      </x:c>
      <x:c r="K172" t="n">
        <x:v>0</x:v>
      </x:c>
      <x:c r="L172" t="n">
        <x:v>74764.14</x:v>
      </x:c>
      <x:c r="M172" t="n">
        <x:v>110184.35</x:v>
      </x:c>
      <x:c r="N172" t="n">
        <x:v>481645.44</x:v>
      </x:c>
      <x:c r="O172" t="n">
        <x:v>163596.31</x:v>
      </x:c>
      <x:c r="P172" t="n">
        <x:v>14405.04</x:v>
      </x:c>
      <x:c r="Q172" t="n">
        <x:v>11.68</x:v>
      </x:c>
      <x:c r="R172" t="n">
        <x:v>0</x:v>
      </x:c>
    </x:row>
    <x:row r="173" spans="2:18" ht="12.75" customHeight="1" x14ac:dyDescent="0.25">
      <x:c r="D173" t="s">
        <x:v>81</x:v>
      </x:c>
      <x:c r="E173" s="142" t="n">
        <x:v>12.81</x:v>
      </x:c>
      <x:c r="F173" t="n">
        <x:v>0.52</x:v>
      </x:c>
      <x:c r="G173" t="n">
        <x:v>0.29</x:v>
      </x:c>
      <x:c r="H173" t="n">
        <x:v>0.15</x:v>
      </x:c>
      <x:c r="I173" t="n">
        <x:v>3.5</x:v>
      </x:c>
      <x:c r="J173" t="n">
        <x:v>0.08</x:v>
      </x:c>
      <x:c r="K173" t="n">
        <x:v>0</x:v>
      </x:c>
      <x:c r="L173" t="n">
        <x:v>0.73</x:v>
      </x:c>
      <x:c r="M173" t="n">
        <x:v>1.08</x:v>
      </x:c>
      <x:c r="N173" t="n">
        <x:v>5.11</x:v>
      </x:c>
      <x:c r="O173" t="n">
        <x:v>1.21</x:v>
      </x:c>
      <x:c r="P173" t="n">
        <x:v>0.14</x:v>
      </x:c>
      <x:c r="Q173" t="n">
        <x:v>0</x:v>
      </x:c>
      <x:c r="R173" t="n">
        <x:v>0</x:v>
      </x:c>
    </x:row>
    <x:row r="174" spans="2:18" ht="12.75" customHeight="1" x14ac:dyDescent="0.25">
      <x:c r="C174" t="s">
        <x:v>82</x:v>
      </x:c>
      <x:c r="D174" t="s">
        <x:v>70</x:v>
      </x:c>
      <x:c r="E174" s="142" t="n">
        <x:v>1272725.72</x:v>
      </x:c>
      <x:c r="F174" t="n">
        <x:v>67037.41</x:v>
      </x:c>
      <x:c r="G174" t="n">
        <x:v>39501.35</x:v>
      </x:c>
      <x:c r="H174" t="n">
        <x:v>23477.89</x:v>
      </x:c>
      <x:c r="I174" t="n">
        <x:v>289898.71</x:v>
      </x:c>
      <x:c r="J174" t="n">
        <x:v>8195.13</x:v>
      </x:c>
      <x:c r="K174" t="n">
        <x:v>0</x:v>
      </x:c>
      <x:c r="L174" t="n">
        <x:v>74764.87</x:v>
      </x:c>
      <x:c r="M174" t="n">
        <x:v>110185.43</x:v>
      </x:c>
      <x:c r="N174" t="n">
        <x:v>481650.55</x:v>
      </x:c>
      <x:c r="O174" t="n">
        <x:v>163597.52</x:v>
      </x:c>
      <x:c r="P174" t="n">
        <x:v>14405.18</x:v>
      </x:c>
      <x:c r="Q174" t="n">
        <x:v>11.68</x:v>
      </x:c>
      <x:c r="R174" t="n">
        <x:v>0</x:v>
      </x:c>
    </x:row>
    <x:row r="175" spans="2:18" ht="12.75" customHeight="1" x14ac:dyDescent="0.25">
      <x:c r="D175" t="s">
        <x:v>72</x:v>
      </x:c>
      <x:c r="E175" s="142" t="n">
        <x:v>983440.41</x:v>
      </x:c>
      <x:c r="F175" t="n">
        <x:v>68653.41</x:v>
      </x:c>
      <x:c r="G175" t="n">
        <x:v>38553.57</x:v>
      </x:c>
      <x:c r="H175" t="n">
        <x:v>20740.34</x:v>
      </x:c>
      <x:c r="I175" t="n">
        <x:v>220594.68</x:v>
      </x:c>
      <x:c r="J175" t="n">
        <x:v>4977.48</x:v>
      </x:c>
      <x:c r="K175" t="n">
        <x:v>0</x:v>
      </x:c>
      <x:c r="L175" t="n">
        <x:v>53236.89</x:v>
      </x:c>
      <x:c r="M175" t="n">
        <x:v>65079.83</x:v>
      </x:c>
      <x:c r="N175" t="n">
        <x:v>340285.14</x:v>
      </x:c>
      <x:c r="O175" t="n">
        <x:v>162040.31</x:v>
      </x:c>
      <x:c r="P175" t="n">
        <x:v>9295.93</x:v>
      </x:c>
      <x:c r="Q175" t="n">
        <x:v>-17.17</x:v>
      </x:c>
      <x:c r="R175" t="n">
        <x:v>0</x:v>
      </x:c>
    </x:row>
    <x:row r="176" spans="2:18" ht="12.75" customHeight="1" x14ac:dyDescent="0.25">
      <x:c r="D176" t="s">
        <x:v>81</x:v>
      </x:c>
      <x:c r="E176" s="142" t="n">
        <x:v>593.62</x:v>
      </x:c>
      <x:c r="F176" t="n">
        <x:v>4.2</x:v>
      </x:c>
      <x:c r="G176" t="n">
        <x:v>2.37</x:v>
      </x:c>
      <x:c r="H176" t="n">
        <x:v>1.25</x:v>
      </x:c>
      <x:c r="I176" t="n">
        <x:v>0</x:v>
      </x:c>
      <x:c r="J176" t="n">
        <x:v>9.54</x:v>
      </x:c>
      <x:c r="K176" t="n">
        <x:v>0</x:v>
      </x:c>
      <x:c r="L176" t="n">
        <x:v>83.75</x:v>
      </x:c>
      <x:c r="M176" t="n">
        <x:v>82.2</x:v>
      </x:c>
      <x:c r="N176" t="n">
        <x:v>385.01</x:v>
      </x:c>
      <x:c r="O176" t="n">
        <x:v>9.75</x:v>
      </x:c>
      <x:c r="P176" t="n">
        <x:v>15.58</x:v>
      </x:c>
      <x:c r="Q176" t="n">
        <x:v>-0.03</x:v>
      </x:c>
      <x:c r="R176" t="n">
        <x:v>0</x:v>
      </x:c>
    </x:row>
    <x:row r="177" spans="1:18" ht="12.75" customHeight="1" x14ac:dyDescent="0.25">
      <x:c r="C177" t="s">
        <x:v>86</x:v>
      </x:c>
      <x:c r="D177" t="s">
        <x:v>70</x:v>
      </x:c>
      <x:c r="E177" s="142" t="n">
        <x:v>984034.03</x:v>
      </x:c>
      <x:c r="F177" t="n">
        <x:v>68657.61</x:v>
      </x:c>
      <x:c r="G177" t="n">
        <x:v>38555.94</x:v>
      </x:c>
      <x:c r="H177" t="n">
        <x:v>20741.59</x:v>
      </x:c>
      <x:c r="I177" t="n">
        <x:v>220594.68</x:v>
      </x:c>
      <x:c r="J177" t="n">
        <x:v>4987.02</x:v>
      </x:c>
      <x:c r="K177" t="n">
        <x:v>0</x:v>
      </x:c>
      <x:c r="L177" t="n">
        <x:v>53320.64</x:v>
      </x:c>
      <x:c r="M177" t="n">
        <x:v>65162.03</x:v>
      </x:c>
      <x:c r="N177" t="n">
        <x:v>340670.15</x:v>
      </x:c>
      <x:c r="O177" t="n">
        <x:v>162050.06</x:v>
      </x:c>
      <x:c r="P177" t="n">
        <x:v>9311.51</x:v>
      </x:c>
      <x:c r="Q177" t="n">
        <x:v>-17.2</x:v>
      </x:c>
      <x:c r="R177" t="n">
        <x:v>0</x:v>
      </x:c>
    </x:row>
    <x:row r="178" spans="1:18" ht="12.75" customHeight="1" x14ac:dyDescent="0.25">
      <x:c r="D178" t="s">
        <x:v>72</x:v>
      </x:c>
      <x:c r="E178" s="142" t="n">
        <x:v>10889834.8</x:v>
      </x:c>
      <x:c r="F178" t="n">
        <x:v>1776974.67</x:v>
      </x:c>
      <x:c r="G178" t="n">
        <x:v>603192.45</x:v>
      </x:c>
      <x:c r="H178" t="n">
        <x:v>505061.73</x:v>
      </x:c>
      <x:c r="I178" t="n">
        <x:v>1046769.67</x:v>
      </x:c>
      <x:c r="J178" t="n">
        <x:v>28744.59</x:v>
      </x:c>
      <x:c r="K178" t="n">
        <x:v>0</x:v>
      </x:c>
      <x:c r="L178" t="n">
        <x:v>266799.07</x:v>
      </x:c>
      <x:c r="M178" t="n">
        <x:v>384022.27</x:v>
      </x:c>
      <x:c r="N178" t="n">
        <x:v>1863093.08</x:v>
      </x:c>
      <x:c r="O178" t="n">
        <x:v>4364983.13</x:v>
      </x:c>
      <x:c r="P178" t="n">
        <x:v>50156.58</x:v>
      </x:c>
      <x:c r="Q178" t="n">
        <x:v>37.56</x:v>
      </x:c>
      <x:c r="R178" t="n">
        <x:v>0</x:v>
      </x:c>
    </x:row>
    <x:row r="179" spans="1:18" ht="12.75" customHeight="1" x14ac:dyDescent="0.25">
      <x:c r="D179" t="s">
        <x:v>81</x:v>
      </x:c>
      <x:c r="E179" s="142" t="n">
        <x:v>269071.07</x:v>
      </x:c>
      <x:c r="F179" t="n">
        <x:v>55015.17</x:v>
      </x:c>
      <x:c r="G179" t="n">
        <x:v>31018.76</x:v>
      </x:c>
      <x:c r="H179" t="n">
        <x:v>16363.81</x:v>
      </x:c>
      <x:c r="I179" t="n">
        <x:v>12244.44</x:v>
      </x:c>
      <x:c r="J179" t="n">
        <x:v>300.42</x:v>
      </x:c>
      <x:c r="K179" t="n">
        <x:v>0</x:v>
      </x:c>
      <x:c r="L179" t="n">
        <x:v>2679.67</x:v>
      </x:c>
      <x:c r="M179" t="n">
        <x:v>3831.33</x:v>
      </x:c>
      <x:c r="N179" t="n">
        <x:v>17411.71</x:v>
      </x:c>
      <x:c r="O179" t="n">
        <x:v>129718.24</x:v>
      </x:c>
      <x:c r="P179" t="n">
        <x:v>487.91</x:v>
      </x:c>
      <x:c r="Q179" t="n">
        <x:v>-0.39</x:v>
      </x:c>
      <x:c r="R179" t="n">
        <x:v>0</x:v>
      </x:c>
    </x:row>
    <x:row r="180" spans="1:18" ht="12.75" customHeight="1" x14ac:dyDescent="0.25">
      <x:c r="A180" s="89"/>
      <x:c r="B180" s="89"/>
      <x:c r="C180" t="s">
        <x:v>87</x:v>
      </x:c>
      <x:c r="D180" t="s">
        <x:v>70</x:v>
      </x:c>
      <x:c r="E180" s="90" t="n">
        <x:v>11158905.87</x:v>
      </x:c>
      <x:c r="F180" s="90" t="n">
        <x:v>1831989.84</x:v>
      </x:c>
      <x:c r="G180" s="90" t="n">
        <x:v>634211.21</x:v>
      </x:c>
      <x:c r="H180" s="90" t="n">
        <x:v>521425.54</x:v>
      </x:c>
      <x:c r="I180" s="90" t="n">
        <x:v>1059014.11</x:v>
      </x:c>
      <x:c r="J180" s="90" t="n">
        <x:v>29045.01</x:v>
      </x:c>
      <x:c r="K180" s="90" t="n">
        <x:v>0</x:v>
      </x:c>
      <x:c r="L180" s="90" t="n">
        <x:v>269478.74</x:v>
      </x:c>
      <x:c r="M180" s="90" t="n">
        <x:v>387853.6</x:v>
      </x:c>
      <x:c r="N180" s="90" t="n">
        <x:v>1880504.79</x:v>
      </x:c>
      <x:c r="O180" s="90" t="n">
        <x:v>4494701.37</x:v>
      </x:c>
      <x:c r="P180" s="90" t="n">
        <x:v>50644.49</x:v>
      </x:c>
      <x:c r="Q180" s="90" t="n">
        <x:v>37.17</x:v>
      </x:c>
      <x:c r="R180" t="n">
        <x:v>0</x:v>
      </x:c>
    </x:row>
    <x:row r="181" spans="1:18" s="94" customFormat="1" ht="12.75" customHeight="1" x14ac:dyDescent="0.25">
      <x:c r="A181" s="101"/>
      <x:c r="B181" s="101" t="s">
        <x:v>119</x:v>
      </x:c>
      <x:c r="C181" s="94" t="s">
        <x:v>70</x:v>
      </x:c>
      <x:c r="E181" s="93" t="n">
        <x:v>13415665.62</x:v>
      </x:c>
      <x:c r="F181" s="93" t="n">
        <x:v>1967684.86</x:v>
      </x:c>
      <x:c r="G181" s="93" t="n">
        <x:v>712268.5</x:v>
      </x:c>
      <x:c r="H181" s="93" t="n">
        <x:v>565645.02</x:v>
      </x:c>
      <x:c r="I181" s="93" t="n">
        <x:v>1569507.5</x:v>
      </x:c>
      <x:c r="J181" s="93" t="n">
        <x:v>42227.16</x:v>
      </x:c>
      <x:c r="K181" s="93" t="n">
        <x:v>0</x:v>
      </x:c>
      <x:c r="L181" s="93" t="n">
        <x:v>397564.25</x:v>
      </x:c>
      <x:c r="M181" s="93" t="n">
        <x:v>563201.06</x:v>
      </x:c>
      <x:c r="N181" s="93" t="n">
        <x:v>2702825.49</x:v>
      </x:c>
      <x:c r="O181" s="93" t="n">
        <x:v>4820348.95</x:v>
      </x:c>
      <x:c r="P181" s="93" t="n">
        <x:v>74361.18</x:v>
      </x:c>
      <x:c r="Q181" s="93" t="n">
        <x:v>31.65</x:v>
      </x:c>
      <x:c r="R181" s="94" t="n">
        <x:v>0</x:v>
      </x:c>
    </x:row>
    <x:row r="182" spans="1:18" s="226" customFormat="1" ht="12.75" customHeight="1" x14ac:dyDescent="0.25">
      <x:c r="A182" s="226" t="s">
        <x:v>78</x:v>
      </x:c>
      <x:c r="B182" s="226" t="s">
        <x:v>70</x:v>
      </x:c>
      <x:c r="D182" s="98"/>
      <x:c r="E182" s="100" t="n">
        <x:v>23707258.2</x:v>
      </x:c>
      <x:c r="F182" s="100" t="n">
        <x:v>2669415.99</x:v>
      </x:c>
      <x:c r="G182" s="100" t="n">
        <x:v>1115118.88</x:v>
      </x:c>
      <x:c r="H182" s="100" t="n">
        <x:v>766590.87</x:v>
      </x:c>
      <x:c r="I182" s="100" t="n">
        <x:v>3649866.33</x:v>
      </x:c>
      <x:c r="J182" s="100" t="n">
        <x:v>117977.5</x:v>
      </x:c>
      <x:c r="K182" s="100" t="n">
        <x:v>22742.37</x:v>
      </x:c>
      <x:c r="L182" s="100" t="n">
        <x:v>1069586.72</x:v>
      </x:c>
      <x:c r="M182" s="100" t="n">
        <x:v>1249645.94</x:v>
      </x:c>
      <x:c r="N182" s="100" t="n">
        <x:v>6297254.49</x:v>
      </x:c>
      <x:c r="O182" s="100" t="n">
        <x:v>6569127.77</x:v>
      </x:c>
      <x:c r="P182" s="100" t="n">
        <x:v>179885.12</x:v>
      </x:c>
      <x:c r="Q182" s="100" t="n">
        <x:v>46.22</x:v>
      </x:c>
      <x:c r="R182" s="226" t="n">
        <x:v>0</x:v>
      </x:c>
    </x:row>
    <x:row r="183" spans="1:18" ht="12.75" customHeight="1" x14ac:dyDescent="0.25">
      <x:c r="C183" s="89"/>
      <x:c r="D183" s="89" t="s">
        <x:v>73</x:v>
      </x:c>
      <x:c r="E183" s="371" t="n">
        <x:v>-235930.54</x:v>
      </x:c>
      <x:c r="F183" s="90" t="n">
        <x:v>179509.93</x:v>
      </x:c>
      <x:c r="G183" s="90" t="n">
        <x:v>97518.46</x:v>
      </x:c>
      <x:c r="H183" s="90" t="n">
        <x:v>31515.45</x:v>
      </x:c>
      <x:c r="I183" s="90" t="n">
        <x:v>-494732.77</x:v>
      </x:c>
      <x:c r="J183" s="90" t="n">
        <x:v>-10768.31</x:v>
      </x:c>
      <x:c r="K183" s="90" t="n">
        <x:v>0</x:v>
      </x:c>
      <x:c r="L183" s="90" t="n">
        <x:v>-79292.72</x:v>
      </x:c>
      <x:c r="M183" s="90" t="n">
        <x:v>-76908.97</x:v>
      </x:c>
      <x:c r="N183" s="90" t="n">
        <x:v>-361796.09</x:v>
      </x:c>
      <x:c r="O183" s="90" t="n">
        <x:v>496533.67</x:v>
      </x:c>
      <x:c r="P183" s="90" t="n">
        <x:v>-17509.19</x:v>
      </x:c>
      <x:c r="Q183" s="90" t="n">
        <x:v>0</x:v>
      </x:c>
      <x:c r="R183" t="n">
        <x:v>0</x:v>
      </x:c>
    </x:row>
    <x:row r="184" spans="1:18" ht="12.75" customHeight="1" x14ac:dyDescent="0.25">
      <x:c r="C184" s="89" t="s">
        <x:v>156</x:v>
      </x:c>
      <x:c r="D184" s="89" t="s">
        <x:v>70</x:v>
      </x:c>
      <x:c r="E184" s="371" t="n">
        <x:v>-235930.54</x:v>
      </x:c>
      <x:c r="F184" s="90" t="n">
        <x:v>179509.93</x:v>
      </x:c>
      <x:c r="G184" s="90" t="n">
        <x:v>97518.46</x:v>
      </x:c>
      <x:c r="H184" s="90" t="n">
        <x:v>31515.45</x:v>
      </x:c>
      <x:c r="I184" s="90" t="n">
        <x:v>-494732.77</x:v>
      </x:c>
      <x:c r="J184" s="90" t="n">
        <x:v>-10768.31</x:v>
      </x:c>
      <x:c r="K184" s="90" t="n">
        <x:v>0</x:v>
      </x:c>
      <x:c r="L184" s="90" t="n">
        <x:v>-79292.72</x:v>
      </x:c>
      <x:c r="M184" s="90" t="n">
        <x:v>-76908.97</x:v>
      </x:c>
      <x:c r="N184" s="90" t="n">
        <x:v>-361796.09</x:v>
      </x:c>
      <x:c r="O184" s="90" t="n">
        <x:v>496533.67</x:v>
      </x:c>
      <x:c r="P184" s="90" t="n">
        <x:v>-17509.19</x:v>
      </x:c>
      <x:c r="Q184" s="90" t="n">
        <x:v>0</x:v>
      </x:c>
      <x:c r="R184" t="n">
        <x:v>0</x:v>
      </x:c>
    </x:row>
    <x:row r="185" spans="1:18" s="237" customFormat="1" ht="12.75" customHeight="1" x14ac:dyDescent="0.25">
      <x:c r="B185" s="237" t="s">
        <x:v>155</x:v>
      </x:c>
      <x:c r="C185" s="221" t="s">
        <x:v>70</x:v>
      </x:c>
      <x:c r="D185" s="221"/>
      <x:c r="E185" s="566" t="n">
        <x:v>-235930.54</x:v>
      </x:c>
      <x:c r="F185" s="222" t="n">
        <x:v>179509.93</x:v>
      </x:c>
      <x:c r="G185" s="222" t="n">
        <x:v>97518.46</x:v>
      </x:c>
      <x:c r="H185" s="222" t="n">
        <x:v>31515.45</x:v>
      </x:c>
      <x:c r="I185" s="222" t="n">
        <x:v>-494732.77</x:v>
      </x:c>
      <x:c r="J185" s="222" t="n">
        <x:v>-10768.31</x:v>
      </x:c>
      <x:c r="K185" s="222" t="n">
        <x:v>0</x:v>
      </x:c>
      <x:c r="L185" s="222" t="n">
        <x:v>-79292.72</x:v>
      </x:c>
      <x:c r="M185" s="222" t="n">
        <x:v>-76908.97</x:v>
      </x:c>
      <x:c r="N185" s="222" t="n">
        <x:v>-361796.09</x:v>
      </x:c>
      <x:c r="O185" s="222" t="n">
        <x:v>496533.67</x:v>
      </x:c>
      <x:c r="P185" s="222" t="n">
        <x:v>-17509.19</x:v>
      </x:c>
      <x:c r="Q185" s="222" t="n">
        <x:v>0</x:v>
      </x:c>
      <x:c r="R185" s="237" t="n">
        <x:v>0</x:v>
      </x:c>
    </x:row>
    <x:row r="186" spans="1:18" ht="12.75" customHeight="1" x14ac:dyDescent="0.25">
      <x:c r="C186" s="89"/>
      <x:c r="D186" s="89" t="s">
        <x:v>73</x:v>
      </x:c>
      <x:c r="E186" s="371" t="n">
        <x:v>64033.1</x:v>
      </x:c>
      <x:c r="F186" s="90" t="n">
        <x:v>7214.71</x:v>
      </x:c>
      <x:c r="G186" s="90" t="n">
        <x:v>4104.6</x:v>
      </x:c>
      <x:c r="H186" s="90" t="n">
        <x:v>2011.77</x:v>
      </x:c>
      <x:c r="I186" s="90" t="n">
        <x:v>10666.45</x:v>
      </x:c>
      <x:c r="J186" s="90" t="n">
        <x:v>222.72</x:v>
      </x:c>
      <x:c r="K186" s="90" t="n">
        <x:v>0</x:v>
      </x:c>
      <x:c r="L186" s="90" t="n">
        <x:v>1953.71</x:v>
      </x:c>
      <x:c r="M186" s="90" t="n">
        <x:v>3521.83</x:v>
      </x:c>
      <x:c r="N186" s="90" t="n">
        <x:v>16901.91</x:v>
      </x:c>
      <x:c r="O186" s="90" t="n">
        <x:v>17071.92</x:v>
      </x:c>
      <x:c r="P186" s="90" t="n">
        <x:v>363.48</x:v>
      </x:c>
      <x:c r="Q186" s="90" t="n">
        <x:v>0</x:v>
      </x:c>
      <x:c r="R186" t="n">
        <x:v>0</x:v>
      </x:c>
    </x:row>
    <x:row r="187" spans="1:18" ht="12.75" customHeight="1" x14ac:dyDescent="0.25">
      <x:c r="C187" t="s">
        <x:v>82</x:v>
      </x:c>
      <x:c r="D187" t="s">
        <x:v>70</x:v>
      </x:c>
      <x:c r="E187" t="n">
        <x:v>64033.1</x:v>
      </x:c>
      <x:c r="F187" t="n">
        <x:v>7214.71</x:v>
      </x:c>
      <x:c r="G187" t="n">
        <x:v>4104.6</x:v>
      </x:c>
      <x:c r="H187" t="n">
        <x:v>2011.77</x:v>
      </x:c>
      <x:c r="I187" t="n">
        <x:v>10666.45</x:v>
      </x:c>
      <x:c r="J187" t="n">
        <x:v>222.72</x:v>
      </x:c>
      <x:c r="K187" t="n">
        <x:v>0</x:v>
      </x:c>
      <x:c r="L187" t="n">
        <x:v>1953.71</x:v>
      </x:c>
      <x:c r="M187" t="n">
        <x:v>3521.83</x:v>
      </x:c>
      <x:c r="N187" t="n">
        <x:v>16901.91</x:v>
      </x:c>
      <x:c r="O187" t="n">
        <x:v>17071.92</x:v>
      </x:c>
      <x:c r="P187" t="n">
        <x:v>363.48</x:v>
      </x:c>
      <x:c r="Q187" t="n">
        <x:v>0</x:v>
      </x:c>
      <x:c r="R187" t="n">
        <x:v>0</x:v>
      </x:c>
    </x:row>
    <x:row r="188" spans="1:18" ht="12.75" customHeight="1" x14ac:dyDescent="0.25">
      <x:c r="D188" t="s">
        <x:v>73</x:v>
      </x:c>
      <x:c r="E188" t="n">
        <x:v>143391.71</x:v>
      </x:c>
      <x:c r="F188" t="n">
        <x:v>17683.3</x:v>
      </x:c>
      <x:c r="G188" t="n">
        <x:v>9483.69</x:v>
      </x:c>
      <x:c r="H188" t="n">
        <x:v>4051.59</x:v>
      </x:c>
      <x:c r="I188" t="n">
        <x:v>19388.95</x:v>
      </x:c>
      <x:c r="J188" t="n">
        <x:v>458.99</x:v>
      </x:c>
      <x:c r="K188" t="n">
        <x:v>0</x:v>
      </x:c>
      <x:c r="L188" t="n">
        <x:v>4524.54</x:v>
      </x:c>
      <x:c r="M188" t="n">
        <x:v>8575.41</x:v>
      </x:c>
      <x:c r="N188" t="n">
        <x:v>33527.4</x:v>
      </x:c>
      <x:c r="O188" t="n">
        <x:v>44872.41</x:v>
      </x:c>
      <x:c r="P188" t="n">
        <x:v>825.43</x:v>
      </x:c>
      <x:c r="Q188" t="n">
        <x:v>0</x:v>
      </x:c>
      <x:c r="R188" t="n">
        <x:v>0</x:v>
      </x:c>
    </x:row>
    <x:row r="189" spans="1:18" ht="12.75" customHeight="1" x14ac:dyDescent="0.25">
      <x:c r="C189" t="s">
        <x:v>86</x:v>
      </x:c>
      <x:c r="D189" t="s">
        <x:v>70</x:v>
      </x:c>
      <x:c r="E189" t="n">
        <x:v>143391.71</x:v>
      </x:c>
      <x:c r="F189" t="n">
        <x:v>17683.3</x:v>
      </x:c>
      <x:c r="G189" t="n">
        <x:v>9483.69</x:v>
      </x:c>
      <x:c r="H189" t="n">
        <x:v>4051.59</x:v>
      </x:c>
      <x:c r="I189" t="n">
        <x:v>19388.95</x:v>
      </x:c>
      <x:c r="J189" t="n">
        <x:v>458.99</x:v>
      </x:c>
      <x:c r="K189" t="n">
        <x:v>0</x:v>
      </x:c>
      <x:c r="L189" t="n">
        <x:v>4524.54</x:v>
      </x:c>
      <x:c r="M189" t="n">
        <x:v>8575.41</x:v>
      </x:c>
      <x:c r="N189" t="n">
        <x:v>33527.4</x:v>
      </x:c>
      <x:c r="O189" t="n">
        <x:v>44872.41</x:v>
      </x:c>
      <x:c r="P189" t="n">
        <x:v>825.43</x:v>
      </x:c>
      <x:c r="Q189" t="n">
        <x:v>0</x:v>
      </x:c>
      <x:c r="R189" t="n">
        <x:v>0</x:v>
      </x:c>
    </x:row>
    <x:row r="190" spans="1:18" ht="12.75" customHeight="1" x14ac:dyDescent="0.25">
      <x:c r="D190" s="89" t="s">
        <x:v>73</x:v>
      </x:c>
      <x:c r="E190" s="90" t="n">
        <x:v>2930318.19</x:v>
      </x:c>
      <x:c r="F190" s="90" t="n">
        <x:v>567936.48</x:v>
      </x:c>
      <x:c r="G190" s="90" t="n">
        <x:v>316279.55</x:v>
      </x:c>
      <x:c r="H190" s="90" t="n">
        <x:v>167772.67</x:v>
      </x:c>
      <x:c r="I190" s="90" t="n">
        <x:v>74829.75</x:v>
      </x:c>
      <x:c r="J190" s="90" t="n">
        <x:v>1886.12</x:v>
      </x:c>
      <x:c r="K190" s="90" t="n">
        <x:v>0</x:v>
      </x:c>
      <x:c r="L190" s="90" t="n">
        <x:v>25238.91</x:v>
      </x:c>
      <x:c r="M190" s="90" t="n">
        <x:v>37822.78</x:v>
      </x:c>
      <x:c r="N190" s="90" t="n">
        <x:v>177754.7</x:v>
      </x:c>
      <x:c r="O190" s="90" t="n">
        <x:v>1557167.31</x:v>
      </x:c>
      <x:c r="P190" s="90" t="n">
        <x:v>3629.92</x:v>
      </x:c>
      <x:c r="Q190" s="90" t="n">
        <x:v>0</x:v>
      </x:c>
      <x:c r="R190" t="n">
        <x:v>0</x:v>
      </x:c>
    </x:row>
    <x:row r="191" spans="1:18" ht="12.75" customHeight="1" x14ac:dyDescent="0.25">
      <x:c r="C191" t="s">
        <x:v>87</x:v>
      </x:c>
      <x:c r="D191" s="89" t="s">
        <x:v>70</x:v>
      </x:c>
      <x:c r="E191" s="90" t="n">
        <x:v>2930318.19</x:v>
      </x:c>
      <x:c r="F191" s="90" t="n">
        <x:v>567936.48</x:v>
      </x:c>
      <x:c r="G191" s="90" t="n">
        <x:v>316279.55</x:v>
      </x:c>
      <x:c r="H191" s="90" t="n">
        <x:v>167772.67</x:v>
      </x:c>
      <x:c r="I191" s="90" t="n">
        <x:v>74829.75</x:v>
      </x:c>
      <x:c r="J191" s="90" t="n">
        <x:v>1886.12</x:v>
      </x:c>
      <x:c r="K191" s="90" t="n">
        <x:v>0</x:v>
      </x:c>
      <x:c r="L191" s="90" t="n">
        <x:v>25238.91</x:v>
      </x:c>
      <x:c r="M191" s="90" t="n">
        <x:v>37822.78</x:v>
      </x:c>
      <x:c r="N191" s="90" t="n">
        <x:v>177754.7</x:v>
      </x:c>
      <x:c r="O191" s="90" t="n">
        <x:v>1557167.31</x:v>
      </x:c>
      <x:c r="P191" s="90" t="n">
        <x:v>3629.92</x:v>
      </x:c>
      <x:c r="Q191" s="90" t="n">
        <x:v>0</x:v>
      </x:c>
      <x:c r="R191" t="n">
        <x:v>0</x:v>
      </x:c>
    </x:row>
    <x:row r="192" spans="1:18" s="94" customFormat="1" ht="12.75" customHeight="1" x14ac:dyDescent="0.25">
      <x:c r="B192" s="101" t="s">
        <x:v>119</x:v>
      </x:c>
      <x:c r="C192" s="101" t="s">
        <x:v>70</x:v>
      </x:c>
      <x:c r="E192" s="93" t="n">
        <x:v>3137743</x:v>
      </x:c>
      <x:c r="F192" s="93" t="n">
        <x:v>592834.49</x:v>
      </x:c>
      <x:c r="G192" s="93" t="n">
        <x:v>329867.84</x:v>
      </x:c>
      <x:c r="H192" s="93" t="n">
        <x:v>173836.03</x:v>
      </x:c>
      <x:c r="I192" s="93" t="n">
        <x:v>104885.15</x:v>
      </x:c>
      <x:c r="J192" s="93" t="n">
        <x:v>2567.83</x:v>
      </x:c>
      <x:c r="K192" s="93" t="n">
        <x:v>0</x:v>
      </x:c>
      <x:c r="L192" s="93" t="n">
        <x:v>31717.16</x:v>
      </x:c>
      <x:c r="M192" s="93" t="n">
        <x:v>49920.02</x:v>
      </x:c>
      <x:c r="N192" s="93" t="n">
        <x:v>228184.01</x:v>
      </x:c>
      <x:c r="O192" s="93" t="n">
        <x:v>1619111.64</x:v>
      </x:c>
      <x:c r="P192" s="93" t="n">
        <x:v>4818.83</x:v>
      </x:c>
      <x:c r="Q192" s="93" t="n">
        <x:v>0</x:v>
      </x:c>
      <x:c r="R192" s="94" t="n">
        <x:v>0</x:v>
      </x:c>
    </x:row>
    <x:row r="193" spans="1:18" s="226" customFormat="1" ht="12.75" customHeight="1" x14ac:dyDescent="0.25">
      <x:c r="A193" s="98" t="s">
        <x:v>79</x:v>
      </x:c>
      <x:c r="B193" s="98" t="s">
        <x:v>70</x:v>
      </x:c>
      <x:c r="E193" s="100" t="n">
        <x:v>2901812.46</x:v>
      </x:c>
      <x:c r="F193" s="100" t="n">
        <x:v>772344.42</x:v>
      </x:c>
      <x:c r="G193" s="100" t="n">
        <x:v>427386.3</x:v>
      </x:c>
      <x:c r="H193" s="100" t="n">
        <x:v>205351.48</x:v>
      </x:c>
      <x:c r="I193" s="100" t="n">
        <x:v>-389847.62</x:v>
      </x:c>
      <x:c r="J193" s="100" t="n">
        <x:v>-8200.48</x:v>
      </x:c>
      <x:c r="K193" s="100" t="n">
        <x:v>0</x:v>
      </x:c>
      <x:c r="L193" s="100" t="n">
        <x:v>-47575.56</x:v>
      </x:c>
      <x:c r="M193" s="100" t="n">
        <x:v>-26988.95</x:v>
      </x:c>
      <x:c r="N193" s="100" t="n">
        <x:v>-133612.08</x:v>
      </x:c>
      <x:c r="O193" s="100" t="n">
        <x:v>2115645.31</x:v>
      </x:c>
      <x:c r="P193" s="100" t="n">
        <x:v>-12690.36</x:v>
      </x:c>
      <x:c r="Q193" s="100" t="n">
        <x:v>0</x:v>
      </x:c>
      <x:c r="R193" s="226" t="n">
        <x:v>0</x:v>
      </x:c>
    </x:row>
    <x:row r="194" spans="1:18" ht="12.75" customHeight="1" x14ac:dyDescent="0.25">
      <x:c r="A194" s="89" t="s">
        <x:v>70</x:v>
      </x:c>
      <x:c r="E194" s="90" t="n">
        <x:v>26609070.66</x:v>
      </x:c>
      <x:c r="F194" s="90" t="n">
        <x:v>3441760.41</x:v>
      </x:c>
      <x:c r="G194" s="90" t="n">
        <x:v>1542505.18</x:v>
      </x:c>
      <x:c r="H194" s="90" t="n">
        <x:v>971942.35</x:v>
      </x:c>
      <x:c r="I194" s="90" t="n">
        <x:v>3260018.71</x:v>
      </x:c>
      <x:c r="J194" s="90" t="n">
        <x:v>109777.02</x:v>
      </x:c>
      <x:c r="K194" s="90" t="n">
        <x:v>22742.37</x:v>
      </x:c>
      <x:c r="L194" s="90" t="n">
        <x:v>1022011.16</x:v>
      </x:c>
      <x:c r="M194" s="90" t="n">
        <x:v>1222656.99</x:v>
      </x:c>
      <x:c r="N194" s="90" t="n">
        <x:v>6163642.41</x:v>
      </x:c>
      <x:c r="O194" s="90" t="n">
        <x:v>8684773.08</x:v>
      </x:c>
      <x:c r="P194" s="90" t="n">
        <x:v>167194.76</x:v>
      </x:c>
      <x:c r="Q194" s="90" t="n">
        <x:v>46.22</x:v>
      </x:c>
      <x:c r="R194" t="n">
        <x:v>0</x:v>
      </x:c>
    </x:row>
    <x:row r="195" spans="1:18" ht="12.75" customHeight="1" x14ac:dyDescent="0.25">
      <x:c r="A195" s="89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</x:row>
    <x:row r="196" spans="1:18" ht="12.75" hidden="1" customHeight="1" x14ac:dyDescent="0.25">
      <x:c r="A196" s="89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</x:row>
    <x:row r="197" spans="1:18" ht="12.75" hidden="1" customHeight="1" x14ac:dyDescent="0.25">
      <x:c r="A197" s="89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</x:row>
    <x:row r="198" spans="1:18" ht="12.75" hidden="1" customHeight="1" x14ac:dyDescent="0.25">
      <x:c r="A198" s="89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</x:row>
    <x:row r="199" spans="1:18" ht="12.75" hidden="1" customHeight="1" x14ac:dyDescent="0.25">
      <x:c r="A199" s="89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</x:row>
    <x:row r="200" spans="1:18" ht="12.75" hidden="1" customHeight="1" x14ac:dyDescent="0.25">
      <x:c r="A200" s="89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</x:row>
    <x:row r="201" spans="1:18" ht="12.75" hidden="1" customHeight="1" x14ac:dyDescent="0.25">
      <x:c r="A201" s="89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</x:row>
    <x:row r="202" spans="1:18" ht="12.75" hidden="1" customHeight="1" x14ac:dyDescent="0.25">
      <x:c r="A202" s="89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</x:row>
    <x:row r="203" spans="1:18" ht="12.75" hidden="1" customHeight="1" x14ac:dyDescent="0.25">
      <x:c r="A203" s="89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</x:row>
    <x:row r="204" spans="1:18" ht="12.75" hidden="1" customHeight="1" x14ac:dyDescent="0.25">
      <x:c r="A204" s="89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</x:row>
    <x:row r="205" spans="1:18" ht="12.75" hidden="1" customHeight="1" x14ac:dyDescent="0.25">
      <x:c r="A205" s="89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</x:row>
    <x:row r="206" spans="1:18" ht="12.75" hidden="1" customHeight="1" x14ac:dyDescent="0.25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5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5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5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5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5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5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5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5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5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5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5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5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5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5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5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5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5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5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5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customHeight="1" x14ac:dyDescent="0.25">
      <x:c r="C226" s="89"/>
      <x:c r="D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</x:row>
    <x:row r="227" spans="1:18" ht="12.75" hidden="1" customHeight="1" x14ac:dyDescent="0.25">
      <x:c r="D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</x:row>
    <x:row r="228" spans="1:18" ht="12.75" hidden="1" customHeight="1" x14ac:dyDescent="0.25">
      <x:c r="C228" s="89"/>
      <x:c r="D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</x:row>
    <x:row r="229" spans="1:18" ht="12.75" hidden="1" customHeight="1" x14ac:dyDescent="0.25">
      <x:c r="D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</x:row>
    <x:row r="230" spans="1:18" ht="12.75" hidden="1" customHeight="1" x14ac:dyDescent="0.25">
      <x:c r="C230" s="89"/>
      <x:c r="D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</x:row>
    <x:row r="231" spans="1:18" ht="12.75" hidden="1" customHeight="1" x14ac:dyDescent="0.25">
      <x:c r="B231" s="89"/>
      <x:c r="C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</x:row>
    <x:row r="232" spans="1:18" ht="12.75" hidden="1" customHeight="1" x14ac:dyDescent="0.25">
      <x:c r="A232" s="89"/>
      <x:c r="B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customHeight="1" x14ac:dyDescent="0.25">
      <x:c r="B262" s="777" t="s">
        <x:v>2</x:v>
      </x:c>
      <x:c r="C262" s="775" t="s">
        <x:v>132</x:v>
      </x:c>
      <x:c r="D262" s="98" t="s">
        <x:v>70</x:v>
      </x:c>
      <x:c r="E262" s="100">
        <x:f>E182+E193-K182</x:f>
        <x:v>0</x:v>
      </x:c>
      <x:c r="F262" s="100">
        <x:f>F182</x:f>
        <x:v>0</x:v>
      </x:c>
      <x:c r="G262" s="100">
        <x:f t="shared" ref="G262:R262" si="7">G182</x:f>
        <x:v>0</x:v>
      </x:c>
      <x:c r="H262" s="100">
        <x:f t="shared" si="7"/>
        <x:v>0</x:v>
      </x:c>
      <x:c r="I262" s="100">
        <x:f t="shared" si="7"/>
        <x:v>0</x:v>
      </x:c>
      <x:c r="J262" s="100">
        <x:f t="shared" si="7"/>
        <x:v>0</x:v>
      </x:c>
      <x:c r="K262" s="100">
        <x:f t="shared" si="7"/>
        <x:v>0</x:v>
      </x:c>
      <x:c r="L262" s="100">
        <x:f t="shared" si="7"/>
        <x:v>0</x:v>
      </x:c>
      <x:c r="M262" s="100">
        <x:f t="shared" si="7"/>
        <x:v>0</x:v>
      </x:c>
      <x:c r="N262" s="100">
        <x:f t="shared" si="7"/>
        <x:v>0</x:v>
      </x:c>
      <x:c r="O262" s="100">
        <x:f t="shared" si="7"/>
        <x:v>0</x:v>
      </x:c>
      <x:c r="P262" s="100">
        <x:f t="shared" si="7"/>
        <x:v>0</x:v>
      </x:c>
      <x:c r="Q262" s="100">
        <x:f t="shared" si="7"/>
        <x:v>0</x:v>
      </x:c>
      <x:c r="R262" s="100">
        <x:f t="shared" si="7"/>
        <x:v>0</x:v>
      </x:c>
    </x:row>
    <x:row r="263" spans="1:18" ht="12.75" customHeight="1" x14ac:dyDescent="0.25">
      <x:c r="B263" s="777"/>
      <x:c r="C263" s="775"/>
      <x:c r="D263" s="98" t="s">
        <x:v>73</x:v>
      </x:c>
      <x:c r="E263" s="100">
        <x:f>E193</x:f>
        <x:v>0</x:v>
      </x:c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customHeight="1" x14ac:dyDescent="0.25">
      <x:c r="A264" s="89"/>
      <x:c r="B264" s="97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customHeight="1" x14ac:dyDescent="0.25">
      <x:c r="B265" s="777" t="s">
        <x:v>160</x:v>
      </x:c>
      <x:c r="C265" s="775" t="s">
        <x:v>132</x:v>
      </x:c>
      <x:c r="D265" s="223" t="s">
        <x:v>70</x:v>
      </x:c>
      <x:c r="E265" s="225">
        <x:v>0</x:v>
      </x:c>
      <x:c r="F265" s="225">
        <x:v>0</x:v>
      </x:c>
      <x:c r="G265" s="225">
        <x:v>0</x:v>
      </x:c>
      <x:c r="H265" s="225">
        <x:v>0</x:v>
      </x:c>
      <x:c r="I265" s="225">
        <x:v>0</x:v>
      </x:c>
      <x:c r="J265" s="225">
        <x:v>0</x:v>
      </x:c>
      <x:c r="K265" s="225">
        <x:v>0</x:v>
      </x:c>
      <x:c r="L265" s="225">
        <x:v>0</x:v>
      </x:c>
      <x:c r="M265" s="225">
        <x:v>0</x:v>
      </x:c>
      <x:c r="N265" s="225">
        <x:v>0</x:v>
      </x:c>
      <x:c r="O265" s="225">
        <x:v>0</x:v>
      </x:c>
      <x:c r="P265" s="225">
        <x:v>0</x:v>
      </x:c>
      <x:c r="Q265" s="225">
        <x:v>0</x:v>
      </x:c>
      <x:c r="R265" s="225">
        <x:v>0</x:v>
      </x:c>
    </x:row>
    <x:row r="266" spans="1:18" ht="12.75" customHeight="1" x14ac:dyDescent="0.25">
      <x:c r="B266" s="777"/>
      <x:c r="C266" s="775"/>
      <x:c r="D266" s="223" t="s">
        <x:v>73</x:v>
      </x:c>
      <x:c r="E266" s="225">
        <x:v>0</x:v>
      </x:c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customHeight="1" x14ac:dyDescent="0.25">
      <x:c r="A267" s="89"/>
      <x:c r="B267" s="97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customHeight="1" x14ac:dyDescent="0.25">
      <x:c r="B268" s="777" t="s">
        <x:v>155</x:v>
      </x:c>
      <x:c r="C268" s="775" t="s">
        <x:v>132</x:v>
      </x:c>
      <x:c r="D268" s="221" t="s">
        <x:v>70</x:v>
      </x:c>
      <x:c r="E268" s="222">
        <x:f>E185+E171+E167-K171-K167</x:f>
        <x:v>0</x:v>
      </x:c>
      <x:c r="F268" s="222">
        <x:f>F167+F171</x:f>
        <x:v>0</x:v>
      </x:c>
      <x:c r="G268" s="222">
        <x:f t="shared" ref="G268:R268" si="8">G167+G171</x:f>
        <x:v>0</x:v>
      </x:c>
      <x:c r="H268" s="222">
        <x:f t="shared" si="8"/>
        <x:v>0</x:v>
      </x:c>
      <x:c r="I268" s="222">
        <x:f t="shared" si="8"/>
        <x:v>0</x:v>
      </x:c>
      <x:c r="J268" s="222">
        <x:f t="shared" si="8"/>
        <x:v>0</x:v>
      </x:c>
      <x:c r="K268" s="222">
        <x:f t="shared" si="8"/>
        <x:v>0</x:v>
      </x:c>
      <x:c r="L268" s="222">
        <x:f t="shared" si="8"/>
        <x:v>0</x:v>
      </x:c>
      <x:c r="M268" s="222">
        <x:f t="shared" si="8"/>
        <x:v>0</x:v>
      </x:c>
      <x:c r="N268" s="222">
        <x:f t="shared" si="8"/>
        <x:v>0</x:v>
      </x:c>
      <x:c r="O268" s="222">
        <x:f t="shared" si="8"/>
        <x:v>0</x:v>
      </x:c>
      <x:c r="P268" s="222">
        <x:f t="shared" si="8"/>
        <x:v>0</x:v>
      </x:c>
      <x:c r="Q268" s="222">
        <x:f t="shared" si="8"/>
        <x:v>0</x:v>
      </x:c>
      <x:c r="R268" s="222">
        <x:f t="shared" si="8"/>
        <x:v>0</x:v>
      </x:c>
    </x:row>
    <x:row r="269" spans="1:18" ht="12.75" customHeight="1" x14ac:dyDescent="0.25">
      <x:c r="B269" s="777"/>
      <x:c r="C269" s="775"/>
      <x:c r="D269" s="221" t="s">
        <x:v>73</x:v>
      </x:c>
      <x:c r="E269" s="222">
        <x:f>E185</x:f>
        <x:v>0</x:v>
      </x:c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customHeight="1" x14ac:dyDescent="0.25">
      <x:c r="B270" s="719"/>
      <x:c r="C270" s="220"/>
      <x:c r="D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customHeight="1" x14ac:dyDescent="0.25">
      <x:c r="B271" s="778" t="s">
        <x:v>326</x:v>
      </x:c>
      <x:c r="C271" s="775" t="s">
        <x:v>132</x:v>
      </x:c>
      <x:c r="D271" s="373" t="s">
        <x:v>70</x:v>
      </x:c>
      <x:c r="E271" s="374">
        <x:v>0</x:v>
      </x:c>
      <x:c r="F271" s="374">
        <x:v>0</x:v>
      </x:c>
      <x:c r="G271" s="374">
        <x:v>0</x:v>
      </x:c>
      <x:c r="H271" s="374">
        <x:v>0</x:v>
      </x:c>
      <x:c r="I271" s="374">
        <x:v>0</x:v>
      </x:c>
      <x:c r="J271" s="374">
        <x:v>0</x:v>
      </x:c>
      <x:c r="K271" s="374">
        <x:v>0</x:v>
      </x:c>
      <x:c r="L271" s="374">
        <x:v>0</x:v>
      </x:c>
      <x:c r="M271" s="374">
        <x:v>0</x:v>
      </x:c>
      <x:c r="N271" s="374">
        <x:v>0</x:v>
      </x:c>
      <x:c r="O271" s="374">
        <x:v>0</x:v>
      </x:c>
      <x:c r="P271" s="374">
        <x:v>0</x:v>
      </x:c>
      <x:c r="Q271" s="374">
        <x:v>0</x:v>
      </x:c>
      <x:c r="R271" s="374">
        <x:v>0</x:v>
      </x:c>
    </x:row>
    <x:row r="272" spans="1:18" ht="12.75" customHeight="1" x14ac:dyDescent="0.25">
      <x:c r="B272" s="778"/>
      <x:c r="C272" s="775"/>
      <x:c r="D272" s="373" t="s">
        <x:v>73</x:v>
      </x:c>
      <x:c r="E272" s="374">
        <x:v>0</x:v>
      </x:c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18" ht="12.75" customHeight="1" x14ac:dyDescent="0.25">
      <x:c r="B273" s="719"/>
      <x:c r="C273" s="220"/>
      <x:c r="D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</x:row>
    <x:row r="274" spans="1:18" ht="12.75" customHeight="1" x14ac:dyDescent="0.25">
      <x:c r="B274" s="777" t="s">
        <x:v>119</x:v>
      </x:c>
      <x:c r="C274" s="775" t="s">
        <x:v>132</x:v>
      </x:c>
      <x:c r="D274" s="101" t="s">
        <x:v>70</x:v>
      </x:c>
      <x:c r="E274" s="93">
        <x:f>E181+E192-K181</x:f>
        <x:v>0</x:v>
      </x:c>
      <x:c r="F274" s="93">
        <x:f>F181</x:f>
        <x:v>0</x:v>
      </x:c>
      <x:c r="G274" s="93">
        <x:f t="shared" ref="G274:R274" si="9">G181</x:f>
        <x:v>0</x:v>
      </x:c>
      <x:c r="H274" s="93">
        <x:f t="shared" si="9"/>
        <x:v>0</x:v>
      </x:c>
      <x:c r="I274" s="93">
        <x:f t="shared" si="9"/>
        <x:v>0</x:v>
      </x:c>
      <x:c r="J274" s="93">
        <x:f t="shared" si="9"/>
        <x:v>0</x:v>
      </x:c>
      <x:c r="K274" s="93">
        <x:f t="shared" si="9"/>
        <x:v>0</x:v>
      </x:c>
      <x:c r="L274" s="93">
        <x:f t="shared" si="9"/>
        <x:v>0</x:v>
      </x:c>
      <x:c r="M274" s="93">
        <x:f t="shared" si="9"/>
        <x:v>0</x:v>
      </x:c>
      <x:c r="N274" s="93">
        <x:f t="shared" si="9"/>
        <x:v>0</x:v>
      </x:c>
      <x:c r="O274" s="93">
        <x:f t="shared" si="9"/>
        <x:v>0</x:v>
      </x:c>
      <x:c r="P274" s="93">
        <x:f t="shared" si="9"/>
        <x:v>0</x:v>
      </x:c>
      <x:c r="Q274" s="93">
        <x:f t="shared" si="9"/>
        <x:v>0</x:v>
      </x:c>
      <x:c r="R274" s="93">
        <x:f t="shared" si="9"/>
        <x:v>0</x:v>
      </x:c>
    </x:row>
    <x:row r="275" spans="1:18" ht="12.75" customHeight="1" x14ac:dyDescent="0.25">
      <x:c r="B275" s="777"/>
      <x:c r="C275" s="775"/>
      <x:c r="D275" s="101" t="s">
        <x:v>73</x:v>
      </x:c>
      <x:c r="E275" s="93">
        <x:f>E192</x:f>
        <x:v>0</x:v>
      </x:c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5">
      <x:c r="A276" s="89"/>
      <x:c r="B276" s="97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</x:row>
    <x:row r="277" spans="1:18" ht="12.75" customHeight="1" x14ac:dyDescent="0.25">
      <x:c r="B277" s="776" t="s">
        <x:v>161</x:v>
      </x:c>
      <x:c r="C277" s="775" t="s">
        <x:v>132</x:v>
      </x:c>
      <x:c r="D277" s="231" t="s">
        <x:v>70</x:v>
      </x:c>
      <x:c r="E277" s="232">
        <x:v>0</x:v>
      </x:c>
      <x:c r="F277" s="232">
        <x:v>0</x:v>
      </x:c>
      <x:c r="G277" s="232">
        <x:v>0</x:v>
      </x:c>
      <x:c r="H277" s="232">
        <x:v>0</x:v>
      </x:c>
      <x:c r="I277" s="232">
        <x:v>0</x:v>
      </x:c>
      <x:c r="J277" s="232">
        <x:v>0</x:v>
      </x:c>
      <x:c r="K277" s="232">
        <x:v>0</x:v>
      </x:c>
      <x:c r="L277" s="232">
        <x:v>0</x:v>
      </x:c>
      <x:c r="M277" s="232">
        <x:v>0</x:v>
      </x:c>
      <x:c r="N277" s="232">
        <x:v>0</x:v>
      </x:c>
      <x:c r="O277" s="232">
        <x:v>0</x:v>
      </x:c>
      <x:c r="P277" s="232">
        <x:v>0</x:v>
      </x:c>
      <x:c r="Q277" s="232">
        <x:v>0</x:v>
      </x:c>
      <x:c r="R277" s="232">
        <x:v>0</x:v>
      </x:c>
    </x:row>
    <x:row r="278" spans="1:18" ht="12.75" customHeight="1" x14ac:dyDescent="0.25">
      <x:c r="B278" s="776"/>
      <x:c r="C278" s="775"/>
      <x:c r="D278" s="231" t="s">
        <x:v>73</x:v>
      </x:c>
      <x:c r="E278" s="232">
        <x:v>0</x:v>
      </x:c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s="238" customFormat="1" x14ac:dyDescent="0.25"/>
    <x:row r="280" spans="1:18" ht="15" customHeight="1" x14ac:dyDescent="0.25">
      <x:c r="B280" s="97" t="s">
        <x:v>88</x:v>
      </x:c>
    </x:row>
    <x:row r="281" spans="1:18" ht="11.4" customHeight="1" x14ac:dyDescent="0.25">
      <x:c r="E281" s="89" t="s">
        <x:v>70</x:v>
      </x:c>
      <x:c r="F281" s="89" t="s">
        <x:v>64</x:v>
      </x:c>
      <x:c r="G281" s="89" t="s">
        <x:v>65</x:v>
      </x:c>
      <x:c r="H281" s="219" t="s">
        <x:v>164</x:v>
      </x:c>
      <x:c r="I281" s="89" t="s">
        <x:v>69</x:v>
      </x:c>
      <x:c r="J281" s="89" t="s">
        <x:v>68</x:v>
      </x:c>
      <x:c r="K281" s="89" t="s">
        <x:v>83</x:v>
      </x:c>
      <x:c r="L281" s="89" t="s">
        <x:v>66</x:v>
      </x:c>
      <x:c r="M281" s="89" t="s">
        <x:v>63</x:v>
      </x:c>
      <x:c r="N281" s="89" t="s">
        <x:v>61</x:v>
      </x:c>
      <x:c r="O281" s="89" t="s">
        <x:v>62</x:v>
      </x:c>
      <x:c r="P281" s="89" t="s">
        <x:v>67</x:v>
      </x:c>
      <x:c r="Q281" s="89" t="s">
        <x:v>84</x:v>
      </x:c>
      <x:c r="R281" s="384" t="s">
        <x:v>225</x:v>
      </x:c>
    </x:row>
    <x:row r="282" spans="1:18" ht="11.4" customHeight="1" x14ac:dyDescent="0.25">
      <x:c r="D282" t="s">
        <x:v>72</x:v>
      </x:c>
      <x:c r="E282" s="89" t="n">
        <x:v>76457865.81</x:v>
      </x:c>
      <x:c r="F282" s="89" t="n">
        <x:v>3641666.89</x:v>
      </x:c>
      <x:c r="G282" s="89" t="n">
        <x:v>2133608.73</x:v>
      </x:c>
      <x:c r="H282" s="384" t="n">
        <x:v>921850.4</x:v>
      </x:c>
      <x:c r="I282" s="89" t="n">
        <x:v>19097451.01</x:v>
      </x:c>
      <x:c r="J282" s="89" t="n">
        <x:v>695259.51</x:v>
      </x:c>
      <x:c r="K282" s="89" t="n">
        <x:v>0</x:v>
      </x:c>
      <x:c r="L282" s="89" t="n">
        <x:v>6005916.76</x:v>
      </x:c>
      <x:c r="M282" s="89" t="n">
        <x:v>5940381.52</x:v>
      </x:c>
      <x:c r="N282" s="89" t="n">
        <x:v>26946237.78</x:v>
      </x:c>
      <x:c r="O282" s="89" t="n">
        <x:v>9968241.84</x:v>
      </x:c>
      <x:c r="P282" s="89" t="n">
        <x:v>1107336.69</x:v>
      </x:c>
      <x:c r="Q282" s="89" t="n">
        <x:v>-85.32</x:v>
      </x:c>
      <x:c r="R282" s="384" t="n">
        <x:v>0</x:v>
      </x:c>
    </x:row>
    <x:row r="283" spans="1:18" ht="12.75" customHeight="1" x14ac:dyDescent="0.25">
      <x:c r="D283" t="s">
        <x:v>81</x:v>
      </x:c>
      <x:c r="E283" s="384" t="n">
        <x:v>-546491.49</x:v>
      </x:c>
      <x:c r="F283" s="89" t="n">
        <x:v>1918.82</x:v>
      </x:c>
      <x:c r="G283" s="89" t="n">
        <x:v>919.78</x:v>
      </x:c>
      <x:c r="H283" s="384" t="n">
        <x:v>476.91</x:v>
      </x:c>
      <x:c r="I283" s="89" t="n">
        <x:v>3849.93</x:v>
      </x:c>
      <x:c r="J283" s="89" t="n">
        <x:v>129.94</x:v>
      </x:c>
      <x:c r="K283" s="89" t="n">
        <x:v>0</x:v>
      </x:c>
      <x:c r="L283" s="89" t="n">
        <x:v>1057.79</x:v>
      </x:c>
      <x:c r="M283" s="89" t="n">
        <x:v>1241.12</x:v>
      </x:c>
      <x:c r="N283" s="89" t="n">
        <x:v>-561414.15</x:v>
      </x:c>
      <x:c r="O283" s="89" t="n">
        <x:v>5114.92</x:v>
      </x:c>
      <x:c r="P283" s="89" t="n">
        <x:v>213.4</x:v>
      </x:c>
      <x:c r="Q283" s="89" t="n">
        <x:v>0.05</x:v>
      </x:c>
      <x:c r="R283" s="384" t="n">
        <x:v>0</x:v>
      </x:c>
    </x:row>
    <x:row r="284" spans="1:18" ht="11.4" customHeight="1" x14ac:dyDescent="0.25">
      <x:c r="C284" t="s">
        <x:v>332</x:v>
      </x:c>
      <x:c r="D284" t="s">
        <x:v>70</x:v>
      </x:c>
      <x:c r="E284" s="384">
        <x:v>0</x:v>
      </x:c>
      <x:c r="F284" s="89">
        <x:v>0</x:v>
      </x:c>
      <x:c r="G284" s="89">
        <x:v>0</x:v>
      </x:c>
      <x:c r="H284" s="384">
        <x:v>0</x:v>
      </x:c>
      <x:c r="I284" s="89">
        <x:v>0</x:v>
      </x:c>
      <x:c r="J284" s="89">
        <x:v>0</x:v>
      </x:c>
      <x:c r="K284" s="89">
        <x:v>0</x:v>
      </x:c>
      <x:c r="L284" s="89">
        <x:v>0</x:v>
      </x:c>
      <x:c r="M284" s="89">
        <x:v>0</x:v>
      </x:c>
      <x:c r="N284" s="89">
        <x:v>0</x:v>
      </x:c>
      <x:c r="O284" s="89">
        <x:v>0</x:v>
      </x:c>
      <x:c r="P284" s="89">
        <x:v>0</x:v>
      </x:c>
      <x:c r="Q284" s="89">
        <x:v>0</x:v>
      </x:c>
      <x:c r="R284" s="384">
        <x:v>0</x:v>
      </x:c>
    </x:row>
    <x:row r="285" spans="1:18" s="739" customFormat="1" ht="11.4" customHeight="1" x14ac:dyDescent="0.25">
      <x:c r="B285" s="739" t="s">
        <x:v>85</x:v>
      </x:c>
      <x:c r="C285" s="739" t="s">
        <x:v>70</x:v>
      </x:c>
      <x:c r="E285" s="769">
        <x:v>0</x:v>
      </x:c>
      <x:c r="F285" s="231">
        <x:v>0</x:v>
      </x:c>
      <x:c r="G285" s="231">
        <x:v>0</x:v>
      </x:c>
      <x:c r="H285" s="769">
        <x:v>0</x:v>
      </x:c>
      <x:c r="I285" s="231">
        <x:v>0</x:v>
      </x:c>
      <x:c r="J285" s="231">
        <x:v>0</x:v>
      </x:c>
      <x:c r="K285" s="231">
        <x:v>0</x:v>
      </x:c>
      <x:c r="L285" s="231">
        <x:v>0</x:v>
      </x:c>
      <x:c r="M285" s="231">
        <x:v>0</x:v>
      </x:c>
      <x:c r="N285" s="231">
        <x:v>0</x:v>
      </x:c>
      <x:c r="O285" s="231">
        <x:v>0</x:v>
      </x:c>
      <x:c r="P285" s="231">
        <x:v>0</x:v>
      </x:c>
      <x:c r="Q285" s="231">
        <x:v>0</x:v>
      </x:c>
      <x:c r="R285" s="769">
        <x:v>0</x:v>
      </x:c>
    </x:row>
    <x:row r="286" spans="1:18" ht="11.4" customHeight="1" x14ac:dyDescent="0.25">
      <x:c r="D286" t="s">
        <x:v>72</x:v>
      </x:c>
      <x:c r="E286" s="384">
        <x:v>0</x:v>
      </x:c>
      <x:c r="F286" s="89">
        <x:v>0</x:v>
      </x:c>
      <x:c r="G286" s="89">
        <x:v>0</x:v>
      </x:c>
      <x:c r="H286" s="384">
        <x:v>0</x:v>
      </x:c>
      <x:c r="I286" s="89">
        <x:v>0</x:v>
      </x:c>
      <x:c r="J286" s="89">
        <x:v>0</x:v>
      </x:c>
      <x:c r="K286" s="89">
        <x:v>0</x:v>
      </x:c>
      <x:c r="L286" s="89">
        <x:v>0</x:v>
      </x:c>
      <x:c r="M286" s="89">
        <x:v>0</x:v>
      </x:c>
      <x:c r="N286" s="89">
        <x:v>0</x:v>
      </x:c>
      <x:c r="O286" s="89">
        <x:v>0</x:v>
      </x:c>
      <x:c r="P286" s="89">
        <x:v>0</x:v>
      </x:c>
      <x:c r="Q286" s="89">
        <x:v>0</x:v>
      </x:c>
      <x:c r="R286" s="384">
        <x:v>0</x:v>
      </x:c>
    </x:row>
    <x:row r="287" spans="1:18" ht="12.75" customHeight="1" x14ac:dyDescent="0.25">
      <x:c r="D287" t="s">
        <x:v>81</x:v>
      </x:c>
      <x:c r="E287" s="384">
        <x:v>0</x:v>
      </x:c>
      <x:c r="F287" s="89">
        <x:v>0</x:v>
      </x:c>
      <x:c r="G287" s="89">
        <x:v>0</x:v>
      </x:c>
      <x:c r="H287" s="384">
        <x:v>0</x:v>
      </x:c>
      <x:c r="I287" s="89">
        <x:v>0</x:v>
      </x:c>
      <x:c r="J287" s="89">
        <x:v>0</x:v>
      </x:c>
      <x:c r="K287" s="89">
        <x:v>0</x:v>
      </x:c>
      <x:c r="L287" s="89">
        <x:v>0</x:v>
      </x:c>
      <x:c r="M287" s="89">
        <x:v>0</x:v>
      </x:c>
      <x:c r="N287" s="89">
        <x:v>0</x:v>
      </x:c>
      <x:c r="O287" s="89">
        <x:v>0</x:v>
      </x:c>
      <x:c r="P287" s="89">
        <x:v>0</x:v>
      </x:c>
      <x:c r="Q287" s="89">
        <x:v>0</x:v>
      </x:c>
      <x:c r="R287" s="384">
        <x:v>0</x:v>
      </x:c>
    </x:row>
    <x:row r="288" spans="1:18" ht="12.75" customHeight="1" x14ac:dyDescent="0.25">
      <x:c r="C288" t="s">
        <x:v>156</x:v>
      </x:c>
      <x:c r="D288" t="s">
        <x:v>70</x:v>
      </x:c>
      <x:c r="E288" s="384" t="n">
        <x:v>75911374.32</x:v>
      </x:c>
      <x:c r="F288" s="89" t="n">
        <x:v>3643585.71</x:v>
      </x:c>
      <x:c r="G288" s="89" t="n">
        <x:v>2134528.51</x:v>
      </x:c>
      <x:c r="H288" s="384" t="n">
        <x:v>922327.31</x:v>
      </x:c>
      <x:c r="I288" s="89" t="n">
        <x:v>19101300.94</x:v>
      </x:c>
      <x:c r="J288" s="89" t="n">
        <x:v>695389.45</x:v>
      </x:c>
      <x:c r="K288" s="89" t="n">
        <x:v>0</x:v>
      </x:c>
      <x:c r="L288" s="89" t="n">
        <x:v>6006974.55</x:v>
      </x:c>
      <x:c r="M288" s="89" t="n">
        <x:v>5941622.64</x:v>
      </x:c>
      <x:c r="N288" s="89" t="n">
        <x:v>26384823.63</x:v>
      </x:c>
      <x:c r="O288" s="89" t="n">
        <x:v>9973356.76</x:v>
      </x:c>
      <x:c r="P288" s="89" t="n">
        <x:v>1107550.09</x:v>
      </x:c>
      <x:c r="Q288" s="89" t="n">
        <x:v>-85.27</x:v>
      </x:c>
      <x:c r="R288" t="n">
        <x:v>0</x:v>
      </x:c>
    </x:row>
    <x:row r="289" spans="2:18" s="286" customFormat="1" ht="12.75" customHeight="1" x14ac:dyDescent="0.25">
      <x:c r="B289" s="286" t="s">
        <x:v>155</x:v>
      </x:c>
      <x:c r="C289" s="286" t="s">
        <x:v>70</x:v>
      </x:c>
      <x:c r="E289" s="753" t="n">
        <x:v>75911374.32</x:v>
      </x:c>
      <x:c r="F289" s="229" t="n">
        <x:v>3643585.71</x:v>
      </x:c>
      <x:c r="G289" s="229" t="n">
        <x:v>2134528.51</x:v>
      </x:c>
      <x:c r="H289" s="753" t="n">
        <x:v>922327.31</x:v>
      </x:c>
      <x:c r="I289" s="229" t="n">
        <x:v>19101300.94</x:v>
      </x:c>
      <x:c r="J289" s="229" t="n">
        <x:v>695389.45</x:v>
      </x:c>
      <x:c r="K289" s="229" t="n">
        <x:v>0</x:v>
      </x:c>
      <x:c r="L289" s="229" t="n">
        <x:v>6006974.55</x:v>
      </x:c>
      <x:c r="M289" s="229" t="n">
        <x:v>5941622.64</x:v>
      </x:c>
      <x:c r="N289" s="229" t="n">
        <x:v>26384823.63</x:v>
      </x:c>
      <x:c r="O289" s="229" t="n">
        <x:v>9973356.76</x:v>
      </x:c>
      <x:c r="P289" s="229" t="n">
        <x:v>1107550.09</x:v>
      </x:c>
      <x:c r="Q289" s="229" t="n">
        <x:v>-85.27</x:v>
      </x:c>
      <x:c r="R289" s="286" t="n">
        <x:v>0</x:v>
      </x:c>
    </x:row>
    <x:row r="290" spans="2:18" ht="12.75" customHeight="1" x14ac:dyDescent="0.25">
      <x:c r="D290" t="s">
        <x:v>72</x:v>
      </x:c>
      <x:c r="E290" s="384" t="n">
        <x:v>18002757.07</x:v>
      </x:c>
      <x:c r="F290" s="89" t="n">
        <x:v>1980153.06</x:v>
      </x:c>
      <x:c r="G290" s="89" t="n">
        <x:v>1079854.53</x:v>
      </x:c>
      <x:c r="H290" s="384" t="n">
        <x:v>147100.27</x:v>
      </x:c>
      <x:c r="I290" s="89" t="n">
        <x:v>3091993.19</x:v>
      </x:c>
      <x:c r="J290" s="89" t="n">
        <x:v>84501.79</x:v>
      </x:c>
      <x:c r="K290" s="89" t="n">
        <x:v>0</x:v>
      </x:c>
      <x:c r="L290" s="89" t="n">
        <x:v>825464.85</x:v>
      </x:c>
      <x:c r="M290" s="89" t="n">
        <x:v>929998.07</x:v>
      </x:c>
      <x:c r="N290" s="89" t="n">
        <x:v>4347249.14</x:v>
      </x:c>
      <x:c r="O290" s="89" t="n">
        <x:v>5394420.52</x:v>
      </x:c>
      <x:c r="P290" s="89" t="n">
        <x:v>121980.8</x:v>
      </x:c>
      <x:c r="Q290" s="89" t="n">
        <x:v>40.85</x:v>
      </x:c>
      <x:c r="R290" t="n">
        <x:v>0</x:v>
      </x:c>
    </x:row>
    <x:row r="291" spans="2:18" ht="12.75" customHeight="1" x14ac:dyDescent="0.25">
      <x:c r="D291" t="s">
        <x:v>81</x:v>
      </x:c>
      <x:c r="E291" s="384" t="n">
        <x:v>-51796.34</x:v>
      </x:c>
      <x:c r="F291" s="89" t="n">
        <x:v>3.25</x:v>
      </x:c>
      <x:c r="G291" s="89" t="n">
        <x:v>1.82</x:v>
      </x:c>
      <x:c r="H291" s="384" t="n">
        <x:v>1.49</x:v>
      </x:c>
      <x:c r="I291" s="89" t="n">
        <x:v>15.8</x:v>
      </x:c>
      <x:c r="J291" s="89" t="n">
        <x:v>0.87</x:v>
      </x:c>
      <x:c r="K291" s="89" t="n">
        <x:v>0</x:v>
      </x:c>
      <x:c r="L291" s="89" t="n">
        <x:v>4.9</x:v>
      </x:c>
      <x:c r="M291" s="89" t="n">
        <x:v>4.89</x:v>
      </x:c>
      <x:c r="N291" s="89" t="n">
        <x:v>-51839.46</x:v>
      </x:c>
      <x:c r="O291" s="89" t="n">
        <x:v>8.66</x:v>
      </x:c>
      <x:c r="P291" s="89" t="n">
        <x:v>1.44</x:v>
      </x:c>
      <x:c r="Q291" s="89" t="n">
        <x:v>0</x:v>
      </x:c>
      <x:c r="R291" t="n">
        <x:v>0</x:v>
      </x:c>
    </x:row>
    <x:row r="292" spans="2:18" ht="12.75" customHeight="1" x14ac:dyDescent="0.25">
      <x:c r="C292" t="s">
        <x:v>115</x:v>
      </x:c>
      <x:c r="D292" t="s">
        <x:v>70</x:v>
      </x:c>
      <x:c r="E292" s="384" t="n">
        <x:v>17950960.73</x:v>
      </x:c>
      <x:c r="F292" s="89" t="n">
        <x:v>1980156.31</x:v>
      </x:c>
      <x:c r="G292" s="89" t="n">
        <x:v>1079856.35</x:v>
      </x:c>
      <x:c r="H292" s="384" t="n">
        <x:v>147101.76</x:v>
      </x:c>
      <x:c r="I292" s="89" t="n">
        <x:v>3092008.99</x:v>
      </x:c>
      <x:c r="J292" s="89" t="n">
        <x:v>84502.66</x:v>
      </x:c>
      <x:c r="K292" s="89" t="n">
        <x:v>0</x:v>
      </x:c>
      <x:c r="L292" s="89" t="n">
        <x:v>825469.75</x:v>
      </x:c>
      <x:c r="M292" s="89" t="n">
        <x:v>930002.96</x:v>
      </x:c>
      <x:c r="N292" s="89" t="n">
        <x:v>4295409.68</x:v>
      </x:c>
      <x:c r="O292" s="89" t="n">
        <x:v>5394429.18</x:v>
      </x:c>
      <x:c r="P292" s="89" t="n">
        <x:v>121982.24</x:v>
      </x:c>
      <x:c r="Q292" s="89" t="n">
        <x:v>40.85</x:v>
      </x:c>
      <x:c r="R292" t="n">
        <x:v>0</x:v>
      </x:c>
    </x:row>
    <x:row r="293" spans="2:18" ht="12.75" customHeight="1" x14ac:dyDescent="0.25">
      <x:c r="D293" t="s">
        <x:v>72</x:v>
      </x:c>
      <x:c r="E293" s="384" t="n">
        <x:v>6669914.11</x:v>
      </x:c>
      <x:c r="F293" s="89" t="n">
        <x:v>1324974.27</x:v>
      </x:c>
      <x:c r="G293" s="89" t="n">
        <x:v>751701.9</x:v>
      </x:c>
      <x:c r="H293" s="384" t="n">
        <x:v>74006.93</x:v>
      </x:c>
      <x:c r="I293" s="89" t="n">
        <x:v>332831.09</x:v>
      </x:c>
      <x:c r="J293" s="89" t="n">
        <x:v>10219.22</x:v>
      </x:c>
      <x:c r="K293" s="89" t="n">
        <x:v>0</x:v>
      </x:c>
      <x:c r="L293" s="89" t="n">
        <x:v>73839.36</x:v>
      </x:c>
      <x:c r="M293" s="89" t="n">
        <x:v>81220.13</x:v>
      </x:c>
      <x:c r="N293" s="89" t="n">
        <x:v>435049.09</x:v>
      </x:c>
      <x:c r="O293" s="89" t="n">
        <x:v>3571186.75</x:v>
      </x:c>
      <x:c r="P293" s="89" t="n">
        <x:v>14889.6</x:v>
      </x:c>
      <x:c r="Q293" s="89" t="n">
        <x:v>-4.23</x:v>
      </x:c>
      <x:c r="R293" t="n">
        <x:v>0</x:v>
      </x:c>
    </x:row>
    <x:row r="294" spans="2:18" ht="12.75" customHeight="1" x14ac:dyDescent="0.25">
      <x:c r="C294" t="s">
        <x:v>116</x:v>
      </x:c>
      <x:c r="D294" t="s">
        <x:v>70</x:v>
      </x:c>
      <x:c r="E294" s="384" t="n">
        <x:v>6661128.52</x:v>
      </x:c>
      <x:c r="F294" s="89" t="n">
        <x:v>1324974.27</x:v>
      </x:c>
      <x:c r="G294" s="89" t="n">
        <x:v>751701.9</x:v>
      </x:c>
      <x:c r="H294" s="384" t="n">
        <x:v>74006.93</x:v>
      </x:c>
      <x:c r="I294" s="89" t="n">
        <x:v>332831.09</x:v>
      </x:c>
      <x:c r="J294" s="89" t="n">
        <x:v>10219.22</x:v>
      </x:c>
      <x:c r="K294" s="89" t="n">
        <x:v>0</x:v>
      </x:c>
      <x:c r="L294" s="89" t="n">
        <x:v>73839.36</x:v>
      </x:c>
      <x:c r="M294" s="89" t="n">
        <x:v>81220.13</x:v>
      </x:c>
      <x:c r="N294" s="89" t="n">
        <x:v>426263.5</x:v>
      </x:c>
      <x:c r="O294" s="89" t="n">
        <x:v>3571186.75</x:v>
      </x:c>
      <x:c r="P294" s="89" t="n">
        <x:v>14889.6</x:v>
      </x:c>
      <x:c r="Q294" s="89" t="n">
        <x:v>-4.23</x:v>
      </x:c>
      <x:c r="R294" t="n">
        <x:v>0</x:v>
      </x:c>
    </x:row>
    <x:row r="295" spans="2:18" ht="12.75" customHeight="1" x14ac:dyDescent="0.25">
      <x:c r="B295" s="89"/>
      <x:c r="C295" s="89"/>
      <x:c r="D295" t="s">
        <x:v>72</x:v>
      </x:c>
      <x:c r="E295" s="371" t="n">
        <x:v>18793865.45</x:v>
      </x:c>
      <x:c r="F295" s="90" t="n">
        <x:v>1178975.76</x:v>
      </x:c>
      <x:c r="G295" s="90" t="n">
        <x:v>662155.76</x:v>
      </x:c>
      <x:c r="H295" s="90" t="n">
        <x:v>252823.43</x:v>
      </x:c>
      <x:c r="I295" s="90" t="n">
        <x:v>4498808.16</x:v>
      </x:c>
      <x:c r="J295" s="90" t="n">
        <x:v>134388.49</x:v>
      </x:c>
      <x:c r="K295" s="90" t="n">
        <x:v>0</x:v>
      </x:c>
      <x:c r="L295" s="90" t="n">
        <x:v>1287740.81</x:v>
      </x:c>
      <x:c r="M295" s="90" t="n">
        <x:v>1382529.63</x:v>
      </x:c>
      <x:c r="N295" s="90" t="n">
        <x:v>5942810.05</x:v>
      </x:c>
      <x:c r="O295" s="90" t="n">
        <x:v>3255861.06</x:v>
      </x:c>
      <x:c r="P295" s="90" t="n">
        <x:v>197723.5</x:v>
      </x:c>
      <x:c r="Q295" s="90" t="n">
        <x:v>48.8</x:v>
      </x:c>
      <x:c r="R295" t="n">
        <x:v>0</x:v>
      </x:c>
    </x:row>
    <x:row r="296" spans="2:18" ht="12.75" customHeight="1" x14ac:dyDescent="0.25">
      <x:c r="B296" s="89"/>
      <x:c r="C296" s="89"/>
      <x:c r="D296" t="s">
        <x:v>81</x:v>
      </x:c>
      <x:c r="E296" s="371" t="n">
        <x:v>-95398.53</x:v>
      </x:c>
      <x:c r="F296" s="90" t="n">
        <x:v>34.9</x:v>
      </x:c>
      <x:c r="G296" s="90" t="n">
        <x:v>18.75</x:v>
      </x:c>
      <x:c r="H296" s="90" t="n">
        <x:v>10.18</x:v>
      </x:c>
      <x:c r="I296" s="90" t="n">
        <x:v>106.03</x:v>
      </x:c>
      <x:c r="J296" s="90" t="n">
        <x:v>3.53</x:v>
      </x:c>
      <x:c r="K296" s="90" t="n">
        <x:v>0</x:v>
      </x:c>
      <x:c r="L296" s="90" t="n">
        <x:v>31</x:v>
      </x:c>
      <x:c r="M296" s="90" t="n">
        <x:v>32.71</x:v>
      </x:c>
      <x:c r="N296" s="90" t="n">
        <x:v>-95734.22</x:v>
      </x:c>
      <x:c r="O296" s="90" t="n">
        <x:v>92.81</x:v>
      </x:c>
      <x:c r="P296" s="90" t="n">
        <x:v>5.78</x:v>
      </x:c>
      <x:c r="Q296" s="90" t="n">
        <x:v>0</x:v>
      </x:c>
      <x:c r="R296" t="n">
        <x:v>0</x:v>
      </x:c>
    </x:row>
    <x:row r="297" spans="2:18" ht="12.75" customHeight="1" x14ac:dyDescent="0.25">
      <x:c r="B297" s="89"/>
      <x:c r="C297" s="89" t="s">
        <x:v>118</x:v>
      </x:c>
      <x:c r="D297" t="s">
        <x:v>70</x:v>
      </x:c>
      <x:c r="E297" s="371" t="n">
        <x:v>18698466.92</x:v>
      </x:c>
      <x:c r="F297" s="90" t="n">
        <x:v>1179010.66</x:v>
      </x:c>
      <x:c r="G297" s="90" t="n">
        <x:v>662174.51</x:v>
      </x:c>
      <x:c r="H297" s="90" t="n">
        <x:v>252833.61</x:v>
      </x:c>
      <x:c r="I297" s="90" t="n">
        <x:v>4498914.19</x:v>
      </x:c>
      <x:c r="J297" s="90" t="n">
        <x:v>134392.02</x:v>
      </x:c>
      <x:c r="K297" s="90" t="n">
        <x:v>0</x:v>
      </x:c>
      <x:c r="L297" s="90" t="n">
        <x:v>1287771.81</x:v>
      </x:c>
      <x:c r="M297" s="90" t="n">
        <x:v>1382562.34</x:v>
      </x:c>
      <x:c r="N297" s="90" t="n">
        <x:v>5847075.83</x:v>
      </x:c>
      <x:c r="O297" s="90" t="n">
        <x:v>3255953.87</x:v>
      </x:c>
      <x:c r="P297" s="90" t="n">
        <x:v>197729.28</x:v>
      </x:c>
      <x:c r="Q297" s="90" t="n">
        <x:v>48.8</x:v>
      </x:c>
      <x:c r="R297" t="n">
        <x:v>0</x:v>
      </x:c>
    </x:row>
    <x:row r="298" spans="2:18" s="224" customFormat="1" ht="12.75" customHeight="1" x14ac:dyDescent="0.25">
      <x:c r="B298" s="224" t="s">
        <x:v>120</x:v>
      </x:c>
      <x:c r="C298" s="223" t="s">
        <x:v>70</x:v>
      </x:c>
      <x:c r="D298" s="223"/>
      <x:c r="E298" s="225" t="n">
        <x:v>63460951.42</x:v>
      </x:c>
      <x:c r="F298" s="225" t="n">
        <x:v>9041231.26</x:v>
      </x:c>
      <x:c r="G298" s="225" t="n">
        <x:v>5072388.55</x:v>
      </x:c>
      <x:c r="H298" s="225" t="n">
        <x:v>1011597.42</x:v>
      </x:c>
      <x:c r="I298" s="225" t="n">
        <x:v>7983360.16</x:v>
      </x:c>
      <x:c r="J298" s="225" t="n">
        <x:v>230579.94</x:v>
      </x:c>
      <x:c r="K298" s="225" t="n">
        <x:v>0</x:v>
      </x:c>
      <x:c r="L298" s="225" t="n">
        <x:v>2199940.9</x:v>
      </x:c>
      <x:c r="M298" s="225" t="n">
        <x:v>2412632.51</x:v>
      </x:c>
      <x:c r="N298" s="225" t="n">
        <x:v>10659886.97</x:v>
      </x:c>
      <x:c r="O298" s="225" t="n">
        <x:v>24512256.04</x:v>
      </x:c>
      <x:c r="P298" s="225" t="n">
        <x:v>336993.11</x:v>
      </x:c>
      <x:c r="Q298" s="225" t="n">
        <x:v>84.56</x:v>
      </x:c>
      <x:c r="R298" s="224" t="n">
        <x:v>0</x:v>
      </x:c>
    </x:row>
    <x:row r="299" spans="2:18" ht="12.75" customHeight="1" x14ac:dyDescent="0.25">
      <x:c r="C299" s="89"/>
      <x:c r="D299" s="89" t="s">
        <x:v>72</x:v>
      </x:c>
      <x:c r="E299" s="371" t="n">
        <x:v>2277123.28</x:v>
      </x:c>
      <x:c r="F299" s="90" t="n">
        <x:v>152739.62</x:v>
      </x:c>
      <x:c r="G299" s="90" t="n">
        <x:v>87677.85</x:v>
      </x:c>
      <x:c r="H299" s="90" t="n">
        <x:v>38295.05</x:v>
      </x:c>
      <x:c r="I299" s="90" t="n">
        <x:v>554007.76</x:v>
      </x:c>
      <x:c r="J299" s="90" t="n">
        <x:v>14388.41</x:v>
      </x:c>
      <x:c r="K299" s="90" t="n">
        <x:v>0</x:v>
      </x:c>
      <x:c r="L299" s="90" t="n">
        <x:v>147147.27</x:v>
      </x:c>
      <x:c r="M299" s="90" t="n">
        <x:v>179783.34</x:v>
      </x:c>
      <x:c r="N299" s="90" t="n">
        <x:v>665128.14</x:v>
      </x:c>
      <x:c r="O299" s="90" t="n">
        <x:v>417327.57</x:v>
      </x:c>
      <x:c r="P299" s="90" t="n">
        <x:v>20628.34</x:v>
      </x:c>
      <x:c r="Q299" s="90" t="n">
        <x:v>-0.07</x:v>
      </x:c>
      <x:c r="R299" t="n">
        <x:v>0</x:v>
      </x:c>
    </x:row>
    <x:row r="300" spans="2:18" ht="12.75" customHeight="1" x14ac:dyDescent="0.25">
      <x:c r="C300" s="89"/>
      <x:c r="D300" s="89" t="s">
        <x:v>81</x:v>
      </x:c>
      <x:c r="E300" s="371" t="n">
        <x:v>-10387.44</x:v>
      </x:c>
      <x:c r="F300" s="90" t="n">
        <x:v>1.9</x:v>
      </x:c>
      <x:c r="G300" s="90" t="n">
        <x:v>1.07</x:v>
      </x:c>
      <x:c r="H300" s="90" t="n">
        <x:v>0.57</x:v>
      </x:c>
      <x:c r="I300" s="90" t="n">
        <x:v>4.54</x:v>
      </x:c>
      <x:c r="J300" s="90" t="n">
        <x:v>0.19</x:v>
      </x:c>
      <x:c r="K300" s="90" t="n">
        <x:v>0</x:v>
      </x:c>
      <x:c r="L300" s="90" t="n">
        <x:v>1.71</x:v>
      </x:c>
      <x:c r="M300" s="90" t="n">
        <x:v>1.68</x:v>
      </x:c>
      <x:c r="N300" s="90" t="n">
        <x:v>-10404.47</x:v>
      </x:c>
      <x:c r="O300" s="90" t="n">
        <x:v>5.05</x:v>
      </x:c>
      <x:c r="P300" s="90" t="n">
        <x:v>0.32</x:v>
      </x:c>
      <x:c r="Q300" s="90" t="n">
        <x:v>0</x:v>
      </x:c>
      <x:c r="R300" t="n">
        <x:v>0</x:v>
      </x:c>
    </x:row>
    <x:row r="301" spans="2:18" ht="12.75" customHeight="1" x14ac:dyDescent="0.25">
      <x:c r="C301" s="89" t="s">
        <x:v>82</x:v>
      </x:c>
      <x:c r="D301" s="89" t="s">
        <x:v>70</x:v>
      </x:c>
      <x:c r="E301" s="371" t="n">
        <x:v>2266735.84</x:v>
      </x:c>
      <x:c r="F301" s="90" t="n">
        <x:v>152741.52</x:v>
      </x:c>
      <x:c r="G301" s="90" t="n">
        <x:v>87678.92</x:v>
      </x:c>
      <x:c r="H301" s="90" t="n">
        <x:v>38295.62</x:v>
      </x:c>
      <x:c r="I301" s="90" t="n">
        <x:v>554012.3</x:v>
      </x:c>
      <x:c r="J301" s="90" t="n">
        <x:v>14388.6</x:v>
      </x:c>
      <x:c r="K301" s="90" t="n">
        <x:v>0</x:v>
      </x:c>
      <x:c r="L301" s="90" t="n">
        <x:v>147148.98</x:v>
      </x:c>
      <x:c r="M301" s="90" t="n">
        <x:v>179785.02</x:v>
      </x:c>
      <x:c r="N301" s="90" t="n">
        <x:v>654723.67</x:v>
      </x:c>
      <x:c r="O301" s="90" t="n">
        <x:v>417332.62</x:v>
      </x:c>
      <x:c r="P301" s="90" t="n">
        <x:v>20628.66</x:v>
      </x:c>
      <x:c r="Q301" s="90" t="n">
        <x:v>-0.07</x:v>
      </x:c>
      <x:c r="R301" t="n">
        <x:v>0</x:v>
      </x:c>
    </x:row>
    <x:row r="302" spans="2:18" ht="12.75" customHeight="1" x14ac:dyDescent="0.25">
      <x:c r="C302" s="89"/>
      <x:c r="D302" s="89" t="s">
        <x:v>72</x:v>
      </x:c>
      <x:c r="E302" s="371" t="n">
        <x:v>17823216.4</x:v>
      </x:c>
      <x:c r="F302" s="90" t="n">
        <x:v>1523087.01</x:v>
      </x:c>
      <x:c r="G302" s="90" t="n">
        <x:v>848548.71</x:v>
      </x:c>
      <x:c r="H302" s="90" t="n">
        <x:v>462824.84</x:v>
      </x:c>
      <x:c r="I302" s="90" t="n">
        <x:v>2992961.48</x:v>
      </x:c>
      <x:c r="J302" s="90" t="n">
        <x:v>133872.67</x:v>
      </x:c>
      <x:c r="K302" s="90" t="n">
        <x:v>0</x:v>
      </x:c>
      <x:c r="L302" s="90" t="n">
        <x:v>965569.75</x:v>
      </x:c>
      <x:c r="M302" s="90" t="n">
        <x:v>960588.18</x:v>
      </x:c>
      <x:c r="N302" s="90" t="n">
        <x:v>5618487.4</x:v>
      </x:c>
      <x:c r="O302" s="90" t="n">
        <x:v>4104888.6</x:v>
      </x:c>
      <x:c r="P302" s="90" t="n">
        <x:v>212352.11</x:v>
      </x:c>
      <x:c r="Q302" s="90" t="n">
        <x:v>35.65</x:v>
      </x:c>
      <x:c r="R302" t="n">
        <x:v>0</x:v>
      </x:c>
    </x:row>
    <x:row r="303" spans="2:18" ht="12.75" customHeight="1" x14ac:dyDescent="0.25">
      <x:c r="C303" s="89"/>
      <x:c r="D303" s="89" t="s">
        <x:v>81</x:v>
      </x:c>
      <x:c r="E303" s="371" t="n">
        <x:v>-46587.5</x:v>
      </x:c>
      <x:c r="F303" s="90" t="n">
        <x:v>1483</x:v>
      </x:c>
      <x:c r="G303" s="90" t="n">
        <x:v>717.39</x:v>
      </x:c>
      <x:c r="H303" s="90" t="n">
        <x:v>339.69</x:v>
      </x:c>
      <x:c r="I303" s="90" t="n">
        <x:v>5293.47</x:v>
      </x:c>
      <x:c r="J303" s="90" t="n">
        <x:v>169.6</x:v>
      </x:c>
      <x:c r="K303" s="90" t="n">
        <x:v>0</x:v>
      </x:c>
      <x:c r="L303" s="90" t="n">
        <x:v>1488.2</x:v>
      </x:c>
      <x:c r="M303" s="90" t="n">
        <x:v>1776.19</x:v>
      </x:c>
      <x:c r="N303" s="90" t="n">
        <x:v>-62026.43</x:v>
      </x:c>
      <x:c r="O303" s="90" t="n">
        <x:v>3894.77</x:v>
      </x:c>
      <x:c r="P303" s="90" t="n">
        <x:v>276.56</x:v>
      </x:c>
      <x:c r="Q303" s="90" t="n">
        <x:v>0.06</x:v>
      </x:c>
      <x:c r="R303" t="n">
        <x:v>0</x:v>
      </x:c>
    </x:row>
    <x:row r="304" spans="2:18" ht="12.75" customHeight="1" x14ac:dyDescent="0.25">
      <x:c r="C304" s="89" t="s">
        <x:v>86</x:v>
      </x:c>
      <x:c r="D304" s="89" t="s">
        <x:v>70</x:v>
      </x:c>
      <x:c r="E304" s="371" t="n">
        <x:v>17776628.9</x:v>
      </x:c>
      <x:c r="F304" s="90" t="n">
        <x:v>1524570.01</x:v>
      </x:c>
      <x:c r="G304" s="90" t="n">
        <x:v>849266.1</x:v>
      </x:c>
      <x:c r="H304" s="90" t="n">
        <x:v>463164.53</x:v>
      </x:c>
      <x:c r="I304" s="90" t="n">
        <x:v>2998254.95</x:v>
      </x:c>
      <x:c r="J304" s="90" t="n">
        <x:v>134042.27</x:v>
      </x:c>
      <x:c r="K304" s="90" t="n">
        <x:v>0</x:v>
      </x:c>
      <x:c r="L304" s="90" t="n">
        <x:v>967057.95</x:v>
      </x:c>
      <x:c r="M304" s="90" t="n">
        <x:v>962364.37</x:v>
      </x:c>
      <x:c r="N304" s="90" t="n">
        <x:v>5556460.97</x:v>
      </x:c>
      <x:c r="O304" s="90" t="n">
        <x:v>4108783.37</x:v>
      </x:c>
      <x:c r="P304" s="90" t="n">
        <x:v>212628.67</x:v>
      </x:c>
      <x:c r="Q304" s="90" t="n">
        <x:v>35.71</x:v>
      </x:c>
      <x:c r="R304" t="n">
        <x:v>0</x:v>
      </x:c>
    </x:row>
    <x:row r="305" spans="1:18" ht="12.75" customHeight="1" x14ac:dyDescent="0.25">
      <x:c r="C305" s="89"/>
      <x:c r="D305" s="89" t="s">
        <x:v>72</x:v>
      </x:c>
      <x:c r="E305" s="371" t="n">
        <x:v>13787623.17</x:v>
      </x:c>
      <x:c r="F305" s="90" t="n">
        <x:v>1736916.2</x:v>
      </x:c>
      <x:c r="G305" s="90" t="n">
        <x:v>917147.14</x:v>
      </x:c>
      <x:c r="H305" s="90" t="n">
        <x:v>417543.06</x:v>
      </x:c>
      <x:c r="I305" s="90" t="n">
        <x:v>1703135.96</x:v>
      </x:c>
      <x:c r="J305" s="90" t="n">
        <x:v>49848.3</x:v>
      </x:c>
      <x:c r="K305" s="90" t="n">
        <x:v>0</x:v>
      </x:c>
      <x:c r="L305" s="90" t="n">
        <x:v>466832.57</x:v>
      </x:c>
      <x:c r="M305" s="90" t="n">
        <x:v>613137.32</x:v>
      </x:c>
      <x:c r="N305" s="90" t="n">
        <x:v>3103461.76</x:v>
      </x:c>
      <x:c r="O305" s="90" t="n">
        <x:v>4698151.27</x:v>
      </x:c>
      <x:c r="P305" s="90" t="n">
        <x:v>81479.96</x:v>
      </x:c>
      <x:c r="Q305" s="90" t="n">
        <x:v>-30.37</x:v>
      </x:c>
      <x:c r="R305" t="n">
        <x:v>0</x:v>
      </x:c>
    </x:row>
    <x:row r="306" spans="1:18" ht="12.75" customHeight="1" x14ac:dyDescent="0.25">
      <x:c r="C306" s="89"/>
      <x:c r="D306" s="89" t="s">
        <x:v>81</x:v>
      </x:c>
      <x:c r="E306" s="371" t="n">
        <x:v>-32280.94</x:v>
      </x:c>
      <x:c r="F306" s="90" t="n">
        <x:v>60.61</x:v>
      </x:c>
      <x:c r="G306" s="90" t="n">
        <x:v>33.97</x:v>
      </x:c>
      <x:c r="H306" s="90" t="n">
        <x:v>18.12</x:v>
      </x:c>
      <x:c r="I306" s="90" t="n">
        <x:v>181.51</x:v>
      </x:c>
      <x:c r="J306" s="90" t="n">
        <x:v>4.47</x:v>
      </x:c>
      <x:c r="K306" s="90" t="n">
        <x:v>0</x:v>
      </x:c>
      <x:c r="L306" s="90" t="n">
        <x:v>38.98</x:v>
      </x:c>
      <x:c r="M306" s="90" t="n">
        <x:v>56.44</x:v>
      </x:c>
      <x:c r="N306" s="90" t="n">
        <x:v>-32843.92</x:v>
      </x:c>
      <x:c r="O306" s="90" t="n">
        <x:v>161.6</x:v>
      </x:c>
      <x:c r="P306" s="90" t="n">
        <x:v>7.28</x:v>
      </x:c>
      <x:c r="Q306" s="90" t="n">
        <x:v>0</x:v>
      </x:c>
      <x:c r="R306" t="n">
        <x:v>0</x:v>
      </x:c>
    </x:row>
    <x:row r="307" spans="1:18" ht="12.75" customHeight="1" x14ac:dyDescent="0.25">
      <x:c r="A307" s="89"/>
      <x:c r="B307" s="89"/>
      <x:c r="C307" t="s">
        <x:v>87</x:v>
      </x:c>
      <x:c r="D307" t="s">
        <x:v>70</x:v>
      </x:c>
      <x:c r="E307" s="90" t="n">
        <x:v>13755342.23</x:v>
      </x:c>
      <x:c r="F307" s="90" t="n">
        <x:v>1736976.81</x:v>
      </x:c>
      <x:c r="G307" s="90" t="n">
        <x:v>917181.11</x:v>
      </x:c>
      <x:c r="H307" s="90" t="n">
        <x:v>417561.18</x:v>
      </x:c>
      <x:c r="I307" s="90" t="n">
        <x:v>1703317.47</x:v>
      </x:c>
      <x:c r="J307" s="90" t="n">
        <x:v>49852.77</x:v>
      </x:c>
      <x:c r="K307" s="90" t="n">
        <x:v>0</x:v>
      </x:c>
      <x:c r="L307" s="90" t="n">
        <x:v>466871.55</x:v>
      </x:c>
      <x:c r="M307" s="90" t="n">
        <x:v>613193.76</x:v>
      </x:c>
      <x:c r="N307" s="90" t="n">
        <x:v>3070617.84</x:v>
      </x:c>
      <x:c r="O307" s="90" t="n">
        <x:v>4698312.87</x:v>
      </x:c>
      <x:c r="P307" s="90" t="n">
        <x:v>81487.24</x:v>
      </x:c>
      <x:c r="Q307" s="90" t="n">
        <x:v>-30.37</x:v>
      </x:c>
      <x:c r="R307" t="n">
        <x:v>0</x:v>
      </x:c>
    </x:row>
    <x:row r="308" spans="1:18" s="94" customFormat="1" ht="12.75" customHeight="1" x14ac:dyDescent="0.25">
      <x:c r="B308" s="101" t="s">
        <x:v>119</x:v>
      </x:c>
      <x:c r="C308" s="101" t="s">
        <x:v>70</x:v>
      </x:c>
      <x:c r="E308" s="93" t="n">
        <x:v>33798706.97</x:v>
      </x:c>
      <x:c r="F308" s="93" t="n">
        <x:v>3414288.34</x:v>
      </x:c>
      <x:c r="G308" s="93" t="n">
        <x:v>1854126.13</x:v>
      </x:c>
      <x:c r="H308" s="93" t="n">
        <x:v>919021.33</x:v>
      </x:c>
      <x:c r="I308" s="93" t="n">
        <x:v>5255584.72</x:v>
      </x:c>
      <x:c r="J308" s="93" t="n">
        <x:v>198283.64</x:v>
      </x:c>
      <x:c r="K308" s="93" t="n">
        <x:v>0</x:v>
      </x:c>
      <x:c r="L308" s="93" t="n">
        <x:v>1581078.48</x:v>
      </x:c>
      <x:c r="M308" s="93" t="n">
        <x:v>1755343.15</x:v>
      </x:c>
      <x:c r="N308" s="93" t="n">
        <x:v>9281802.48</x:v>
      </x:c>
      <x:c r="O308" s="93" t="n">
        <x:v>9224428.86</x:v>
      </x:c>
      <x:c r="P308" s="93" t="n">
        <x:v>314744.57</x:v>
      </x:c>
      <x:c r="Q308" s="93" t="n">
        <x:v>5.27</x:v>
      </x:c>
      <x:c r="R308" s="94" t="n">
        <x:v>0</x:v>
      </x:c>
    </x:row>
    <x:row r="309" spans="1:18" s="226" customFormat="1" ht="12.75" customHeight="1" x14ac:dyDescent="0.25">
      <x:c r="A309" s="98" t="s">
        <x:v>78</x:v>
      </x:c>
      <x:c r="B309" s="98" t="s">
        <x:v>70</x:v>
      </x:c>
      <x:c r="E309" s="100" t="n">
        <x:v>173171032.71</x:v>
      </x:c>
      <x:c r="F309" s="100" t="n">
        <x:v>16099105.31</x:v>
      </x:c>
      <x:c r="G309" s="100" t="n">
        <x:v>9061043.19</x:v>
      </x:c>
      <x:c r="H309" s="100" t="n">
        <x:v>2852946.06</x:v>
      </x:c>
      <x:c r="I309" s="100" t="n">
        <x:v>32340245.82</x:v>
      </x:c>
      <x:c r="J309" s="100" t="n">
        <x:v>1124253.03</x:v>
      </x:c>
      <x:c r="K309" s="100" t="n">
        <x:v>0</x:v>
      </x:c>
      <x:c r="L309" s="100" t="n">
        <x:v>9787993.93</x:v>
      </x:c>
      <x:c r="M309" s="100" t="n">
        <x:v>10109598.3</x:v>
      </x:c>
      <x:c r="N309" s="100" t="n">
        <x:v>46326513.08</x:v>
      </x:c>
      <x:c r="O309" s="100" t="n">
        <x:v>43710041.66</x:v>
      </x:c>
      <x:c r="P309" s="100" t="n">
        <x:v>1759287.77</x:v>
      </x:c>
      <x:c r="Q309" s="100" t="n">
        <x:v>4.56</x:v>
      </x:c>
      <x:c r="R309" s="226" t="n">
        <x:v>0</x:v>
      </x:c>
    </x:row>
    <x:row r="310" spans="1:18" ht="12.75" customHeight="1" x14ac:dyDescent="0.25">
      <x:c r="B310" s="89"/>
      <x:c r="C310" s="89"/>
      <x:c r="D310" t="s">
        <x:v>73</x:v>
      </x:c>
      <x:c r="E310" s="371" t="n">
        <x:v>-15136443.21</x:v>
      </x:c>
      <x:c r="F310" s="90" t="n">
        <x:v>-369511.1</x:v>
      </x:c>
      <x:c r="G310" s="90" t="n">
        <x:v>-227710.81</x:v>
      </x:c>
      <x:c r="H310" s="90" t="n">
        <x:v>-126803.1</x:v>
      </x:c>
      <x:c r="I310" s="90" t="n">
        <x:v>-4033648.5</x:v>
      </x:c>
      <x:c r="J310" s="90" t="n">
        <x:v>-147379.69</x:v>
      </x:c>
      <x:c r="K310" s="90" t="n">
        <x:v>0</x:v>
      </x:c>
      <x:c r="L310" s="90" t="n">
        <x:v>-1289953.2</x:v>
      </x:c>
      <x:c r="M310" s="90" t="n">
        <x:v>-1256717.02</x:v>
      </x:c>
      <x:c r="N310" s="90" t="n">
        <x:v>-6507002.75</x:v>
      </x:c>
      <x:c r="O310" s="90" t="n">
        <x:v>-933290.3</x:v>
      </x:c>
      <x:c r="P310" s="90" t="n">
        <x:v>-244426.74</x:v>
      </x:c>
      <x:c r="Q310" s="90" t="n">
        <x:v>0</x:v>
      </x:c>
      <x:c r="R310" t="n">
        <x:v>0</x:v>
      </x:c>
    </x:row>
    <x:row r="311" spans="1:18" ht="12.75" customHeight="1" x14ac:dyDescent="0.25">
      <x:c r="B311" s="89"/>
      <x:c r="C311" s="89" t="s">
        <x:v>156</x:v>
      </x:c>
      <x:c r="D311" t="s">
        <x:v>70</x:v>
      </x:c>
      <x:c r="E311" s="371" t="n">
        <x:v>-15136443.21</x:v>
      </x:c>
      <x:c r="F311" s="90" t="n">
        <x:v>-369511.1</x:v>
      </x:c>
      <x:c r="G311" s="90" t="n">
        <x:v>-227710.81</x:v>
      </x:c>
      <x:c r="H311" s="90" t="n">
        <x:v>-126803.1</x:v>
      </x:c>
      <x:c r="I311" s="90" t="n">
        <x:v>-4033648.5</x:v>
      </x:c>
      <x:c r="J311" s="90" t="n">
        <x:v>-147379.69</x:v>
      </x:c>
      <x:c r="K311" s="90" t="n">
        <x:v>0</x:v>
      </x:c>
      <x:c r="L311" s="90" t="n">
        <x:v>-1289953.2</x:v>
      </x:c>
      <x:c r="M311" s="90" t="n">
        <x:v>-1256717.02</x:v>
      </x:c>
      <x:c r="N311" s="90" t="n">
        <x:v>-6507002.75</x:v>
      </x:c>
      <x:c r="O311" s="90" t="n">
        <x:v>-933290.3</x:v>
      </x:c>
      <x:c r="P311" s="90" t="n">
        <x:v>-244426.74</x:v>
      </x:c>
      <x:c r="Q311" s="90" t="n">
        <x:v>0</x:v>
      </x:c>
      <x:c r="R311" t="n">
        <x:v>0</x:v>
      </x:c>
    </x:row>
    <x:row r="312" spans="1:18" s="286" customFormat="1" ht="12.75" customHeight="1" x14ac:dyDescent="0.25">
      <x:c r="B312" s="229" t="s">
        <x:v>155</x:v>
      </x:c>
      <x:c r="C312" s="229" t="s">
        <x:v>70</x:v>
      </x:c>
      <x:c r="E312" s="752" t="n">
        <x:v>-15136443.21</x:v>
      </x:c>
      <x:c r="F312" s="230" t="n">
        <x:v>-369511.1</x:v>
      </x:c>
      <x:c r="G312" s="230" t="n">
        <x:v>-227710.81</x:v>
      </x:c>
      <x:c r="H312" s="230" t="n">
        <x:v>-126803.1</x:v>
      </x:c>
      <x:c r="I312" s="230" t="n">
        <x:v>-4033648.5</x:v>
      </x:c>
      <x:c r="J312" s="230" t="n">
        <x:v>-147379.69</x:v>
      </x:c>
      <x:c r="K312" s="230" t="n">
        <x:v>0</x:v>
      </x:c>
      <x:c r="L312" s="230" t="n">
        <x:v>-1289953.2</x:v>
      </x:c>
      <x:c r="M312" s="230" t="n">
        <x:v>-1256717.02</x:v>
      </x:c>
      <x:c r="N312" s="230" t="n">
        <x:v>-6507002.75</x:v>
      </x:c>
      <x:c r="O312" s="230" t="n">
        <x:v>-933290.3</x:v>
      </x:c>
      <x:c r="P312" s="230" t="n">
        <x:v>-244426.74</x:v>
      </x:c>
      <x:c r="Q312" s="230" t="n">
        <x:v>0</x:v>
      </x:c>
      <x:c r="R312" s="286" t="n">
        <x:v>0</x:v>
      </x:c>
    </x:row>
    <x:row r="313" spans="1:18" ht="12.75" customHeight="1" x14ac:dyDescent="0.25">
      <x:c r="B313" s="89"/>
      <x:c r="C313" s="89"/>
      <x:c r="D313" t="s">
        <x:v>73</x:v>
      </x:c>
      <x:c r="E313" s="371" t="n">
        <x:v>-1043741.98</x:v>
      </x:c>
      <x:c r="F313" s="90" t="n">
        <x:v>-14192.02</x:v>
      </x:c>
      <x:c r="G313" s="90" t="n">
        <x:v>-10774.43</x:v>
      </x:c>
      <x:c r="H313" s="90" t="n">
        <x:v>-10859.18</x:v>
      </x:c>
      <x:c r="I313" s="90" t="n">
        <x:v>-330949.89</x:v>
      </x:c>
      <x:c r="J313" s="90" t="n">
        <x:v>-7903.04</x:v>
      </x:c>
      <x:c r="K313" s="90" t="n">
        <x:v>0</x:v>
      </x:c>
      <x:c r="L313" s="90" t="n">
        <x:v>-70303.88</x:v>
      </x:c>
      <x:c r="M313" s="90" t="n">
        <x:v>-94909.58</x:v>
      </x:c>
      <x:c r="N313" s="90" t="n">
        <x:v>-462724.97</x:v>
      </x:c>
      <x:c r="O313" s="90" t="n">
        <x:v>-28052.96</x:v>
      </x:c>
      <x:c r="P313" s="90" t="n">
        <x:v>-13072.03</x:v>
      </x:c>
      <x:c r="Q313" s="90" t="n">
        <x:v>0</x:v>
      </x:c>
      <x:c r="R313" t="n">
        <x:v>0</x:v>
      </x:c>
    </x:row>
    <x:row r="314" spans="1:18" ht="12.75" customHeight="1" x14ac:dyDescent="0.25">
      <x:c r="B314" s="89"/>
      <x:c r="C314" s="89" t="s">
        <x:v>115</x:v>
      </x:c>
      <x:c r="D314" t="s">
        <x:v>70</x:v>
      </x:c>
      <x:c r="E314" s="371" t="n">
        <x:v>-1043741.98</x:v>
      </x:c>
      <x:c r="F314" s="90" t="n">
        <x:v>-14192.02</x:v>
      </x:c>
      <x:c r="G314" s="90" t="n">
        <x:v>-10774.43</x:v>
      </x:c>
      <x:c r="H314" s="90" t="n">
        <x:v>-10859.18</x:v>
      </x:c>
      <x:c r="I314" s="90" t="n">
        <x:v>-330949.89</x:v>
      </x:c>
      <x:c r="J314" s="90" t="n">
        <x:v>-7903.04</x:v>
      </x:c>
      <x:c r="K314" s="90" t="n">
        <x:v>0</x:v>
      </x:c>
      <x:c r="L314" s="90" t="n">
        <x:v>-70303.88</x:v>
      </x:c>
      <x:c r="M314" s="90" t="n">
        <x:v>-94909.58</x:v>
      </x:c>
      <x:c r="N314" s="90" t="n">
        <x:v>-462724.97</x:v>
      </x:c>
      <x:c r="O314" s="90" t="n">
        <x:v>-28052.96</x:v>
      </x:c>
      <x:c r="P314" s="90" t="n">
        <x:v>-13072.03</x:v>
      </x:c>
      <x:c r="Q314" s="90" t="n">
        <x:v>0</x:v>
      </x:c>
      <x:c r="R314" t="n">
        <x:v>0</x:v>
      </x:c>
    </x:row>
    <x:row r="315" spans="1:18" ht="12.75" customHeight="1" x14ac:dyDescent="0.25">
      <x:c r="B315" s="89"/>
      <x:c r="C315" s="89"/>
      <x:c r="D315" t="s">
        <x:v>73</x:v>
      </x:c>
      <x:c r="E315" s="371" t="n">
        <x:v>409790.29</x:v>
      </x:c>
      <x:c r="F315" s="90" t="n">
        <x:v>71510.58</x:v>
      </x:c>
      <x:c r="G315" s="90" t="n">
        <x:v>40399.27</x:v>
      </x:c>
      <x:c r="H315" s="90" t="n">
        <x:v>20582.1</x:v>
      </x:c>
      <x:c r="I315" s="90" t="n">
        <x:v>26016.28</x:v>
      </x:c>
      <x:c r="J315" s="90" t="n">
        <x:v>512.45</x:v>
      </x:c>
      <x:c r="K315" s="90" t="n">
        <x:v>0</x:v>
      </x:c>
      <x:c r="L315" s="90" t="n">
        <x:v>4821.18</x:v>
      </x:c>
      <x:c r="M315" s="90" t="n">
        <x:v>7956.37</x:v>
      </x:c>
      <x:c r="N315" s="90" t="n">
        <x:v>47274.38</x:v>
      </x:c>
      <x:c r="O315" s="90" t="n">
        <x:v>190253.72</x:v>
      </x:c>
      <x:c r="P315" s="90" t="n">
        <x:v>463.96</x:v>
      </x:c>
      <x:c r="Q315" s="90" t="n">
        <x:v>0</x:v>
      </x:c>
      <x:c r="R315" t="n">
        <x:v>0</x:v>
      </x:c>
    </x:row>
    <x:row r="316" spans="1:18" ht="12.75" customHeight="1" x14ac:dyDescent="0.25">
      <x:c r="B316" s="89"/>
      <x:c r="C316" s="89" t="s">
        <x:v>116</x:v>
      </x:c>
      <x:c r="D316" t="s">
        <x:v>70</x:v>
      </x:c>
      <x:c r="E316" s="371" t="n">
        <x:v>409790.29</x:v>
      </x:c>
      <x:c r="F316" s="90" t="n">
        <x:v>71510.58</x:v>
      </x:c>
      <x:c r="G316" s="90" t="n">
        <x:v>40399.27</x:v>
      </x:c>
      <x:c r="H316" s="90" t="n">
        <x:v>20582.1</x:v>
      </x:c>
      <x:c r="I316" s="90" t="n">
        <x:v>26016.28</x:v>
      </x:c>
      <x:c r="J316" s="90" t="n">
        <x:v>512.45</x:v>
      </x:c>
      <x:c r="K316" s="90" t="n">
        <x:v>0</x:v>
      </x:c>
      <x:c r="L316" s="90" t="n">
        <x:v>4821.18</x:v>
      </x:c>
      <x:c r="M316" s="90" t="n">
        <x:v>7956.37</x:v>
      </x:c>
      <x:c r="N316" s="90" t="n">
        <x:v>47274.38</x:v>
      </x:c>
      <x:c r="O316" s="90" t="n">
        <x:v>190253.72</x:v>
      </x:c>
      <x:c r="P316" s="90" t="n">
        <x:v>463.96</x:v>
      </x:c>
      <x:c r="Q316" s="90" t="n">
        <x:v>0</x:v>
      </x:c>
      <x:c r="R316" t="n">
        <x:v>0</x:v>
      </x:c>
    </x:row>
    <x:row r="317" spans="1:18" ht="12.75" customHeight="1" x14ac:dyDescent="0.25">
      <x:c r="B317" s="89"/>
      <x:c r="C317" s="89"/>
      <x:c r="D317" t="s">
        <x:v>73</x:v>
      </x:c>
      <x:c r="E317" s="371" t="n">
        <x:v>-1982195.66</x:v>
      </x:c>
      <x:c r="F317" s="90" t="n">
        <x:v>-22977.42</x:v>
      </x:c>
      <x:c r="G317" s="90" t="n">
        <x:v>-17204.09</x:v>
      </x:c>
      <x:c r="H317" s="90" t="n">
        <x:v>-9704.72</x:v>
      </x:c>
      <x:c r="I317" s="90" t="n">
        <x:v>-625614.14</x:v>
      </x:c>
      <x:c r="J317" s="90" t="n">
        <x:v>-19604.24</x:v>
      </x:c>
      <x:c r="K317" s="90" t="n">
        <x:v>0</x:v>
      </x:c>
      <x:c r="L317" s="90" t="n">
        <x:v>-164286.15</x:v>
      </x:c>
      <x:c r="M317" s="90" t="n">
        <x:v>-182986.96</x:v>
      </x:c>
      <x:c r="N317" s="90" t="n">
        <x:v>-899171.51</x:v>
      </x:c>
      <x:c r="O317" s="90" t="n">
        <x:v>-7932.64</x:v>
      </x:c>
      <x:c r="P317" s="90" t="n">
        <x:v>-32713.79</x:v>
      </x:c>
      <x:c r="Q317" s="90" t="n">
        <x:v>0</x:v>
      </x:c>
      <x:c r="R317" t="n">
        <x:v>0</x:v>
      </x:c>
    </x:row>
    <x:row r="318" spans="1:18" ht="12.75" customHeight="1" x14ac:dyDescent="0.25">
      <x:c r="B318" s="89"/>
      <x:c r="C318" s="89" t="s">
        <x:v>118</x:v>
      </x:c>
      <x:c r="D318" t="s">
        <x:v>70</x:v>
      </x:c>
      <x:c r="E318" s="371" t="n">
        <x:v>-1982195.66</x:v>
      </x:c>
      <x:c r="F318" s="90" t="n">
        <x:v>-22977.42</x:v>
      </x:c>
      <x:c r="G318" s="90" t="n">
        <x:v>-17204.09</x:v>
      </x:c>
      <x:c r="H318" s="90" t="n">
        <x:v>-9704.72</x:v>
      </x:c>
      <x:c r="I318" s="90" t="n">
        <x:v>-625614.14</x:v>
      </x:c>
      <x:c r="J318" s="90" t="n">
        <x:v>-19604.24</x:v>
      </x:c>
      <x:c r="K318" s="90" t="n">
        <x:v>0</x:v>
      </x:c>
      <x:c r="L318" s="90" t="n">
        <x:v>-164286.15</x:v>
      </x:c>
      <x:c r="M318" s="90" t="n">
        <x:v>-182986.96</x:v>
      </x:c>
      <x:c r="N318" s="90" t="n">
        <x:v>-899171.51</x:v>
      </x:c>
      <x:c r="O318" s="90" t="n">
        <x:v>-7932.64</x:v>
      </x:c>
      <x:c r="P318" s="90" t="n">
        <x:v>-32713.79</x:v>
      </x:c>
      <x:c r="Q318" s="90" t="n">
        <x:v>0</x:v>
      </x:c>
      <x:c r="R318" t="n">
        <x:v>0</x:v>
      </x:c>
    </x:row>
    <x:row r="319" spans="1:18" s="224" customFormat="1" ht="12.75" customHeight="1" x14ac:dyDescent="0.25">
      <x:c r="B319" s="224" t="s">
        <x:v>120</x:v>
      </x:c>
      <x:c r="C319" s="224" t="s">
        <x:v>70</x:v>
      </x:c>
      <x:c r="D319" s="223"/>
      <x:c r="E319" s="225" t="n">
        <x:v>3047417.4</x:v>
      </x:c>
      <x:c r="F319" s="225" t="n">
        <x:v>1355555.49</x:v>
      </x:c>
      <x:c r="G319" s="225" t="n">
        <x:v>760037.54</x:v>
      </x:c>
      <x:c r="H319" s="225" t="n">
        <x:v>398958.5</x:v>
      </x:c>
      <x:c r="I319" s="225" t="n">
        <x:v>-912665.99</x:v>
      </x:c>
      <x:c r="J319" s="225" t="n">
        <x:v>-26555.02</x:v>
      </x:c>
      <x:c r="K319" s="225" t="n">
        <x:v>0</x:v>
      </x:c>
      <x:c r="L319" s="225" t="n">
        <x:v>-225910.86</x:v>
      </x:c>
      <x:c r="M319" s="225" t="n">
        <x:v>-264286.04</x:v>
      </x:c>
      <x:c r="N319" s="225" t="n">
        <x:v>-1286567.34</x:v>
      </x:c>
      <x:c r="O319" s="225" t="n">
        <x:v>3293455.38</x:v>
      </x:c>
      <x:c r="P319" s="225" t="n">
        <x:v>-44604.26</x:v>
      </x:c>
      <x:c r="Q319" s="225" t="n">
        <x:v>0</x:v>
      </x:c>
      <x:c r="R319" s="224" t="n">
        <x:v>0</x:v>
      </x:c>
    </x:row>
    <x:row r="320" spans="1:18" ht="12.75" customHeight="1" x14ac:dyDescent="0.25">
      <x:c r="D320" s="89" t="s">
        <x:v>73</x:v>
      </x:c>
      <x:c r="E320" s="371" t="n">
        <x:v>9692.06</x:v>
      </x:c>
      <x:c r="F320" s="90" t="n">
        <x:v>18576</x:v>
      </x:c>
      <x:c r="G320" s="90" t="n">
        <x:v>10518.42</x:v>
      </x:c>
      <x:c r="H320" s="90" t="n">
        <x:v>4573.71</x:v>
      </x:c>
      <x:c r="I320" s="90" t="n">
        <x:v>-24440.48</x:v>
      </x:c>
      <x:c r="J320" s="90" t="n">
        <x:v>-562.32</x:v>
      </x:c>
      <x:c r="K320" s="90" t="n">
        <x:v>0</x:v>
      </x:c>
      <x:c r="L320" s="90" t="n">
        <x:v>-4141.51</x:v>
      </x:c>
      <x:c r="M320" s="90" t="n">
        <x:v>-6583.19</x:v>
      </x:c>
      <x:c r="N320" s="90" t="n">
        <x:v>-37234</x:v>
      </x:c>
      <x:c r="O320" s="90" t="n">
        <x:v>50301.63</x:v>
      </x:c>
      <x:c r="P320" s="90" t="n">
        <x:v>-1316.2</x:v>
      </x:c>
      <x:c r="Q320" s="90" t="n">
        <x:v>0</x:v>
      </x:c>
      <x:c r="R320" t="n">
        <x:v>0</x:v>
      </x:c>
    </x:row>
    <x:row r="321" spans="1:18" ht="12.75" customHeight="1" x14ac:dyDescent="0.25">
      <x:c r="C321" t="s">
        <x:v>82</x:v>
      </x:c>
      <x:c r="D321" s="89" t="s">
        <x:v>70</x:v>
      </x:c>
      <x:c r="E321" s="371" t="n">
        <x:v>9692.06</x:v>
      </x:c>
      <x:c r="F321" s="90" t="n">
        <x:v>18576</x:v>
      </x:c>
      <x:c r="G321" s="90" t="n">
        <x:v>10518.42</x:v>
      </x:c>
      <x:c r="H321" s="90" t="n">
        <x:v>4573.71</x:v>
      </x:c>
      <x:c r="I321" s="90" t="n">
        <x:v>-24440.48</x:v>
      </x:c>
      <x:c r="J321" s="90" t="n">
        <x:v>-562.32</x:v>
      </x:c>
      <x:c r="K321" s="90" t="n">
        <x:v>0</x:v>
      </x:c>
      <x:c r="L321" s="90" t="n">
        <x:v>-4141.51</x:v>
      </x:c>
      <x:c r="M321" s="90" t="n">
        <x:v>-6583.19</x:v>
      </x:c>
      <x:c r="N321" s="90" t="n">
        <x:v>-37234</x:v>
      </x:c>
      <x:c r="O321" s="90" t="n">
        <x:v>50301.63</x:v>
      </x:c>
      <x:c r="P321" s="90" t="n">
        <x:v>-1316.2</x:v>
      </x:c>
      <x:c r="Q321" s="90" t="n">
        <x:v>0</x:v>
      </x:c>
      <x:c r="R321" t="n">
        <x:v>0</x:v>
      </x:c>
    </x:row>
    <x:row r="322" spans="1:18" ht="12.75" customHeight="1" x14ac:dyDescent="0.25">
      <x:c r="D322" s="89" t="s">
        <x:v>73</x:v>
      </x:c>
      <x:c r="E322" s="371" t="n">
        <x:v>-2115945.87</x:v>
      </x:c>
      <x:c r="F322" s="90" t="n">
        <x:v>-122058.6</x:v>
      </x:c>
      <x:c r="G322" s="90" t="n">
        <x:v>-70601.09</x:v>
      </x:c>
      <x:c r="H322" s="90" t="n">
        <x:v>-36379.54</x:v>
      </x:c>
      <x:c r="I322" s="90" t="n">
        <x:v>-755087.5</x:v>
      </x:c>
      <x:c r="J322" s="90" t="n">
        <x:v>-27028.55</x:v>
      </x:c>
      <x:c r="K322" s="90" t="n">
        <x:v>0</x:v>
      </x:c>
      <x:c r="L322" s="90" t="n">
        <x:v>-232649.91</x:v>
      </x:c>
      <x:c r="M322" s="90" t="n">
        <x:v>-236476.23</x:v>
      </x:c>
      <x:c r="N322" s="90" t="n">
        <x:v>-1214265.58</x:v>
      </x:c>
      <x:c r="O322" s="90" t="n">
        <x:v>622705.67</x:v>
      </x:c>
      <x:c r="P322" s="90" t="n">
        <x:v>-44104.54</x:v>
      </x:c>
      <x:c r="Q322" s="90" t="n">
        <x:v>0</x:v>
      </x:c>
      <x:c r="R322" t="n">
        <x:v>0</x:v>
      </x:c>
    </x:row>
    <x:row r="323" spans="1:18" ht="12.75" customHeight="1" x14ac:dyDescent="0.25">
      <x:c r="C323" t="s">
        <x:v>86</x:v>
      </x:c>
      <x:c r="D323" s="89" t="s">
        <x:v>70</x:v>
      </x:c>
      <x:c r="E323" s="371" t="n">
        <x:v>-2115945.87</x:v>
      </x:c>
      <x:c r="F323" s="90" t="n">
        <x:v>-122058.6</x:v>
      </x:c>
      <x:c r="G323" s="90" t="n">
        <x:v>-70601.09</x:v>
      </x:c>
      <x:c r="H323" s="90" t="n">
        <x:v>-36379.54</x:v>
      </x:c>
      <x:c r="I323" s="90" t="n">
        <x:v>-755087.5</x:v>
      </x:c>
      <x:c r="J323" s="90" t="n">
        <x:v>-27028.55</x:v>
      </x:c>
      <x:c r="K323" s="90" t="n">
        <x:v>0</x:v>
      </x:c>
      <x:c r="L323" s="90" t="n">
        <x:v>-232649.91</x:v>
      </x:c>
      <x:c r="M323" s="90" t="n">
        <x:v>-236476.23</x:v>
      </x:c>
      <x:c r="N323" s="90" t="n">
        <x:v>-1214265.58</x:v>
      </x:c>
      <x:c r="O323" s="90" t="n">
        <x:v>622705.67</x:v>
      </x:c>
      <x:c r="P323" s="90" t="n">
        <x:v>-44104.54</x:v>
      </x:c>
      <x:c r="Q323" s="90" t="n">
        <x:v>0</x:v>
      </x:c>
      <x:c r="R323" t="n">
        <x:v>0</x:v>
      </x:c>
    </x:row>
    <x:row r="324" spans="1:18" ht="12.75" customHeight="1" x14ac:dyDescent="0.25">
      <x:c r="C324" s="89"/>
      <x:c r="D324" s="89" t="s">
        <x:v>73</x:v>
      </x:c>
      <x:c r="E324" s="90" t="n">
        <x:v>2486196.64</x:v>
      </x:c>
      <x:c r="F324" s="90" t="n">
        <x:v>154533.22</x:v>
      </x:c>
      <x:c r="G324" s="90" t="n">
        <x:v>85945.77</x:v>
      </x:c>
      <x:c r="H324" s="90" t="n">
        <x:v>39304.26</x:v>
      </x:c>
      <x:c r="I324" s="90" t="n">
        <x:v>304865</x:v>
      </x:c>
      <x:c r="J324" s="90" t="n">
        <x:v>11493.68</x:v>
      </x:c>
      <x:c r="K324" s="90" t="n">
        <x:v>0</x:v>
      </x:c>
      <x:c r="L324" s="90" t="n">
        <x:v>105978.94</x:v>
      </x:c>
      <x:c r="M324" s="90" t="n">
        <x:v>138622.16</x:v>
      </x:c>
      <x:c r="N324" s="90" t="n">
        <x:v>699474.3</x:v>
      </x:c>
      <x:c r="O324" s="90" t="n">
        <x:v>927281.31</x:v>
      </x:c>
      <x:c r="P324" s="90" t="n">
        <x:v>18698</x:v>
      </x:c>
      <x:c r="Q324" s="90" t="n">
        <x:v>0</x:v>
      </x:c>
      <x:c r="R324" t="n">
        <x:v>0</x:v>
      </x:c>
    </x:row>
    <x:row r="325" spans="1:18" ht="12.75" customHeight="1" x14ac:dyDescent="0.25">
      <x:c r="B325" s="89"/>
      <x:c r="C325" s="89" t="s">
        <x:v>87</x:v>
      </x:c>
      <x:c r="D325" t="s">
        <x:v>70</x:v>
      </x:c>
      <x:c r="E325" s="90" t="n">
        <x:v>2486196.64</x:v>
      </x:c>
      <x:c r="F325" s="90" t="n">
        <x:v>154533.22</x:v>
      </x:c>
      <x:c r="G325" s="90" t="n">
        <x:v>85945.77</x:v>
      </x:c>
      <x:c r="H325" s="90" t="n">
        <x:v>39304.26</x:v>
      </x:c>
      <x:c r="I325" s="90" t="n">
        <x:v>304865</x:v>
      </x:c>
      <x:c r="J325" s="90" t="n">
        <x:v>11493.68</x:v>
      </x:c>
      <x:c r="K325" s="90" t="n">
        <x:v>0</x:v>
      </x:c>
      <x:c r="L325" s="90" t="n">
        <x:v>105978.94</x:v>
      </x:c>
      <x:c r="M325" s="90" t="n">
        <x:v>138622.16</x:v>
      </x:c>
      <x:c r="N325" s="90" t="n">
        <x:v>699474.3</x:v>
      </x:c>
      <x:c r="O325" s="90" t="n">
        <x:v>927281.31</x:v>
      </x:c>
      <x:c r="P325" s="90" t="n">
        <x:v>18698</x:v>
      </x:c>
      <x:c r="Q325" s="90" t="n">
        <x:v>0</x:v>
      </x:c>
      <x:c r="R325" t="n">
        <x:v>0</x:v>
      </x:c>
    </x:row>
    <x:row r="326" spans="1:18" s="94" customFormat="1" ht="12.75" customHeight="1" x14ac:dyDescent="0.25">
      <x:c r="B326" s="101" t="s">
        <x:v>119</x:v>
      </x:c>
      <x:c r="C326" s="101" t="s">
        <x:v>70</x:v>
      </x:c>
      <x:c r="E326" s="93" t="n">
        <x:v>379942.83</x:v>
      </x:c>
      <x:c r="F326" s="93" t="n">
        <x:v>51050.62</x:v>
      </x:c>
      <x:c r="G326" s="93" t="n">
        <x:v>25863.1</x:v>
      </x:c>
      <x:c r="H326" s="93" t="n">
        <x:v>7498.43</x:v>
      </x:c>
      <x:c r="I326" s="93" t="n">
        <x:v>-474662.98</x:v>
      </x:c>
      <x:c r="J326" s="93" t="n">
        <x:v>-16097.19</x:v>
      </x:c>
      <x:c r="K326" s="93" t="n">
        <x:v>0</x:v>
      </x:c>
      <x:c r="L326" s="93" t="n">
        <x:v>-130812.48</x:v>
      </x:c>
      <x:c r="M326" s="93" t="n">
        <x:v>-104437.26</x:v>
      </x:c>
      <x:c r="N326" s="93" t="n">
        <x:v>-552025.28</x:v>
      </x:c>
      <x:c r="O326" s="93" t="n">
        <x:v>1600288.61</x:v>
      </x:c>
      <x:c r="P326" s="93" t="n">
        <x:v>-26722.74</x:v>
      </x:c>
      <x:c r="Q326" s="93" t="n">
        <x:v>0</x:v>
      </x:c>
      <x:c r="R326" s="94" t="n">
        <x:v>0</x:v>
      </x:c>
    </x:row>
    <x:row r="327" spans="1:18" s="226" customFormat="1" ht="12.75" customHeight="1" x14ac:dyDescent="0.25">
      <x:c r="A327" s="98" t="s">
        <x:v>79</x:v>
      </x:c>
      <x:c r="B327" s="98" t="s">
        <x:v>70</x:v>
      </x:c>
      <x:c r="E327" s="100" t="n">
        <x:v>-11709082.98</x:v>
      </x:c>
      <x:c r="F327" s="100" t="n">
        <x:v>1037095.01</x:v>
      </x:c>
      <x:c r="G327" s="100" t="n">
        <x:v>558189.83</x:v>
      </x:c>
      <x:c r="H327" s="100" t="n">
        <x:v>279653.83</x:v>
      </x:c>
      <x:c r="I327" s="100" t="n">
        <x:v>-5420977.47</x:v>
      </x:c>
      <x:c r="J327" s="100" t="n">
        <x:v>-190031.9</x:v>
      </x:c>
      <x:c r="K327" s="100" t="n">
        <x:v>0</x:v>
      </x:c>
      <x:c r="L327" s="100" t="n">
        <x:v>-1646676.54</x:v>
      </x:c>
      <x:c r="M327" s="100" t="n">
        <x:v>-1625440.32</x:v>
      </x:c>
      <x:c r="N327" s="100" t="n">
        <x:v>-8345595.37</x:v>
      </x:c>
      <x:c r="O327" s="100" t="n">
        <x:v>3960453.69</x:v>
      </x:c>
      <x:c r="P327" s="100" t="n">
        <x:v>-315753.74</x:v>
      </x:c>
      <x:c r="Q327" s="100" t="n">
        <x:v>0</x:v>
      </x:c>
      <x:c r="R327" s="226" t="n">
        <x:v>0</x:v>
      </x:c>
    </x:row>
    <x:row r="328" spans="1:18" ht="12.75" customHeight="1" x14ac:dyDescent="0.25">
      <x:c r="A328" s="89" t="s">
        <x:v>70</x:v>
      </x:c>
      <x:c r="E328" s="90" t="n">
        <x:v>161461949.73</x:v>
      </x:c>
      <x:c r="F328" s="90" t="n">
        <x:v>17136200.32</x:v>
      </x:c>
      <x:c r="G328" s="90" t="n">
        <x:v>9619233.02</x:v>
      </x:c>
      <x:c r="H328" s="90" t="n">
        <x:v>3132599.89</x:v>
      </x:c>
      <x:c r="I328" s="90" t="n">
        <x:v>26919268.35</x:v>
      </x:c>
      <x:c r="J328" s="90" t="n">
        <x:v>934221.13</x:v>
      </x:c>
      <x:c r="K328" s="90" t="n">
        <x:v>0</x:v>
      </x:c>
      <x:c r="L328" s="90" t="n">
        <x:v>8141317.39</x:v>
      </x:c>
      <x:c r="M328" s="90" t="n">
        <x:v>8484157.98</x:v>
      </x:c>
      <x:c r="N328" s="90" t="n">
        <x:v>37980917.71</x:v>
      </x:c>
      <x:c r="O328" s="90" t="n">
        <x:v>47670495.35</x:v>
      </x:c>
      <x:c r="P328" s="90" t="n">
        <x:v>1443534.03</x:v>
      </x:c>
      <x:c r="Q328" s="90" t="n">
        <x:v>4.56</x:v>
      </x:c>
      <x:c r="R328" t="n">
        <x:v>0</x:v>
      </x:c>
    </x:row>
    <x:row r="329" spans="1:18" ht="12.75" customHeight="1" x14ac:dyDescent="0.25">
      <x:c r="C329" s="89"/>
      <x:c r="D329" s="89"/>
      <x:c r="E329" s="90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</x:row>
    <x:row r="330" spans="1:18" ht="12.75" customHeight="1" x14ac:dyDescent="0.25">
      <x:c r="C330" s="89"/>
      <x:c r="D330" s="89"/>
      <x:c r="E330" s="90"/>
      <x:c r="F330" s="90"/>
      <x:c r="G330" s="90"/>
      <x:c r="H330" s="90"/>
      <x:c r="I330" s="90"/>
      <x:c r="J330" s="90"/>
      <x:c r="K330" s="90"/>
      <x:c r="L330" s="90"/>
      <x:c r="M330" s="90"/>
      <x:c r="N330" s="90"/>
      <x:c r="O330" s="90"/>
      <x:c r="P330" s="90"/>
      <x:c r="Q330" s="90"/>
    </x:row>
    <x:row r="331" spans="1:18" ht="12.75" hidden="1" customHeight="1" x14ac:dyDescent="0.25">
      <x:c r="C331" s="89"/>
      <x:c r="D331" s="89"/>
      <x:c r="E331" s="90"/>
      <x:c r="F331" s="90"/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</x:row>
    <x:row r="332" spans="1:18" ht="12.75" hidden="1" customHeight="1" x14ac:dyDescent="0.25">
      <x:c r="C332" s="89"/>
      <x:c r="D332" s="89"/>
      <x:c r="E332" s="90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</x:row>
    <x:row r="333" spans="1:18" ht="12.75" hidden="1" customHeight="1" x14ac:dyDescent="0.25">
      <x:c r="C333" s="89"/>
      <x:c r="D333" s="89"/>
      <x:c r="E333" s="90"/>
      <x:c r="F333" s="90"/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</x:row>
    <x:row r="334" spans="1:18" ht="12.75" hidden="1" customHeight="1" x14ac:dyDescent="0.25">
      <x:c r="C334" s="89"/>
      <x:c r="D334" s="89"/>
      <x:c r="E334" s="90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</x:row>
    <x:row r="335" spans="1:18" ht="12.75" hidden="1" customHeight="1" x14ac:dyDescent="0.25">
      <x:c r="C335" s="89"/>
      <x:c r="D335" s="89"/>
      <x:c r="E335" s="90"/>
      <x:c r="F335" s="90"/>
      <x:c r="G335" s="90"/>
      <x:c r="H335" s="90"/>
      <x:c r="I335" s="90"/>
      <x:c r="J335" s="90"/>
      <x:c r="K335" s="90"/>
      <x:c r="L335" s="90"/>
      <x:c r="M335" s="90"/>
      <x:c r="N335" s="90"/>
      <x:c r="O335" s="90"/>
      <x:c r="P335" s="90"/>
      <x:c r="Q335" s="90"/>
    </x:row>
    <x:row r="336" spans="1:18" ht="12.75" hidden="1" customHeight="1" x14ac:dyDescent="0.25">
      <x:c r="C336" s="89"/>
      <x:c r="D336" s="89"/>
      <x:c r="E336" s="90"/>
      <x:c r="F336" s="90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</x:row>
    <x:row r="337" spans="3:17" ht="12.75" hidden="1" customHeight="1" x14ac:dyDescent="0.25">
      <x:c r="C337" s="89"/>
      <x:c r="D337" s="89"/>
      <x:c r="E337" s="90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</x:row>
    <x:row r="338" spans="3:17" ht="12.75" hidden="1" customHeight="1" x14ac:dyDescent="0.25">
      <x:c r="C338" s="89"/>
      <x:c r="D338" s="89"/>
      <x:c r="E338" s="90"/>
      <x:c r="F338" s="90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</x:row>
    <x:row r="339" spans="3:17" ht="12.75" hidden="1" customHeight="1" x14ac:dyDescent="0.25">
      <x:c r="C339" s="89"/>
      <x:c r="D339" s="89"/>
      <x:c r="E339" s="90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</x:row>
    <x:row r="340" spans="3:17" ht="12.75" hidden="1" customHeight="1" x14ac:dyDescent="0.25">
      <x:c r="C340" s="89"/>
      <x:c r="D340" s="89"/>
      <x:c r="E340" s="90"/>
      <x:c r="F340" s="90"/>
      <x:c r="G340" s="90"/>
      <x:c r="H340" s="90"/>
      <x:c r="I340" s="90"/>
      <x:c r="J340" s="90"/>
      <x:c r="K340" s="90"/>
      <x:c r="L340" s="90"/>
      <x:c r="M340" s="90"/>
      <x:c r="N340" s="90"/>
      <x:c r="O340" s="90"/>
      <x:c r="P340" s="90"/>
      <x:c r="Q340" s="90"/>
    </x:row>
    <x:row r="341" spans="3:17" ht="12.75" hidden="1" customHeight="1" x14ac:dyDescent="0.25">
      <x:c r="C341" s="89"/>
      <x:c r="D341" s="89"/>
      <x:c r="E341" s="90"/>
      <x:c r="F341" s="90"/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</x:row>
    <x:row r="342" spans="3:17" ht="12.75" hidden="1" customHeight="1" x14ac:dyDescent="0.25">
      <x:c r="C342" s="89"/>
      <x:c r="D342" s="89"/>
      <x:c r="E342" s="90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</x:row>
    <x:row r="343" spans="3:17" ht="12.75" hidden="1" customHeight="1" x14ac:dyDescent="0.25">
      <x:c r="C343" s="89"/>
      <x:c r="D343" s="89"/>
      <x:c r="E343" s="90"/>
      <x:c r="F343" s="90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</x:row>
    <x:row r="344" spans="3:17" ht="12.75" hidden="1" customHeight="1" x14ac:dyDescent="0.25">
      <x:c r="C344" s="89"/>
      <x:c r="D344" s="89"/>
      <x:c r="E344" s="90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</x:row>
    <x:row r="345" spans="3:17" ht="12.75" hidden="1" customHeight="1" x14ac:dyDescent="0.25">
      <x:c r="C345" s="89"/>
      <x:c r="D345" s="89"/>
      <x:c r="E345" s="90"/>
      <x:c r="F345" s="90"/>
      <x:c r="G345" s="90"/>
      <x:c r="H345" s="90"/>
      <x:c r="I345" s="90"/>
      <x:c r="J345" s="90"/>
      <x:c r="K345" s="90"/>
      <x:c r="L345" s="90"/>
      <x:c r="M345" s="90"/>
      <x:c r="N345" s="90"/>
      <x:c r="O345" s="90"/>
      <x:c r="P345" s="90"/>
      <x:c r="Q345" s="90"/>
    </x:row>
    <x:row r="346" spans="3:17" ht="12.75" hidden="1" customHeight="1" x14ac:dyDescent="0.25">
      <x:c r="C346" s="89"/>
      <x:c r="D346" s="89"/>
      <x:c r="E346" s="90"/>
      <x:c r="F346" s="90"/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</x:row>
    <x:row r="347" spans="3:17" ht="12.75" hidden="1" customHeight="1" x14ac:dyDescent="0.25">
      <x:c r="C347" s="89"/>
      <x:c r="D347" s="89"/>
      <x:c r="E347" s="90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</x:row>
    <x:row r="348" spans="3:17" ht="12.75" hidden="1" customHeight="1" x14ac:dyDescent="0.25">
      <x:c r="C348" s="89"/>
      <x:c r="D348" s="89"/>
      <x:c r="E348" s="90"/>
      <x:c r="F348" s="90"/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</x:row>
    <x:row r="349" spans="3:17" ht="12.75" hidden="1" customHeight="1" x14ac:dyDescent="0.25">
      <x:c r="C349" s="89"/>
      <x:c r="D349" s="89"/>
      <x:c r="E349" s="90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</x:row>
    <x:row r="350" spans="3:17" ht="12.75" hidden="1" customHeight="1" x14ac:dyDescent="0.25">
      <x:c r="C350" s="89"/>
      <x:c r="D350" s="89"/>
      <x:c r="E350" s="90"/>
      <x:c r="F350" s="90"/>
      <x:c r="G350" s="90"/>
      <x:c r="H350" s="90"/>
      <x:c r="I350" s="90"/>
      <x:c r="J350" s="90"/>
      <x:c r="K350" s="90"/>
      <x:c r="L350" s="90"/>
      <x:c r="M350" s="90"/>
      <x:c r="N350" s="90"/>
      <x:c r="O350" s="90"/>
      <x:c r="P350" s="90"/>
      <x:c r="Q350" s="90"/>
    </x:row>
    <x:row r="351" spans="3:17" ht="12.75" hidden="1" customHeight="1" x14ac:dyDescent="0.25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3:17" ht="12.75" hidden="1" customHeight="1" x14ac:dyDescent="0.25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1:18" ht="12.75" hidden="1" customHeight="1" x14ac:dyDescent="0.25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1:18" ht="12.75" hidden="1" customHeight="1" x14ac:dyDescent="0.25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1:18" ht="12.75" hidden="1" customHeight="1" x14ac:dyDescent="0.25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1:18" ht="12.75" hidden="1" customHeight="1" x14ac:dyDescent="0.25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18" ht="12.75" hidden="1" customHeight="1" x14ac:dyDescent="0.25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1:18" ht="12.75" hidden="1" customHeight="1" x14ac:dyDescent="0.25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1:18" ht="12.75" hidden="1" customHeight="1" x14ac:dyDescent="0.25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1:18" ht="12.75" hidden="1" customHeight="1" x14ac:dyDescent="0.25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1:18" ht="12.75" customHeight="1" x14ac:dyDescent="0.25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1:18" ht="12.75" customHeight="1" x14ac:dyDescent="0.25">
      <x:c r="B362" s="777" t="s">
        <x:v>2</x:v>
      </x:c>
      <x:c r="C362" s="775" t="s">
        <x:v>132</x:v>
      </x:c>
      <x:c r="D362" s="98" t="s">
        <x:v>70</x:v>
      </x:c>
      <x:c r="E362" s="100">
        <x:f>E309+E327-K309</x:f>
        <x:v>0</x:v>
      </x:c>
      <x:c r="F362" s="100">
        <x:f t="shared" ref="F362:R362" si="10">F309</x:f>
        <x:v>0</x:v>
      </x:c>
      <x:c r="G362" s="100">
        <x:f t="shared" si="10"/>
        <x:v>0</x:v>
      </x:c>
      <x:c r="H362" s="100">
        <x:f t="shared" si="10"/>
        <x:v>0</x:v>
      </x:c>
      <x:c r="I362" s="100">
        <x:f t="shared" si="10"/>
        <x:v>0</x:v>
      </x:c>
      <x:c r="J362" s="100">
        <x:f t="shared" si="10"/>
        <x:v>0</x:v>
      </x:c>
      <x:c r="K362" s="100">
        <x:f t="shared" si="10"/>
        <x:v>0</x:v>
      </x:c>
      <x:c r="L362" s="100">
        <x:f t="shared" si="10"/>
        <x:v>0</x:v>
      </x:c>
      <x:c r="M362" s="100">
        <x:f t="shared" si="10"/>
        <x:v>0</x:v>
      </x:c>
      <x:c r="N362" s="100">
        <x:f t="shared" si="10"/>
        <x:v>0</x:v>
      </x:c>
      <x:c r="O362" s="100">
        <x:f t="shared" si="10"/>
        <x:v>0</x:v>
      </x:c>
      <x:c r="P362" s="100">
        <x:f t="shared" si="10"/>
        <x:v>0</x:v>
      </x:c>
      <x:c r="Q362" s="100">
        <x:f t="shared" si="10"/>
        <x:v>0</x:v>
      </x:c>
      <x:c r="R362" s="100">
        <x:f t="shared" si="10"/>
        <x:v>0</x:v>
      </x:c>
    </x:row>
    <x:row r="363" spans="1:18" ht="12.75" customHeight="1" x14ac:dyDescent="0.25">
      <x:c r="B363" s="777"/>
      <x:c r="C363" s="775"/>
      <x:c r="D363" s="98" t="s">
        <x:v>73</x:v>
      </x:c>
      <x:c r="E363" s="100">
        <x:f>E327</x:f>
        <x:v>0</x:v>
      </x:c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</x:row>
    <x:row r="364" spans="1:18" ht="12.75" customHeight="1" x14ac:dyDescent="0.25">
      <x:c r="A364" s="89"/>
      <x:c r="B364" s="97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</x:row>
    <x:row r="365" spans="1:18" ht="12.75" customHeight="1" x14ac:dyDescent="0.25">
      <x:c r="B365" s="777" t="s">
        <x:v>160</x:v>
      </x:c>
      <x:c r="C365" s="775" t="s">
        <x:v>132</x:v>
      </x:c>
      <x:c r="D365" s="223" t="s">
        <x:v>70</x:v>
      </x:c>
      <x:c r="E365" s="225">
        <x:f>E319+E298+E285-K285-K298</x:f>
        <x:v>0</x:v>
      </x:c>
      <x:c r="F365" s="225">
        <x:f t="shared" ref="F365:R365" si="11">F298+F285</x:f>
        <x:v>0</x:v>
      </x:c>
      <x:c r="G365" s="225">
        <x:f t="shared" si="11"/>
        <x:v>0</x:v>
      </x:c>
      <x:c r="H365" s="225">
        <x:f t="shared" si="11"/>
        <x:v>0</x:v>
      </x:c>
      <x:c r="I365" s="225">
        <x:f t="shared" si="11"/>
        <x:v>0</x:v>
      </x:c>
      <x:c r="J365" s="225">
        <x:f t="shared" si="11"/>
        <x:v>0</x:v>
      </x:c>
      <x:c r="K365" s="225">
        <x:f t="shared" si="11"/>
        <x:v>0</x:v>
      </x:c>
      <x:c r="L365" s="225">
        <x:f t="shared" si="11"/>
        <x:v>0</x:v>
      </x:c>
      <x:c r="M365" s="225">
        <x:f t="shared" si="11"/>
        <x:v>0</x:v>
      </x:c>
      <x:c r="N365" s="225">
        <x:f t="shared" si="11"/>
        <x:v>0</x:v>
      </x:c>
      <x:c r="O365" s="225">
        <x:f t="shared" si="11"/>
        <x:v>0</x:v>
      </x:c>
      <x:c r="P365" s="225">
        <x:f t="shared" si="11"/>
        <x:v>0</x:v>
      </x:c>
      <x:c r="Q365" s="225">
        <x:f t="shared" si="11"/>
        <x:v>0</x:v>
      </x:c>
      <x:c r="R365" s="225">
        <x:f t="shared" si="11"/>
        <x:v>0</x:v>
      </x:c>
    </x:row>
    <x:row r="366" spans="1:18" ht="12.75" customHeight="1" x14ac:dyDescent="0.25">
      <x:c r="B366" s="777"/>
      <x:c r="C366" s="775"/>
      <x:c r="D366" s="223" t="s">
        <x:v>73</x:v>
      </x:c>
      <x:c r="E366" s="225">
        <x:f>E319</x:f>
        <x:v>0</x:v>
      </x:c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</x:row>
    <x:row r="367" spans="1:18" ht="12.75" customHeight="1" x14ac:dyDescent="0.25">
      <x:c r="A367" s="89"/>
      <x:c r="B367" s="97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</x:row>
    <x:row r="368" spans="1:18" ht="12.75" customHeight="1" x14ac:dyDescent="0.25">
      <x:c r="B368" s="777" t="s">
        <x:v>155</x:v>
      </x:c>
      <x:c r="C368" s="775" t="s">
        <x:v>132</x:v>
      </x:c>
      <x:c r="D368" s="221" t="s">
        <x:v>70</x:v>
      </x:c>
      <x:c r="E368" s="222">
        <x:f>E312+E289-K289</x:f>
        <x:v>0</x:v>
      </x:c>
      <x:c r="F368" s="222">
        <x:f t="shared" ref="F368:R368" si="12">F289</x:f>
        <x:v>0</x:v>
      </x:c>
      <x:c r="G368" s="222">
        <x:f t="shared" si="12"/>
        <x:v>0</x:v>
      </x:c>
      <x:c r="H368" s="222">
        <x:f t="shared" si="12"/>
        <x:v>0</x:v>
      </x:c>
      <x:c r="I368" s="222">
        <x:f t="shared" si="12"/>
        <x:v>0</x:v>
      </x:c>
      <x:c r="J368" s="222">
        <x:f t="shared" si="12"/>
        <x:v>0</x:v>
      </x:c>
      <x:c r="K368" s="222">
        <x:f t="shared" si="12"/>
        <x:v>0</x:v>
      </x:c>
      <x:c r="L368" s="222">
        <x:f t="shared" si="12"/>
        <x:v>0</x:v>
      </x:c>
      <x:c r="M368" s="222">
        <x:f t="shared" si="12"/>
        <x:v>0</x:v>
      </x:c>
      <x:c r="N368" s="222">
        <x:f t="shared" si="12"/>
        <x:v>0</x:v>
      </x:c>
      <x:c r="O368" s="222">
        <x:f t="shared" si="12"/>
        <x:v>0</x:v>
      </x:c>
      <x:c r="P368" s="222">
        <x:f t="shared" si="12"/>
        <x:v>0</x:v>
      </x:c>
      <x:c r="Q368" s="222">
        <x:f t="shared" si="12"/>
        <x:v>0</x:v>
      </x:c>
      <x:c r="R368" s="222">
        <x:f t="shared" si="12"/>
        <x:v>0</x:v>
      </x:c>
    </x:row>
    <x:row r="369" spans="1:18" ht="12.75" customHeight="1" x14ac:dyDescent="0.25">
      <x:c r="B369" s="777"/>
      <x:c r="C369" s="775"/>
      <x:c r="D369" s="221" t="s">
        <x:v>73</x:v>
      </x:c>
      <x:c r="E369" s="222">
        <x:f>E312</x:f>
        <x:v>0</x:v>
      </x:c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</x:row>
    <x:row r="370" spans="1:18" ht="12.75" customHeight="1" x14ac:dyDescent="0.25">
      <x:c r="A370" s="89"/>
      <x:c r="B370" s="97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</x:row>
    <x:row r="371" spans="1:18" ht="12.75" customHeight="1" x14ac:dyDescent="0.25">
      <x:c r="B371" s="778" t="s">
        <x:v>326</x:v>
      </x:c>
      <x:c r="C371" s="775" t="s">
        <x:v>132</x:v>
      </x:c>
      <x:c r="D371" s="373" t="s">
        <x:v>70</x:v>
      </x:c>
      <x:c r="E371" s="374">
        <x:v>0</x:v>
      </x:c>
      <x:c r="F371" s="374">
        <x:v>0</x:v>
      </x:c>
      <x:c r="G371" s="374">
        <x:v>0</x:v>
      </x:c>
      <x:c r="H371" s="374">
        <x:v>0</x:v>
      </x:c>
      <x:c r="I371" s="374">
        <x:v>0</x:v>
      </x:c>
      <x:c r="J371" s="374">
        <x:v>0</x:v>
      </x:c>
      <x:c r="K371" s="374">
        <x:v>0</x:v>
      </x:c>
      <x:c r="L371" s="374">
        <x:v>0</x:v>
      </x:c>
      <x:c r="M371" s="374">
        <x:v>0</x:v>
      </x:c>
      <x:c r="N371" s="374">
        <x:v>0</x:v>
      </x:c>
      <x:c r="O371" s="374">
        <x:v>0</x:v>
      </x:c>
      <x:c r="P371" s="374">
        <x:v>0</x:v>
      </x:c>
      <x:c r="Q371" s="374">
        <x:v>0</x:v>
      </x:c>
      <x:c r="R371" s="374">
        <x:v>0</x:v>
      </x:c>
    </x:row>
    <x:row r="372" spans="1:18" ht="12.75" customHeight="1" x14ac:dyDescent="0.25">
      <x:c r="B372" s="778"/>
      <x:c r="C372" s="775"/>
      <x:c r="D372" s="373" t="s">
        <x:v>73</x:v>
      </x:c>
      <x:c r="E372" s="374">
        <x:v>0</x:v>
      </x:c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</x:row>
    <x:row r="373" spans="1:18" ht="12.75" customHeight="1" x14ac:dyDescent="0.25">
      <x:c r="A373" s="89"/>
      <x:c r="B373" s="97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</x:row>
    <x:row r="374" spans="1:18" ht="12.75" customHeight="1" x14ac:dyDescent="0.25">
      <x:c r="A374" s="142" t="s">
        <x:v>226</x:v>
      </x:c>
      <x:c r="B374" s="777" t="s">
        <x:v>119</x:v>
      </x:c>
      <x:c r="C374" s="775" t="s">
        <x:v>132</x:v>
      </x:c>
      <x:c r="D374" s="101" t="s">
        <x:v>70</x:v>
      </x:c>
      <x:c r="E374" s="93">
        <x:f>E308+E326-K308</x:f>
        <x:v>0</x:v>
      </x:c>
      <x:c r="F374" s="93">
        <x:f t="shared" ref="F374:R374" si="13">F308</x:f>
        <x:v>0</x:v>
      </x:c>
      <x:c r="G374" s="93">
        <x:f t="shared" si="13"/>
        <x:v>0</x:v>
      </x:c>
      <x:c r="H374" s="93">
        <x:f t="shared" si="13"/>
        <x:v>0</x:v>
      </x:c>
      <x:c r="I374" s="93">
        <x:f t="shared" si="13"/>
        <x:v>0</x:v>
      </x:c>
      <x:c r="J374" s="93">
        <x:f t="shared" si="13"/>
        <x:v>0</x:v>
      </x:c>
      <x:c r="K374" s="93">
        <x:f t="shared" si="13"/>
        <x:v>0</x:v>
      </x:c>
      <x:c r="L374" s="93">
        <x:f t="shared" si="13"/>
        <x:v>0</x:v>
      </x:c>
      <x:c r="M374" s="93">
        <x:f t="shared" si="13"/>
        <x:v>0</x:v>
      </x:c>
      <x:c r="N374" s="93">
        <x:f t="shared" si="13"/>
        <x:v>0</x:v>
      </x:c>
      <x:c r="O374" s="93">
        <x:f t="shared" si="13"/>
        <x:v>0</x:v>
      </x:c>
      <x:c r="P374" s="93">
        <x:f t="shared" si="13"/>
        <x:v>0</x:v>
      </x:c>
      <x:c r="Q374" s="93">
        <x:f t="shared" si="13"/>
        <x:v>0</x:v>
      </x:c>
      <x:c r="R374" s="93">
        <x:f t="shared" si="13"/>
        <x:v>0</x:v>
      </x:c>
    </x:row>
    <x:row r="375" spans="1:18" ht="12.75" customHeight="1" x14ac:dyDescent="0.25">
      <x:c r="B375" s="777"/>
      <x:c r="C375" s="775"/>
      <x:c r="D375" s="101" t="s">
        <x:v>73</x:v>
      </x:c>
      <x:c r="E375" s="93">
        <x:f>E326</x:f>
        <x:v>0</x:v>
      </x:c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</x:row>
    <x:row r="376" spans="1:18" ht="12.75" customHeight="1" x14ac:dyDescent="0.25">
      <x:c r="A376" s="89"/>
      <x:c r="B376" s="97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</x:row>
    <x:row r="377" spans="1:18" ht="12.75" customHeight="1" x14ac:dyDescent="0.25">
      <x:c r="B377" s="776" t="s">
        <x:v>161</x:v>
      </x:c>
      <x:c r="C377" s="775" t="s">
        <x:v>132</x:v>
      </x:c>
      <x:c r="D377" s="231" t="s">
        <x:v>70</x:v>
      </x:c>
      <x:c r="E377" s="232">
        <x:v>0</x:v>
      </x:c>
      <x:c r="F377" s="232">
        <x:v>0</x:v>
      </x:c>
      <x:c r="G377" s="232">
        <x:v>0</x:v>
      </x:c>
      <x:c r="H377" s="232">
        <x:v>0</x:v>
      </x:c>
      <x:c r="I377" s="232">
        <x:v>0</x:v>
      </x:c>
      <x:c r="J377" s="232">
        <x:v>0</x:v>
      </x:c>
      <x:c r="K377" s="232">
        <x:v>0</x:v>
      </x:c>
      <x:c r="L377" s="232">
        <x:v>0</x:v>
      </x:c>
      <x:c r="M377" s="232">
        <x:v>0</x:v>
      </x:c>
      <x:c r="N377" s="232">
        <x:v>0</x:v>
      </x:c>
      <x:c r="O377" s="232">
        <x:v>0</x:v>
      </x:c>
      <x:c r="P377" s="232">
        <x:v>0</x:v>
      </x:c>
      <x:c r="Q377" s="232">
        <x:v>0</x:v>
      </x:c>
      <x:c r="R377" s="232">
        <x:v>0</x:v>
      </x:c>
    </x:row>
    <x:row r="378" spans="1:18" ht="12.75" customHeight="1" x14ac:dyDescent="0.25">
      <x:c r="B378" s="776"/>
      <x:c r="C378" s="775"/>
      <x:c r="D378" s="231" t="s">
        <x:v>73</x:v>
      </x:c>
      <x:c r="E378" s="232">
        <x:v>0</x:v>
      </x:c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</x:row>
    <x:row r="379" spans="1:18" s="238" customFormat="1" x14ac:dyDescent="0.25"/>
    <x:row r="380" spans="1:18" x14ac:dyDescent="0.25">
      <x:c r="B380" s="97" t="s">
        <x:v>93</x:v>
      </x:c>
    </x:row>
    <x:row r="381" spans="1:18" x14ac:dyDescent="0.25">
      <x:c r="E381" s="89" t="s">
        <x:v>70</x:v>
      </x:c>
      <x:c r="F381" s="89" t="s">
        <x:v>64</x:v>
      </x:c>
      <x:c r="G381" s="89" t="s">
        <x:v>65</x:v>
      </x:c>
      <x:c r="H381" s="219" t="s">
        <x:v>164</x:v>
      </x:c>
      <x:c r="I381" s="89" t="s">
        <x:v>69</x:v>
      </x:c>
      <x:c r="J381" s="89" t="s">
        <x:v>68</x:v>
      </x:c>
      <x:c r="K381" s="89" t="s">
        <x:v>83</x:v>
      </x:c>
      <x:c r="L381" s="89" t="s">
        <x:v>66</x:v>
      </x:c>
      <x:c r="M381" s="89" t="s">
        <x:v>63</x:v>
      </x:c>
      <x:c r="N381" s="89" t="s">
        <x:v>61</x:v>
      </x:c>
      <x:c r="O381" s="89" t="s">
        <x:v>62</x:v>
      </x:c>
      <x:c r="P381" s="89" t="s">
        <x:v>67</x:v>
      </x:c>
      <x:c r="Q381" s="89" t="s">
        <x:v>84</x:v>
      </x:c>
      <x:c r="R381" s="384" t="s">
        <x:v>225</x:v>
      </x:c>
    </x:row>
    <x:row r="382" spans="1:18" ht="11.4" customHeight="1" x14ac:dyDescent="0.25">
      <x:c r="D382" t="s">
        <x:v>72</x:v>
      </x:c>
      <x:c r="E382" s="89" t="n">
        <x:v>19713558.23</x:v>
      </x:c>
      <x:c r="F382" s="89" t="n">
        <x:v>1433611.21</x:v>
      </x:c>
      <x:c r="G382" s="89" t="n">
        <x:v>821473.98</x:v>
      </x:c>
      <x:c r="H382" s="384" t="n">
        <x:v>381759.58</x:v>
      </x:c>
      <x:c r="I382" s="89" t="n">
        <x:v>4009241.14</x:v>
      </x:c>
      <x:c r="J382" s="89" t="n">
        <x:v>149648.65</x:v>
      </x:c>
      <x:c r="K382" s="89" t="n">
        <x:v>0</x:v>
      </x:c>
      <x:c r="L382" s="89" t="n">
        <x:v>1253740.49</x:v>
      </x:c>
      <x:c r="M382" s="89" t="n">
        <x:v>1363565.37</x:v>
      </x:c>
      <x:c r="N382" s="89" t="n">
        <x:v>5819071.15</x:v>
      </x:c>
      <x:c r="O382" s="89" t="n">
        <x:v>4269755.25</x:v>
      </x:c>
      <x:c r="P382" s="89" t="n">
        <x:v>211601.51</x:v>
      </x:c>
      <x:c r="Q382" s="89" t="n">
        <x:v>89.9</x:v>
      </x:c>
      <x:c r="R382" s="384" t="n">
        <x:v>0</x:v>
      </x:c>
    </x:row>
    <x:row r="383" spans="1:18" ht="12.75" customHeight="1" x14ac:dyDescent="0.25">
      <x:c r="D383" t="s">
        <x:v>81</x:v>
      </x:c>
      <x:c r="E383" s="384" t="n">
        <x:v>18754.01</x:v>
      </x:c>
      <x:c r="F383" s="89" t="n">
        <x:v>1185.98</x:v>
      </x:c>
      <x:c r="G383" s="89" t="n">
        <x:v>657.93</x:v>
      </x:c>
      <x:c r="H383" s="384" t="n">
        <x:v>342.39</x:v>
      </x:c>
      <x:c r="I383" s="89" t="n">
        <x:v>3726.74</x:v>
      </x:c>
      <x:c r="J383" s="89" t="n">
        <x:v>150.8</x:v>
      </x:c>
      <x:c r="K383" s="89" t="n">
        <x:v>0</x:v>
      </x:c>
      <x:c r="L383" s="89" t="n">
        <x:v>1322.67</x:v>
      </x:c>
      <x:c r="M383" s="89" t="n">
        <x:v>1225.14</x:v>
      </x:c>
      <x:c r="N383" s="89" t="n">
        <x:v>6423.46</x:v>
      </x:c>
      <x:c r="O383" s="89" t="n">
        <x:v>3472.69</x:v>
      </x:c>
      <x:c r="P383" s="89" t="n">
        <x:v>246.08</x:v>
      </x:c>
      <x:c r="Q383" s="89" t="n">
        <x:v>0.13</x:v>
      </x:c>
      <x:c r="R383" s="384" t="n">
        <x:v>0</x:v>
      </x:c>
    </x:row>
    <x:row r="384" spans="1:18" ht="11.4" customHeight="1" x14ac:dyDescent="0.25">
      <x:c r="C384" t="s">
        <x:v>332</x:v>
      </x:c>
      <x:c r="D384" t="s">
        <x:v>70</x:v>
      </x:c>
      <x:c r="E384" s="384">
        <x:v>0</x:v>
      </x:c>
      <x:c r="F384" s="89">
        <x:v>0</x:v>
      </x:c>
      <x:c r="G384" s="89">
        <x:v>0</x:v>
      </x:c>
      <x:c r="H384" s="384">
        <x:v>0</x:v>
      </x:c>
      <x:c r="I384" s="89">
        <x:v>0</x:v>
      </x:c>
      <x:c r="J384" s="89">
        <x:v>0</x:v>
      </x:c>
      <x:c r="K384" s="89">
        <x:v>0</x:v>
      </x:c>
      <x:c r="L384" s="89">
        <x:v>0</x:v>
      </x:c>
      <x:c r="M384" s="89">
        <x:v>0</x:v>
      </x:c>
      <x:c r="N384" s="89">
        <x:v>0</x:v>
      </x:c>
      <x:c r="O384" s="89">
        <x:v>0</x:v>
      </x:c>
      <x:c r="P384" s="89">
        <x:v>0</x:v>
      </x:c>
      <x:c r="Q384" s="89">
        <x:v>0</x:v>
      </x:c>
      <x:c r="R384" s="384">
        <x:v>0</x:v>
      </x:c>
    </x:row>
    <x:row r="385" spans="2:19" s="739" customFormat="1" ht="11.4" customHeight="1" x14ac:dyDescent="0.25">
      <x:c r="B385" s="739" t="s">
        <x:v>85</x:v>
      </x:c>
      <x:c r="C385" s="739" t="s">
        <x:v>70</x:v>
      </x:c>
      <x:c r="E385" s="769">
        <x:v>0</x:v>
      </x:c>
      <x:c r="F385" s="231">
        <x:v>0</x:v>
      </x:c>
      <x:c r="G385" s="231">
        <x:v>0</x:v>
      </x:c>
      <x:c r="H385" s="769">
        <x:v>0</x:v>
      </x:c>
      <x:c r="I385" s="231">
        <x:v>0</x:v>
      </x:c>
      <x:c r="J385" s="231">
        <x:v>0</x:v>
      </x:c>
      <x:c r="K385" s="231">
        <x:v>0</x:v>
      </x:c>
      <x:c r="L385" s="231">
        <x:v>0</x:v>
      </x:c>
      <x:c r="M385" s="231">
        <x:v>0</x:v>
      </x:c>
      <x:c r="N385" s="231">
        <x:v>0</x:v>
      </x:c>
      <x:c r="O385" s="231">
        <x:v>0</x:v>
      </x:c>
      <x:c r="P385" s="231">
        <x:v>0</x:v>
      </x:c>
      <x:c r="Q385" s="231">
        <x:v>0</x:v>
      </x:c>
      <x:c r="R385" s="769">
        <x:v>0</x:v>
      </x:c>
    </x:row>
    <x:row r="386" spans="2:19" ht="12.75" customHeight="1" x14ac:dyDescent="0.25">
      <x:c r="D386" s="89" t="s">
        <x:v>72</x:v>
      </x:c>
      <x:c r="E386" s="90">
        <x:v>0</x:v>
      </x:c>
      <x:c r="F386" s="90">
        <x:v>0</x:v>
      </x:c>
      <x:c r="G386" s="90">
        <x:v>0</x:v>
      </x:c>
      <x:c r="H386" s="90">
        <x:v>0</x:v>
      </x:c>
      <x:c r="I386" s="90">
        <x:v>0</x:v>
      </x:c>
      <x:c r="J386" s="90">
        <x:v>0</x:v>
      </x:c>
      <x:c r="K386" s="90">
        <x:v>0</x:v>
      </x:c>
      <x:c r="L386" s="90">
        <x:v>0</x:v>
      </x:c>
      <x:c r="M386" s="90">
        <x:v>0</x:v>
      </x:c>
      <x:c r="N386" s="90">
        <x:v>0</x:v>
      </x:c>
      <x:c r="O386" s="90">
        <x:v>0</x:v>
      </x:c>
      <x:c r="P386" s="90">
        <x:v>0</x:v>
      </x:c>
      <x:c r="Q386" s="90">
        <x:v>0</x:v>
      </x:c>
      <x:c r="R386">
        <x:v>0</x:v>
      </x:c>
    </x:row>
    <x:row r="387" spans="2:19" ht="12.75" customHeight="1" x14ac:dyDescent="0.25">
      <x:c r="D387" s="89" t="s">
        <x:v>81</x:v>
      </x:c>
      <x:c r="E387" s="90">
        <x:v>0</x:v>
      </x:c>
      <x:c r="F387" s="90">
        <x:v>0</x:v>
      </x:c>
      <x:c r="G387" s="90">
        <x:v>0</x:v>
      </x:c>
      <x:c r="H387" s="90">
        <x:v>0</x:v>
      </x:c>
      <x:c r="I387" s="90">
        <x:v>0</x:v>
      </x:c>
      <x:c r="J387" s="90">
        <x:v>0</x:v>
      </x:c>
      <x:c r="K387" s="90">
        <x:v>0</x:v>
      </x:c>
      <x:c r="L387" s="90">
        <x:v>0</x:v>
      </x:c>
      <x:c r="M387" s="90">
        <x:v>0</x:v>
      </x:c>
      <x:c r="N387" s="90">
        <x:v>0</x:v>
      </x:c>
      <x:c r="O387" s="90">
        <x:v>0</x:v>
      </x:c>
      <x:c r="P387" s="90">
        <x:v>0</x:v>
      </x:c>
      <x:c r="Q387" s="90">
        <x:v>0</x:v>
      </x:c>
      <x:c r="R387">
        <x:v>0</x:v>
      </x:c>
    </x:row>
    <x:row r="388" spans="2:19" ht="12.75" customHeight="1" x14ac:dyDescent="0.25">
      <x:c r="B388" s="89"/>
      <x:c r="C388" s="89" t="s">
        <x:v>156</x:v>
      </x:c>
      <x:c r="D388" t="s">
        <x:v>70</x:v>
      </x:c>
      <x:c r="E388" s="90" t="n">
        <x:v>19732312.24</x:v>
      </x:c>
      <x:c r="F388" s="90" t="n">
        <x:v>1434797.19</x:v>
      </x:c>
      <x:c r="G388" s="90" t="n">
        <x:v>822131.91</x:v>
      </x:c>
      <x:c r="H388" s="90" t="n">
        <x:v>382101.97</x:v>
      </x:c>
      <x:c r="I388" s="90" t="n">
        <x:v>4012967.88</x:v>
      </x:c>
      <x:c r="J388" s="90" t="n">
        <x:v>149799.45</x:v>
      </x:c>
      <x:c r="K388" s="90" t="n">
        <x:v>0</x:v>
      </x:c>
      <x:c r="L388" s="90" t="n">
        <x:v>1255063.16</x:v>
      </x:c>
      <x:c r="M388" s="90" t="n">
        <x:v>1364790.51</x:v>
      </x:c>
      <x:c r="N388" s="90" t="n">
        <x:v>5825494.61</x:v>
      </x:c>
      <x:c r="O388" s="90" t="n">
        <x:v>4273227.94</x:v>
      </x:c>
      <x:c r="P388" s="90" t="n">
        <x:v>211847.59</x:v>
      </x:c>
      <x:c r="Q388" s="90" t="n">
        <x:v>90.03</x:v>
      </x:c>
      <x:c r="R388" t="n">
        <x:v>0</x:v>
      </x:c>
    </x:row>
    <x:row r="389" spans="2:19" s="237" customFormat="1" ht="12.75" customHeight="1" x14ac:dyDescent="0.25">
      <x:c r="B389" s="221" t="s">
        <x:v>155</x:v>
      </x:c>
      <x:c r="C389" s="221" t="s">
        <x:v>70</x:v>
      </x:c>
      <x:c r="E389" s="222" t="n">
        <x:v>19732312.24</x:v>
      </x:c>
      <x:c r="F389" s="222" t="n">
        <x:v>1434797.19</x:v>
      </x:c>
      <x:c r="G389" s="222" t="n">
        <x:v>822131.91</x:v>
      </x:c>
      <x:c r="H389" s="222" t="n">
        <x:v>382101.97</x:v>
      </x:c>
      <x:c r="I389" s="222" t="n">
        <x:v>4012967.88</x:v>
      </x:c>
      <x:c r="J389" s="222" t="n">
        <x:v>149799.45</x:v>
      </x:c>
      <x:c r="K389" s="222" t="n">
        <x:v>0</x:v>
      </x:c>
      <x:c r="L389" s="222" t="n">
        <x:v>1255063.16</x:v>
      </x:c>
      <x:c r="M389" s="222" t="n">
        <x:v>1364790.51</x:v>
      </x:c>
      <x:c r="N389" s="222" t="n">
        <x:v>5825494.61</x:v>
      </x:c>
      <x:c r="O389" s="222" t="n">
        <x:v>4273227.94</x:v>
      </x:c>
      <x:c r="P389" s="222" t="n">
        <x:v>211847.59</x:v>
      </x:c>
      <x:c r="Q389" s="222" t="n">
        <x:v>90.03</x:v>
      </x:c>
      <x:c r="R389" s="237" t="n">
        <x:v>0</x:v>
      </x:c>
    </x:row>
    <x:row r="390" spans="2:19" ht="12.75" customHeight="1" x14ac:dyDescent="0.25">
      <x:c r="D390" t="s">
        <x:v>72</x:v>
      </x:c>
      <x:c r="E390" s="142" t="n">
        <x:v>7522088.94</x:v>
      </x:c>
      <x:c r="F390" t="n">
        <x:v>452084.23</x:v>
      </x:c>
      <x:c r="G390" t="n">
        <x:v>257859.84</x:v>
      </x:c>
      <x:c r="H390" t="n">
        <x:v>110457.94</x:v>
      </x:c>
      <x:c r="I390" t="n">
        <x:v>1817304.03</x:v>
      </x:c>
      <x:c r="J390" t="n">
        <x:v>58755.74</x:v>
      </x:c>
      <x:c r="K390" t="n">
        <x:v>0</x:v>
      </x:c>
      <x:c r="L390" t="n">
        <x:v>533049.52</x:v>
      </x:c>
      <x:c r="M390" t="n">
        <x:v>533000.77</x:v>
      </x:c>
      <x:c r="N390" t="n">
        <x:v>2377838.02</x:v>
      </x:c>
      <x:c r="O390" t="n">
        <x:v>1292657.05</x:v>
      </x:c>
      <x:c r="P390" t="n">
        <x:v>89104.17</x:v>
      </x:c>
      <x:c r="Q390" t="n">
        <x:v>-22.37</x:v>
      </x:c>
      <x:c r="R390" t="n">
        <x:v>0</x:v>
      </x:c>
    </x:row>
    <x:row r="391" spans="2:19" ht="12.75" customHeight="1" x14ac:dyDescent="0.25">
      <x:c r="D391" t="s">
        <x:v>81</x:v>
      </x:c>
      <x:c r="E391" s="142" t="n">
        <x:v>7478.7</x:v>
      </x:c>
      <x:c r="F391" t="n">
        <x:v>443.1</x:v>
      </x:c>
      <x:c r="G391" t="n">
        <x:v>249.22</x:v>
      </x:c>
      <x:c r="H391" t="n">
        <x:v>133.69</x:v>
      </x:c>
      <x:c r="I391" t="n">
        <x:v>1658</x:v>
      </x:c>
      <x:c r="J391" t="n">
        <x:v>59.23</x:v>
      </x:c>
      <x:c r="K391" t="n">
        <x:v>0</x:v>
      </x:c>
      <x:c r="L391" t="n">
        <x:v>512.44</x:v>
      </x:c>
      <x:c r="M391" t="n">
        <x:v>531.97</x:v>
      </x:c>
      <x:c r="N391" t="n">
        <x:v>2482.92</x:v>
      </x:c>
      <x:c r="O391" t="n">
        <x:v>1311.38</x:v>
      </x:c>
      <x:c r="P391" t="n">
        <x:v>96.59</x:v>
      </x:c>
      <x:c r="Q391" t="n">
        <x:v>0.16</x:v>
      </x:c>
      <x:c r="R391" t="n">
        <x:v>0</x:v>
      </x:c>
    </x:row>
    <x:row r="392" spans="2:19" ht="12.75" customHeight="1" x14ac:dyDescent="0.25">
      <x:c r="C392" t="s">
        <x:v>156</x:v>
      </x:c>
      <x:c r="D392" t="s">
        <x:v>70</x:v>
      </x:c>
      <x:c r="E392" s="142" t="n">
        <x:v>7529567.64</x:v>
      </x:c>
      <x:c r="F392" t="n">
        <x:v>452527.33</x:v>
      </x:c>
      <x:c r="G392" t="n">
        <x:v>258109.06</x:v>
      </x:c>
      <x:c r="H392" t="n">
        <x:v>110591.63</x:v>
      </x:c>
      <x:c r="I392" t="n">
        <x:v>1818962.03</x:v>
      </x:c>
      <x:c r="J392" t="n">
        <x:v>58814.97</x:v>
      </x:c>
      <x:c r="K392" t="n">
        <x:v>0</x:v>
      </x:c>
      <x:c r="L392" t="n">
        <x:v>533561.96</x:v>
      </x:c>
      <x:c r="M392" t="n">
        <x:v>533532.74</x:v>
      </x:c>
      <x:c r="N392" t="n">
        <x:v>2380320.94</x:v>
      </x:c>
      <x:c r="O392" t="n">
        <x:v>1293968.43</x:v>
      </x:c>
      <x:c r="P392" t="n">
        <x:v>89200.76</x:v>
      </x:c>
      <x:c r="Q392" t="n">
        <x:v>-22.21</x:v>
      </x:c>
      <x:c r="R392" t="n">
        <x:v>0</x:v>
      </x:c>
    </x:row>
    <x:row r="393" spans="2:19" s="739" customFormat="1" ht="12.75" customHeight="1" x14ac:dyDescent="0.25">
      <x:c r="B393" s="739" t="s">
        <x:v>326</x:v>
      </x:c>
      <x:c r="C393" s="739" t="s">
        <x:v>70</x:v>
      </x:c>
      <x:c r="E393" s="231" t="n">
        <x:v>7529567.64</x:v>
      </x:c>
      <x:c r="F393" s="740" t="n">
        <x:v>452527.33</x:v>
      </x:c>
      <x:c r="G393" s="232" t="n">
        <x:v>258109.06</x:v>
      </x:c>
      <x:c r="H393" s="232" t="n">
        <x:v>110591.63</x:v>
      </x:c>
      <x:c r="I393" s="232" t="n">
        <x:v>1818962.03</x:v>
      </x:c>
      <x:c r="J393" s="232" t="n">
        <x:v>58814.97</x:v>
      </x:c>
      <x:c r="K393" s="232" t="n">
        <x:v>0</x:v>
      </x:c>
      <x:c r="L393" s="232" t="n">
        <x:v>533561.96</x:v>
      </x:c>
      <x:c r="M393" s="232" t="n">
        <x:v>533532.74</x:v>
      </x:c>
      <x:c r="N393" s="232" t="n">
        <x:v>2380320.94</x:v>
      </x:c>
      <x:c r="O393" s="232" t="n">
        <x:v>1293968.43</x:v>
      </x:c>
      <x:c r="P393" s="232" t="n">
        <x:v>89200.76</x:v>
      </x:c>
      <x:c r="Q393" s="232" t="n">
        <x:v>-22.21</x:v>
      </x:c>
      <x:c r="R393" s="232" t="n">
        <x:v>0</x:v>
      </x:c>
      <x:c r="S393" s="232"/>
    </x:row>
    <x:row r="394" spans="2:19" ht="12.75" customHeight="1" x14ac:dyDescent="0.25">
      <x:c r="D394" t="s">
        <x:v>72</x:v>
      </x:c>
      <x:c r="E394" s="142" t="n">
        <x:v>2071705.94</x:v>
      </x:c>
      <x:c r="F394" t="n">
        <x:v>103319.02</x:v>
      </x:c>
      <x:c r="G394" t="n">
        <x:v>57420.42</x:v>
      </x:c>
      <x:c r="H394" t="n">
        <x:v>21085.54</x:v>
      </x:c>
      <x:c r="I394" t="n">
        <x:v>346150.26</x:v>
      </x:c>
      <x:c r="J394" t="n">
        <x:v>11031.32</x:v>
      </x:c>
      <x:c r="K394" t="n">
        <x:v>0</x:v>
      </x:c>
      <x:c r="L394" t="n">
        <x:v>145571.06</x:v>
      </x:c>
      <x:c r="M394" t="n">
        <x:v>183039.97</x:v>
      </x:c>
      <x:c r="N394" t="n">
        <x:v>809955.99</x:v>
      </x:c>
      <x:c r="O394" t="n">
        <x:v>379524.28</x:v>
      </x:c>
      <x:c r="P394" t="n">
        <x:v>14610.01</x:v>
      </x:c>
      <x:c r="Q394" t="n">
        <x:v>-1.93</x:v>
      </x:c>
      <x:c r="R394" t="n">
        <x:v>0</x:v>
      </x:c>
    </x:row>
    <x:row r="395" spans="2:19" ht="12.75" customHeight="1" x14ac:dyDescent="0.25">
      <x:c r="D395" t="s">
        <x:v>81</x:v>
      </x:c>
      <x:c r="E395" s="142" t="n">
        <x:v>5827.74</x:v>
      </x:c>
      <x:c r="F395" t="n">
        <x:v>335.75</x:v>
      </x:c>
      <x:c r="G395" t="n">
        <x:v>183.23</x:v>
      </x:c>
      <x:c r="H395" t="n">
        <x:v>102.43</x:v>
      </x:c>
      <x:c r="I395" t="n">
        <x:v>1405.62</x:v>
      </x:c>
      <x:c r="J395" t="n">
        <x:v>35.88</x:v>
      </x:c>
      <x:c r="K395" t="n">
        <x:v>0</x:v>
      </x:c>
      <x:c r="L395" t="n">
        <x:v>312.68</x:v>
      </x:c>
      <x:c r="M395" t="n">
        <x:v>400.21</x:v>
      </x:c>
      <x:c r="N395" t="n">
        <x:v>1989.45</x:v>
      </x:c>
      <x:c r="O395" t="n">
        <x:v>1003.89</x:v>
      </x:c>
      <x:c r="P395" t="n">
        <x:v>58.46</x:v>
      </x:c>
      <x:c r="Q395" t="n">
        <x:v>0.14</x:v>
      </x:c>
      <x:c r="R395" t="n">
        <x:v>0</x:v>
      </x:c>
    </x:row>
    <x:row r="396" spans="2:19" ht="12.75" customHeight="1" x14ac:dyDescent="0.25">
      <x:c r="C396" t="s">
        <x:v>82</x:v>
      </x:c>
      <x:c r="D396" t="s">
        <x:v>70</x:v>
      </x:c>
      <x:c r="E396" s="142" t="n">
        <x:v>2077533.68</x:v>
      </x:c>
      <x:c r="F396" t="n">
        <x:v>103654.77</x:v>
      </x:c>
      <x:c r="G396" t="n">
        <x:v>57603.65</x:v>
      </x:c>
      <x:c r="H396" t="n">
        <x:v>21187.97</x:v>
      </x:c>
      <x:c r="I396" t="n">
        <x:v>347555.88</x:v>
      </x:c>
      <x:c r="J396" t="n">
        <x:v>11067.2</x:v>
      </x:c>
      <x:c r="K396" t="n">
        <x:v>0</x:v>
      </x:c>
      <x:c r="L396" t="n">
        <x:v>145883.74</x:v>
      </x:c>
      <x:c r="M396" t="n">
        <x:v>183440.18</x:v>
      </x:c>
      <x:c r="N396" t="n">
        <x:v>811945.44</x:v>
      </x:c>
      <x:c r="O396" t="n">
        <x:v>380528.17</x:v>
      </x:c>
      <x:c r="P396" t="n">
        <x:v>14668.47</x:v>
      </x:c>
      <x:c r="Q396" t="n">
        <x:v>-1.79</x:v>
      </x:c>
      <x:c r="R396" t="n">
        <x:v>0</x:v>
      </x:c>
    </x:row>
    <x:row r="397" spans="2:19" ht="12.75" customHeight="1" x14ac:dyDescent="0.25">
      <x:c r="D397" t="s">
        <x:v>72</x:v>
      </x:c>
      <x:c r="E397" s="142" t="n">
        <x:v>564214.29</x:v>
      </x:c>
      <x:c r="F397" t="n">
        <x:v>17423.51</x:v>
      </x:c>
      <x:c r="G397" t="n">
        <x:v>9851.94</x:v>
      </x:c>
      <x:c r="H397" t="n">
        <x:v>1306.08</x:v>
      </x:c>
      <x:c r="I397" t="n">
        <x:v>70737.58</x:v>
      </x:c>
      <x:c r="J397" t="n">
        <x:v>2919.74</x:v>
      </x:c>
      <x:c r="K397" t="n">
        <x:v>0</x:v>
      </x:c>
      <x:c r="L397" t="n">
        <x:v>56924.86</x:v>
      </x:c>
      <x:c r="M397" t="n">
        <x:v>66619.45</x:v>
      </x:c>
      <x:c r="N397" t="n">
        <x:v>239269.57</x:v>
      </x:c>
      <x:c r="O397" t="n">
        <x:v>97907.86</x:v>
      </x:c>
      <x:c r="P397" t="n">
        <x:v>1248.93</x:v>
      </x:c>
      <x:c r="Q397" t="n">
        <x:v>4.77</x:v>
      </x:c>
      <x:c r="R397" t="n">
        <x:v>0</x:v>
      </x:c>
    </x:row>
    <x:row r="398" spans="2:19" ht="12.75" customHeight="1" x14ac:dyDescent="0.25">
      <x:c r="D398" t="s">
        <x:v>81</x:v>
      </x:c>
      <x:c r="E398" s="142" t="n">
        <x:v>15983.37</x:v>
      </x:c>
      <x:c r="F398" t="n">
        <x:v>1350.57</x:v>
      </x:c>
      <x:c r="G398" t="n">
        <x:v>675.27</x:v>
      </x:c>
      <x:c r="H398" t="n">
        <x:v>377.77</x:v>
      </x:c>
      <x:c r="I398" t="n">
        <x:v>2442.13</x:v>
      </x:c>
      <x:c r="J398" t="n">
        <x:v>121.05</x:v>
      </x:c>
      <x:c r="K398" t="n">
        <x:v>0</x:v>
      </x:c>
      <x:c r="L398" t="n">
        <x:v>1025.1</x:v>
      </x:c>
      <x:c r="M398" t="n">
        <x:v>984.77</x:v>
      </x:c>
      <x:c r="N398" t="n">
        <x:v>4740.85</x:v>
      </x:c>
      <x:c r="O398" t="n">
        <x:v>4068.12</x:v>
      </x:c>
      <x:c r="P398" t="n">
        <x:v>197.44</x:v>
      </x:c>
      <x:c r="Q398" t="n">
        <x:v>0.3</x:v>
      </x:c>
      <x:c r="R398" t="n">
        <x:v>0</x:v>
      </x:c>
    </x:row>
    <x:row r="399" spans="2:19" ht="12.75" customHeight="1" x14ac:dyDescent="0.25">
      <x:c r="C399" t="s">
        <x:v>86</x:v>
      </x:c>
      <x:c r="D399" t="s">
        <x:v>70</x:v>
      </x:c>
      <x:c r="E399" s="142" t="n">
        <x:v>580197.66</x:v>
      </x:c>
      <x:c r="F399" t="n">
        <x:v>18774.08</x:v>
      </x:c>
      <x:c r="G399" t="n">
        <x:v>10527.21</x:v>
      </x:c>
      <x:c r="H399" t="n">
        <x:v>1683.85</x:v>
      </x:c>
      <x:c r="I399" t="n">
        <x:v>73179.71</x:v>
      </x:c>
      <x:c r="J399" t="n">
        <x:v>3040.79</x:v>
      </x:c>
      <x:c r="K399" t="n">
        <x:v>0</x:v>
      </x:c>
      <x:c r="L399" t="n">
        <x:v>57949.96</x:v>
      </x:c>
      <x:c r="M399" t="n">
        <x:v>67604.22</x:v>
      </x:c>
      <x:c r="N399" t="n">
        <x:v>244010.42</x:v>
      </x:c>
      <x:c r="O399" t="n">
        <x:v>101975.98</x:v>
      </x:c>
      <x:c r="P399" t="n">
        <x:v>1446.37</x:v>
      </x:c>
      <x:c r="Q399" t="n">
        <x:v>5.07</x:v>
      </x:c>
      <x:c r="R399" t="n">
        <x:v>0</x:v>
      </x:c>
    </x:row>
    <x:row r="400" spans="2:19" ht="12.75" customHeight="1" x14ac:dyDescent="0.25">
      <x:c r="D400" t="s">
        <x:v>72</x:v>
      </x:c>
      <x:c r="E400" s="142" t="n">
        <x:v>9223422.14</x:v>
      </x:c>
      <x:c r="F400" t="n">
        <x:v>1035458.12</x:v>
      </x:c>
      <x:c r="G400" t="n">
        <x:v>588303.9</x:v>
      </x:c>
      <x:c r="H400" t="n">
        <x:v>292492.33</x:v>
      </x:c>
      <x:c r="I400" t="n">
        <x:v>925765.26</x:v>
      </x:c>
      <x:c r="J400" t="n">
        <x:v>26352.8</x:v>
      </x:c>
      <x:c r="K400" t="n">
        <x:v>990006.55</x:v>
      </x:c>
      <x:c r="L400" t="n">
        <x:v>272062.34</x:v>
      </x:c>
      <x:c r="M400" t="n">
        <x:v>350629.12</x:v>
      </x:c>
      <x:c r="N400" t="n">
        <x:v>1502001.28</x:v>
      </x:c>
      <x:c r="O400" t="n">
        <x:v>3205703.11</x:v>
      </x:c>
      <x:c r="P400" t="n">
        <x:v>34728.98</x:v>
      </x:c>
      <x:c r="Q400" t="n">
        <x:v>-81.65</x:v>
      </x:c>
      <x:c r="R400" t="n">
        <x:v>0</x:v>
      </x:c>
    </x:row>
    <x:row r="401" spans="1:19" ht="12.75" customHeight="1" x14ac:dyDescent="0.25">
      <x:c r="B401" s="142"/>
      <x:c r="D401" t="s">
        <x:v>81</x:v>
      </x:c>
      <x:c r="E401" s="142" t="n">
        <x:v>19833.35</x:v>
      </x:c>
      <x:c r="F401" t="n">
        <x:v>1583.47</x:v>
      </x:c>
      <x:c r="G401" t="n">
        <x:v>870.86</x:v>
      </x:c>
      <x:c r="H401" t="n">
        <x:v>471.95</x:v>
      </x:c>
      <x:c r="I401" t="n">
        <x:v>3975.48</x:v>
      </x:c>
      <x:c r="J401" t="n">
        <x:v>100.34</x:v>
      </x:c>
      <x:c r="K401" t="n">
        <x:v>0</x:v>
      </x:c>
      <x:c r="L401" t="n">
        <x:v>881.78</x:v>
      </x:c>
      <x:c r="M401" t="n">
        <x:v>1143.53</x:v>
      </x:c>
      <x:c r="N401" t="n">
        <x:v>5829.84</x:v>
      </x:c>
      <x:c r="O401" t="n">
        <x:v>4812.52</x:v>
      </x:c>
      <x:c r="P401" t="n">
        <x:v>163.4</x:v>
      </x:c>
      <x:c r="Q401" t="n">
        <x:v>0.18</x:v>
      </x:c>
      <x:c r="R401" t="n">
        <x:v>0</x:v>
      </x:c>
    </x:row>
    <x:row r="402" spans="1:19" ht="12.75" customHeight="1" x14ac:dyDescent="0.25">
      <x:c r="B402" s="142"/>
      <x:c r="C402" t="s">
        <x:v>87</x:v>
      </x:c>
      <x:c r="D402" t="s">
        <x:v>70</x:v>
      </x:c>
      <x:c r="E402" s="142" t="n">
        <x:v>9243255.49</x:v>
      </x:c>
      <x:c r="F402" t="n">
        <x:v>1037041.59</x:v>
      </x:c>
      <x:c r="G402" t="n">
        <x:v>589174.76</x:v>
      </x:c>
      <x:c r="H402" t="n">
        <x:v>292964.28</x:v>
      </x:c>
      <x:c r="I402" t="n">
        <x:v>929740.74</x:v>
      </x:c>
      <x:c r="J402" t="n">
        <x:v>26453.14</x:v>
      </x:c>
      <x:c r="K402" t="n">
        <x:v>990006.55</x:v>
      </x:c>
      <x:c r="L402" t="n">
        <x:v>272944.12</x:v>
      </x:c>
      <x:c r="M402" t="n">
        <x:v>351772.65</x:v>
      </x:c>
      <x:c r="N402" t="n">
        <x:v>1507831.12</x:v>
      </x:c>
      <x:c r="O402" t="n">
        <x:v>3210515.63</x:v>
      </x:c>
      <x:c r="P402" t="n">
        <x:v>34892.38</x:v>
      </x:c>
      <x:c r="Q402" t="n">
        <x:v>-81.47</x:v>
      </x:c>
      <x:c r="R402" t="n">
        <x:v>0</x:v>
      </x:c>
    </x:row>
    <x:row r="403" spans="1:19" s="94" customFormat="1" ht="12.75" customHeight="1" x14ac:dyDescent="0.25">
      <x:c r="B403" s="101" t="s">
        <x:v>119</x:v>
      </x:c>
      <x:c r="C403" s="101" t="s">
        <x:v>70</x:v>
      </x:c>
      <x:c r="E403" s="93" t="n">
        <x:v>11900986.83</x:v>
      </x:c>
      <x:c r="F403" s="93" t="n">
        <x:v>1159470.44</x:v>
      </x:c>
      <x:c r="G403" s="93" t="n">
        <x:v>657305.62</x:v>
      </x:c>
      <x:c r="H403" s="93" t="n">
        <x:v>315836.1</x:v>
      </x:c>
      <x:c r="I403" s="93" t="n">
        <x:v>1350476.33</x:v>
      </x:c>
      <x:c r="J403" s="93" t="n">
        <x:v>40561.13</x:v>
      </x:c>
      <x:c r="K403" s="93" t="n">
        <x:v>990006.55</x:v>
      </x:c>
      <x:c r="L403" s="93" t="n">
        <x:v>476777.82</x:v>
      </x:c>
      <x:c r="M403" s="93" t="n">
        <x:v>602817.05</x:v>
      </x:c>
      <x:c r="N403" s="93" t="n">
        <x:v>2563786.98</x:v>
      </x:c>
      <x:c r="O403" s="93" t="n">
        <x:v>3693019.78</x:v>
      </x:c>
      <x:c r="P403" s="93" t="n">
        <x:v>51007.22</x:v>
      </x:c>
      <x:c r="Q403" s="93" t="n">
        <x:v>-78.19</x:v>
      </x:c>
      <x:c r="R403" s="94" t="n">
        <x:v>0</x:v>
      </x:c>
    </x:row>
    <x:row r="404" spans="1:19" s="226" customFormat="1" ht="12.75" customHeight="1" x14ac:dyDescent="0.25">
      <x:c r="A404" s="98" t="s">
        <x:v>78</x:v>
      </x:c>
      <x:c r="B404" s="98" t="s">
        <x:v>70</x:v>
      </x:c>
      <x:c r="E404" s="100" t="n">
        <x:v>39162866.71</x:v>
      </x:c>
      <x:c r="F404" s="100" t="n">
        <x:v>3046794.96</x:v>
      </x:c>
      <x:c r="G404" s="100" t="n">
        <x:v>1737546.59</x:v>
      </x:c>
      <x:c r="H404" s="100" t="n">
        <x:v>808529.7</x:v>
      </x:c>
      <x:c r="I404" s="100" t="n">
        <x:v>7182406.24</x:v>
      </x:c>
      <x:c r="J404" s="100" t="n">
        <x:v>249175.55</x:v>
      </x:c>
      <x:c r="K404" s="100" t="n">
        <x:v>990006.55</x:v>
      </x:c>
      <x:c r="L404" s="100" t="n">
        <x:v>2265402.94</x:v>
      </x:c>
      <x:c r="M404" s="100" t="n">
        <x:v>2501140.3</x:v>
      </x:c>
      <x:c r="N404" s="100" t="n">
        <x:v>10769602.53</x:v>
      </x:c>
      <x:c r="O404" s="100" t="n">
        <x:v>9260216.15</x:v>
      </x:c>
      <x:c r="P404" s="100" t="n">
        <x:v>352055.57</x:v>
      </x:c>
      <x:c r="Q404" s="100" t="n">
        <x:v>-10.37</x:v>
      </x:c>
      <x:c r="R404" s="226" t="n">
        <x:v>0</x:v>
      </x:c>
    </x:row>
    <x:row r="405" spans="1:19" ht="12.75" customHeight="1" x14ac:dyDescent="0.25">
      <x:c r="C405" s="89"/>
      <x:c r="D405" s="89" t="s">
        <x:v>73</x:v>
      </x:c>
      <x:c r="E405" s="90" t="n">
        <x:v>3691549.5</x:v>
      </x:c>
      <x:c r="F405" s="90" t="n">
        <x:v>530921.57</x:v>
      </x:c>
      <x:c r="G405" s="90" t="n">
        <x:v>272938.43</x:v>
      </x:c>
      <x:c r="H405" s="90" t="n">
        <x:v>117564.27</x:v>
      </x:c>
      <x:c r="I405" s="90" t="n">
        <x:v>369298.5</x:v>
      </x:c>
      <x:c r="J405" s="90" t="n">
        <x:v>12339.48</x:v>
      </x:c>
      <x:c r="K405" s="90" t="n">
        <x:v>0</x:v>
      </x:c>
      <x:c r="L405" s="90" t="n">
        <x:v>114960.22</x:v>
      </x:c>
      <x:c r="M405" s="90" t="n">
        <x:v>67403.39</x:v>
      </x:c>
      <x:c r="N405" s="90" t="n">
        <x:v>586625.34</x:v>
      </x:c>
      <x:c r="O405" s="90" t="n">
        <x:v>1598903.62</x:v>
      </x:c>
      <x:c r="P405" s="90" t="n">
        <x:v>20594.68</x:v>
      </x:c>
      <x:c r="Q405" s="90" t="n">
        <x:v>0</x:v>
      </x:c>
      <x:c r="R405" t="n">
        <x:v>0</x:v>
      </x:c>
    </x:row>
    <x:row r="406" spans="1:19" ht="12.75" customHeight="1" x14ac:dyDescent="0.25">
      <x:c r="B406" s="89"/>
      <x:c r="C406" s="89" t="s">
        <x:v>156</x:v>
      </x:c>
      <x:c r="D406" t="s">
        <x:v>70</x:v>
      </x:c>
      <x:c r="E406" s="90" t="n">
        <x:v>3691549.5</x:v>
      </x:c>
      <x:c r="F406" s="90" t="n">
        <x:v>530921.57</x:v>
      </x:c>
      <x:c r="G406" s="90" t="n">
        <x:v>272938.43</x:v>
      </x:c>
      <x:c r="H406" s="90" t="n">
        <x:v>117564.27</x:v>
      </x:c>
      <x:c r="I406" s="90" t="n">
        <x:v>369298.5</x:v>
      </x:c>
      <x:c r="J406" s="90" t="n">
        <x:v>12339.48</x:v>
      </x:c>
      <x:c r="K406" s="90" t="n">
        <x:v>0</x:v>
      </x:c>
      <x:c r="L406" s="90" t="n">
        <x:v>114960.22</x:v>
      </x:c>
      <x:c r="M406" s="90" t="n">
        <x:v>67403.39</x:v>
      </x:c>
      <x:c r="N406" s="90" t="n">
        <x:v>586625.34</x:v>
      </x:c>
      <x:c r="O406" s="90" t="n">
        <x:v>1598903.62</x:v>
      </x:c>
      <x:c r="P406" s="90" t="n">
        <x:v>20594.68</x:v>
      </x:c>
      <x:c r="Q406" s="90" t="n">
        <x:v>0</x:v>
      </x:c>
      <x:c r="R406" t="n">
        <x:v>0</x:v>
      </x:c>
    </x:row>
    <x:row r="407" spans="1:19" s="237" customFormat="1" ht="12.75" customHeight="1" x14ac:dyDescent="0.25">
      <x:c r="B407" s="221" t="s">
        <x:v>155</x:v>
      </x:c>
      <x:c r="C407" s="221" t="s">
        <x:v>70</x:v>
      </x:c>
      <x:c r="E407" s="222" t="n">
        <x:v>3691549.5</x:v>
      </x:c>
      <x:c r="F407" s="222" t="n">
        <x:v>530921.57</x:v>
      </x:c>
      <x:c r="G407" s="222" t="n">
        <x:v>272938.43</x:v>
      </x:c>
      <x:c r="H407" s="222" t="n">
        <x:v>117564.27</x:v>
      </x:c>
      <x:c r="I407" s="222" t="n">
        <x:v>369298.5</x:v>
      </x:c>
      <x:c r="J407" s="222" t="n">
        <x:v>12339.48</x:v>
      </x:c>
      <x:c r="K407" s="222" t="n">
        <x:v>0</x:v>
      </x:c>
      <x:c r="L407" s="222" t="n">
        <x:v>114960.22</x:v>
      </x:c>
      <x:c r="M407" s="222" t="n">
        <x:v>67403.39</x:v>
      </x:c>
      <x:c r="N407" s="222" t="n">
        <x:v>586625.34</x:v>
      </x:c>
      <x:c r="O407" s="222" t="n">
        <x:v>1598903.62</x:v>
      </x:c>
      <x:c r="P407" s="222" t="n">
        <x:v>20594.68</x:v>
      </x:c>
      <x:c r="Q407" s="222" t="n">
        <x:v>0</x:v>
      </x:c>
      <x:c r="R407" s="237" t="n">
        <x:v>0</x:v>
      </x:c>
    </x:row>
    <x:row r="408" spans="1:19" ht="12.75" customHeight="1" x14ac:dyDescent="0.25">
      <x:c r="B408" s="142"/>
      <x:c r="C408" s="89"/>
      <x:c r="D408" s="89" t="s">
        <x:v>73</x:v>
      </x:c>
      <x:c r="E408" s="371" t="n">
        <x:v>-1287165.16</x:v>
      </x:c>
      <x:c r="F408" s="90" t="n">
        <x:v>-66624.22</x:v>
      </x:c>
      <x:c r="G408" s="90" t="n">
        <x:v>-37615.3</x:v>
      </x:c>
      <x:c r="H408" s="90" t="n">
        <x:v>-19739.19</x:v>
      </x:c>
      <x:c r="I408" s="90" t="n">
        <x:v>-287087.38</x:v>
      </x:c>
      <x:c r="J408" s="90" t="n">
        <x:v>-10837.21</x:v>
      </x:c>
      <x:c r="K408" s="90" t="n">
        <x:v>0</x:v>
      </x:c>
      <x:c r="L408" s="90" t="n">
        <x:v>-91013.79</x:v>
      </x:c>
      <x:c r="M408" s="90" t="n">
        <x:v>-91573.95</x:v>
      </x:c>
      <x:c r="N408" s="90" t="n">
        <x:v>-468346.31</x:v>
      </x:c>
      <x:c r="O408" s="90" t="n">
        <x:v>-196727.98</x:v>
      </x:c>
      <x:c r="P408" s="90" t="n">
        <x:v>-17599.83</x:v>
      </x:c>
      <x:c r="Q408" s="90" t="n">
        <x:v>0</x:v>
      </x:c>
      <x:c r="R408" t="n">
        <x:v>0</x:v>
      </x:c>
    </x:row>
    <x:row r="409" spans="1:19" ht="12.75" customHeight="1" x14ac:dyDescent="0.25">
      <x:c r="B409" s="142"/>
      <x:c r="C409" s="89" t="s">
        <x:v>156</x:v>
      </x:c>
      <x:c r="D409" s="89" t="s">
        <x:v>70</x:v>
      </x:c>
      <x:c r="E409" s="371" t="n">
        <x:v>-1287165.16</x:v>
      </x:c>
      <x:c r="F409" s="90" t="n">
        <x:v>-66624.22</x:v>
      </x:c>
      <x:c r="G409" s="90" t="n">
        <x:v>-37615.3</x:v>
      </x:c>
      <x:c r="H409" s="90" t="n">
        <x:v>-19739.19</x:v>
      </x:c>
      <x:c r="I409" s="90" t="n">
        <x:v>-287087.38</x:v>
      </x:c>
      <x:c r="J409" s="90" t="n">
        <x:v>-10837.21</x:v>
      </x:c>
      <x:c r="K409" s="90" t="n">
        <x:v>0</x:v>
      </x:c>
      <x:c r="L409" s="90" t="n">
        <x:v>-91013.79</x:v>
      </x:c>
      <x:c r="M409" s="90" t="n">
        <x:v>-91573.95</x:v>
      </x:c>
      <x:c r="N409" s="90" t="n">
        <x:v>-468346.31</x:v>
      </x:c>
      <x:c r="O409" s="90" t="n">
        <x:v>-196727.98</x:v>
      </x:c>
      <x:c r="P409" s="90" t="n">
        <x:v>-17599.83</x:v>
      </x:c>
      <x:c r="Q409" s="90" t="n">
        <x:v>0</x:v>
      </x:c>
      <x:c r="R409" t="n">
        <x:v>0</x:v>
      </x:c>
    </x:row>
    <x:row r="410" spans="1:19" s="739" customFormat="1" ht="12.75" customHeight="1" x14ac:dyDescent="0.25">
      <x:c r="B410" s="739" t="s">
        <x:v>326</x:v>
      </x:c>
      <x:c r="C410" s="739" t="s">
        <x:v>70</x:v>
      </x:c>
      <x:c r="E410" s="231" t="n">
        <x:v>-1287165.16</x:v>
      </x:c>
      <x:c r="F410" s="740" t="n">
        <x:v>-66624.22</x:v>
      </x:c>
      <x:c r="G410" s="232" t="n">
        <x:v>-37615.3</x:v>
      </x:c>
      <x:c r="H410" s="232" t="n">
        <x:v>-19739.19</x:v>
      </x:c>
      <x:c r="I410" s="232" t="n">
        <x:v>-287087.38</x:v>
      </x:c>
      <x:c r="J410" s="232" t="n">
        <x:v>-10837.21</x:v>
      </x:c>
      <x:c r="K410" s="232" t="n">
        <x:v>0</x:v>
      </x:c>
      <x:c r="L410" s="232" t="n">
        <x:v>-91013.79</x:v>
      </x:c>
      <x:c r="M410" s="232" t="n">
        <x:v>-91573.95</x:v>
      </x:c>
      <x:c r="N410" s="232" t="n">
        <x:v>-468346.31</x:v>
      </x:c>
      <x:c r="O410" s="232" t="n">
        <x:v>-196727.98</x:v>
      </x:c>
      <x:c r="P410" s="232" t="n">
        <x:v>-17599.83</x:v>
      </x:c>
      <x:c r="Q410" s="232" t="n">
        <x:v>0</x:v>
      </x:c>
      <x:c r="R410" s="232" t="n">
        <x:v>0</x:v>
      </x:c>
      <x:c r="S410" s="232"/>
    </x:row>
    <x:row r="411" spans="1:19" ht="12.75" customHeight="1" x14ac:dyDescent="0.25">
      <x:c r="B411" s="142"/>
      <x:c r="C411" s="89"/>
      <x:c r="D411" s="89" t="s">
        <x:v>73</x:v>
      </x:c>
      <x:c r="E411" s="371" t="n">
        <x:v>-210692.92</x:v>
      </x:c>
      <x:c r="F411" s="90" t="n">
        <x:v>-10566.31</x:v>
      </x:c>
      <x:c r="G411" s="90" t="n">
        <x:v>-5965.83</x:v>
      </x:c>
      <x:c r="H411" s="90" t="n">
        <x:v>-3131.3</x:v>
      </x:c>
      <x:c r="I411" s="90" t="n">
        <x:v>-45955.45</x:v>
      </x:c>
      <x:c r="J411" s="90" t="n">
        <x:v>-1566.98</x:v>
      </x:c>
      <x:c r="K411" s="90" t="n">
        <x:v>0</x:v>
      </x:c>
      <x:c r="L411" s="90" t="n">
        <x:v>-13745.76</x:v>
      </x:c>
      <x:c r="M411" s="90" t="n">
        <x:v>-15917.58</x:v>
      </x:c>
      <x:c r="N411" s="90" t="n">
        <x:v>-79341.42</x:v>
      </x:c>
      <x:c r="O411" s="90" t="n">
        <x:v>-31945.58</x:v>
      </x:c>
      <x:c r="P411" s="90" t="n">
        <x:v>-2556.71</x:v>
      </x:c>
      <x:c r="Q411" s="90" t="n">
        <x:v>0</x:v>
      </x:c>
      <x:c r="R411" t="n">
        <x:v>0</x:v>
      </x:c>
    </x:row>
    <x:row r="412" spans="1:19" ht="12.75" customHeight="1" x14ac:dyDescent="0.25">
      <x:c r="B412" s="142"/>
      <x:c r="C412" s="89" t="s">
        <x:v>82</x:v>
      </x:c>
      <x:c r="D412" s="89" t="s">
        <x:v>70</x:v>
      </x:c>
      <x:c r="E412" s="371" t="n">
        <x:v>-210692.92</x:v>
      </x:c>
      <x:c r="F412" s="90" t="n">
        <x:v>-10566.31</x:v>
      </x:c>
      <x:c r="G412" s="90" t="n">
        <x:v>-5965.83</x:v>
      </x:c>
      <x:c r="H412" s="90" t="n">
        <x:v>-3131.3</x:v>
      </x:c>
      <x:c r="I412" s="90" t="n">
        <x:v>-45955.45</x:v>
      </x:c>
      <x:c r="J412" s="90" t="n">
        <x:v>-1566.98</x:v>
      </x:c>
      <x:c r="K412" s="90" t="n">
        <x:v>0</x:v>
      </x:c>
      <x:c r="L412" s="90" t="n">
        <x:v>-13745.76</x:v>
      </x:c>
      <x:c r="M412" s="90" t="n">
        <x:v>-15917.58</x:v>
      </x:c>
      <x:c r="N412" s="90" t="n">
        <x:v>-79341.42</x:v>
      </x:c>
      <x:c r="O412" s="90" t="n">
        <x:v>-31945.58</x:v>
      </x:c>
      <x:c r="P412" s="90" t="n">
        <x:v>-2556.71</x:v>
      </x:c>
      <x:c r="Q412" s="90" t="n">
        <x:v>0</x:v>
      </x:c>
      <x:c r="R412" t="n">
        <x:v>0</x:v>
      </x:c>
    </x:row>
    <x:row r="413" spans="1:19" ht="12.75" customHeight="1" x14ac:dyDescent="0.25">
      <x:c r="B413" s="142"/>
      <x:c r="C413" s="89"/>
      <x:c r="D413" s="89" t="s">
        <x:v>73</x:v>
      </x:c>
      <x:c r="E413" s="371" t="n">
        <x:v>-108192.45</x:v>
      </x:c>
      <x:c r="F413" s="90" t="n">
        <x:v>-4309.76</x:v>
      </x:c>
      <x:c r="G413" s="90" t="n">
        <x:v>-2433.32</x:v>
      </x:c>
      <x:c r="H413" s="90" t="n">
        <x:v>-1277.18</x:v>
      </x:c>
      <x:c r="I413" s="90" t="n">
        <x:v>-18004.79</x:v>
      </x:c>
      <x:c r="J413" s="90" t="n">
        <x:v>-1041.42</x:v>
      </x:c>
      <x:c r="K413" s="90" t="n">
        <x:v>0</x:v>
      </x:c>
      <x:c r="L413" s="90" t="n">
        <x:v>-9135.26</x:v>
      </x:c>
      <x:c r="M413" s="90" t="n">
        <x:v>-8882.84</x:v>
      </x:c>
      <x:c r="N413" s="90" t="n">
        <x:v>-48363.54</x:v>
      </x:c>
      <x:c r="O413" s="90" t="n">
        <x:v>-13045.17</x:v>
      </x:c>
      <x:c r="P413" s="90" t="n">
        <x:v>-1699.17</x:v>
      </x:c>
      <x:c r="Q413" s="90" t="n">
        <x:v>0</x:v>
      </x:c>
      <x:c r="R413" t="n">
        <x:v>0</x:v>
      </x:c>
    </x:row>
    <x:row r="414" spans="1:19" ht="12.75" customHeight="1" x14ac:dyDescent="0.25">
      <x:c r="B414" s="142"/>
      <x:c r="C414" s="89" t="s">
        <x:v>86</x:v>
      </x:c>
      <x:c r="D414" s="89" t="s">
        <x:v>70</x:v>
      </x:c>
      <x:c r="E414" s="371" t="n">
        <x:v>-108192.45</x:v>
      </x:c>
      <x:c r="F414" s="90" t="n">
        <x:v>-4309.76</x:v>
      </x:c>
      <x:c r="G414" s="90" t="n">
        <x:v>-2433.32</x:v>
      </x:c>
      <x:c r="H414" s="90" t="n">
        <x:v>-1277.18</x:v>
      </x:c>
      <x:c r="I414" s="90" t="n">
        <x:v>-18004.79</x:v>
      </x:c>
      <x:c r="J414" s="90" t="n">
        <x:v>-1041.42</x:v>
      </x:c>
      <x:c r="K414" s="90" t="n">
        <x:v>0</x:v>
      </x:c>
      <x:c r="L414" s="90" t="n">
        <x:v>-9135.26</x:v>
      </x:c>
      <x:c r="M414" s="90" t="n">
        <x:v>-8882.84</x:v>
      </x:c>
      <x:c r="N414" s="90" t="n">
        <x:v>-48363.54</x:v>
      </x:c>
      <x:c r="O414" s="90" t="n">
        <x:v>-13045.17</x:v>
      </x:c>
      <x:c r="P414" s="90" t="n">
        <x:v>-1699.17</x:v>
      </x:c>
      <x:c r="Q414" s="90" t="n">
        <x:v>0</x:v>
      </x:c>
      <x:c r="R414" t="n">
        <x:v>0</x:v>
      </x:c>
    </x:row>
    <x:row r="415" spans="1:19" ht="12.75" customHeight="1" x14ac:dyDescent="0.25">
      <x:c r="B415" s="142"/>
      <x:c r="C415" s="89"/>
      <x:c r="D415" s="89" t="s">
        <x:v>73</x:v>
      </x:c>
      <x:c r="E415" s="371" t="n">
        <x:v>2725143.28</x:v>
      </x:c>
      <x:c r="F415" s="90" t="n">
        <x:v>679374.88</x:v>
      </x:c>
      <x:c r="G415" s="90" t="n">
        <x:v>126898.74</x:v>
      </x:c>
      <x:c r="H415" s="90" t="n">
        <x:v>10627.02</x:v>
      </x:c>
      <x:c r="I415" s="90" t="n">
        <x:v>-60093.33</x:v>
      </x:c>
      <x:c r="J415" s="90" t="n">
        <x:v>-2491.74</x:v>
      </x:c>
      <x:c r="K415" s="90" t="n">
        <x:v>0</x:v>
      </x:c>
      <x:c r="L415" s="90" t="n">
        <x:v>-16227.77</x:v>
      </x:c>
      <x:c r="M415" s="90" t="n">
        <x:v>-16672.31</x:v>
      </x:c>
      <x:c r="N415" s="90" t="n">
        <x:v>-94111.77</x:v>
      </x:c>
      <x:c r="O415" s="90" t="n">
        <x:v>2101905.15</x:v>
      </x:c>
      <x:c r="P415" s="90" t="n">
        <x:v>-4065.59</x:v>
      </x:c>
      <x:c r="Q415" s="90" t="n">
        <x:v>0</x:v>
      </x:c>
      <x:c r="R415" t="n">
        <x:v>0</x:v>
      </x:c>
    </x:row>
    <x:row r="416" spans="1:19" ht="12.75" customHeight="1" x14ac:dyDescent="0.25">
      <x:c r="B416" s="142"/>
      <x:c r="C416" s="89" t="s">
        <x:v>87</x:v>
      </x:c>
      <x:c r="D416" s="89" t="s">
        <x:v>70</x:v>
      </x:c>
      <x:c r="E416" s="371" t="n">
        <x:v>2725143.28</x:v>
      </x:c>
      <x:c r="F416" s="90" t="n">
        <x:v>679374.88</x:v>
      </x:c>
      <x:c r="G416" s="90" t="n">
        <x:v>126898.74</x:v>
      </x:c>
      <x:c r="H416" s="90" t="n">
        <x:v>10627.02</x:v>
      </x:c>
      <x:c r="I416" s="90" t="n">
        <x:v>-60093.33</x:v>
      </x:c>
      <x:c r="J416" s="90" t="n">
        <x:v>-2491.74</x:v>
      </x:c>
      <x:c r="K416" s="90" t="n">
        <x:v>0</x:v>
      </x:c>
      <x:c r="L416" s="90" t="n">
        <x:v>-16227.77</x:v>
      </x:c>
      <x:c r="M416" s="90" t="n">
        <x:v>-16672.31</x:v>
      </x:c>
      <x:c r="N416" s="90" t="n">
        <x:v>-94111.77</x:v>
      </x:c>
      <x:c r="O416" s="90" t="n">
        <x:v>2101905.15</x:v>
      </x:c>
      <x:c r="P416" s="90" t="n">
        <x:v>-4065.59</x:v>
      </x:c>
      <x:c r="Q416" s="90" t="n">
        <x:v>0</x:v>
      </x:c>
      <x:c r="R416" t="n">
        <x:v>0</x:v>
      </x:c>
    </x:row>
    <x:row r="417" spans="1:18" s="94" customFormat="1" ht="12.75" customHeight="1" x14ac:dyDescent="0.25">
      <x:c r="B417" s="101" t="s">
        <x:v>119</x:v>
      </x:c>
      <x:c r="C417" s="101" t="s">
        <x:v>70</x:v>
      </x:c>
      <x:c r="E417" s="93" t="n">
        <x:v>2406257.91</x:v>
      </x:c>
      <x:c r="F417" s="93" t="n">
        <x:v>664498.81</x:v>
      </x:c>
      <x:c r="G417" s="93" t="n">
        <x:v>118499.59</x:v>
      </x:c>
      <x:c r="H417" s="93" t="n">
        <x:v>6218.54</x:v>
      </x:c>
      <x:c r="I417" s="93" t="n">
        <x:v>-124053.57</x:v>
      </x:c>
      <x:c r="J417" s="93" t="n">
        <x:v>-5100.14</x:v>
      </x:c>
      <x:c r="K417" s="93" t="n">
        <x:v>0</x:v>
      </x:c>
      <x:c r="L417" s="93" t="n">
        <x:v>-39108.79</x:v>
      </x:c>
      <x:c r="M417" s="93" t="n">
        <x:v>-41472.73</x:v>
      </x:c>
      <x:c r="N417" s="93" t="n">
        <x:v>-221816.73</x:v>
      </x:c>
      <x:c r="O417" s="93" t="n">
        <x:v>2056914.4</x:v>
      </x:c>
      <x:c r="P417" s="93" t="n">
        <x:v>-8321.47</x:v>
      </x:c>
      <x:c r="Q417" s="93" t="n">
        <x:v>0</x:v>
      </x:c>
      <x:c r="R417" s="94" t="n">
        <x:v>0</x:v>
      </x:c>
    </x:row>
    <x:row r="418" spans="1:18" s="226" customFormat="1" ht="12.75" customHeight="1" x14ac:dyDescent="0.25">
      <x:c r="A418" s="98" t="s">
        <x:v>79</x:v>
      </x:c>
      <x:c r="B418" s="98" t="s">
        <x:v>70</x:v>
      </x:c>
      <x:c r="E418" s="100" t="n">
        <x:v>4810642.25</x:v>
      </x:c>
      <x:c r="F418" s="100" t="n">
        <x:v>1128796.16</x:v>
      </x:c>
      <x:c r="G418" s="100" t="n">
        <x:v>353822.72</x:v>
      </x:c>
      <x:c r="H418" s="100" t="n">
        <x:v>104043.62</x:v>
      </x:c>
      <x:c r="I418" s="100" t="n">
        <x:v>-41842.45</x:v>
      </x:c>
      <x:c r="J418" s="100" t="n">
        <x:v>-3597.87</x:v>
      </x:c>
      <x:c r="K418" s="100" t="n">
        <x:v>0</x:v>
      </x:c>
      <x:c r="L418" s="100" t="n">
        <x:v>-15162.36</x:v>
      </x:c>
      <x:c r="M418" s="100" t="n">
        <x:v>-65643.29</x:v>
      </x:c>
      <x:c r="N418" s="100" t="n">
        <x:v>-103537.7</x:v>
      </x:c>
      <x:c r="O418" s="100" t="n">
        <x:v>3459090.04</x:v>
      </x:c>
      <x:c r="P418" s="100" t="n">
        <x:v>-5326.62</x:v>
      </x:c>
      <x:c r="Q418" s="100" t="n">
        <x:v>0</x:v>
      </x:c>
      <x:c r="R418" s="226" t="n">
        <x:v>0</x:v>
      </x:c>
    </x:row>
    <x:row r="419" spans="1:18" ht="12.75" customHeight="1" x14ac:dyDescent="0.25">
      <x:c r="A419" s="89" t="s">
        <x:v>70</x:v>
      </x:c>
      <x:c r="E419" s="90" t="n">
        <x:v>43973508.96</x:v>
      </x:c>
      <x:c r="F419" s="90" t="n">
        <x:v>4175591.12</x:v>
      </x:c>
      <x:c r="G419" s="90" t="n">
        <x:v>2091369.31</x:v>
      </x:c>
      <x:c r="H419" s="90" t="n">
        <x:v>912573.32</x:v>
      </x:c>
      <x:c r="I419" s="90" t="n">
        <x:v>7140563.79</x:v>
      </x:c>
      <x:c r="J419" s="90" t="n">
        <x:v>245577.68</x:v>
      </x:c>
      <x:c r="K419" s="90" t="n">
        <x:v>990006.55</x:v>
      </x:c>
      <x:c r="L419" s="90" t="n">
        <x:v>2250240.58</x:v>
      </x:c>
      <x:c r="M419" s="90" t="n">
        <x:v>2435497.01</x:v>
      </x:c>
      <x:c r="N419" s="90" t="n">
        <x:v>10666064.83</x:v>
      </x:c>
      <x:c r="O419" s="90" t="n">
        <x:v>12719306.19</x:v>
      </x:c>
      <x:c r="P419" s="90" t="n">
        <x:v>346728.95</x:v>
      </x:c>
      <x:c r="Q419" s="90" t="n">
        <x:v>-10.37</x:v>
      </x:c>
      <x:c r="R419" s="90" t="n">
        <x:v>0</x:v>
      </x:c>
    </x:row>
    <x:row r="420" spans="1:18" ht="12.75" hidden="1" customHeight="1" x14ac:dyDescent="0.25">
      <x:c r="A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  <x:c r="R420" s="90"/>
    </x:row>
    <x:row r="421" spans="1:18" ht="12.75" hidden="1" customHeight="1" x14ac:dyDescent="0.25">
      <x:c r="A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</x:row>
    <x:row r="422" spans="1:18" ht="12.75" hidden="1" customHeight="1" x14ac:dyDescent="0.25">
      <x:c r="A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  <x:c r="R422" s="90"/>
    </x:row>
    <x:row r="423" spans="1:18" ht="12.75" hidden="1" customHeight="1" x14ac:dyDescent="0.25">
      <x:c r="A423" s="89"/>
      <x:c r="E423" s="90"/>
      <x:c r="F423" s="90"/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18" ht="12.75" hidden="1" customHeight="1" x14ac:dyDescent="0.25">
      <x:c r="A424" s="89"/>
      <x:c r="E424" s="90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hidden="1" customHeight="1" x14ac:dyDescent="0.25">
      <x:c r="A425" s="89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hidden="1" customHeight="1" x14ac:dyDescent="0.25">
      <x:c r="A426" s="89"/>
      <x:c r="E426" s="90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</x:row>
    <x:row r="427" spans="1:18" ht="12.75" hidden="1" customHeight="1" x14ac:dyDescent="0.25">
      <x:c r="A427" s="89"/>
      <x:c r="E427" s="90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hidden="1" customHeight="1" x14ac:dyDescent="0.25">
      <x:c r="A428" s="89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hidden="1" customHeight="1" x14ac:dyDescent="0.25">
      <x:c r="A429" s="89"/>
      <x:c r="E429" s="90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</x:row>
    <x:row r="430" spans="1:18" ht="12.75" hidden="1" customHeight="1" x14ac:dyDescent="0.25">
      <x:c r="A430" s="89"/>
      <x:c r="E430" s="90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hidden="1" customHeight="1" x14ac:dyDescent="0.25">
      <x:c r="A431" s="89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hidden="1" customHeight="1" x14ac:dyDescent="0.25">
      <x:c r="A432" s="89"/>
      <x:c r="E432" s="90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</x:row>
    <x:row r="433" spans="1:18" ht="12.75" hidden="1" customHeight="1" x14ac:dyDescent="0.25">
      <x:c r="A433" s="89"/>
      <x:c r="E433" s="90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hidden="1" customHeight="1" x14ac:dyDescent="0.25">
      <x:c r="A434" s="89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hidden="1" customHeight="1" x14ac:dyDescent="0.25">
      <x:c r="A435" s="89"/>
      <x:c r="E435" s="90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</x:row>
    <x:row r="436" spans="1:18" ht="12.75" hidden="1" customHeight="1" x14ac:dyDescent="0.25">
      <x:c r="A436" s="89"/>
      <x:c r="E436" s="90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hidden="1" customHeight="1" x14ac:dyDescent="0.25">
      <x:c r="A437" s="89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hidden="1" customHeight="1" x14ac:dyDescent="0.25">
      <x:c r="A438" s="89"/>
      <x:c r="E438" s="90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18" ht="12.75" hidden="1" customHeight="1" x14ac:dyDescent="0.25">
      <x:c r="A439" s="89"/>
      <x:c r="E439" s="90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ht="12.75" hidden="1" customHeight="1" x14ac:dyDescent="0.25">
      <x:c r="A440" s="89"/>
      <x:c r="E440" s="90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</x:row>
    <x:row r="441" spans="1:18" ht="12.75" hidden="1" customHeight="1" x14ac:dyDescent="0.25">
      <x:c r="A441" s="89"/>
      <x:c r="E441" s="90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</x:row>
    <x:row r="442" spans="1:18" ht="12.75" hidden="1" customHeight="1" x14ac:dyDescent="0.25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5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customHeight="1" x14ac:dyDescent="0.25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customHeight="1" x14ac:dyDescent="0.25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customHeight="1" x14ac:dyDescent="0.25">
      <x:c r="B446" s="777" t="s">
        <x:v>2</x:v>
      </x:c>
      <x:c r="C446" s="775" t="s">
        <x:v>132</x:v>
      </x:c>
      <x:c r="D446" s="98" t="s">
        <x:v>70</x:v>
      </x:c>
      <x:c r="E446" s="100">
        <x:f>E418+E404-K404</x:f>
        <x:v>0</x:v>
      </x:c>
      <x:c r="F446" s="100">
        <x:f>F404</x:f>
        <x:v>0</x:v>
      </x:c>
      <x:c r="G446" s="100">
        <x:f t="shared" ref="G446:R446" si="14">G404</x:f>
        <x:v>0</x:v>
      </x:c>
      <x:c r="H446" s="100">
        <x:f t="shared" si="14"/>
        <x:v>0</x:v>
      </x:c>
      <x:c r="I446" s="100">
        <x:f t="shared" si="14"/>
        <x:v>0</x:v>
      </x:c>
      <x:c r="J446" s="100">
        <x:f t="shared" si="14"/>
        <x:v>0</x:v>
      </x:c>
      <x:c r="K446" s="100">
        <x:f t="shared" si="14"/>
        <x:v>0</x:v>
      </x:c>
      <x:c r="L446" s="100">
        <x:f t="shared" si="14"/>
        <x:v>0</x:v>
      </x:c>
      <x:c r="M446" s="100">
        <x:f t="shared" si="14"/>
        <x:v>0</x:v>
      </x:c>
      <x:c r="N446" s="100">
        <x:f t="shared" si="14"/>
        <x:v>0</x:v>
      </x:c>
      <x:c r="O446" s="100">
        <x:f t="shared" si="14"/>
        <x:v>0</x:v>
      </x:c>
      <x:c r="P446" s="100">
        <x:f>P404</x:f>
        <x:v>0</x:v>
      </x:c>
      <x:c r="Q446" s="100">
        <x:f t="shared" si="14"/>
        <x:v>0</x:v>
      </x:c>
      <x:c r="R446" s="100">
        <x:f t="shared" si="14"/>
        <x:v>0</x:v>
      </x:c>
    </x:row>
    <x:row r="447" spans="1:18" ht="12.75" customHeight="1" x14ac:dyDescent="0.25">
      <x:c r="B447" s="777"/>
      <x:c r="C447" s="775"/>
      <x:c r="D447" s="98" t="s">
        <x:v>73</x:v>
      </x:c>
      <x:c r="E447" s="100">
        <x:f>E418</x:f>
        <x:v>0</x:v>
      </x:c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customHeight="1" x14ac:dyDescent="0.25">
      <x:c r="A448" s="89"/>
      <x:c r="B448" s="97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customHeight="1" x14ac:dyDescent="0.25">
      <x:c r="B449" s="777" t="s">
        <x:v>160</x:v>
      </x:c>
      <x:c r="C449" s="775" t="s">
        <x:v>132</x:v>
      </x:c>
      <x:c r="D449" s="223" t="s">
        <x:v>70</x:v>
      </x:c>
      <x:c r="E449" s="225">
        <x:v>0</x:v>
      </x:c>
      <x:c r="F449" s="225">
        <x:v>0</x:v>
      </x:c>
      <x:c r="G449" s="225">
        <x:v>0</x:v>
      </x:c>
      <x:c r="H449" s="225">
        <x:v>0</x:v>
      </x:c>
      <x:c r="I449" s="225">
        <x:v>0</x:v>
      </x:c>
      <x:c r="J449" s="225">
        <x:v>0</x:v>
      </x:c>
      <x:c r="K449" s="225">
        <x:v>0</x:v>
      </x:c>
      <x:c r="L449" s="225">
        <x:v>0</x:v>
      </x:c>
      <x:c r="M449" s="225">
        <x:v>0</x:v>
      </x:c>
      <x:c r="N449" s="225">
        <x:v>0</x:v>
      </x:c>
      <x:c r="O449" s="225">
        <x:v>0</x:v>
      </x:c>
      <x:c r="P449" s="225">
        <x:v>0</x:v>
      </x:c>
      <x:c r="Q449" s="225">
        <x:v>0</x:v>
      </x:c>
      <x:c r="R449" s="225">
        <x:v>0</x:v>
      </x:c>
    </x:row>
    <x:row r="450" spans="1:18" ht="12.75" customHeight="1" x14ac:dyDescent="0.25">
      <x:c r="B450" s="777"/>
      <x:c r="C450" s="775"/>
      <x:c r="D450" s="223" t="s">
        <x:v>73</x:v>
      </x:c>
      <x:c r="E450" s="225">
        <x:v>0</x:v>
      </x:c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customHeight="1" x14ac:dyDescent="0.25">
      <x:c r="A451" s="89"/>
      <x:c r="B451" s="97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customHeight="1" x14ac:dyDescent="0.25">
      <x:c r="B452" s="777" t="s">
        <x:v>155</x:v>
      </x:c>
      <x:c r="C452" s="775" t="s">
        <x:v>132</x:v>
      </x:c>
      <x:c r="D452" s="221" t="s">
        <x:v>70</x:v>
      </x:c>
      <x:c r="E452" s="222">
        <x:f>E407+E389+E385-K385-K389</x:f>
        <x:v>0</x:v>
      </x:c>
      <x:c r="F452" s="222">
        <x:f>F389+F385</x:f>
        <x:v>0</x:v>
      </x:c>
      <x:c r="G452" s="222">
        <x:f t="shared" ref="G452:R452" si="15">G389+G385</x:f>
        <x:v>0</x:v>
      </x:c>
      <x:c r="H452" s="222">
        <x:f t="shared" si="15"/>
        <x:v>0</x:v>
      </x:c>
      <x:c r="I452" s="222">
        <x:f t="shared" si="15"/>
        <x:v>0</x:v>
      </x:c>
      <x:c r="J452" s="222">
        <x:f t="shared" si="15"/>
        <x:v>0</x:v>
      </x:c>
      <x:c r="K452" s="222">
        <x:f t="shared" si="15"/>
        <x:v>0</x:v>
      </x:c>
      <x:c r="L452" s="222">
        <x:f t="shared" si="15"/>
        <x:v>0</x:v>
      </x:c>
      <x:c r="M452" s="222">
        <x:f t="shared" si="15"/>
        <x:v>0</x:v>
      </x:c>
      <x:c r="N452" s="222">
        <x:f t="shared" si="15"/>
        <x:v>0</x:v>
      </x:c>
      <x:c r="O452" s="222">
        <x:f t="shared" si="15"/>
        <x:v>0</x:v>
      </x:c>
      <x:c r="P452" s="222">
        <x:f t="shared" si="15"/>
        <x:v>0</x:v>
      </x:c>
      <x:c r="Q452" s="222">
        <x:f t="shared" si="15"/>
        <x:v>0</x:v>
      </x:c>
      <x:c r="R452" s="222">
        <x:f t="shared" si="15"/>
        <x:v>0</x:v>
      </x:c>
    </x:row>
    <x:row r="453" spans="1:18" ht="12.75" customHeight="1" x14ac:dyDescent="0.25">
      <x:c r="B453" s="777"/>
      <x:c r="C453" s="775"/>
      <x:c r="D453" s="221" t="s">
        <x:v>73</x:v>
      </x:c>
      <x:c r="E453" s="222">
        <x:f>E407</x:f>
        <x:v>0</x:v>
      </x:c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customHeight="1" x14ac:dyDescent="0.25">
      <x:c r="A454" s="89"/>
      <x:c r="B454" s="97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customHeight="1" x14ac:dyDescent="0.25">
      <x:c r="B455" s="778" t="s">
        <x:v>326</x:v>
      </x:c>
      <x:c r="C455" s="775" t="s">
        <x:v>132</x:v>
      </x:c>
      <x:c r="D455" s="373" t="s">
        <x:v>70</x:v>
      </x:c>
      <x:c r="E455" s="374">
        <x:f>E410+E393-K393</x:f>
        <x:v>0</x:v>
      </x:c>
      <x:c r="F455" s="374">
        <x:f>F393</x:f>
        <x:v>0</x:v>
      </x:c>
      <x:c r="G455" s="374">
        <x:f t="shared" ref="G455:R455" si="16">G393</x:f>
        <x:v>0</x:v>
      </x:c>
      <x:c r="H455" s="374">
        <x:f t="shared" si="16"/>
        <x:v>0</x:v>
      </x:c>
      <x:c r="I455" s="374">
        <x:f t="shared" si="16"/>
        <x:v>0</x:v>
      </x:c>
      <x:c r="J455" s="374">
        <x:f t="shared" si="16"/>
        <x:v>0</x:v>
      </x:c>
      <x:c r="K455" s="374">
        <x:f t="shared" si="16"/>
        <x:v>0</x:v>
      </x:c>
      <x:c r="L455" s="374">
        <x:f t="shared" si="16"/>
        <x:v>0</x:v>
      </x:c>
      <x:c r="M455" s="374">
        <x:f t="shared" si="16"/>
        <x:v>0</x:v>
      </x:c>
      <x:c r="N455" s="374">
        <x:f t="shared" si="16"/>
        <x:v>0</x:v>
      </x:c>
      <x:c r="O455" s="374">
        <x:f t="shared" si="16"/>
        <x:v>0</x:v>
      </x:c>
      <x:c r="P455" s="374">
        <x:f t="shared" si="16"/>
        <x:v>0</x:v>
      </x:c>
      <x:c r="Q455" s="374">
        <x:f t="shared" si="16"/>
        <x:v>0</x:v>
      </x:c>
      <x:c r="R455" s="374">
        <x:f t="shared" si="16"/>
        <x:v>0</x:v>
      </x:c>
    </x:row>
    <x:row r="456" spans="1:18" ht="12.75" customHeight="1" x14ac:dyDescent="0.25">
      <x:c r="B456" s="778"/>
      <x:c r="C456" s="775"/>
      <x:c r="D456" s="373" t="s">
        <x:v>73</x:v>
      </x:c>
      <x:c r="E456" s="374">
        <x:f>E410</x:f>
        <x:v>0</x:v>
      </x:c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customHeight="1" x14ac:dyDescent="0.25">
      <x:c r="B457" s="719"/>
      <x:c r="C457" s="220"/>
      <x:c r="D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customHeight="1" x14ac:dyDescent="0.25">
      <x:c r="B458" s="777" t="s">
        <x:v>119</x:v>
      </x:c>
      <x:c r="C458" s="775" t="s">
        <x:v>132</x:v>
      </x:c>
      <x:c r="D458" s="101" t="s">
        <x:v>70</x:v>
      </x:c>
      <x:c r="E458" s="93">
        <x:f>E403+E417-K403</x:f>
        <x:v>0</x:v>
      </x:c>
      <x:c r="F458" s="93">
        <x:f>F403</x:f>
        <x:v>0</x:v>
      </x:c>
      <x:c r="G458" s="93">
        <x:f t="shared" ref="G458:R458" si="17">G403</x:f>
        <x:v>0</x:v>
      </x:c>
      <x:c r="H458" s="93">
        <x:f t="shared" si="17"/>
        <x:v>0</x:v>
      </x:c>
      <x:c r="I458" s="93">
        <x:f t="shared" si="17"/>
        <x:v>0</x:v>
      </x:c>
      <x:c r="J458" s="93">
        <x:f t="shared" si="17"/>
        <x:v>0</x:v>
      </x:c>
      <x:c r="K458" s="93">
        <x:f t="shared" si="17"/>
        <x:v>0</x:v>
      </x:c>
      <x:c r="L458" s="93">
        <x:f t="shared" si="17"/>
        <x:v>0</x:v>
      </x:c>
      <x:c r="M458" s="93">
        <x:f t="shared" si="17"/>
        <x:v>0</x:v>
      </x:c>
      <x:c r="N458" s="93">
        <x:f t="shared" si="17"/>
        <x:v>0</x:v>
      </x:c>
      <x:c r="O458" s="93">
        <x:f t="shared" si="17"/>
        <x:v>0</x:v>
      </x:c>
      <x:c r="P458" s="93">
        <x:f t="shared" si="17"/>
        <x:v>0</x:v>
      </x:c>
      <x:c r="Q458" s="93">
        <x:f t="shared" si="17"/>
        <x:v>0</x:v>
      </x:c>
      <x:c r="R458" s="93">
        <x:f t="shared" si="17"/>
        <x:v>0</x:v>
      </x:c>
    </x:row>
    <x:row r="459" spans="1:18" ht="12.75" customHeight="1" x14ac:dyDescent="0.25">
      <x:c r="B459" s="777"/>
      <x:c r="C459" s="775"/>
      <x:c r="D459" s="101" t="s">
        <x:v>73</x:v>
      </x:c>
      <x:c r="E459" s="93">
        <x:f>E417</x:f>
        <x:v>0</x:v>
      </x:c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customHeight="1" x14ac:dyDescent="0.25">
      <x:c r="A460" s="89"/>
      <x:c r="B460" s="97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customHeight="1" x14ac:dyDescent="0.25">
      <x:c r="B461" s="776" t="s">
        <x:v>161</x:v>
      </x:c>
      <x:c r="C461" s="775" t="s">
        <x:v>132</x:v>
      </x:c>
      <x:c r="D461" s="231" t="s">
        <x:v>70</x:v>
      </x:c>
      <x:c r="E461" s="232">
        <x:v>0</x:v>
      </x:c>
      <x:c r="F461" s="232">
        <x:v>0</x:v>
      </x:c>
      <x:c r="G461" s="232">
        <x:v>0</x:v>
      </x:c>
      <x:c r="H461" s="232">
        <x:v>0</x:v>
      </x:c>
      <x:c r="I461" s="232">
        <x:v>0</x:v>
      </x:c>
      <x:c r="J461" s="232">
        <x:v>0</x:v>
      </x:c>
      <x:c r="K461" s="232">
        <x:v>0</x:v>
      </x:c>
      <x:c r="L461" s="232">
        <x:v>0</x:v>
      </x:c>
      <x:c r="M461" s="232">
        <x:v>0</x:v>
      </x:c>
      <x:c r="N461" s="232">
        <x:v>0</x:v>
      </x:c>
      <x:c r="O461" s="232">
        <x:v>0</x:v>
      </x:c>
      <x:c r="P461" s="232">
        <x:v>0</x:v>
      </x:c>
      <x:c r="Q461" s="232">
        <x:v>0</x:v>
      </x:c>
      <x:c r="R461" s="232">
        <x:v>0</x:v>
      </x:c>
    </x:row>
    <x:row r="462" spans="1:18" ht="12.75" customHeight="1" x14ac:dyDescent="0.25">
      <x:c r="B462" s="776"/>
      <x:c r="C462" s="775"/>
      <x:c r="D462" s="231" t="s">
        <x:v>73</x:v>
      </x:c>
      <x:c r="E462" s="232">
        <x:v>0</x:v>
      </x:c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s="238" customFormat="1" x14ac:dyDescent="0.25"/>
  </x:sheetData>
  <x:mergeCells count="60">
    <x:mergeCell ref="B458:B459"/>
    <x:mergeCell ref="C458:C459"/>
    <x:mergeCell ref="B461:B462"/>
    <x:mergeCell ref="C461:C462"/>
    <x:mergeCell ref="B455:B456"/>
    <x:mergeCell ref="C455:C456"/>
    <x:mergeCell ref="B446:B447"/>
    <x:mergeCell ref="C446:C447"/>
    <x:mergeCell ref="B449:B450"/>
    <x:mergeCell ref="C449:C450"/>
    <x:mergeCell ref="B452:B453"/>
    <x:mergeCell ref="C452:C453"/>
    <x:mergeCell ref="B374:B375"/>
    <x:mergeCell ref="C374:C375"/>
    <x:mergeCell ref="B377:B378"/>
    <x:mergeCell ref="C377:C378"/>
    <x:mergeCell ref="B371:B372"/>
    <x:mergeCell ref="C371:C372"/>
    <x:mergeCell ref="B362:B363"/>
    <x:mergeCell ref="C362:C363"/>
    <x:mergeCell ref="B365:B366"/>
    <x:mergeCell ref="C365:C366"/>
    <x:mergeCell ref="B368:B369"/>
    <x:mergeCell ref="C368:C369"/>
    <x:mergeCell ref="B274:B275"/>
    <x:mergeCell ref="C274:C275"/>
    <x:mergeCell ref="B271:B272"/>
    <x:mergeCell ref="C271:C272"/>
    <x:mergeCell ref="B277:B278"/>
    <x:mergeCell ref="C277:C278"/>
    <x:mergeCell ref="B262:B263"/>
    <x:mergeCell ref="C262:C263"/>
    <x:mergeCell ref="B265:B266"/>
    <x:mergeCell ref="C265:C266"/>
    <x:mergeCell ref="B268:B269"/>
    <x:mergeCell ref="C268:C269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59:B160"/>
    <x:mergeCell ref="C159:C160"/>
    <x:mergeCell ref="B62:B63"/>
    <x:mergeCell ref="C62:C63"/>
    <x:mergeCell ref="B144:B145"/>
    <x:mergeCell ref="C144:C145"/>
    <x:mergeCell ref="B147:B148"/>
    <x:mergeCell ref="C147:C148"/>
    <x:mergeCell ref="B150:B151"/>
    <x:mergeCell ref="C150:C151"/>
    <x:mergeCell ref="B156:B157"/>
    <x:mergeCell ref="C156:C157"/>
    <x:mergeCell ref="B153:B154"/>
    <x:mergeCell ref="C153:C154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>
        <x:v>0</x:v>
      </x:c>
    </x:row>
    <x:row r="9" spans="1:18" ht="12.75" customHeight="1" x14ac:dyDescent="0.25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25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>
        <x:v>0</x:v>
      </x:c>
    </x:row>
    <x:row r="15" spans="1:18" s="631" customFormat="1" ht="12.75" customHeight="1" x14ac:dyDescent="0.25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25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5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5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5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5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5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5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5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5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5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5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5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5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5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5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5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5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5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5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5"/>
    <x:row r="91" spans="1:18" x14ac:dyDescent="0.25">
      <x:c r="B91" s="617" t="s">
        <x:v>75</x:v>
      </x:c>
    </x:row>
    <x:row r="92" spans="1:18" ht="12.6" customHeight="1" x14ac:dyDescent="0.25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5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25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25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25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25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25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>
        <x:v>0</x:v>
      </x:c>
    </x:row>
    <x:row r="99" spans="1:18" ht="12.75" customHeight="1" x14ac:dyDescent="0.25">
      <x:c r="C99" s="616" t="s">
        <x:v>72</x:v>
      </x:c>
      <x:c r="D99" s="620" t="n">
        <x:v>-377166.8</x:v>
      </x:c>
      <x:c r="E99" s="618" t="n">
        <x:v>-43251.45</x:v>
      </x:c>
      <x:c r="F99" s="618" t="n">
        <x:v>-24151.06</x:v>
      </x:c>
      <x:c r="G99" s="620" t="n">
        <x:v>-13029.67</x:v>
      </x:c>
      <x:c r="H99" s="618" t="n">
        <x:v>-77002.42</x:v>
      </x:c>
      <x:c r="I99" s="618" t="n">
        <x:v>-2284.76</x:v>
      </x:c>
      <x:c r="J99" s="618" t="n">
        <x:v>-20041.71</x:v>
      </x:c>
      <x:c r="K99" s="618" t="n">
        <x:v>-20313.51</x:v>
      </x:c>
      <x:c r="L99" s="618" t="n">
        <x:v>-87724.06</x:v>
      </x:c>
      <x:c r="M99" s="618" t="n">
        <x:v>-86066.71</x:v>
      </x:c>
      <x:c r="N99" s="618" t="n">
        <x:v>-3305.91</x:v>
      </x:c>
      <x:c r="O99" s="618" t="n">
        <x:v>4.46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5">
      <x:c r="C100" s="616" t="s">
        <x:v>81</x:v>
      </x:c>
      <x:c r="D100" s="618" t="n">
        <x:v>-9054.66</x:v>
      </x:c>
      <x:c r="E100" s="618" t="n">
        <x:v>-491.84</x:v>
      </x:c>
      <x:c r="F100" s="618" t="n">
        <x:v>-219.75</x:v>
      </x:c>
      <x:c r="G100" s="620" t="n">
        <x:v>-125.76</x:v>
      </x:c>
      <x:c r="H100" s="618" t="n">
        <x:v>-2696.53</x:v>
      </x:c>
      <x:c r="I100" s="618" t="n">
        <x:v>-61.76</x:v>
      </x:c>
      <x:c r="J100" s="618" t="n">
        <x:v>-541.98</x:v>
      </x:c>
      <x:c r="K100" s="618" t="n">
        <x:v>-671.69</x:v>
      </x:c>
      <x:c r="L100" s="618" t="n">
        <x:v>-3161.57</x:v>
      </x:c>
      <x:c r="M100" s="618" t="n">
        <x:v>-983.04</x:v>
      </x:c>
      <x:c r="N100" s="618" t="n">
        <x:v>-100.83</x:v>
      </x:c>
      <x:c r="O100" s="618" t="n">
        <x:v>0.09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-386221.46</x:v>
      </x:c>
      <x:c r="E101" s="622" t="n">
        <x:v>-43743.29</x:v>
      </x:c>
      <x:c r="F101" s="622" t="n">
        <x:v>-24370.81</x:v>
      </x:c>
      <x:c r="G101" s="622" t="n">
        <x:v>-13155.43</x:v>
      </x:c>
      <x:c r="H101" s="622" t="n">
        <x:v>-79698.95</x:v>
      </x:c>
      <x:c r="I101" s="622" t="n">
        <x:v>-2346.52</x:v>
      </x:c>
      <x:c r="J101" s="622" t="n">
        <x:v>-20583.69</x:v>
      </x:c>
      <x:c r="K101" s="622" t="n">
        <x:v>-20985.2</x:v>
      </x:c>
      <x:c r="L101" s="622" t="n">
        <x:v>-90885.63</x:v>
      </x:c>
      <x:c r="M101" s="622" t="n">
        <x:v>-87049.75</x:v>
      </x:c>
      <x:c r="N101" s="622" t="n">
        <x:v>-3406.74</x:v>
      </x:c>
      <x:c r="O101" s="622" t="n">
        <x:v>4.55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5">
      <x:c r="C102" s="616" t="s">
        <x:v>73</x:v>
      </x:c>
      <x:c r="D102" s="620" t="n">
        <x:v>95471.46</x:v>
      </x:c>
      <x:c r="E102" s="618" t="n">
        <x:v>4869.41</x:v>
      </x:c>
      <x:c r="F102" s="618" t="n">
        <x:v>2653.99</x:v>
      </x:c>
      <x:c r="G102" s="620" t="n">
        <x:v>1418.22</x:v>
      </x:c>
      <x:c r="H102" s="618" t="n">
        <x:v>24431.4</x:v>
      </x:c>
      <x:c r="I102" s="618" t="n">
        <x:v>804.56</x:v>
      </x:c>
      <x:c r="J102" s="618" t="n">
        <x:v>7057.6</x:v>
      </x:c>
      <x:c r="K102" s="618" t="n">
        <x:v>7551.54</x:v>
      </x:c>
      <x:c r="L102" s="618" t="n">
        <x:v>35697.19</x:v>
      </x:c>
      <x:c r="M102" s="618" t="n">
        <x:v>9674.81</x:v>
      </x:c>
      <x:c r="N102" s="618" t="n">
        <x:v>1312.74</x:v>
      </x:c>
      <x:c r="O102" s="618" t="n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95471.46</x:v>
      </x:c>
      <x:c r="E103" s="624" t="n">
        <x:v>4869.41</x:v>
      </x:c>
      <x:c r="F103" s="624" t="n">
        <x:v>2653.99</x:v>
      </x:c>
      <x:c r="G103" s="636" t="n">
        <x:v>1418.22</x:v>
      </x:c>
      <x:c r="H103" s="624" t="n">
        <x:v>24431.4</x:v>
      </x:c>
      <x:c r="I103" s="624" t="n">
        <x:v>804.56</x:v>
      </x:c>
      <x:c r="J103" s="624" t="n">
        <x:v>7057.6</x:v>
      </x:c>
      <x:c r="K103" s="624" t="n">
        <x:v>7551.54</x:v>
      </x:c>
      <x:c r="L103" s="624" t="n">
        <x:v>35697.19</x:v>
      </x:c>
      <x:c r="M103" s="624" t="n">
        <x:v>9674.81</x:v>
      </x:c>
      <x:c r="N103" s="624" t="n">
        <x:v>1312.74</x:v>
      </x:c>
      <x:c r="O103" s="624" t="n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5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5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25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25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25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5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5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5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5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5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5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5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5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5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5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5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5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5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5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5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5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5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5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5"/>
    <x:row r="192" spans="1:18" x14ac:dyDescent="0.25">
      <x:c r="B192" s="617" t="s">
        <x:v>76</x:v>
      </x:c>
    </x:row>
    <x:row r="193" spans="1:18" x14ac:dyDescent="0.25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5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25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25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25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25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25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>
        <x:v>0</x:v>
      </x:c>
    </x:row>
    <x:row r="200" spans="1:18" ht="12.75" customHeight="1" x14ac:dyDescent="0.25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>
        <x:v>0</x:v>
      </x:c>
    </x:row>
    <x:row r="201" spans="1:18" ht="12.6" customHeight="1" x14ac:dyDescent="0.25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5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25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25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25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25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5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5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5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5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5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5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5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5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5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5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5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5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5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5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5"/>
    <x:row r="229" spans="1:18" x14ac:dyDescent="0.25">
      <x:c r="B229" s="617" t="s">
        <x:v>88</x:v>
      </x:c>
    </x:row>
    <x:row r="230" spans="1:18" ht="12.75" customHeight="1" x14ac:dyDescent="0.25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5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25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25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25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25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25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>
        <x:v>0</x:v>
      </x:c>
    </x:row>
    <x:row r="237" spans="1:18" ht="12.75" customHeight="1" x14ac:dyDescent="0.25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5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5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25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>
        <x:v>0</x:v>
      </x:c>
    </x:row>
    <x:row r="243" spans="1:18" ht="12.75" customHeight="1" x14ac:dyDescent="0.25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5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5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25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25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25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5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5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5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5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5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5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5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5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5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5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5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5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5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5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5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5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5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5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5"/>
    <x:row r="344" spans="1:18" x14ac:dyDescent="0.25">
      <x:c r="B344" s="617" t="s">
        <x:v>93</x:v>
      </x:c>
    </x:row>
    <x:row r="345" spans="1:18" ht="12.75" customHeight="1" x14ac:dyDescent="0.25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5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25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25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25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25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25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>
        <x:v>0</x:v>
      </x:c>
    </x:row>
    <x:row r="352" spans="1:18" ht="12.75" customHeight="1" x14ac:dyDescent="0.25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>
        <x:v>0</x:v>
      </x:c>
    </x:row>
    <x:row r="353" spans="1:18" ht="12.6" customHeight="1" x14ac:dyDescent="0.25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5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25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5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25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25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25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5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5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5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5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5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5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5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5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5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5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5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5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5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5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5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5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5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5"/>
    <x:row r="381" spans="1:18" x14ac:dyDescent="0.25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5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5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5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5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</x:row>
    <x:row r="41" spans="1:16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1" zoomScaleNormal="100" workbookViewId="0">
      <x:selection activeCell="L15" sqref="L1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R2'!E144</x:f>
        <x:v>0</x:v>
      </x:c>
      <x:c r="E29" s="292">
        <x:f>'Rem. Anticipos R2'!F144</x:f>
        <x:v>0</x:v>
      </x:c>
      <x:c r="F29" s="292">
        <x:f>'Rem. Anticipos R2'!G144</x:f>
        <x:v>0</x:v>
      </x:c>
      <x:c r="G29" s="292">
        <x:f>'Rem. Anticipos R2'!H144</x:f>
        <x:v>0</x:v>
      </x:c>
      <x:c r="H29" s="292">
        <x:f>'Rem. Anticipos R2'!I144</x:f>
        <x:v>0</x:v>
      </x:c>
      <x:c r="I29" s="292">
        <x:f>'Rem. Anticipos R2'!J144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R2'!K144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R2'!L144</x:f>
        <x:v>0</x:v>
      </x:c>
      <x:c r="V29" s="317">
        <x:f>'Rem. Anticipos R2'!M144</x:f>
        <x:v>0</x:v>
      </x:c>
      <x:c r="W29" s="317">
        <x:f>'Rem. Anticipos R2'!N144</x:f>
        <x:v>0</x:v>
      </x:c>
      <x:c r="X29" s="317">
        <x:f>'Rem. Anticipos R2'!O144</x:f>
        <x:v>0</x:v>
      </x:c>
      <x:c r="Y29" s="318">
        <x:f>'Rem. Anticipos R2'!P144</x:f>
        <x:v>0</x:v>
      </x:c>
      <x:c r="Z29" s="319">
        <x:f>L29*-1</x:f>
        <x:v>0</x:v>
      </x:c>
      <x:c r="AA29" s="320">
        <x:f>'Rem. Anticipos R2'!Q144</x:f>
        <x:v>0</x:v>
      </x:c>
      <x:c r="AB29" s="294">
        <x:f>N29</x:f>
        <x:v>0</x:v>
      </x:c>
      <x:c r="AC29" s="320">
        <x:f>'Rem. Anticipos R2'!R144</x:f>
        <x:v>0</x:v>
      </x:c>
      <x:c r="AD29" s="291">
        <x:f>-J29+AE29</x:f>
        <x:v>0</x:v>
      </x:c>
      <x:c r="AE29" s="291">
        <x:f>'Rem. Anticipos R2'!E145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R2'!E262</x:f>
        <x:v>0</x:v>
      </x:c>
      <x:c r="E30" s="292">
        <x:f>'Rem. Anticipos R2'!F262</x:f>
        <x:v>0</x:v>
      </x:c>
      <x:c r="F30" s="292">
        <x:f>'Rem. Anticipos R2'!G262</x:f>
        <x:v>0</x:v>
      </x:c>
      <x:c r="G30" s="292">
        <x:f>'Rem. Anticipos R2'!H262</x:f>
        <x:v>0</x:v>
      </x:c>
      <x:c r="H30" s="292">
        <x:f>'Rem. Anticipos R2'!I262</x:f>
        <x:v>0</x:v>
      </x:c>
      <x:c r="I30" s="292">
        <x:f>'Rem. Anticipos R2'!J262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R2'!K262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R2'!L262</x:f>
        <x:v>0</x:v>
      </x:c>
      <x:c r="V30" s="317">
        <x:f>'Rem. Anticipos R2'!M262</x:f>
        <x:v>0</x:v>
      </x:c>
      <x:c r="W30" s="317">
        <x:f>'Rem. Anticipos R2'!N262</x:f>
        <x:v>0</x:v>
      </x:c>
      <x:c r="X30" s="317">
        <x:f>'Rem. Anticipos R2'!O262</x:f>
        <x:v>0</x:v>
      </x:c>
      <x:c r="Y30" s="318">
        <x:f>'Rem. Anticipos R2'!P262</x:f>
        <x:v>0</x:v>
      </x:c>
      <x:c r="Z30" s="319">
        <x:f>L30*-1</x:f>
        <x:v>0</x:v>
      </x:c>
      <x:c r="AA30" s="320">
        <x:f>'Rem. Anticipos R2'!Q262</x:f>
        <x:v>0</x:v>
      </x:c>
      <x:c r="AB30" s="294">
        <x:f>N30</x:f>
        <x:v>0</x:v>
      </x:c>
      <x:c r="AC30" s="320">
        <x:f>'Rem. Anticipos R2'!R262</x:f>
        <x:v>0</x:v>
      </x:c>
      <x:c r="AD30" s="291">
        <x:f t="shared" ref="AD30:AD32" si="9">-J30+AE30</x:f>
        <x:v>0</x:v>
      </x:c>
      <x:c r="AE30" s="291">
        <x:f>'Rem. Anticipos R2'!E263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R2'!E362</x:f>
        <x:v>0</x:v>
      </x:c>
      <x:c r="E31" s="292">
        <x:f>'Rem. Anticipos R2'!F362</x:f>
        <x:v>0</x:v>
      </x:c>
      <x:c r="F31" s="292">
        <x:f>'Rem. Anticipos R2'!G362</x:f>
        <x:v>0</x:v>
      </x:c>
      <x:c r="G31" s="292">
        <x:f>'Rem. Anticipos R2'!H362</x:f>
        <x:v>0</x:v>
      </x:c>
      <x:c r="H31" s="292">
        <x:f>'Rem. Anticipos R2'!I362</x:f>
        <x:v>0</x:v>
      </x:c>
      <x:c r="I31" s="292">
        <x:f>'Rem. Anticipos R2'!J362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R2'!K362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R2'!L362</x:f>
        <x:v>0</x:v>
      </x:c>
      <x:c r="V31" s="317">
        <x:f>'Rem. Anticipos R2'!M362</x:f>
        <x:v>0</x:v>
      </x:c>
      <x:c r="W31" s="317">
        <x:f>'Rem. Anticipos R2'!N362</x:f>
        <x:v>0</x:v>
      </x:c>
      <x:c r="X31" s="317">
        <x:f>'Rem. Anticipos R2'!O362</x:f>
        <x:v>0</x:v>
      </x:c>
      <x:c r="Y31" s="318">
        <x:f>'Rem. Anticipos R2'!P362</x:f>
        <x:v>0</x:v>
      </x:c>
      <x:c r="Z31" s="319">
        <x:f>L31*-1</x:f>
        <x:v>0</x:v>
      </x:c>
      <x:c r="AA31" s="320">
        <x:f>'Rem. Anticipos R2'!Q362</x:f>
        <x:v>0</x:v>
      </x:c>
      <x:c r="AB31" s="294">
        <x:f>N31</x:f>
        <x:v>0</x:v>
      </x:c>
      <x:c r="AC31" s="320">
        <x:f>'Rem. Anticipos R2'!R362</x:f>
        <x:v>0</x:v>
      </x:c>
      <x:c r="AD31" s="291">
        <x:f t="shared" si="9"/>
        <x:v>0</x:v>
      </x:c>
      <x:c r="AE31" s="291">
        <x:f>'Rem. Anticipos R2'!E363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R2'!E446</x:f>
        <x:v>0</x:v>
      </x:c>
      <x:c r="E32" s="297">
        <x:f>'Rem. Anticipos R2'!F446</x:f>
        <x:v>0</x:v>
      </x:c>
      <x:c r="F32" s="297">
        <x:f>'Rem. Anticipos R2'!G446</x:f>
        <x:v>0</x:v>
      </x:c>
      <x:c r="G32" s="297">
        <x:f>'Rem. Anticipos R2'!H446</x:f>
        <x:v>0</x:v>
      </x:c>
      <x:c r="H32" s="297">
        <x:f>'Rem. Anticipos R2'!I446</x:f>
        <x:v>0</x:v>
      </x:c>
      <x:c r="I32" s="297">
        <x:f>'Rem. Anticipos R2'!J446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R2'!K446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R2'!L446</x:f>
        <x:v>0</x:v>
      </x:c>
      <x:c r="V32" s="297">
        <x:f>'Rem. Anticipos R2'!M446</x:f>
        <x:v>0</x:v>
      </x:c>
      <x:c r="W32" s="297">
        <x:f>'Rem. Anticipos R2'!N446</x:f>
        <x:v>0</x:v>
      </x:c>
      <x:c r="X32" s="297">
        <x:f>'Rem. Anticipos R2'!O446</x:f>
        <x:v>0</x:v>
      </x:c>
      <x:c r="Y32" s="289">
        <x:f>'Rem. Anticipos R2'!P446</x:f>
        <x:v>0</x:v>
      </x:c>
      <x:c r="Z32" s="319">
        <x:f>L32*-1</x:f>
        <x:v>0</x:v>
      </x:c>
      <x:c r="AA32" s="320">
        <x:f>'Rem. Anticipos R2'!Q446</x:f>
        <x:v>0</x:v>
      </x:c>
      <x:c r="AB32" s="294">
        <x:f>N32</x:f>
        <x:v>0</x:v>
      </x:c>
      <x:c r="AC32" s="320">
        <x:f>'Rem. Anticipos R2'!R446</x:f>
        <x:v>0</x:v>
      </x:c>
      <x:c r="AD32" s="291">
        <x:f t="shared" si="9"/>
        <x:v>0</x:v>
      </x:c>
      <x:c r="AE32" s="291">
        <x:f>'Rem. Anticipos R2'!E447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>
        <x:f>D109+N109</x:f>
        <x:v>0</x:v>
      </x:c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 t="n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R2'!E147</x:f>
        <x:v>0</x:v>
      </x:c>
      <x:c r="E29" s="292">
        <x:f>'Rem. Anticipos R2'!F147</x:f>
        <x:v>0</x:v>
      </x:c>
      <x:c r="F29" s="292">
        <x:f>'Rem. Anticipos R2'!G147</x:f>
        <x:v>0</x:v>
      </x:c>
      <x:c r="G29" s="292">
        <x:f>'Rem. Anticipos R2'!H147</x:f>
        <x:v>0</x:v>
      </x:c>
      <x:c r="H29" s="292">
        <x:f>'Rem. Anticipos R2'!I147</x:f>
        <x:v>0</x:v>
      </x:c>
      <x:c r="I29" s="292">
        <x:f>'Rem. Anticipos R2'!J147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R2'!L147</x:f>
        <x:v>0</x:v>
      </x:c>
      <x:c r="V29" s="317">
        <x:f>'Rem. Anticipos R2'!M147</x:f>
        <x:v>0</x:v>
      </x:c>
      <x:c r="W29" s="317">
        <x:f>'Rem. Anticipos R2'!N147</x:f>
        <x:v>0</x:v>
      </x:c>
      <x:c r="X29" s="317">
        <x:f>'Rem. Anticipos R2'!O147</x:f>
        <x:v>0</x:v>
      </x:c>
      <x:c r="Y29" s="318">
        <x:f>'Rem. Anticipos R2'!P147</x:f>
        <x:v>0</x:v>
      </x:c>
      <x:c r="Z29" s="319">
        <x:f>L29*-1</x:f>
        <x:v>0</x:v>
      </x:c>
      <x:c r="AA29" s="320">
        <x:f>'Rem. Anticipos R2'!Q147</x:f>
        <x:v>0</x:v>
      </x:c>
      <x:c r="AB29" s="294">
        <x:f>N29</x:f>
        <x:v>0</x:v>
      </x:c>
      <x:c r="AC29" s="320">
        <x:f>'Rem. Anticipos R2'!R147</x:f>
        <x:v>0</x:v>
      </x:c>
      <x:c r="AD29" s="291">
        <x:f>-J29+AE29</x:f>
        <x:v>0</x:v>
      </x:c>
      <x:c r="AE29" s="291">
        <x:f>'Rem. Anticipos R2'!E148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R2'!E265</x:f>
        <x:v>0</x:v>
      </x:c>
      <x:c r="E30" s="292">
        <x:f>'Rem. Anticipos R2'!F265</x:f>
        <x:v>0</x:v>
      </x:c>
      <x:c r="F30" s="292">
        <x:f>'Rem. Anticipos R2'!G265</x:f>
        <x:v>0</x:v>
      </x:c>
      <x:c r="G30" s="292">
        <x:f>'Rem. Anticipos R2'!H265</x:f>
        <x:v>0</x:v>
      </x:c>
      <x:c r="H30" s="292">
        <x:f>'Rem. Anticipos R2'!I265</x:f>
        <x:v>0</x:v>
      </x:c>
      <x:c r="I30" s="292">
        <x:f>'Rem. Anticipos R2'!J265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R2'!L265</x:f>
        <x:v>0</x:v>
      </x:c>
      <x:c r="V30" s="317">
        <x:f>'Rem. Anticipos R2'!M265</x:f>
        <x:v>0</x:v>
      </x:c>
      <x:c r="W30" s="317">
        <x:f>'Rem. Anticipos R2'!N265</x:f>
        <x:v>0</x:v>
      </x:c>
      <x:c r="X30" s="317">
        <x:f>'Rem. Anticipos R2'!O265</x:f>
        <x:v>0</x:v>
      </x:c>
      <x:c r="Y30" s="318">
        <x:f>'Rem. Anticipos R2'!P265</x:f>
        <x:v>0</x:v>
      </x:c>
      <x:c r="Z30" s="319">
        <x:f>L30*-1</x:f>
        <x:v>0</x:v>
      </x:c>
      <x:c r="AA30" s="320">
        <x:f>'Rem. Anticipos R2'!Q265</x:f>
        <x:v>0</x:v>
      </x:c>
      <x:c r="AB30" s="294">
        <x:f>N30</x:f>
        <x:v>0</x:v>
      </x:c>
      <x:c r="AC30" s="320">
        <x:f>'Rem. Anticipos R2'!R265</x:f>
        <x:v>0</x:v>
      </x:c>
      <x:c r="AD30" s="291">
        <x:f t="shared" ref="AD30:AD32" si="10">-J30+AE30</x:f>
        <x:v>0</x:v>
      </x:c>
      <x:c r="AE30" s="291">
        <x:f>'Rem. Anticipos R2'!E266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R2'!E365</x:f>
        <x:v>0</x:v>
      </x:c>
      <x:c r="E31" s="292">
        <x:f>'Rem. Anticipos R2'!F365</x:f>
        <x:v>0</x:v>
      </x:c>
      <x:c r="F31" s="292">
        <x:f>'Rem. Anticipos R2'!G365</x:f>
        <x:v>0</x:v>
      </x:c>
      <x:c r="G31" s="292">
        <x:f>'Rem. Anticipos R2'!H365</x:f>
        <x:v>0</x:v>
      </x:c>
      <x:c r="H31" s="292">
        <x:f>'Rem. Anticipos R2'!I365</x:f>
        <x:v>0</x:v>
      </x:c>
      <x:c r="I31" s="292">
        <x:f>'Rem. Anticipos R2'!J365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R2'!L365</x:f>
        <x:v>0</x:v>
      </x:c>
      <x:c r="V31" s="317">
        <x:f>'Rem. Anticipos R2'!M365</x:f>
        <x:v>0</x:v>
      </x:c>
      <x:c r="W31" s="317">
        <x:f>'Rem. Anticipos R2'!N365</x:f>
        <x:v>0</x:v>
      </x:c>
      <x:c r="X31" s="317">
        <x:f>'Rem. Anticipos R2'!O365</x:f>
        <x:v>0</x:v>
      </x:c>
      <x:c r="Y31" s="318">
        <x:f>'Rem. Anticipos R2'!P365</x:f>
        <x:v>0</x:v>
      </x:c>
      <x:c r="Z31" s="319">
        <x:f>L31*-1</x:f>
        <x:v>0</x:v>
      </x:c>
      <x:c r="AA31" s="320">
        <x:f>'Rem. Anticipos R2'!Q365</x:f>
        <x:v>0</x:v>
      </x:c>
      <x:c r="AB31" s="294">
        <x:f>N31</x:f>
        <x:v>0</x:v>
      </x:c>
      <x:c r="AC31" s="320">
        <x:f>'Rem. Anticipos R2'!R365</x:f>
        <x:v>0</x:v>
      </x:c>
      <x:c r="AD31" s="291">
        <x:f t="shared" si="10"/>
        <x:v>0</x:v>
      </x:c>
      <x:c r="AE31" s="291">
        <x:f>'Rem. Anticipos R2'!E366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R2'!E449</x:f>
        <x:v>0</x:v>
      </x:c>
      <x:c r="E32" s="297">
        <x:f>'Rem. Anticipos R2'!F449</x:f>
        <x:v>0</x:v>
      </x:c>
      <x:c r="F32" s="297">
        <x:f>'Rem. Anticipos R2'!G449</x:f>
        <x:v>0</x:v>
      </x:c>
      <x:c r="G32" s="297">
        <x:f>'Rem. Anticipos R2'!H449</x:f>
        <x:v>0</x:v>
      </x:c>
      <x:c r="H32" s="297">
        <x:f>'Rem. Anticipos R2'!I449</x:f>
        <x:v>0</x:v>
      </x:c>
      <x:c r="I32" s="297">
        <x:f>'Rem. Anticipos R2'!J449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R2'!K449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R2'!L449</x:f>
        <x:v>0</x:v>
      </x:c>
      <x:c r="V32" s="297">
        <x:f>'Rem. Anticipos R2'!M449</x:f>
        <x:v>0</x:v>
      </x:c>
      <x:c r="W32" s="297">
        <x:f>'Rem. Anticipos R2'!N449</x:f>
        <x:v>0</x:v>
      </x:c>
      <x:c r="X32" s="297">
        <x:f>'Rem. Anticipos R2'!O449</x:f>
        <x:v>0</x:v>
      </x:c>
      <x:c r="Y32" s="289">
        <x:f>'Rem. Anticipos R2'!P449</x:f>
        <x:v>0</x:v>
      </x:c>
      <x:c r="Z32" s="319">
        <x:f>L32*-1</x:f>
        <x:v>0</x:v>
      </x:c>
      <x:c r="AA32" s="320">
        <x:f>'Rem. Anticipos R2'!Q449</x:f>
        <x:v>0</x:v>
      </x:c>
      <x:c r="AB32" s="294">
        <x:f>N32</x:f>
        <x:v>0</x:v>
      </x:c>
      <x:c r="AC32" s="320">
        <x:f>'Rem. Anticipos R2'!R449</x:f>
        <x:v>0</x:v>
      </x:c>
      <x:c r="AD32" s="291">
        <x:f t="shared" si="10"/>
        <x:v>0</x:v>
      </x:c>
      <x:c r="AE32" s="291">
        <x:f>'Rem. Anticipos R2'!E450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6204091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R2'!E150</x:f>
        <x:v>0</x:v>
      </x:c>
      <x:c r="E29" s="292">
        <x:f>'Rem. Anticipos R2'!F150</x:f>
        <x:v>0</x:v>
      </x:c>
      <x:c r="F29" s="292">
        <x:f>'Rem. Anticipos R2'!G150</x:f>
        <x:v>0</x:v>
      </x:c>
      <x:c r="G29" s="292">
        <x:f>'Rem. Anticipos R2'!H150</x:f>
        <x:v>0</x:v>
      </x:c>
      <x:c r="H29" s="292">
        <x:f>'Rem. Anticipos R2'!I150</x:f>
        <x:v>0</x:v>
      </x:c>
      <x:c r="I29" s="292">
        <x:f>'Rem. Anticipos R2'!J150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R2'!L150</x:f>
        <x:v>0</x:v>
      </x:c>
      <x:c r="V29" s="317">
        <x:f>'Rem. Anticipos R2'!M150</x:f>
        <x:v>0</x:v>
      </x:c>
      <x:c r="W29" s="317">
        <x:f>'Rem. Anticipos R2'!N150</x:f>
        <x:v>0</x:v>
      </x:c>
      <x:c r="X29" s="317">
        <x:f>'Rem. Anticipos R2'!O150</x:f>
        <x:v>0</x:v>
      </x:c>
      <x:c r="Y29" s="318">
        <x:f>'Rem. Anticipos R2'!P150</x:f>
        <x:v>0</x:v>
      </x:c>
      <x:c r="Z29" s="319">
        <x:f>L29*-1</x:f>
        <x:v>0</x:v>
      </x:c>
      <x:c r="AA29" s="320">
        <x:f>'Rem. Anticipos R2'!Q150</x:f>
        <x:v>0</x:v>
      </x:c>
      <x:c r="AB29" s="294">
        <x:f>N29</x:f>
        <x:v>0</x:v>
      </x:c>
      <x:c r="AC29" s="320">
        <x:f>'Rem. Anticipos R2'!R150</x:f>
        <x:v>0</x:v>
      </x:c>
      <x:c r="AD29" s="291">
        <x:f>-J29+AE29</x:f>
        <x:v>0</x:v>
      </x:c>
      <x:c r="AE29" s="291">
        <x:f>'Rem. Anticipos R2'!E151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R2'!E268</x:f>
        <x:v>0</x:v>
      </x:c>
      <x:c r="E30" s="292">
        <x:f>'Rem. Anticipos R2'!F268</x:f>
        <x:v>0</x:v>
      </x:c>
      <x:c r="F30" s="292">
        <x:f>'Rem. Anticipos R2'!G268</x:f>
        <x:v>0</x:v>
      </x:c>
      <x:c r="G30" s="292">
        <x:f>'Rem. Anticipos R2'!H268</x:f>
        <x:v>0</x:v>
      </x:c>
      <x:c r="H30" s="292">
        <x:f>'Rem. Anticipos R2'!I268</x:f>
        <x:v>0</x:v>
      </x:c>
      <x:c r="I30" s="292">
        <x:f>'Rem. Anticipos R2'!J268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R2'!L268</x:f>
        <x:v>0</x:v>
      </x:c>
      <x:c r="V30" s="317">
        <x:f>'Rem. Anticipos R2'!M268</x:f>
        <x:v>0</x:v>
      </x:c>
      <x:c r="W30" s="317">
        <x:f>'Rem. Anticipos R2'!N268</x:f>
        <x:v>0</x:v>
      </x:c>
      <x:c r="X30" s="317">
        <x:f>'Rem. Anticipos R2'!O268</x:f>
        <x:v>0</x:v>
      </x:c>
      <x:c r="Y30" s="318">
        <x:f>'Rem. Anticipos R2'!P268</x:f>
        <x:v>0</x:v>
      </x:c>
      <x:c r="Z30" s="319">
        <x:f>L30*-1</x:f>
        <x:v>0</x:v>
      </x:c>
      <x:c r="AA30" s="320">
        <x:f>'Rem. Anticipos R2'!Q268</x:f>
        <x:v>0</x:v>
      </x:c>
      <x:c r="AB30" s="294">
        <x:f>N30</x:f>
        <x:v>0</x:v>
      </x:c>
      <x:c r="AC30" s="320">
        <x:f>'Rem. Anticipos R2'!R268</x:f>
        <x:v>0</x:v>
      </x:c>
      <x:c r="AD30" s="291">
        <x:f t="shared" ref="AD30:AD32" si="10">-J30+AE30</x:f>
        <x:v>0</x:v>
      </x:c>
      <x:c r="AE30" s="291">
        <x:f>'Rem. Anticipos R2'!E269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R2'!E368</x:f>
        <x:v>0</x:v>
      </x:c>
      <x:c r="E31" s="292">
        <x:f>'Rem. Anticipos R2'!F368</x:f>
        <x:v>0</x:v>
      </x:c>
      <x:c r="F31" s="292">
        <x:f>'Rem. Anticipos R2'!G368</x:f>
        <x:v>0</x:v>
      </x:c>
      <x:c r="G31" s="292">
        <x:f>'Rem. Anticipos R2'!H368</x:f>
        <x:v>0</x:v>
      </x:c>
      <x:c r="H31" s="292">
        <x:f>'Rem. Anticipos R2'!I368</x:f>
        <x:v>0</x:v>
      </x:c>
      <x:c r="I31" s="292">
        <x:f>'Rem. Anticipos R2'!J368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R2'!L368</x:f>
        <x:v>0</x:v>
      </x:c>
      <x:c r="V31" s="317">
        <x:f>'Rem. Anticipos R2'!M368</x:f>
        <x:v>0</x:v>
      </x:c>
      <x:c r="W31" s="317">
        <x:f>'Rem. Anticipos R2'!N368</x:f>
        <x:v>0</x:v>
      </x:c>
      <x:c r="X31" s="317">
        <x:f>'Rem. Anticipos R2'!O368</x:f>
        <x:v>0</x:v>
      </x:c>
      <x:c r="Y31" s="318">
        <x:f>'Rem. Anticipos R2'!P368</x:f>
        <x:v>0</x:v>
      </x:c>
      <x:c r="Z31" s="319">
        <x:f>L31*-1</x:f>
        <x:v>0</x:v>
      </x:c>
      <x:c r="AA31" s="320">
        <x:f>'Rem. Anticipos R2'!Q368</x:f>
        <x:v>0</x:v>
      </x:c>
      <x:c r="AB31" s="294">
        <x:f>N31</x:f>
        <x:v>0</x:v>
      </x:c>
      <x:c r="AC31" s="320">
        <x:f>'Rem. Anticipos R2'!R368</x:f>
        <x:v>0</x:v>
      </x:c>
      <x:c r="AD31" s="291">
        <x:f t="shared" si="10"/>
        <x:v>0</x:v>
      </x:c>
      <x:c r="AE31" s="291">
        <x:f>'Rem. Anticipos R2'!E369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R2'!E452</x:f>
        <x:v>0</x:v>
      </x:c>
      <x:c r="E32" s="297">
        <x:f>'Rem. Anticipos R2'!F452</x:f>
        <x:v>0</x:v>
      </x:c>
      <x:c r="F32" s="297">
        <x:f>'Rem. Anticipos R2'!G452</x:f>
        <x:v>0</x:v>
      </x:c>
      <x:c r="G32" s="297">
        <x:f>'Rem. Anticipos R2'!H452</x:f>
        <x:v>0</x:v>
      </x:c>
      <x:c r="H32" s="297">
        <x:f>'Rem. Anticipos R2'!I452</x:f>
        <x:v>0</x:v>
      </x:c>
      <x:c r="I32" s="297">
        <x:f>'Rem. Anticipos R2'!J452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R2'!L452</x:f>
        <x:v>0</x:v>
      </x:c>
      <x:c r="V32" s="297">
        <x:f>'Rem. Anticipos R2'!M452</x:f>
        <x:v>0</x:v>
      </x:c>
      <x:c r="W32" s="297">
        <x:f>'Rem. Anticipos R2'!N452</x:f>
        <x:v>0</x:v>
      </x:c>
      <x:c r="X32" s="297">
        <x:f>'Rem. Anticipos R2'!O452</x:f>
        <x:v>0</x:v>
      </x:c>
      <x:c r="Y32" s="289">
        <x:f>'Rem. Anticipos R2'!P452</x:f>
        <x:v>0</x:v>
      </x:c>
      <x:c r="Z32" s="319">
        <x:f>L32*-1</x:f>
        <x:v>0</x:v>
      </x:c>
      <x:c r="AA32" s="320">
        <x:f>'Rem. Anticipos R2'!Q452</x:f>
        <x:v>0</x:v>
      </x:c>
      <x:c r="AB32" s="294">
        <x:f>N32</x:f>
        <x:v>0</x:v>
      </x:c>
      <x:c r="AC32" s="320">
        <x:f>'Rem. Anticipos R2'!R452</x:f>
        <x:v>0</x:v>
      </x:c>
      <x:c r="AD32" s="291">
        <x:f t="shared" si="10"/>
        <x:v>0</x:v>
      </x:c>
      <x:c r="AE32" s="291">
        <x:f>'Rem. Anticipos R2'!E453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68200068115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R2'!E153</x:f>
        <x:v>0</x:v>
      </x:c>
      <x:c r="E29" s="292">
        <x:f>'Rem. Anticipos R2'!F153</x:f>
        <x:v>0</x:v>
      </x:c>
      <x:c r="F29" s="292">
        <x:f>'Rem. Anticipos R2'!G153</x:f>
        <x:v>0</x:v>
      </x:c>
      <x:c r="G29" s="292">
        <x:f>'Rem. Anticipos R2'!H153</x:f>
        <x:v>0</x:v>
      </x:c>
      <x:c r="H29" s="292">
        <x:f>'Rem. Anticipos R2'!I153</x:f>
        <x:v>0</x:v>
      </x:c>
      <x:c r="I29" s="292">
        <x:f>'Rem. Anticipos R2'!J153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R2'!L153</x:f>
        <x:v>0</x:v>
      </x:c>
      <x:c r="V29" s="317">
        <x:f>'Rem. Anticipos R2'!M153</x:f>
        <x:v>0</x:v>
      </x:c>
      <x:c r="W29" s="317">
        <x:f>'Rem. Anticipos R2'!N153</x:f>
        <x:v>0</x:v>
      </x:c>
      <x:c r="X29" s="317">
        <x:f>'Rem. Anticipos R2'!O153</x:f>
        <x:v>0</x:v>
      </x:c>
      <x:c r="Y29" s="318">
        <x:f>'Rem. Anticipos R2'!P153</x:f>
        <x:v>0</x:v>
      </x:c>
      <x:c r="Z29" s="319">
        <x:f>L29*-1</x:f>
        <x:v>0</x:v>
      </x:c>
      <x:c r="AA29" s="320">
        <x:f>'Rem. Anticipos R2'!Q153</x:f>
        <x:v>0</x:v>
      </x:c>
      <x:c r="AB29" s="294">
        <x:f>N29</x:f>
        <x:v>0</x:v>
      </x:c>
      <x:c r="AC29" s="320">
        <x:f>'Rem. Anticipos R2'!R153</x:f>
        <x:v>0</x:v>
      </x:c>
      <x:c r="AD29" s="291">
        <x:f>-J29+AE29</x:f>
        <x:v>0</x:v>
      </x:c>
      <x:c r="AE29" s="291">
        <x:f>'Rem. Anticipos R2'!E154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R2'!E271</x:f>
        <x:v>0</x:v>
      </x:c>
      <x:c r="E30" s="291">
        <x:f>'Rem. Anticipos R2'!F271</x:f>
        <x:v>0</x:v>
      </x:c>
      <x:c r="F30" s="291">
        <x:f>'Rem. Anticipos R2'!G271</x:f>
        <x:v>0</x:v>
      </x:c>
      <x:c r="G30" s="291">
        <x:f>'Rem. Anticipos R2'!H271</x:f>
        <x:v>0</x:v>
      </x:c>
      <x:c r="H30" s="291">
        <x:f>'Rem. Anticipos R2'!I271</x:f>
        <x:v>0</x:v>
      </x:c>
      <x:c r="I30" s="291">
        <x:f>'Rem. Anticipos R2'!J271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R2'!K271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R2'!L271</x:f>
        <x:v>0</x:v>
      </x:c>
      <x:c r="V30" s="316">
        <x:f>'Rem. Anticipos R2'!M271</x:f>
        <x:v>0</x:v>
      </x:c>
      <x:c r="W30" s="316">
        <x:f>'Rem. Anticipos R2'!N271</x:f>
        <x:v>0</x:v>
      </x:c>
      <x:c r="X30" s="316">
        <x:f>'Rem. Anticipos R2'!O271</x:f>
        <x:v>0</x:v>
      </x:c>
      <x:c r="Y30" s="316">
        <x:f>'Rem. Anticipos R2'!P271</x:f>
        <x:v>0</x:v>
      </x:c>
      <x:c r="Z30" s="319">
        <x:f>L30*-1</x:f>
        <x:v>0</x:v>
      </x:c>
      <x:c r="AA30" s="320">
        <x:f>'Rem. Anticipos R2'!Q271</x:f>
        <x:v>0</x:v>
      </x:c>
      <x:c r="AB30" s="294">
        <x:f>N30</x:f>
        <x:v>0</x:v>
      </x:c>
      <x:c r="AC30" s="320">
        <x:f>'Rem. Anticipos R2'!R271</x:f>
        <x:v>0</x:v>
      </x:c>
      <x:c r="AD30" s="291">
        <x:f t="shared" ref="AD30:AD32" si="10">-J30+AE30</x:f>
        <x:v>0</x:v>
      </x:c>
      <x:c r="AE30" s="291">
        <x:f>'Rem. Anticipos R2'!E272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R2'!E371</x:f>
        <x:v>0</x:v>
      </x:c>
      <x:c r="E31" s="291">
        <x:f>'Rem. Anticipos R2'!F371</x:f>
        <x:v>0</x:v>
      </x:c>
      <x:c r="F31" s="291">
        <x:f>'Rem. Anticipos R2'!G371</x:f>
        <x:v>0</x:v>
      </x:c>
      <x:c r="G31" s="291">
        <x:f>'Rem. Anticipos R2'!H371</x:f>
        <x:v>0</x:v>
      </x:c>
      <x:c r="H31" s="291">
        <x:f>'Rem. Anticipos R2'!I371</x:f>
        <x:v>0</x:v>
      </x:c>
      <x:c r="I31" s="291">
        <x:f>'Rem. Anticipos R2'!J371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R2'!K371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R2'!L371</x:f>
        <x:v>0</x:v>
      </x:c>
      <x:c r="V31" s="316">
        <x:f>'Rem. Anticipos R2'!M371</x:f>
        <x:v>0</x:v>
      </x:c>
      <x:c r="W31" s="316">
        <x:f>'Rem. Anticipos R2'!N371</x:f>
        <x:v>0</x:v>
      </x:c>
      <x:c r="X31" s="316">
        <x:f>'Rem. Anticipos R2'!O371</x:f>
        <x:v>0</x:v>
      </x:c>
      <x:c r="Y31" s="316">
        <x:f>'Rem. Anticipos R2'!P371</x:f>
        <x:v>0</x:v>
      </x:c>
      <x:c r="Z31" s="319">
        <x:f>L31*-1</x:f>
        <x:v>0</x:v>
      </x:c>
      <x:c r="AA31" s="320">
        <x:f>'Rem. Anticipos R2'!Q371</x:f>
        <x:v>0</x:v>
      </x:c>
      <x:c r="AB31" s="294">
        <x:f>N31</x:f>
        <x:v>0</x:v>
      </x:c>
      <x:c r="AC31" s="320">
        <x:f>'Rem. Anticipos R2'!R371</x:f>
        <x:v>0</x:v>
      </x:c>
      <x:c r="AD31" s="291">
        <x:f t="shared" si="10"/>
        <x:v>0</x:v>
      </x:c>
      <x:c r="AE31" s="291">
        <x:f>'Rem. Anticipos R2'!E372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R2'!E455</x:f>
        <x:v>0</x:v>
      </x:c>
      <x:c r="E32" s="296">
        <x:f>'Rem. Anticipos R2'!F455</x:f>
        <x:v>0</x:v>
      </x:c>
      <x:c r="F32" s="296">
        <x:f>'Rem. Anticipos R2'!G455</x:f>
        <x:v>0</x:v>
      </x:c>
      <x:c r="G32" s="296">
        <x:f>'Rem. Anticipos R2'!H455</x:f>
        <x:v>0</x:v>
      </x:c>
      <x:c r="H32" s="296">
        <x:f>'Rem. Anticipos R2'!I455</x:f>
        <x:v>0</x:v>
      </x:c>
      <x:c r="I32" s="296">
        <x:f>'Rem. Anticipos R2'!J455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R2'!K455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R2'!L455</x:f>
        <x:v>0</x:v>
      </x:c>
      <x:c r="V32" s="297">
        <x:f>'Rem. Anticipos R2'!M455</x:f>
        <x:v>0</x:v>
      </x:c>
      <x:c r="W32" s="297">
        <x:f>'Rem. Anticipos R2'!N455</x:f>
        <x:v>0</x:v>
      </x:c>
      <x:c r="X32" s="297">
        <x:f>'Rem. Anticipos R2'!O455</x:f>
        <x:v>0</x:v>
      </x:c>
      <x:c r="Y32" s="289">
        <x:f>'Rem. Anticipos R2'!P455</x:f>
        <x:v>0</x:v>
      </x:c>
      <x:c r="Z32" s="319">
        <x:f>L32*-1</x:f>
        <x:v>0</x:v>
      </x:c>
      <x:c r="AA32" s="320">
        <x:f>'Rem. Anticipos R2'!Q455</x:f>
        <x:v>0</x:v>
      </x:c>
      <x:c r="AB32" s="294">
        <x:f>N32</x:f>
        <x:v>0</x:v>
      </x:c>
      <x:c r="AC32" s="320">
        <x:f>'Rem. Anticipos R2'!R455</x:f>
        <x:v>0</x:v>
      </x:c>
      <x:c r="AD32" s="291">
        <x:f t="shared" si="10"/>
        <x:v>0</x:v>
      </x:c>
      <x:c r="AE32" s="291">
        <x:f>'Rem. Anticipos R2'!E456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38870386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R2'!E156</x:f>
        <x:v>0</x:v>
      </x:c>
      <x:c r="E29" s="292">
        <x:f>'Rem. Anticipos R2'!F156</x:f>
        <x:v>0</x:v>
      </x:c>
      <x:c r="F29" s="292">
        <x:f>'Rem. Anticipos R2'!G156</x:f>
        <x:v>0</x:v>
      </x:c>
      <x:c r="G29" s="292">
        <x:f>'Rem. Anticipos R2'!H156</x:f>
        <x:v>0</x:v>
      </x:c>
      <x:c r="H29" s="292">
        <x:f>'Rem. Anticipos R2'!I156</x:f>
        <x:v>0</x:v>
      </x:c>
      <x:c r="I29" s="292">
        <x:f>'Rem. Anticipos R2'!J156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R2'!K156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R2'!L156</x:f>
        <x:v>0</x:v>
      </x:c>
      <x:c r="V29" s="317">
        <x:f>'Rem. Anticipos R2'!M156</x:f>
        <x:v>0</x:v>
      </x:c>
      <x:c r="W29" s="317">
        <x:f>'Rem. Anticipos R2'!N156</x:f>
        <x:v>0</x:v>
      </x:c>
      <x:c r="X29" s="317">
        <x:f>'Rem. Anticipos R2'!O156</x:f>
        <x:v>0</x:v>
      </x:c>
      <x:c r="Y29" s="318">
        <x:f>'Rem. Anticipos R2'!P156</x:f>
        <x:v>0</x:v>
      </x:c>
      <x:c r="Z29" s="319">
        <x:f>L29*-1</x:f>
        <x:v>0</x:v>
      </x:c>
      <x:c r="AA29" s="320">
        <x:f>'Rem. Anticipos R2'!Q156</x:f>
        <x:v>0</x:v>
      </x:c>
      <x:c r="AB29" s="294">
        <x:f>N29</x:f>
        <x:v>0</x:v>
      </x:c>
      <x:c r="AC29" s="320">
        <x:f>'Rem. Anticipos R2'!R156</x:f>
        <x:v>0</x:v>
      </x:c>
      <x:c r="AD29" s="291">
        <x:f>-J29+AE29</x:f>
        <x:v>0</x:v>
      </x:c>
      <x:c r="AE29" s="291">
        <x:f>'Rem. Anticipos R2'!E157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R2'!E274</x:f>
        <x:v>0</x:v>
      </x:c>
      <x:c r="E30" s="292">
        <x:f>'Rem. Anticipos R2'!F274</x:f>
        <x:v>0</x:v>
      </x:c>
      <x:c r="F30" s="292">
        <x:f>'Rem. Anticipos R2'!G274</x:f>
        <x:v>0</x:v>
      </x:c>
      <x:c r="G30" s="292">
        <x:f>'Rem. Anticipos R2'!H274</x:f>
        <x:v>0</x:v>
      </x:c>
      <x:c r="H30" s="292">
        <x:f>'Rem. Anticipos R2'!I274</x:f>
        <x:v>0</x:v>
      </x:c>
      <x:c r="I30" s="292">
        <x:f>'Rem. Anticipos R2'!J274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R2'!L274</x:f>
        <x:v>0</x:v>
      </x:c>
      <x:c r="V30" s="317">
        <x:f>'Rem. Anticipos R2'!M274</x:f>
        <x:v>0</x:v>
      </x:c>
      <x:c r="W30" s="317">
        <x:f>'Rem. Anticipos R2'!N274</x:f>
        <x:v>0</x:v>
      </x:c>
      <x:c r="X30" s="317">
        <x:f>'Rem. Anticipos R2'!O274</x:f>
        <x:v>0</x:v>
      </x:c>
      <x:c r="Y30" s="318">
        <x:f>'Rem. Anticipos R2'!P274</x:f>
        <x:v>0</x:v>
      </x:c>
      <x:c r="Z30" s="319">
        <x:f>L30*-1</x:f>
        <x:v>0</x:v>
      </x:c>
      <x:c r="AA30" s="320">
        <x:f>'Rem. Anticipos R2'!Q274</x:f>
        <x:v>0</x:v>
      </x:c>
      <x:c r="AB30" s="294">
        <x:f>N30</x:f>
        <x:v>0</x:v>
      </x:c>
      <x:c r="AC30" s="320">
        <x:f>'Rem. Anticipos R2'!R274</x:f>
        <x:v>0</x:v>
      </x:c>
      <x:c r="AD30" s="291">
        <x:f t="shared" ref="AD30:AD32" si="10">-J30+AE30</x:f>
        <x:v>0</x:v>
      </x:c>
      <x:c r="AE30" s="291">
        <x:f>'Rem. Anticipos R2'!E275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R2'!E374</x:f>
        <x:v>0</x:v>
      </x:c>
      <x:c r="E31" s="292">
        <x:f>'Rem. Anticipos R2'!F374</x:f>
        <x:v>0</x:v>
      </x:c>
      <x:c r="F31" s="292">
        <x:f>'Rem. Anticipos R2'!G374</x:f>
        <x:v>0</x:v>
      </x:c>
      <x:c r="G31" s="292">
        <x:f>'Rem. Anticipos R2'!H374</x:f>
        <x:v>0</x:v>
      </x:c>
      <x:c r="H31" s="292">
        <x:f>'Rem. Anticipos R2'!I374</x:f>
        <x:v>0</x:v>
      </x:c>
      <x:c r="I31" s="292">
        <x:f>'Rem. Anticipos R2'!J374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R2'!K374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R2'!L374</x:f>
        <x:v>0</x:v>
      </x:c>
      <x:c r="V31" s="317">
        <x:f>'Rem. Anticipos R2'!M374</x:f>
        <x:v>0</x:v>
      </x:c>
      <x:c r="W31" s="317">
        <x:f>'Rem. Anticipos R2'!N374</x:f>
        <x:v>0</x:v>
      </x:c>
      <x:c r="X31" s="317">
        <x:f>'Rem. Anticipos R2'!O374</x:f>
        <x:v>0</x:v>
      </x:c>
      <x:c r="Y31" s="318">
        <x:f>'Rem. Anticipos R2'!P374</x:f>
        <x:v>0</x:v>
      </x:c>
      <x:c r="Z31" s="319">
        <x:f>L31*-1</x:f>
        <x:v>0</x:v>
      </x:c>
      <x:c r="AA31" s="320">
        <x:f>'Rem. Anticipos R2'!Q374</x:f>
        <x:v>0</x:v>
      </x:c>
      <x:c r="AB31" s="294">
        <x:f>N31</x:f>
        <x:v>0</x:v>
      </x:c>
      <x:c r="AC31" s="320">
        <x:f>'Rem. Anticipos R2'!R374</x:f>
        <x:v>0</x:v>
      </x:c>
      <x:c r="AD31" s="291">
        <x:f t="shared" si="10"/>
        <x:v>0</x:v>
      </x:c>
      <x:c r="AE31" s="291">
        <x:f>'Rem. Anticipos R2'!E375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R2'!E458</x:f>
        <x:v>0</x:v>
      </x:c>
      <x:c r="E32" s="297">
        <x:f>'Rem. Anticipos R2'!F458</x:f>
        <x:v>0</x:v>
      </x:c>
      <x:c r="F32" s="297">
        <x:f>'Rem. Anticipos R2'!G458</x:f>
        <x:v>0</x:v>
      </x:c>
      <x:c r="G32" s="297">
        <x:f>'Rem. Anticipos R2'!H458</x:f>
        <x:v>0</x:v>
      </x:c>
      <x:c r="H32" s="297">
        <x:f>'Rem. Anticipos R2'!I458</x:f>
        <x:v>0</x:v>
      </x:c>
      <x:c r="I32" s="297">
        <x:f>'Rem. Anticipos R2'!J458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R2'!K458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R2'!L458</x:f>
        <x:v>0</x:v>
      </x:c>
      <x:c r="V32" s="297">
        <x:f>'Rem. Anticipos R2'!M458</x:f>
        <x:v>0</x:v>
      </x:c>
      <x:c r="W32" s="297">
        <x:f>'Rem. Anticipos R2'!N458</x:f>
        <x:v>0</x:v>
      </x:c>
      <x:c r="X32" s="297">
        <x:f>'Rem. Anticipos R2'!O458</x:f>
        <x:v>0</x:v>
      </x:c>
      <x:c r="Y32" s="289">
        <x:f>'Rem. Anticipos R2'!P458</x:f>
        <x:v>0</x:v>
      </x:c>
      <x:c r="Z32" s="319">
        <x:f>L32*-1</x:f>
        <x:v>0</x:v>
      </x:c>
      <x:c r="AA32" s="320">
        <x:f>'Rem. Anticipos R2'!Q458</x:f>
        <x:v>0</x:v>
      </x:c>
      <x:c r="AB32" s="294">
        <x:f>N32</x:f>
        <x:v>0</x:v>
      </x:c>
      <x:c r="AC32" s="320">
        <x:f>'Rem. Anticipos R2'!R458</x:f>
        <x:v>0</x:v>
      </x:c>
      <x:c r="AD32" s="291">
        <x:f t="shared" si="10"/>
        <x:v>0</x:v>
      </x:c>
      <x:c r="AE32" s="291">
        <x:f>'Rem. Anticipos R2'!E459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5736574007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R2'!E159</x:f>
        <x:v>0</x:v>
      </x:c>
      <x:c r="E29" s="292">
        <x:f>'Rem. Anticipos R2'!F159</x:f>
        <x:v>0</x:v>
      </x:c>
      <x:c r="F29" s="292">
        <x:f>'Rem. Anticipos R2'!G159</x:f>
        <x:v>0</x:v>
      </x:c>
      <x:c r="G29" s="292">
        <x:f>'Rem. Anticipos R2'!H159</x:f>
        <x:v>0</x:v>
      </x:c>
      <x:c r="H29" s="292">
        <x:f>'Rem. Anticipos R2'!I159</x:f>
        <x:v>0</x:v>
      </x:c>
      <x:c r="I29" s="292">
        <x:f>'Rem. Anticipos R2'!J159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R2'!K159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R2'!L159</x:f>
        <x:v>0</x:v>
      </x:c>
      <x:c r="V29" s="317">
        <x:f>'Rem. Anticipos R2'!M159</x:f>
        <x:v>0</x:v>
      </x:c>
      <x:c r="W29" s="317">
        <x:f>'Rem. Anticipos R2'!N159</x:f>
        <x:v>0</x:v>
      </x:c>
      <x:c r="X29" s="317">
        <x:f>'Rem. Anticipos R2'!O159</x:f>
        <x:v>0</x:v>
      </x:c>
      <x:c r="Y29" s="318">
        <x:f>'Rem. Anticipos R2'!P159</x:f>
        <x:v>0</x:v>
      </x:c>
      <x:c r="Z29" s="319">
        <x:f>L29*-1</x:f>
        <x:v>0</x:v>
      </x:c>
      <x:c r="AA29" s="320">
        <x:f>'Rem. Anticipos R2'!Q159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R2'!E160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R2'!E277</x:f>
        <x:v>0</x:v>
      </x:c>
      <x:c r="E30" s="292">
        <x:f>'Rem. Anticipos R2'!F277</x:f>
        <x:v>0</x:v>
      </x:c>
      <x:c r="F30" s="292">
        <x:f>'Rem. Anticipos R2'!G277</x:f>
        <x:v>0</x:v>
      </x:c>
      <x:c r="G30" s="292">
        <x:f>'Rem. Anticipos R2'!H277</x:f>
        <x:v>0</x:v>
      </x:c>
      <x:c r="H30" s="292">
        <x:f>'Rem. Anticipos R2'!I277</x:f>
        <x:v>0</x:v>
      </x:c>
      <x:c r="I30" s="292">
        <x:f>'Rem. Anticipos R2'!J277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R2'!K277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R2'!L277</x:f>
        <x:v>0</x:v>
      </x:c>
      <x:c r="V30" s="317">
        <x:f>'Rem. Anticipos R2'!M277</x:f>
        <x:v>0</x:v>
      </x:c>
      <x:c r="W30" s="317">
        <x:f>'Rem. Anticipos R2'!N277</x:f>
        <x:v>0</x:v>
      </x:c>
      <x:c r="X30" s="317">
        <x:f>'Rem. Anticipos R2'!O277</x:f>
        <x:v>0</x:v>
      </x:c>
      <x:c r="Y30" s="318">
        <x:f>'Rem. Anticipos R2'!P277</x:f>
        <x:v>0</x:v>
      </x:c>
      <x:c r="Z30" s="319">
        <x:f>L30*-1</x:f>
        <x:v>0</x:v>
      </x:c>
      <x:c r="AA30" s="320">
        <x:f>'Rem. Anticipos R2'!Q277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R2'!E278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R2'!E377</x:f>
        <x:v>0</x:v>
      </x:c>
      <x:c r="E31" s="292">
        <x:f>'Rem. Anticipos R2'!F377</x:f>
        <x:v>0</x:v>
      </x:c>
      <x:c r="F31" s="292">
        <x:f>'Rem. Anticipos R2'!G377</x:f>
        <x:v>0</x:v>
      </x:c>
      <x:c r="G31" s="292">
        <x:f>'Rem. Anticipos R2'!H377</x:f>
        <x:v>0</x:v>
      </x:c>
      <x:c r="H31" s="292">
        <x:f>'Rem. Anticipos R2'!I377</x:f>
        <x:v>0</x:v>
      </x:c>
      <x:c r="I31" s="292">
        <x:f>'Rem. Anticipos R2'!J377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R2'!L377</x:f>
        <x:v>0</x:v>
      </x:c>
      <x:c r="V31" s="317">
        <x:f>'Rem. Anticipos R2'!M377</x:f>
        <x:v>0</x:v>
      </x:c>
      <x:c r="W31" s="317">
        <x:f>'Rem. Anticipos R2'!N377</x:f>
        <x:v>0</x:v>
      </x:c>
      <x:c r="X31" s="317">
        <x:f>'Rem. Anticipos R2'!O377</x:f>
        <x:v>0</x:v>
      </x:c>
      <x:c r="Y31" s="318">
        <x:f>'Rem. Anticipos R2'!P377</x:f>
        <x:v>0</x:v>
      </x:c>
      <x:c r="Z31" s="319">
        <x:f>L31*-1</x:f>
        <x:v>0</x:v>
      </x:c>
      <x:c r="AA31" s="320">
        <x:f>'Rem. Anticipos R2'!Q377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R2'!E378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R2'!E461</x:f>
        <x:v>0</x:v>
      </x:c>
      <x:c r="E32" s="297">
        <x:f>'Rem. Anticipos R2'!F461</x:f>
        <x:v>0</x:v>
      </x:c>
      <x:c r="F32" s="297">
        <x:f>'Rem. Anticipos R2'!G461</x:f>
        <x:v>0</x:v>
      </x:c>
      <x:c r="G32" s="297">
        <x:f>'Rem. Anticipos R2'!H461</x:f>
        <x:v>0</x:v>
      </x:c>
      <x:c r="H32" s="297">
        <x:f>'Rem. Anticipos R2'!I461</x:f>
        <x:v>0</x:v>
      </x:c>
      <x:c r="I32" s="297">
        <x:f>'Rem. Anticipos R2'!J461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R2'!L461</x:f>
        <x:v>0</x:v>
      </x:c>
      <x:c r="V32" s="297">
        <x:f>'Rem. Anticipos R2'!M461</x:f>
        <x:v>0</x:v>
      </x:c>
      <x:c r="W32" s="297">
        <x:f>'Rem. Anticipos R2'!N461</x:f>
        <x:v>0</x:v>
      </x:c>
      <x:c r="X32" s="297">
        <x:f>'Rem. Anticipos R2'!O461</x:f>
        <x:v>0</x:v>
      </x:c>
      <x:c r="Y32" s="289">
        <x:f>'Rem. Anticipos R2'!P461</x:f>
        <x:v>0</x:v>
      </x:c>
      <x:c r="Z32" s="319">
        <x:f>L32*-1</x:f>
        <x:v>0</x:v>
      </x:c>
      <x:c r="AA32" s="320">
        <x:f>'Rem. Anticipos R2'!Q461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R2'!E462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R1'!F254+'Rem. Anticipos R2'!E144+'Reversion Pagos R4'!D174+'Reporte Componentes R1'!F256+'AJUSTES - SF-T'!D48=D10</x:f>
        <x:v>1</x:v>
      </x:c>
      <x:c r="E33" s="651" t="b">
        <x:f>+E24+'Reporte Componentes R1'!G254+'Rem. Anticipos R2'!F144+'Reversion Pagos R4'!E174+'Reporte Componentes R1'!G256+'AJUSTES - SF-T'!E48=E10</x:f>
        <x:v>1</x:v>
      </x:c>
      <x:c r="F33" s="651" t="b">
        <x:f>+F24+'Reporte Componentes R1'!H254+'Rem. Anticipos R2'!G144+'Reversion Pagos R4'!F174+'Reporte Componentes R1'!H256+'AJUSTES - SF-T'!F48=F10</x:f>
        <x:v>1</x:v>
      </x:c>
      <x:c r="G33" s="651" t="b">
        <x:f>+G24+'Reporte Componentes R1'!I254+'Rem. Anticipos R2'!H144+'Reversion Pagos R4'!G174+'Reporte Componentes R1'!I256+'AJUSTES - SF-T'!G48=G10</x:f>
        <x:v>1</x:v>
      </x:c>
      <x:c r="H33" s="651" t="b">
        <x:f>+H24+'Reporte Componentes R1'!J254+'Rem. Anticipos R2'!I144+'Reversion Pagos R4'!H174+'Reporte Componentes R1'!J256+'AJUSTES - SF-T'!H48=H10</x:f>
        <x:v>1</x:v>
      </x:c>
      <x:c r="I33" s="651" t="b">
        <x:f>+I24+'Reporte Componentes R1'!K254+'Rem. Anticipos R2'!J144+'Reversion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x:f>
        <x:v>1</x:v>
      </x:c>
      <x:c r="N33" s="648" t="b">
        <x:f>+'Reporte Componentes R1'!L254+'Rem. Anticipos R2'!K144+'Reversion Pagos R4'!P174+'Reporte Componentes R1'!L256+N24=N10</x:f>
        <x:v>1</x:v>
      </x:c>
      <x:c r="O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R1'!F415+'Reporte Componentes R1'!F417+'Rem. Anticipos R2'!E262+'Reversion Pagos R4'!D211+D25+'AJUSTES - SF-T'!D49=D11</x:f>
        <x:v>1</x:v>
      </x:c>
      <x:c r="E34" s="651" t="b">
        <x:f>+'Reporte Componentes R1'!G415+'Reporte Componentes R1'!G417+'Rem. Anticipos R2'!F262+'Reversion Pagos R4'!E211+E25+'AJUSTES - SF-T'!E49=E11</x:f>
        <x:v>1</x:v>
      </x:c>
      <x:c r="F34" s="651" t="b">
        <x:f>+'Reporte Componentes R1'!H415+'Reporte Componentes R1'!H417+'Rem. Anticipos R2'!G262+'Reversion Pagos R4'!F211+F25+'AJUSTES - SF-T'!F49=F11</x:f>
        <x:v>1</x:v>
      </x:c>
      <x:c r="G34" s="651" t="b">
        <x:f>+'Reporte Componentes R1'!I415+'Reporte Componentes R1'!I417+'Rem. Anticipos R2'!H262+'Reversion Pagos R4'!G211+G25+'AJUSTES - SF-T'!G49=G11</x:f>
        <x:v>1</x:v>
      </x:c>
      <x:c r="H34" s="651" t="b">
        <x:f>+'Reporte Componentes R1'!J415+'Reporte Componentes R1'!J417+'Rem. Anticipos R2'!I262+'Reversion Pagos R4'!H211+H25+'AJUSTES - SF-T'!H49=H11</x:f>
        <x:v>1</x:v>
      </x:c>
      <x:c r="I34" s="651" t="b">
        <x:f>+'Reporte Componentes R1'!K415+'Reporte Componentes R1'!K417+'Rem. Anticipos R2'!J262+'Reversion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x:f>
        <x:v>1</x:v>
      </x:c>
      <x:c r="N34" s="648" t="b">
        <x:f>+'Reporte Componentes R1'!L415+'Reporte Componentes R1'!L417+'Rem. Anticipos R2'!K262+'Reversion Pagos R4'!P211+N25=N11</x:f>
        <x:v>1</x:v>
      </x:c>
      <x:c r="O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R1'!F568+'Reporte Componentes R1'!F570+'Rem. Anticipos R2'!E362+'Reversion Pagos R4'!D326+D26+'AJUSTES - SF-T'!D50=D12</x:f>
        <x:v>1</x:v>
      </x:c>
      <x:c r="E35" s="651" t="b">
        <x:f>+'Reporte Componentes R1'!G568+'Reporte Componentes R1'!G570+'Rem. Anticipos R2'!F362+'Reversion Pagos R4'!E326+E26+'AJUSTES - SF-T'!E50=E12</x:f>
        <x:v>1</x:v>
      </x:c>
      <x:c r="F35" s="651" t="b">
        <x:f>+'Reporte Componentes R1'!H568+'Reporte Componentes R1'!H570+'Rem. Anticipos R2'!G362+'Reversion Pagos R4'!F326+F26+'AJUSTES - SF-T'!F50=F12</x:f>
        <x:v>1</x:v>
      </x:c>
      <x:c r="G35" s="651" t="b">
        <x:f>+'Reporte Componentes R1'!I568+'Reporte Componentes R1'!I570+'Rem. Anticipos R2'!H362+'Reversion Pagos R4'!G326+G26+'AJUSTES - SF-T'!G50=G12</x:f>
        <x:v>1</x:v>
      </x:c>
      <x:c r="H35" s="651" t="b">
        <x:f>+'Reporte Componentes R1'!J568+'Reporte Componentes R1'!J570+'Rem. Anticipos R2'!I362+'Reversion Pagos R4'!H326+H26+'AJUSTES - SF-T'!H50=H12</x:f>
        <x:v>1</x:v>
      </x:c>
      <x:c r="I35" s="651" t="b">
        <x:f>+'Reporte Componentes R1'!K568+'Reporte Componentes R1'!K570+'Rem. Anticipos R2'!J362+'Reversion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x:f>
        <x:v>1</x:v>
      </x:c>
      <x:c r="N35" s="648" t="b">
        <x:f>+'Reporte Componentes R1'!L568+'Reporte Componentes R1'!L570+'Rem. Anticipos R2'!K362+'Reversion Pagos R4'!P326+N26=N12</x:f>
        <x:v>1</x:v>
      </x:c>
      <x:c r="O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R1'!F680+'Reporte Componentes R1'!F682+'Rem. Anticipos R2'!E446+'Reversion Pagos R4'!D361+'AJUSTES - SF-T'!D51=D13</x:f>
        <x:v>1</x:v>
      </x:c>
      <x:c r="E36" s="651" t="b">
        <x:f>+E27+'Reporte Componentes R1'!G680+'Reporte Componentes R1'!G682+'Rem. Anticipos R2'!F446+'Reversion Pagos R4'!E361+'AJUSTES - SF-T'!E51=E13</x:f>
        <x:v>1</x:v>
      </x:c>
      <x:c r="F36" s="651" t="b">
        <x:f>+F27+'Reporte Componentes R1'!H680+'Reporte Componentes R1'!H682+'Rem. Anticipos R2'!G446+'Reversion Pagos R4'!F361+'AJUSTES - SF-T'!F51=F13</x:f>
        <x:v>1</x:v>
      </x:c>
      <x:c r="G36" s="651" t="b">
        <x:f>+G27+'Reporte Componentes R1'!I680+'Reporte Componentes R1'!I682+'Rem. Anticipos R2'!H446+'Reversion Pagos R4'!G361+'AJUSTES - SF-T'!G51=G13</x:f>
        <x:v>1</x:v>
      </x:c>
      <x:c r="H36" s="651" t="b">
        <x:f>+H27+'Reporte Componentes R1'!J680+'Reporte Componentes R1'!J682+'Rem. Anticipos R2'!I446+'Reversion Pagos R4'!H361+'AJUSTES - SF-T'!H51=H13</x:f>
        <x:v>1</x:v>
      </x:c>
      <x:c r="I36" s="651" t="b">
        <x:f>+I27+'Reporte Componentes R1'!K680+'Reporte Componentes R1'!K682+'Rem. Anticipos R2'!J446+'Reversion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x:f>
        <x:v>1</x:v>
      </x:c>
      <x:c r="N36" s="648" t="b">
        <x:f>+'Reporte Componentes R1'!L680+'Reporte Componentes R1'!L682+'Rem. Anticipos R2'!K446+'Reversion Pagos R4'!P361+N27=N13</x:f>
        <x:v>1</x:v>
      </x:c>
      <x:c r="O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K13" workbookViewId="0">
      <x:selection activeCell="R28" sqref="R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R1'!M254+'Rem. Anticipos R2'!L144+'Reversion Pagos R4'!J174+'Reporte Componentes R1'!M256+D17+'AJUSTES - SF-T'!U48=D10</x:f>
        <x:v>1</x:v>
      </x:c>
      <x:c r="E25" s="654" t="b">
        <x:f>+'Reporte Componentes R1'!N254+'Rem. Anticipos R2'!M144+'Reversion Pagos R4'!K174+'Reporte Componentes R1'!N256+E17+'AJUSTES - SF-T'!V48=E10</x:f>
        <x:v>1</x:v>
      </x:c>
      <x:c r="F25" s="654" t="b">
        <x:f>+'Reporte Componentes R1'!O254+'Rem. Anticipos R2'!N144+'Reversion Pagos R4'!L174+'Reporte Componentes R1'!O256+F17+'AJUSTES - SF-T'!W48=F10</x:f>
        <x:v>1</x:v>
      </x:c>
      <x:c r="G25" s="654" t="b">
        <x:f>+'Reporte Componentes R1'!P254+'Rem. Anticipos R2'!O144+'Reversion Pagos R4'!M174+'Reporte Componentes R1'!P256+G17+'AJUSTES - SF-T'!X48=G10</x:f>
        <x:v>1</x:v>
      </x:c>
      <x:c r="H25" s="654" t="b">
        <x:f>+'Reporte Componentes R1'!Q254+'Rem. Anticipos R2'!P144+'Reversion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R2'!E145+'Reporte Componentes R1'!F257+'Reversion Pagos R4'!D175+'AJUSTES - SF-T'!AD48+L17=L10</x:f>
        <x:v>1</x:v>
      </x:c>
      <x:c r="M25" s="715">
        <x:f>-'BCE SC POR FACT.'!F4+'Reporte Componentes R1'!F255+'Rem. Anticipos R2'!E145+'Reporte Componentes R1'!F257+'Reversion Pagos R4'!D175+'AJUSTES - SF-T'!AD48+M17-M10</x:f>
        <x:v>0</x:v>
      </x:c>
      <x:c r="N25" s="648" t="b">
        <x:f>'Reporte Componentes R1'!F255+'Rem. Anticipos R2'!E145+'Reporte Componentes R1'!F257+'Reversion Pagos R4'!D175+'AJUSTES - SF-T'!AD48+L17=L10</x:f>
        <x:v>1</x:v>
      </x:c>
      <x:c r="O25" s="648" t="b">
        <x: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R1'!M415+'Reporte Componentes R1'!M417+'Rem. Anticipos R2'!L262+'Reversion Pagos R4'!J211+D18+'AJUSTES - SF-T'!U49=D11</x:f>
        <x:v>1</x:v>
      </x:c>
      <x:c r="E26" s="648" t="b">
        <x:f>+'Reporte Componentes R1'!N415+'Reporte Componentes R1'!N417+'Rem. Anticipos R2'!M262+'Reversion Pagos R4'!K211+E18+'AJUSTES - SF-T'!V49=E11</x:f>
        <x:v>1</x:v>
      </x:c>
      <x:c r="F26" s="648" t="b">
        <x:f>+'Reporte Componentes R1'!O415+'Reporte Componentes R1'!O417+'Rem. Anticipos R2'!N262+'Reversion Pagos R4'!L211+F18+'AJUSTES - SF-T'!W49=F11</x:f>
        <x:v>1</x:v>
      </x:c>
      <x:c r="G26" s="648" t="b">
        <x:f>+'Reporte Componentes R1'!P415+'Reporte Componentes R1'!P417+'Rem. Anticipos R2'!O262+'Reversion Pagos R4'!M211+G18+'AJUSTES - SF-T'!X49=G11</x:f>
        <x:v>1</x:v>
      </x:c>
      <x:c r="H26" s="648" t="b">
        <x:f>+'Reporte Componentes R1'!Q415+'Reporte Componentes R1'!Q417+'Rem. Anticipos R2'!P262+'Reversion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R2'!E263+'Reporte Componentes R1'!F418+'Reversion Pagos R4'!D212+'AJUSTES - SF-T'!AD49+L18=L11</x:f>
        <x:v>1</x:v>
      </x:c>
      <x:c r="M26" s="715">
        <x:f>-'BCE SC POR FACT.'!F5+'Reporte Componentes R1'!F416+'Rem. Anticipos R2'!E263+'Reporte Componentes R1'!F418+'Reversion Pagos R4'!D212+'AJUSTES - SF-T'!AD49+M18-M11</x:f>
        <x:v>0</x:v>
      </x:c>
      <x:c r="N26" s="648" t="b">
        <x:f>'Reporte Componentes R1'!F416+'Rem. Anticipos R2'!E263+'Reporte Componentes R1'!F418+'Reversion Pagos R4'!D212+'AJUSTES - SF-T'!AD49+L18=L11</x:f>
        <x:v>1</x:v>
      </x:c>
      <x:c r="O26" s="712" t="b">
        <x: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R1'!M568+'Reporte Componentes R1'!M570+'Rem. Anticipos R2'!L362+'Reversion Pagos R4'!J326+D19+'AJUSTES - SF-T'!U50=D12</x:f>
        <x:v>1</x:v>
      </x:c>
      <x:c r="E27" s="648" t="b">
        <x:f>+'Reporte Componentes R1'!N568+'Reporte Componentes R1'!N570+'Rem. Anticipos R2'!M362+'Reversion Pagos R4'!K326+E19+'AJUSTES - SF-T'!V50=E12</x:f>
        <x:v>1</x:v>
      </x:c>
      <x:c r="F27" s="648" t="b">
        <x:f>+'Reporte Componentes R1'!O568+'Reporte Componentes R1'!O570+'Rem. Anticipos R2'!N362+'Reversion Pagos R4'!L326+F19+'AJUSTES - SF-T'!W50=F12</x:f>
        <x:v>1</x:v>
      </x:c>
      <x:c r="G27" s="648" t="b">
        <x:f>+'Reporte Componentes R1'!P568+'Reporte Componentes R1'!P570+'Rem. Anticipos R2'!O362+'Reversion Pagos R4'!M326+G19+'AJUSTES - SF-T'!X50=G12</x:f>
        <x:v>1</x:v>
      </x:c>
      <x:c r="H27" s="648" t="b">
        <x:f>+'Reporte Componentes R1'!Q568+'Reporte Componentes R1'!Q570+'Rem. Anticipos R2'!P362+'Reversion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R2'!E363+'Reporte Componentes R1'!F571+'Reversion Pagos R4'!D327+'AJUSTES - SF-T'!AD50+L19=L12</x:f>
        <x:v>1</x:v>
      </x:c>
      <x:c r="M27" s="715">
        <x:f>-'BCE SC POR FACT.'!F6+'Reporte Componentes R1'!F569+'Rem. Anticipos R2'!E363+'Reporte Componentes R1'!F571+'Reversion Pagos R4'!D327+'AJUSTES - SF-T'!AD50+M19-M12</x:f>
        <x:v>0</x:v>
      </x:c>
      <x:c r="N27" s="648" t="b">
        <x:f>'Reporte Componentes R1'!F569+'Rem. Anticipos R2'!E363+'Reporte Componentes R1'!F571+'Reversion Pagos R4'!D327+'AJUSTES - SF-T'!AD50+L19=L12</x:f>
        <x:v>1</x:v>
      </x:c>
      <x:c r="O27" s="712" t="b">
        <x: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R1'!M680+'Reporte Componentes R1'!M682+'Rem. Anticipos R2'!L446+'Reversion Pagos R4'!J361+D20+'AJUSTES - SF-T'!U51=D13</x:f>
        <x:v>1</x:v>
      </x:c>
      <x:c r="E28" s="648" t="b">
        <x:f>+'Reporte Componentes R1'!N680+'Reporte Componentes R1'!N682+'Rem. Anticipos R2'!M446+'Reversion Pagos R4'!K361+E20+'AJUSTES - SF-T'!V51=E13</x:f>
        <x:v>1</x:v>
      </x:c>
      <x:c r="F28" s="648" t="b">
        <x:f>+'Reporte Componentes R1'!O680+'Reporte Componentes R1'!O682+'Rem. Anticipos R2'!N446+'Reversion Pagos R4'!L361+F20+'AJUSTES - SF-T'!W51=F13</x:f>
        <x:v>1</x:v>
      </x:c>
      <x:c r="G28" s="648" t="b">
        <x:f>+'Reporte Componentes R1'!P680+'Reporte Componentes R1'!P682+'Rem. Anticipos R2'!O446+'Reversion Pagos R4'!M361+G20+'AJUSTES - SF-T'!X51=G13</x:f>
        <x:v>1</x:v>
      </x:c>
      <x:c r="H28" s="648" t="b">
        <x:f>+'Reporte Componentes R1'!Q680+'Reporte Componentes R1'!Q682+'Rem. Anticipos R2'!P446+'Reversion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R2'!E447+'Reporte Componentes R1'!F683+'Reversion Pagos R4'!D362+'AJUSTES - SF-T'!AD51+L20=L13</x:f>
        <x:v>1</x:v>
      </x:c>
      <x:c r="M28" s="648" t="b">
        <x:f>-'BCE SC POR FACT.'!F7+'Reporte Componentes R1'!F681+'Rem. Anticipos R2'!E447+'Reporte Componentes R1'!F683+'Reversion Pagos R4'!D362+'AJUSTES - SF-T'!AD51+M20=M13</x:f>
        <x:v>1</x:v>
      </x:c>
      <x:c r="N28" s="648" t="b">
        <x:f>'Reporte Componentes R1'!F681+'Rem. Anticipos R2'!E447+'Reporte Componentes R1'!F683+'Reversion Pagos R4'!D362+'AJUSTES - SF-T'!AD51+L20=L13</x:f>
        <x:v>1</x:v>
      </x:c>
      <x:c r="O28" s="648" t="b">
        <x: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x:f>
        <x:v>0</x:v>
      </x:c>
    </x:row>
    <x:row r="29" spans="2:16" x14ac:dyDescent="0.3">
      <x:c r="C29" s="649" t="s">
        <x:v>2</x:v>
      </x:c>
      <x:c r="D29" s="648" t="b">
        <x: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G11" sqref="G11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>
        <x:v>68200068115</x:v>
      </x:c>
      <x:c r="E7" s="533">
        <x:v>68245142592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>
        <x:v>38870386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>
        <x:v>6204091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>
        <x:v>5736574007</x:v>
      </x:c>
      <x:c r="E10" s="535">
        <x:v>5736574007</x:v>
      </x:c>
      <x:c r="F10" s="536" t="n"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